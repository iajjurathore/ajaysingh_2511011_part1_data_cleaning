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f741228aacd2/Desktop/"/>
    </mc:Choice>
  </mc:AlternateContent>
  <xr:revisionPtr revIDLastSave="25" documentId="8_{503802D1-C9BF-4AE0-B1F9-F524A8BE356F}" xr6:coauthVersionLast="47" xr6:coauthVersionMax="47" xr10:uidLastSave="{8B3DDA7A-A87A-4C03-A9D0-FC89AF489522}"/>
  <bookViews>
    <workbookView xWindow="-108" yWindow="-108" windowWidth="23256" windowHeight="12456" xr2:uid="{900A380F-433A-4BAC-93D1-0B592B8862A0}"/>
  </bookViews>
  <sheets>
    <sheet name="Cleaned_data" sheetId="11" r:id="rId1"/>
    <sheet name="DATA_SUMMERY" sheetId="3" r:id="rId2"/>
    <sheet name="Pivort_Tabel" sheetId="14" r:id="rId3"/>
  </sheets>
  <definedNames>
    <definedName name="_xlnm._FilterDatabase" localSheetId="0" hidden="1">Cleaned_data!$A$1:$AF$913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46" i="11" l="1"/>
  <c r="AF278" i="11"/>
  <c r="AF290" i="11"/>
  <c r="AF422" i="11"/>
  <c r="AF434" i="11"/>
  <c r="AF566" i="11"/>
  <c r="AF578" i="11"/>
  <c r="AF662" i="11"/>
  <c r="AF710" i="11"/>
  <c r="AF722" i="11"/>
  <c r="AF854" i="11"/>
  <c r="AF866" i="11"/>
  <c r="B47" i="3"/>
  <c r="AD3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E89" i="11"/>
  <c r="AE90" i="11"/>
  <c r="AE91" i="11"/>
  <c r="AE92" i="11"/>
  <c r="AE93" i="11"/>
  <c r="AE94" i="11"/>
  <c r="AE95" i="11"/>
  <c r="AE96" i="11"/>
  <c r="AE97" i="11"/>
  <c r="AE98" i="11"/>
  <c r="AE99" i="11"/>
  <c r="AE100" i="11"/>
  <c r="AE101" i="11"/>
  <c r="AE102" i="11"/>
  <c r="AE103" i="11"/>
  <c r="AE104" i="11"/>
  <c r="AE105" i="11"/>
  <c r="AE106" i="11"/>
  <c r="AE107" i="11"/>
  <c r="AE108" i="11"/>
  <c r="AE109" i="11"/>
  <c r="AE110" i="11"/>
  <c r="AE111" i="11"/>
  <c r="AE112" i="11"/>
  <c r="AE113" i="11"/>
  <c r="AE114" i="11"/>
  <c r="AE115" i="11"/>
  <c r="AE116" i="11"/>
  <c r="AE117" i="11"/>
  <c r="AE118" i="11"/>
  <c r="AE119" i="11"/>
  <c r="AE120" i="11"/>
  <c r="AE121" i="11"/>
  <c r="AE122" i="11"/>
  <c r="AE123" i="11"/>
  <c r="AE124" i="11"/>
  <c r="AE125" i="11"/>
  <c r="AE126" i="11"/>
  <c r="AE127" i="11"/>
  <c r="AE128" i="11"/>
  <c r="AE129" i="11"/>
  <c r="AE130" i="11"/>
  <c r="AE131" i="11"/>
  <c r="AE132" i="11"/>
  <c r="AE133" i="11"/>
  <c r="AE134" i="11"/>
  <c r="AE135" i="11"/>
  <c r="AE136" i="11"/>
  <c r="AE137" i="11"/>
  <c r="AE138" i="11"/>
  <c r="AE139" i="11"/>
  <c r="AE140" i="11"/>
  <c r="AE141" i="11"/>
  <c r="AE142" i="11"/>
  <c r="AE143" i="11"/>
  <c r="AE144" i="11"/>
  <c r="AE145" i="11"/>
  <c r="AE146" i="11"/>
  <c r="AE147" i="11"/>
  <c r="AE148" i="11"/>
  <c r="AE149" i="11"/>
  <c r="AE150" i="11"/>
  <c r="AE151" i="11"/>
  <c r="AE152" i="11"/>
  <c r="AE153" i="11"/>
  <c r="AE154" i="11"/>
  <c r="AE155" i="11"/>
  <c r="AE156" i="11"/>
  <c r="AE157" i="11"/>
  <c r="AE158" i="11"/>
  <c r="AE159" i="11"/>
  <c r="AE160" i="11"/>
  <c r="AE161" i="11"/>
  <c r="AE162" i="11"/>
  <c r="AE163" i="11"/>
  <c r="AE164" i="11"/>
  <c r="AE165" i="11"/>
  <c r="AE166" i="11"/>
  <c r="AE167" i="11"/>
  <c r="AE168" i="11"/>
  <c r="AE169" i="11"/>
  <c r="AE170" i="11"/>
  <c r="AE171" i="11"/>
  <c r="AE172" i="11"/>
  <c r="AE173" i="11"/>
  <c r="AE174" i="11"/>
  <c r="AE175" i="11"/>
  <c r="AE176" i="11"/>
  <c r="AE177" i="11"/>
  <c r="AE178" i="11"/>
  <c r="AE179" i="11"/>
  <c r="AE180" i="11"/>
  <c r="AE181" i="11"/>
  <c r="AE182" i="11"/>
  <c r="AE183" i="11"/>
  <c r="AE184" i="11"/>
  <c r="AE185" i="11"/>
  <c r="AE186" i="11"/>
  <c r="AE187" i="11"/>
  <c r="AE188" i="11"/>
  <c r="AE189" i="11"/>
  <c r="AE190" i="11"/>
  <c r="AE191" i="11"/>
  <c r="AE192" i="11"/>
  <c r="AE193" i="11"/>
  <c r="AE194" i="11"/>
  <c r="AE195" i="11"/>
  <c r="AE196" i="11"/>
  <c r="AE197" i="11"/>
  <c r="AE198" i="11"/>
  <c r="AE199" i="11"/>
  <c r="AE200" i="11"/>
  <c r="AE201" i="11"/>
  <c r="AE202" i="11"/>
  <c r="AE203" i="11"/>
  <c r="AE204" i="11"/>
  <c r="AE205" i="11"/>
  <c r="AE206" i="11"/>
  <c r="AE207" i="11"/>
  <c r="AE208" i="11"/>
  <c r="AE209" i="11"/>
  <c r="AE210" i="11"/>
  <c r="AE211" i="11"/>
  <c r="AE212" i="11"/>
  <c r="AE213" i="11"/>
  <c r="AE214" i="11"/>
  <c r="AE215" i="11"/>
  <c r="AE216" i="11"/>
  <c r="AE217" i="11"/>
  <c r="AE218" i="11"/>
  <c r="AE219" i="11"/>
  <c r="AE220" i="11"/>
  <c r="AE221" i="11"/>
  <c r="AE222" i="11"/>
  <c r="AE223" i="11"/>
  <c r="AE224" i="11"/>
  <c r="AE225" i="11"/>
  <c r="AE226" i="11"/>
  <c r="AE227" i="11"/>
  <c r="AE228" i="11"/>
  <c r="AE229" i="11"/>
  <c r="AE230" i="11"/>
  <c r="AE231" i="11"/>
  <c r="AE232" i="11"/>
  <c r="AE233" i="11"/>
  <c r="AE234" i="11"/>
  <c r="AE235" i="11"/>
  <c r="AE236" i="11"/>
  <c r="AE237" i="11"/>
  <c r="AE238" i="11"/>
  <c r="AE239" i="11"/>
  <c r="AE240" i="11"/>
  <c r="AE241" i="11"/>
  <c r="AE242" i="11"/>
  <c r="AE243" i="11"/>
  <c r="AE244" i="11"/>
  <c r="AE245" i="11"/>
  <c r="AE246" i="11"/>
  <c r="AE247" i="11"/>
  <c r="AE248" i="11"/>
  <c r="AE249" i="11"/>
  <c r="AE250" i="11"/>
  <c r="AE251" i="11"/>
  <c r="AE252" i="11"/>
  <c r="AE253" i="11"/>
  <c r="AE254" i="11"/>
  <c r="AE255" i="11"/>
  <c r="AE256" i="11"/>
  <c r="AE257" i="11"/>
  <c r="AE258" i="11"/>
  <c r="AE259" i="11"/>
  <c r="AE260" i="11"/>
  <c r="AE261" i="11"/>
  <c r="AE262" i="11"/>
  <c r="AE263" i="11"/>
  <c r="AE264" i="11"/>
  <c r="AE265" i="11"/>
  <c r="AE266" i="11"/>
  <c r="AE267" i="11"/>
  <c r="AE268" i="11"/>
  <c r="AE269" i="11"/>
  <c r="AE270" i="11"/>
  <c r="AE271" i="11"/>
  <c r="AE272" i="11"/>
  <c r="AE273" i="11"/>
  <c r="AE274" i="11"/>
  <c r="AE275" i="11"/>
  <c r="AE276" i="11"/>
  <c r="AE277" i="11"/>
  <c r="AE278" i="11"/>
  <c r="AE279" i="11"/>
  <c r="AE280" i="11"/>
  <c r="AE281" i="11"/>
  <c r="AE282" i="11"/>
  <c r="AE283" i="11"/>
  <c r="AE284" i="11"/>
  <c r="AE285" i="11"/>
  <c r="AE286" i="11"/>
  <c r="AE287" i="11"/>
  <c r="AE288" i="11"/>
  <c r="AE289" i="11"/>
  <c r="AE290" i="11"/>
  <c r="AE291" i="11"/>
  <c r="AE292" i="11"/>
  <c r="AE293" i="11"/>
  <c r="AE294" i="11"/>
  <c r="AE295" i="11"/>
  <c r="AE296" i="11"/>
  <c r="AE297" i="11"/>
  <c r="AE298" i="11"/>
  <c r="AE299" i="11"/>
  <c r="AE300" i="11"/>
  <c r="AE301" i="11"/>
  <c r="AE302" i="11"/>
  <c r="AE303" i="11"/>
  <c r="AE304" i="11"/>
  <c r="AE305" i="11"/>
  <c r="AE306" i="11"/>
  <c r="AE307" i="11"/>
  <c r="AE308" i="11"/>
  <c r="AE309" i="11"/>
  <c r="AE310" i="11"/>
  <c r="AE311" i="11"/>
  <c r="AE312" i="11"/>
  <c r="AE313" i="11"/>
  <c r="AE314" i="11"/>
  <c r="AE315" i="11"/>
  <c r="AE316" i="11"/>
  <c r="AE317" i="11"/>
  <c r="AE318" i="11"/>
  <c r="AE319" i="11"/>
  <c r="AE320" i="11"/>
  <c r="AE321" i="11"/>
  <c r="AE322" i="11"/>
  <c r="AE323" i="11"/>
  <c r="AE324" i="11"/>
  <c r="AE325" i="11"/>
  <c r="AE326" i="11"/>
  <c r="AE327" i="11"/>
  <c r="AE328" i="11"/>
  <c r="AE329" i="11"/>
  <c r="AE330" i="11"/>
  <c r="AE331" i="11"/>
  <c r="AE332" i="11"/>
  <c r="AE333" i="11"/>
  <c r="AE334" i="11"/>
  <c r="AE335" i="11"/>
  <c r="AE336" i="11"/>
  <c r="AE337" i="11"/>
  <c r="AE338" i="11"/>
  <c r="AE339" i="11"/>
  <c r="AE340" i="11"/>
  <c r="AE341" i="11"/>
  <c r="AE342" i="11"/>
  <c r="AE343" i="11"/>
  <c r="AE344" i="11"/>
  <c r="AE345" i="11"/>
  <c r="AE346" i="11"/>
  <c r="AE347" i="11"/>
  <c r="AE348" i="11"/>
  <c r="AE349" i="11"/>
  <c r="AE350" i="11"/>
  <c r="AE351" i="11"/>
  <c r="AE352" i="11"/>
  <c r="AE353" i="11"/>
  <c r="AE354" i="11"/>
  <c r="AE355" i="11"/>
  <c r="AE356" i="11"/>
  <c r="AE357" i="11"/>
  <c r="AE358" i="11"/>
  <c r="AE359" i="11"/>
  <c r="AE360" i="11"/>
  <c r="AE361" i="11"/>
  <c r="AE362" i="11"/>
  <c r="AE363" i="11"/>
  <c r="AE364" i="11"/>
  <c r="AE365" i="11"/>
  <c r="AE366" i="11"/>
  <c r="AE367" i="11"/>
  <c r="AE368" i="11"/>
  <c r="AE369" i="11"/>
  <c r="AE370" i="11"/>
  <c r="AE371" i="11"/>
  <c r="AE372" i="11"/>
  <c r="AE373" i="11"/>
  <c r="AE374" i="11"/>
  <c r="AE375" i="11"/>
  <c r="AE376" i="11"/>
  <c r="AE377" i="11"/>
  <c r="AE378" i="11"/>
  <c r="AE379" i="11"/>
  <c r="AE380" i="11"/>
  <c r="AE381" i="11"/>
  <c r="AE382" i="11"/>
  <c r="AE383" i="11"/>
  <c r="AE384" i="11"/>
  <c r="AE385" i="11"/>
  <c r="AE386" i="11"/>
  <c r="AE387" i="11"/>
  <c r="AE388" i="11"/>
  <c r="AE389" i="11"/>
  <c r="AE390" i="11"/>
  <c r="AE391" i="11"/>
  <c r="AE392" i="11"/>
  <c r="AE393" i="11"/>
  <c r="AE394" i="11"/>
  <c r="AE395" i="11"/>
  <c r="AE396" i="11"/>
  <c r="AE397" i="11"/>
  <c r="AE398" i="11"/>
  <c r="AE399" i="11"/>
  <c r="AE400" i="11"/>
  <c r="AE401" i="11"/>
  <c r="AE402" i="11"/>
  <c r="AE403" i="11"/>
  <c r="AE404" i="11"/>
  <c r="AE405" i="11"/>
  <c r="AE406" i="11"/>
  <c r="AE407" i="11"/>
  <c r="AE408" i="11"/>
  <c r="AE409" i="11"/>
  <c r="AE410" i="11"/>
  <c r="AE411" i="11"/>
  <c r="AE412" i="11"/>
  <c r="AE413" i="11"/>
  <c r="AE414" i="11"/>
  <c r="AE415" i="11"/>
  <c r="AE416" i="11"/>
  <c r="AE417" i="11"/>
  <c r="AE418" i="11"/>
  <c r="AE419" i="11"/>
  <c r="AE420" i="11"/>
  <c r="AE421" i="11"/>
  <c r="AE422" i="11"/>
  <c r="AE423" i="11"/>
  <c r="AE424" i="11"/>
  <c r="AE425" i="11"/>
  <c r="AE426" i="11"/>
  <c r="AE427" i="11"/>
  <c r="AE428" i="11"/>
  <c r="AE429" i="11"/>
  <c r="AE430" i="11"/>
  <c r="AE431" i="11"/>
  <c r="AE432" i="11"/>
  <c r="AE433" i="11"/>
  <c r="AE434" i="11"/>
  <c r="AE435" i="11"/>
  <c r="AE436" i="11"/>
  <c r="AE437" i="11"/>
  <c r="AE438" i="11"/>
  <c r="AE439" i="11"/>
  <c r="AE440" i="11"/>
  <c r="AE441" i="11"/>
  <c r="AE442" i="11"/>
  <c r="AE443" i="11"/>
  <c r="AE444" i="11"/>
  <c r="AE445" i="11"/>
  <c r="AE446" i="11"/>
  <c r="AE447" i="11"/>
  <c r="AE448" i="11"/>
  <c r="AE449" i="11"/>
  <c r="AE450" i="11"/>
  <c r="AE451" i="11"/>
  <c r="AE452" i="11"/>
  <c r="AE453" i="11"/>
  <c r="AE454" i="11"/>
  <c r="AE455" i="11"/>
  <c r="AE456" i="11"/>
  <c r="AE457" i="11"/>
  <c r="AE458" i="11"/>
  <c r="AE459" i="11"/>
  <c r="AE460" i="11"/>
  <c r="AE461" i="11"/>
  <c r="AE462" i="11"/>
  <c r="AE463" i="11"/>
  <c r="AE464" i="11"/>
  <c r="AE465" i="11"/>
  <c r="AE466" i="11"/>
  <c r="AE467" i="11"/>
  <c r="AE468" i="11"/>
  <c r="AE469" i="11"/>
  <c r="AE470" i="11"/>
  <c r="AE471" i="11"/>
  <c r="AE472" i="11"/>
  <c r="AE473" i="11"/>
  <c r="AE474" i="11"/>
  <c r="AE475" i="11"/>
  <c r="AE476" i="11"/>
  <c r="AE477" i="11"/>
  <c r="AE478" i="11"/>
  <c r="AE479" i="11"/>
  <c r="AE480" i="11"/>
  <c r="AE481" i="11"/>
  <c r="AE482" i="11"/>
  <c r="AE483" i="11"/>
  <c r="AE484" i="11"/>
  <c r="AE485" i="11"/>
  <c r="AE486" i="11"/>
  <c r="AE487" i="11"/>
  <c r="AE488" i="11"/>
  <c r="AE489" i="11"/>
  <c r="AE490" i="11"/>
  <c r="AE491" i="11"/>
  <c r="AE492" i="11"/>
  <c r="AE493" i="11"/>
  <c r="AE494" i="11"/>
  <c r="AE495" i="11"/>
  <c r="AE496" i="11"/>
  <c r="AE497" i="11"/>
  <c r="AE498" i="11"/>
  <c r="AE499" i="11"/>
  <c r="AE500" i="11"/>
  <c r="AE501" i="11"/>
  <c r="AE502" i="11"/>
  <c r="AE503" i="11"/>
  <c r="AE504" i="11"/>
  <c r="AE505" i="11"/>
  <c r="AE506" i="11"/>
  <c r="AE507" i="11"/>
  <c r="AE508" i="11"/>
  <c r="AE509" i="11"/>
  <c r="AE510" i="11"/>
  <c r="AE511" i="11"/>
  <c r="AE512" i="11"/>
  <c r="AE513" i="11"/>
  <c r="AE514" i="11"/>
  <c r="AE515" i="11"/>
  <c r="AE516" i="11"/>
  <c r="AE517" i="11"/>
  <c r="AE518" i="11"/>
  <c r="AE519" i="11"/>
  <c r="AE520" i="11"/>
  <c r="AE521" i="11"/>
  <c r="AE522" i="11"/>
  <c r="AE523" i="11"/>
  <c r="AE524" i="11"/>
  <c r="AE525" i="11"/>
  <c r="AE526" i="11"/>
  <c r="AE527" i="11"/>
  <c r="AE528" i="11"/>
  <c r="AE529" i="11"/>
  <c r="AE530" i="11"/>
  <c r="AE531" i="11"/>
  <c r="AE532" i="11"/>
  <c r="AE533" i="11"/>
  <c r="AE534" i="11"/>
  <c r="AE535" i="11"/>
  <c r="AE536" i="11"/>
  <c r="AE537" i="11"/>
  <c r="AE538" i="11"/>
  <c r="AE539" i="11"/>
  <c r="AE540" i="11"/>
  <c r="AE541" i="11"/>
  <c r="AE542" i="11"/>
  <c r="AE543" i="11"/>
  <c r="AE544" i="11"/>
  <c r="AE545" i="11"/>
  <c r="AE546" i="11"/>
  <c r="AE547" i="11"/>
  <c r="AE548" i="11"/>
  <c r="AE549" i="11"/>
  <c r="AE550" i="11"/>
  <c r="AE551" i="11"/>
  <c r="AE552" i="11"/>
  <c r="AE553" i="11"/>
  <c r="AE554" i="11"/>
  <c r="AE555" i="11"/>
  <c r="AE556" i="11"/>
  <c r="AE557" i="11"/>
  <c r="AE558" i="11"/>
  <c r="AE559" i="11"/>
  <c r="AE560" i="11"/>
  <c r="AE561" i="11"/>
  <c r="AE562" i="11"/>
  <c r="AE563" i="11"/>
  <c r="AE564" i="11"/>
  <c r="AE565" i="11"/>
  <c r="AE566" i="11"/>
  <c r="AE567" i="11"/>
  <c r="AE568" i="11"/>
  <c r="AE569" i="11"/>
  <c r="AE570" i="11"/>
  <c r="AE571" i="11"/>
  <c r="AE572" i="11"/>
  <c r="AE573" i="11"/>
  <c r="AE574" i="11"/>
  <c r="AE575" i="11"/>
  <c r="AE576" i="11"/>
  <c r="AE577" i="11"/>
  <c r="AE578" i="11"/>
  <c r="AE579" i="11"/>
  <c r="AE580" i="11"/>
  <c r="AE581" i="11"/>
  <c r="AE582" i="11"/>
  <c r="AE583" i="11"/>
  <c r="AE584" i="11"/>
  <c r="AE585" i="11"/>
  <c r="AE586" i="11"/>
  <c r="AE587" i="11"/>
  <c r="AE588" i="11"/>
  <c r="AE589" i="11"/>
  <c r="AE590" i="11"/>
  <c r="AE591" i="11"/>
  <c r="AE592" i="11"/>
  <c r="AE593" i="11"/>
  <c r="AE594" i="11"/>
  <c r="AE595" i="11"/>
  <c r="AE596" i="11"/>
  <c r="AE597" i="11"/>
  <c r="AE598" i="11"/>
  <c r="AE599" i="11"/>
  <c r="AE600" i="11"/>
  <c r="AE601" i="11"/>
  <c r="AE602" i="11"/>
  <c r="AE603" i="11"/>
  <c r="AE604" i="11"/>
  <c r="AE605" i="11"/>
  <c r="AE606" i="11"/>
  <c r="AE607" i="11"/>
  <c r="AE608" i="11"/>
  <c r="AE609" i="11"/>
  <c r="AE610" i="11"/>
  <c r="AE611" i="11"/>
  <c r="AE612" i="11"/>
  <c r="AE613" i="11"/>
  <c r="AE614" i="11"/>
  <c r="AE615" i="11"/>
  <c r="AE616" i="11"/>
  <c r="AE617" i="11"/>
  <c r="AE618" i="11"/>
  <c r="AE619" i="11"/>
  <c r="AE620" i="11"/>
  <c r="AE621" i="11"/>
  <c r="AE622" i="11"/>
  <c r="AE623" i="11"/>
  <c r="AE624" i="11"/>
  <c r="AE625" i="11"/>
  <c r="AE626" i="11"/>
  <c r="AE627" i="11"/>
  <c r="AE628" i="11"/>
  <c r="AE629" i="11"/>
  <c r="AE630" i="11"/>
  <c r="AE631" i="11"/>
  <c r="AE632" i="11"/>
  <c r="AE633" i="11"/>
  <c r="AE634" i="11"/>
  <c r="AE635" i="11"/>
  <c r="AE636" i="11"/>
  <c r="AE637" i="11"/>
  <c r="AE638" i="11"/>
  <c r="AE639" i="11"/>
  <c r="AE640" i="11"/>
  <c r="AE641" i="11"/>
  <c r="AE642" i="11"/>
  <c r="AE643" i="11"/>
  <c r="AE644" i="11"/>
  <c r="AE645" i="11"/>
  <c r="AE646" i="11"/>
  <c r="AE647" i="11"/>
  <c r="AE648" i="11"/>
  <c r="AE649" i="11"/>
  <c r="AE650" i="11"/>
  <c r="AE651" i="11"/>
  <c r="AE652" i="11"/>
  <c r="AE653" i="11"/>
  <c r="AE654" i="11"/>
  <c r="AE655" i="11"/>
  <c r="AE656" i="11"/>
  <c r="AE657" i="11"/>
  <c r="AE658" i="11"/>
  <c r="AE659" i="11"/>
  <c r="AE660" i="11"/>
  <c r="AE661" i="11"/>
  <c r="AE662" i="11"/>
  <c r="AE663" i="11"/>
  <c r="AE664" i="11"/>
  <c r="AE665" i="11"/>
  <c r="AE666" i="11"/>
  <c r="AE667" i="11"/>
  <c r="AE668" i="11"/>
  <c r="AE669" i="11"/>
  <c r="AE670" i="11"/>
  <c r="AE671" i="11"/>
  <c r="AE672" i="11"/>
  <c r="AE673" i="11"/>
  <c r="AE674" i="11"/>
  <c r="AE675" i="11"/>
  <c r="AE676" i="11"/>
  <c r="AE677" i="11"/>
  <c r="AE678" i="11"/>
  <c r="AE679" i="11"/>
  <c r="AE680" i="11"/>
  <c r="AE681" i="11"/>
  <c r="AE682" i="11"/>
  <c r="AE683" i="11"/>
  <c r="AE684" i="11"/>
  <c r="AE685" i="11"/>
  <c r="AE686" i="11"/>
  <c r="AE687" i="11"/>
  <c r="AE688" i="11"/>
  <c r="AE689" i="11"/>
  <c r="AE690" i="11"/>
  <c r="AE691" i="11"/>
  <c r="AE692" i="11"/>
  <c r="AE693" i="11"/>
  <c r="AE694" i="11"/>
  <c r="AE695" i="11"/>
  <c r="AE696" i="11"/>
  <c r="AE697" i="11"/>
  <c r="AE698" i="11"/>
  <c r="AE699" i="11"/>
  <c r="AE700" i="11"/>
  <c r="AE701" i="11"/>
  <c r="AE702" i="11"/>
  <c r="AE703" i="11"/>
  <c r="AE704" i="11"/>
  <c r="AE705" i="11"/>
  <c r="AE706" i="11"/>
  <c r="AE707" i="11"/>
  <c r="AE708" i="11"/>
  <c r="AE709" i="11"/>
  <c r="AE710" i="11"/>
  <c r="AE711" i="11"/>
  <c r="AE712" i="11"/>
  <c r="AE713" i="11"/>
  <c r="AE714" i="11"/>
  <c r="AE715" i="11"/>
  <c r="AE716" i="11"/>
  <c r="AE717" i="11"/>
  <c r="AE718" i="11"/>
  <c r="AE719" i="11"/>
  <c r="AE720" i="11"/>
  <c r="AE721" i="11"/>
  <c r="AE722" i="11"/>
  <c r="AE723" i="11"/>
  <c r="AE724" i="11"/>
  <c r="AE725" i="11"/>
  <c r="AE726" i="11"/>
  <c r="AE727" i="11"/>
  <c r="AE728" i="11"/>
  <c r="AE729" i="11"/>
  <c r="AE730" i="11"/>
  <c r="AE731" i="11"/>
  <c r="AE732" i="11"/>
  <c r="AE733" i="11"/>
  <c r="AE734" i="11"/>
  <c r="AE735" i="11"/>
  <c r="AE736" i="11"/>
  <c r="AE737" i="11"/>
  <c r="AE738" i="11"/>
  <c r="AE739" i="11"/>
  <c r="AE740" i="11"/>
  <c r="AE741" i="11"/>
  <c r="AE742" i="11"/>
  <c r="AE743" i="11"/>
  <c r="AE744" i="11"/>
  <c r="AE745" i="11"/>
  <c r="AE746" i="11"/>
  <c r="AE747" i="11"/>
  <c r="AE748" i="11"/>
  <c r="AE749" i="11"/>
  <c r="AE750" i="11"/>
  <c r="AE751" i="11"/>
  <c r="AE752" i="11"/>
  <c r="AE753" i="11"/>
  <c r="AE754" i="11"/>
  <c r="AE755" i="11"/>
  <c r="AE756" i="11"/>
  <c r="AE757" i="11"/>
  <c r="AE758" i="11"/>
  <c r="AE759" i="11"/>
  <c r="AE760" i="11"/>
  <c r="AE761" i="11"/>
  <c r="AE762" i="11"/>
  <c r="AE763" i="11"/>
  <c r="AE764" i="11"/>
  <c r="AE765" i="11"/>
  <c r="AE766" i="11"/>
  <c r="AE767" i="11"/>
  <c r="AE768" i="11"/>
  <c r="AE769" i="11"/>
  <c r="AE770" i="11"/>
  <c r="AE771" i="11"/>
  <c r="AE772" i="11"/>
  <c r="AE773" i="11"/>
  <c r="AE774" i="11"/>
  <c r="AE775" i="11"/>
  <c r="AE776" i="11"/>
  <c r="AE777" i="11"/>
  <c r="AE778" i="11"/>
  <c r="AE779" i="11"/>
  <c r="AE780" i="11"/>
  <c r="AE781" i="11"/>
  <c r="AE782" i="11"/>
  <c r="AE783" i="11"/>
  <c r="AE784" i="11"/>
  <c r="AE785" i="11"/>
  <c r="AE786" i="11"/>
  <c r="AE787" i="11"/>
  <c r="AE788" i="11"/>
  <c r="AE789" i="11"/>
  <c r="AE790" i="11"/>
  <c r="AE791" i="11"/>
  <c r="AE792" i="11"/>
  <c r="AE793" i="11"/>
  <c r="AE794" i="11"/>
  <c r="AE795" i="11"/>
  <c r="AE796" i="11"/>
  <c r="AE797" i="11"/>
  <c r="AE798" i="11"/>
  <c r="AE799" i="11"/>
  <c r="AE800" i="11"/>
  <c r="AE801" i="11"/>
  <c r="AE802" i="11"/>
  <c r="AE803" i="11"/>
  <c r="AE804" i="11"/>
  <c r="AE805" i="11"/>
  <c r="AE806" i="11"/>
  <c r="AE807" i="11"/>
  <c r="AE808" i="11"/>
  <c r="AE809" i="11"/>
  <c r="AE810" i="11"/>
  <c r="AE811" i="11"/>
  <c r="AE812" i="11"/>
  <c r="AE813" i="11"/>
  <c r="AE814" i="11"/>
  <c r="AE815" i="11"/>
  <c r="AE816" i="11"/>
  <c r="AE817" i="11"/>
  <c r="AE818" i="11"/>
  <c r="AE819" i="11"/>
  <c r="AE820" i="11"/>
  <c r="AE821" i="11"/>
  <c r="AE822" i="11"/>
  <c r="AE823" i="11"/>
  <c r="AE824" i="11"/>
  <c r="AE825" i="11"/>
  <c r="AE826" i="11"/>
  <c r="AE827" i="11"/>
  <c r="AE828" i="11"/>
  <c r="AE829" i="11"/>
  <c r="AE830" i="11"/>
  <c r="AE831" i="11"/>
  <c r="AE832" i="11"/>
  <c r="AE833" i="11"/>
  <c r="AE834" i="11"/>
  <c r="AE835" i="11"/>
  <c r="AE836" i="11"/>
  <c r="AE837" i="11"/>
  <c r="AE838" i="11"/>
  <c r="AE839" i="11"/>
  <c r="AE840" i="11"/>
  <c r="AE841" i="11"/>
  <c r="AE842" i="11"/>
  <c r="AE843" i="11"/>
  <c r="AE844" i="11"/>
  <c r="AE845" i="11"/>
  <c r="AE846" i="11"/>
  <c r="AE847" i="11"/>
  <c r="AE848" i="11"/>
  <c r="AE849" i="11"/>
  <c r="AE850" i="11"/>
  <c r="AE851" i="11"/>
  <c r="AE852" i="11"/>
  <c r="AE853" i="11"/>
  <c r="AE854" i="11"/>
  <c r="AE855" i="11"/>
  <c r="AE856" i="11"/>
  <c r="AE857" i="11"/>
  <c r="AE858" i="11"/>
  <c r="AE859" i="11"/>
  <c r="AE860" i="11"/>
  <c r="AE861" i="11"/>
  <c r="AE862" i="11"/>
  <c r="AE863" i="11"/>
  <c r="AE864" i="11"/>
  <c r="AE865" i="11"/>
  <c r="AE866" i="11"/>
  <c r="AE867" i="11"/>
  <c r="AE868" i="11"/>
  <c r="AE869" i="11"/>
  <c r="AE870" i="11"/>
  <c r="AE871" i="11"/>
  <c r="AE872" i="11"/>
  <c r="AE873" i="11"/>
  <c r="AE874" i="11"/>
  <c r="AE875" i="11"/>
  <c r="AE876" i="11"/>
  <c r="AE877" i="11"/>
  <c r="AE878" i="11"/>
  <c r="AE879" i="11"/>
  <c r="AE880" i="11"/>
  <c r="AE881" i="11"/>
  <c r="AE882" i="11"/>
  <c r="AE883" i="11"/>
  <c r="AE884" i="11"/>
  <c r="AE885" i="11"/>
  <c r="AE886" i="11"/>
  <c r="AE887" i="11"/>
  <c r="AE888" i="11"/>
  <c r="AE889" i="11"/>
  <c r="AE890" i="11"/>
  <c r="AE891" i="11"/>
  <c r="AE892" i="11"/>
  <c r="AE893" i="11"/>
  <c r="AE894" i="11"/>
  <c r="AE895" i="11"/>
  <c r="AE896" i="11"/>
  <c r="AE897" i="11"/>
  <c r="AE898" i="11"/>
  <c r="AE899" i="11"/>
  <c r="AE900" i="11"/>
  <c r="AE901" i="11"/>
  <c r="AE902" i="11"/>
  <c r="AE903" i="11"/>
  <c r="AE904" i="11"/>
  <c r="AE905" i="11"/>
  <c r="AE906" i="11"/>
  <c r="AE907" i="11"/>
  <c r="AE908" i="11"/>
  <c r="AE909" i="11"/>
  <c r="AE910" i="11"/>
  <c r="AE911" i="11"/>
  <c r="AE912" i="11"/>
  <c r="AE913" i="11"/>
  <c r="AE2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AD80" i="11"/>
  <c r="AD81" i="11"/>
  <c r="AD82" i="11"/>
  <c r="AD83" i="11"/>
  <c r="AD84" i="11"/>
  <c r="AD85" i="11"/>
  <c r="AD86" i="11"/>
  <c r="AD87" i="11"/>
  <c r="AD88" i="11"/>
  <c r="AD89" i="11"/>
  <c r="AD90" i="11"/>
  <c r="AD91" i="11"/>
  <c r="AD92" i="11"/>
  <c r="AD93" i="11"/>
  <c r="AD94" i="11"/>
  <c r="AD95" i="11"/>
  <c r="AD96" i="11"/>
  <c r="AD97" i="11"/>
  <c r="AD98" i="11"/>
  <c r="AD99" i="11"/>
  <c r="AD100" i="11"/>
  <c r="AD101" i="11"/>
  <c r="AD102" i="11"/>
  <c r="AD103" i="11"/>
  <c r="AD104" i="11"/>
  <c r="AD105" i="11"/>
  <c r="AD106" i="11"/>
  <c r="AD107" i="11"/>
  <c r="AD108" i="11"/>
  <c r="AD109" i="11"/>
  <c r="AD110" i="11"/>
  <c r="AD111" i="11"/>
  <c r="AD112" i="11"/>
  <c r="AD113" i="11"/>
  <c r="AD114" i="11"/>
  <c r="AD115" i="11"/>
  <c r="AD116" i="11"/>
  <c r="AD117" i="11"/>
  <c r="AD118" i="11"/>
  <c r="AD119" i="11"/>
  <c r="AD120" i="11"/>
  <c r="AD121" i="11"/>
  <c r="AD122" i="11"/>
  <c r="AD123" i="11"/>
  <c r="AD124" i="11"/>
  <c r="AD125" i="11"/>
  <c r="AD126" i="11"/>
  <c r="AD127" i="11"/>
  <c r="AD128" i="11"/>
  <c r="AD129" i="11"/>
  <c r="AD130" i="11"/>
  <c r="AD131" i="11"/>
  <c r="AD132" i="11"/>
  <c r="AD133" i="11"/>
  <c r="AD134" i="11"/>
  <c r="AD135" i="11"/>
  <c r="AD136" i="11"/>
  <c r="AD137" i="11"/>
  <c r="AD138" i="11"/>
  <c r="AD139" i="11"/>
  <c r="AD140" i="11"/>
  <c r="AD141" i="11"/>
  <c r="AD142" i="11"/>
  <c r="AD143" i="11"/>
  <c r="AD144" i="11"/>
  <c r="AD145" i="11"/>
  <c r="AD146" i="11"/>
  <c r="AD147" i="11"/>
  <c r="AD148" i="11"/>
  <c r="AD149" i="11"/>
  <c r="AD150" i="11"/>
  <c r="AD151" i="11"/>
  <c r="AD152" i="11"/>
  <c r="AD153" i="11"/>
  <c r="AD154" i="11"/>
  <c r="AD155" i="11"/>
  <c r="AD156" i="11"/>
  <c r="AD157" i="11"/>
  <c r="AD158" i="11"/>
  <c r="AD159" i="11"/>
  <c r="AD160" i="11"/>
  <c r="AD161" i="11"/>
  <c r="AD162" i="11"/>
  <c r="AD163" i="11"/>
  <c r="AD164" i="11"/>
  <c r="AD165" i="11"/>
  <c r="AD166" i="11"/>
  <c r="AD167" i="11"/>
  <c r="AD168" i="11"/>
  <c r="AD169" i="11"/>
  <c r="AD170" i="11"/>
  <c r="AD171" i="11"/>
  <c r="AD172" i="11"/>
  <c r="AD173" i="11"/>
  <c r="AD174" i="11"/>
  <c r="AD175" i="11"/>
  <c r="AD176" i="11"/>
  <c r="AD177" i="11"/>
  <c r="AD178" i="11"/>
  <c r="AD179" i="11"/>
  <c r="AD180" i="11"/>
  <c r="AD181" i="11"/>
  <c r="AD182" i="11"/>
  <c r="AD183" i="11"/>
  <c r="AD184" i="11"/>
  <c r="AD185" i="11"/>
  <c r="AD186" i="11"/>
  <c r="AD187" i="11"/>
  <c r="AD188" i="11"/>
  <c r="AD189" i="11"/>
  <c r="AD190" i="11"/>
  <c r="AD191" i="11"/>
  <c r="AD192" i="11"/>
  <c r="AD193" i="11"/>
  <c r="AD194" i="11"/>
  <c r="AD195" i="11"/>
  <c r="AD196" i="11"/>
  <c r="AD197" i="11"/>
  <c r="AD198" i="11"/>
  <c r="AD199" i="11"/>
  <c r="AD200" i="11"/>
  <c r="AD201" i="11"/>
  <c r="AD202" i="11"/>
  <c r="AD203" i="11"/>
  <c r="AD204" i="11"/>
  <c r="AD205" i="11"/>
  <c r="AD206" i="11"/>
  <c r="AD207" i="11"/>
  <c r="AD208" i="11"/>
  <c r="AD209" i="11"/>
  <c r="AD210" i="11"/>
  <c r="AD211" i="11"/>
  <c r="AD212" i="11"/>
  <c r="AD213" i="11"/>
  <c r="AD214" i="11"/>
  <c r="AD215" i="11"/>
  <c r="AD216" i="11"/>
  <c r="AD217" i="11"/>
  <c r="AD218" i="11"/>
  <c r="AD219" i="11"/>
  <c r="AD220" i="11"/>
  <c r="AD221" i="11"/>
  <c r="AD222" i="11"/>
  <c r="AD223" i="11"/>
  <c r="AD224" i="11"/>
  <c r="AD225" i="11"/>
  <c r="AD226" i="11"/>
  <c r="AD227" i="11"/>
  <c r="AD228" i="11"/>
  <c r="AD229" i="11"/>
  <c r="AD230" i="11"/>
  <c r="AD231" i="11"/>
  <c r="AD232" i="11"/>
  <c r="AD233" i="11"/>
  <c r="AD234" i="11"/>
  <c r="AD235" i="11"/>
  <c r="AD236" i="11"/>
  <c r="AD237" i="11"/>
  <c r="AD238" i="11"/>
  <c r="AD239" i="11"/>
  <c r="AD240" i="11"/>
  <c r="AD241" i="11"/>
  <c r="AD242" i="11"/>
  <c r="AD243" i="11"/>
  <c r="AD244" i="11"/>
  <c r="AD245" i="11"/>
  <c r="AD246" i="11"/>
  <c r="AD247" i="11"/>
  <c r="AD248" i="11"/>
  <c r="AD249" i="11"/>
  <c r="AD250" i="11"/>
  <c r="AD251" i="11"/>
  <c r="AD252" i="11"/>
  <c r="AD253" i="11"/>
  <c r="AD254" i="11"/>
  <c r="AD255" i="11"/>
  <c r="AD256" i="11"/>
  <c r="AD257" i="11"/>
  <c r="AD258" i="11"/>
  <c r="AD259" i="11"/>
  <c r="AD260" i="11"/>
  <c r="AD261" i="11"/>
  <c r="AD262" i="11"/>
  <c r="AD263" i="11"/>
  <c r="AD264" i="11"/>
  <c r="AD265" i="11"/>
  <c r="AD266" i="11"/>
  <c r="AD267" i="11"/>
  <c r="AD268" i="11"/>
  <c r="AD269" i="11"/>
  <c r="AD270" i="11"/>
  <c r="AD271" i="11"/>
  <c r="AD272" i="11"/>
  <c r="AD273" i="11"/>
  <c r="AD274" i="11"/>
  <c r="AD275" i="11"/>
  <c r="AD276" i="11"/>
  <c r="AD277" i="11"/>
  <c r="AD278" i="11"/>
  <c r="AD279" i="11"/>
  <c r="AD280" i="11"/>
  <c r="AD281" i="11"/>
  <c r="AD282" i="11"/>
  <c r="AD283" i="11"/>
  <c r="AD284" i="11"/>
  <c r="AD285" i="11"/>
  <c r="AD286" i="11"/>
  <c r="AD287" i="11"/>
  <c r="AD288" i="11"/>
  <c r="AD289" i="11"/>
  <c r="AD290" i="11"/>
  <c r="AD291" i="11"/>
  <c r="AD292" i="11"/>
  <c r="AD293" i="11"/>
  <c r="AD294" i="11"/>
  <c r="AD295" i="11"/>
  <c r="AD296" i="11"/>
  <c r="AD297" i="11"/>
  <c r="AD298" i="11"/>
  <c r="AD299" i="11"/>
  <c r="AD300" i="11"/>
  <c r="AD301" i="11"/>
  <c r="AD302" i="11"/>
  <c r="AD303" i="11"/>
  <c r="AD304" i="11"/>
  <c r="AD305" i="11"/>
  <c r="AD306" i="11"/>
  <c r="AD307" i="11"/>
  <c r="AD308" i="11"/>
  <c r="AD309" i="11"/>
  <c r="AD310" i="11"/>
  <c r="AD311" i="11"/>
  <c r="AD312" i="11"/>
  <c r="AD313" i="11"/>
  <c r="AD314" i="11"/>
  <c r="AD315" i="11"/>
  <c r="AD316" i="11"/>
  <c r="AD317" i="11"/>
  <c r="AD318" i="11"/>
  <c r="AD319" i="11"/>
  <c r="AD320" i="11"/>
  <c r="AD321" i="11"/>
  <c r="AD322" i="11"/>
  <c r="AD323" i="11"/>
  <c r="AD324" i="11"/>
  <c r="AD325" i="11"/>
  <c r="AD326" i="11"/>
  <c r="AD327" i="11"/>
  <c r="AD328" i="11"/>
  <c r="AD329" i="11"/>
  <c r="AD330" i="11"/>
  <c r="AD331" i="11"/>
  <c r="AD332" i="11"/>
  <c r="AD333" i="11"/>
  <c r="AD334" i="11"/>
  <c r="AD335" i="11"/>
  <c r="AD336" i="11"/>
  <c r="AD337" i="11"/>
  <c r="AD338" i="11"/>
  <c r="AD339" i="11"/>
  <c r="AD340" i="11"/>
  <c r="AD341" i="11"/>
  <c r="AD342" i="11"/>
  <c r="AD343" i="11"/>
  <c r="AD344" i="11"/>
  <c r="AD345" i="11"/>
  <c r="AD346" i="11"/>
  <c r="AD347" i="11"/>
  <c r="AD348" i="11"/>
  <c r="AD349" i="11"/>
  <c r="AD350" i="11"/>
  <c r="AD351" i="11"/>
  <c r="AD352" i="11"/>
  <c r="AD353" i="11"/>
  <c r="AD354" i="11"/>
  <c r="AD355" i="11"/>
  <c r="AD356" i="11"/>
  <c r="AD357" i="11"/>
  <c r="AD358" i="11"/>
  <c r="AD359" i="11"/>
  <c r="AD360" i="11"/>
  <c r="AD361" i="11"/>
  <c r="AD362" i="11"/>
  <c r="AD363" i="11"/>
  <c r="AD364" i="11"/>
  <c r="AD365" i="11"/>
  <c r="AD366" i="11"/>
  <c r="AD367" i="11"/>
  <c r="AD368" i="11"/>
  <c r="AD369" i="11"/>
  <c r="AD370" i="11"/>
  <c r="AD371" i="11"/>
  <c r="AD372" i="11"/>
  <c r="AD373" i="11"/>
  <c r="AD374" i="11"/>
  <c r="AD375" i="11"/>
  <c r="AD376" i="11"/>
  <c r="AD377" i="11"/>
  <c r="AD378" i="11"/>
  <c r="AD379" i="11"/>
  <c r="AD380" i="11"/>
  <c r="AD381" i="11"/>
  <c r="AD382" i="11"/>
  <c r="AD383" i="11"/>
  <c r="AD384" i="11"/>
  <c r="AD385" i="11"/>
  <c r="AD386" i="11"/>
  <c r="AD387" i="11"/>
  <c r="AD388" i="11"/>
  <c r="AD389" i="11"/>
  <c r="AD390" i="11"/>
  <c r="AD391" i="11"/>
  <c r="AD392" i="11"/>
  <c r="AD393" i="11"/>
  <c r="AD394" i="11"/>
  <c r="AD395" i="11"/>
  <c r="AD396" i="11"/>
  <c r="AD397" i="11"/>
  <c r="AD398" i="11"/>
  <c r="AD399" i="11"/>
  <c r="AD400" i="11"/>
  <c r="AD401" i="11"/>
  <c r="AD402" i="11"/>
  <c r="AD403" i="11"/>
  <c r="AD404" i="11"/>
  <c r="AD405" i="11"/>
  <c r="AD406" i="11"/>
  <c r="AD407" i="11"/>
  <c r="AD408" i="11"/>
  <c r="AD409" i="11"/>
  <c r="AD410" i="11"/>
  <c r="AD411" i="11"/>
  <c r="AD412" i="11"/>
  <c r="AD413" i="11"/>
  <c r="AD414" i="11"/>
  <c r="AD415" i="11"/>
  <c r="AD416" i="11"/>
  <c r="AD417" i="11"/>
  <c r="AD418" i="11"/>
  <c r="AD419" i="11"/>
  <c r="AD420" i="11"/>
  <c r="AD421" i="11"/>
  <c r="AD422" i="11"/>
  <c r="AD423" i="11"/>
  <c r="AD424" i="11"/>
  <c r="AD425" i="11"/>
  <c r="AD426" i="11"/>
  <c r="AD427" i="11"/>
  <c r="AD428" i="11"/>
  <c r="AD429" i="11"/>
  <c r="AD430" i="11"/>
  <c r="AD431" i="11"/>
  <c r="AD432" i="11"/>
  <c r="AD433" i="11"/>
  <c r="AD434" i="11"/>
  <c r="AD435" i="11"/>
  <c r="AD436" i="11"/>
  <c r="AD437" i="11"/>
  <c r="AD438" i="11"/>
  <c r="AD439" i="11"/>
  <c r="AD440" i="11"/>
  <c r="AD441" i="11"/>
  <c r="AD442" i="11"/>
  <c r="AD443" i="11"/>
  <c r="AD444" i="11"/>
  <c r="AD445" i="11"/>
  <c r="AD446" i="11"/>
  <c r="AD447" i="11"/>
  <c r="AD448" i="11"/>
  <c r="AD449" i="11"/>
  <c r="AD450" i="11"/>
  <c r="AD451" i="11"/>
  <c r="AD452" i="11"/>
  <c r="AD453" i="11"/>
  <c r="AD454" i="11"/>
  <c r="AD455" i="11"/>
  <c r="AD456" i="11"/>
  <c r="AD457" i="11"/>
  <c r="AD458" i="11"/>
  <c r="AD459" i="11"/>
  <c r="AD460" i="11"/>
  <c r="AD461" i="11"/>
  <c r="AD462" i="11"/>
  <c r="AD463" i="11"/>
  <c r="AD464" i="11"/>
  <c r="AD465" i="11"/>
  <c r="AD466" i="11"/>
  <c r="AD467" i="11"/>
  <c r="AD468" i="11"/>
  <c r="AD469" i="11"/>
  <c r="AD470" i="11"/>
  <c r="AD471" i="11"/>
  <c r="AD472" i="11"/>
  <c r="AD473" i="11"/>
  <c r="AD474" i="11"/>
  <c r="AD475" i="11"/>
  <c r="AD476" i="11"/>
  <c r="AD477" i="11"/>
  <c r="AD478" i="11"/>
  <c r="AD479" i="11"/>
  <c r="AD480" i="11"/>
  <c r="AD481" i="11"/>
  <c r="AD482" i="11"/>
  <c r="AD483" i="11"/>
  <c r="AD484" i="11"/>
  <c r="AD485" i="11"/>
  <c r="AD486" i="11"/>
  <c r="AD487" i="11"/>
  <c r="AD488" i="11"/>
  <c r="AD489" i="11"/>
  <c r="AD490" i="11"/>
  <c r="AD491" i="11"/>
  <c r="AD492" i="11"/>
  <c r="AD493" i="11"/>
  <c r="AD494" i="11"/>
  <c r="AD495" i="11"/>
  <c r="AD496" i="11"/>
  <c r="AD497" i="11"/>
  <c r="AD498" i="11"/>
  <c r="AD499" i="11"/>
  <c r="AD500" i="11"/>
  <c r="AD501" i="11"/>
  <c r="AD502" i="11"/>
  <c r="AD503" i="11"/>
  <c r="AD504" i="11"/>
  <c r="AD505" i="11"/>
  <c r="AD506" i="11"/>
  <c r="AD507" i="11"/>
  <c r="AD508" i="11"/>
  <c r="AD509" i="11"/>
  <c r="AD510" i="11"/>
  <c r="AD511" i="11"/>
  <c r="AD512" i="11"/>
  <c r="AD513" i="11"/>
  <c r="AD514" i="11"/>
  <c r="AD515" i="11"/>
  <c r="AD516" i="11"/>
  <c r="AD517" i="11"/>
  <c r="AD518" i="11"/>
  <c r="AD519" i="11"/>
  <c r="AD520" i="11"/>
  <c r="AD521" i="11"/>
  <c r="AD522" i="11"/>
  <c r="AD523" i="11"/>
  <c r="AD524" i="11"/>
  <c r="AD525" i="11"/>
  <c r="AD526" i="11"/>
  <c r="AD527" i="11"/>
  <c r="AD528" i="11"/>
  <c r="AD529" i="11"/>
  <c r="AD530" i="11"/>
  <c r="AD531" i="11"/>
  <c r="AD532" i="11"/>
  <c r="AD533" i="11"/>
  <c r="AD534" i="11"/>
  <c r="AD535" i="11"/>
  <c r="AD536" i="11"/>
  <c r="AD537" i="11"/>
  <c r="AD538" i="11"/>
  <c r="AD539" i="11"/>
  <c r="AD540" i="11"/>
  <c r="AD541" i="11"/>
  <c r="AD542" i="11"/>
  <c r="AD543" i="11"/>
  <c r="AD544" i="11"/>
  <c r="AD545" i="11"/>
  <c r="AD546" i="11"/>
  <c r="AD547" i="11"/>
  <c r="AD548" i="11"/>
  <c r="AD549" i="11"/>
  <c r="AD550" i="11"/>
  <c r="AD551" i="11"/>
  <c r="AD552" i="11"/>
  <c r="AD553" i="11"/>
  <c r="AD554" i="11"/>
  <c r="AD555" i="11"/>
  <c r="AD556" i="11"/>
  <c r="AD557" i="11"/>
  <c r="AD558" i="11"/>
  <c r="AD559" i="11"/>
  <c r="AD560" i="11"/>
  <c r="AD561" i="11"/>
  <c r="AD562" i="11"/>
  <c r="AD563" i="11"/>
  <c r="AD564" i="11"/>
  <c r="AD565" i="11"/>
  <c r="AD566" i="11"/>
  <c r="AD567" i="11"/>
  <c r="AD568" i="11"/>
  <c r="AD569" i="11"/>
  <c r="AD570" i="11"/>
  <c r="AD571" i="11"/>
  <c r="AD572" i="11"/>
  <c r="AD573" i="11"/>
  <c r="AD574" i="11"/>
  <c r="AD575" i="11"/>
  <c r="AD576" i="11"/>
  <c r="AD577" i="11"/>
  <c r="AD578" i="11"/>
  <c r="AD579" i="11"/>
  <c r="AD580" i="11"/>
  <c r="AD581" i="11"/>
  <c r="AD582" i="11"/>
  <c r="AD583" i="11"/>
  <c r="AD584" i="11"/>
  <c r="AD585" i="11"/>
  <c r="AD586" i="11"/>
  <c r="AD587" i="11"/>
  <c r="AD588" i="11"/>
  <c r="AD589" i="11"/>
  <c r="AD590" i="11"/>
  <c r="AD591" i="11"/>
  <c r="AD592" i="11"/>
  <c r="AD593" i="11"/>
  <c r="AD594" i="11"/>
  <c r="AD595" i="11"/>
  <c r="AD596" i="11"/>
  <c r="AD597" i="11"/>
  <c r="AD598" i="11"/>
  <c r="AD599" i="11"/>
  <c r="AD600" i="11"/>
  <c r="AD601" i="11"/>
  <c r="AD602" i="11"/>
  <c r="AD603" i="11"/>
  <c r="AD604" i="11"/>
  <c r="AD605" i="11"/>
  <c r="AD606" i="11"/>
  <c r="AD607" i="11"/>
  <c r="AD608" i="11"/>
  <c r="AD609" i="11"/>
  <c r="AD610" i="11"/>
  <c r="AD611" i="11"/>
  <c r="AD612" i="11"/>
  <c r="AD613" i="11"/>
  <c r="AD614" i="11"/>
  <c r="AD615" i="11"/>
  <c r="AD616" i="11"/>
  <c r="AD617" i="11"/>
  <c r="AD618" i="11"/>
  <c r="AD619" i="11"/>
  <c r="AD620" i="11"/>
  <c r="AD621" i="11"/>
  <c r="AD622" i="11"/>
  <c r="AD623" i="11"/>
  <c r="AD624" i="11"/>
  <c r="AD625" i="11"/>
  <c r="AD626" i="11"/>
  <c r="AD627" i="11"/>
  <c r="AD628" i="11"/>
  <c r="AD629" i="11"/>
  <c r="AD630" i="11"/>
  <c r="AD631" i="11"/>
  <c r="AD632" i="11"/>
  <c r="AD633" i="11"/>
  <c r="AD634" i="11"/>
  <c r="AD635" i="11"/>
  <c r="AD636" i="11"/>
  <c r="AD637" i="11"/>
  <c r="AD638" i="11"/>
  <c r="AD639" i="11"/>
  <c r="AD640" i="11"/>
  <c r="AD641" i="11"/>
  <c r="AD642" i="11"/>
  <c r="AD643" i="11"/>
  <c r="AD644" i="11"/>
  <c r="AD645" i="11"/>
  <c r="AD646" i="11"/>
  <c r="AD647" i="11"/>
  <c r="AD648" i="11"/>
  <c r="AD649" i="11"/>
  <c r="AD650" i="11"/>
  <c r="AD651" i="11"/>
  <c r="AD652" i="11"/>
  <c r="AD653" i="11"/>
  <c r="AD654" i="11"/>
  <c r="AD655" i="11"/>
  <c r="AD656" i="11"/>
  <c r="AD657" i="11"/>
  <c r="AD658" i="11"/>
  <c r="AD659" i="11"/>
  <c r="AD660" i="11"/>
  <c r="AD661" i="11"/>
  <c r="AD662" i="11"/>
  <c r="AD663" i="11"/>
  <c r="AD664" i="11"/>
  <c r="AD665" i="11"/>
  <c r="AD666" i="11"/>
  <c r="AD667" i="11"/>
  <c r="AD668" i="11"/>
  <c r="AD669" i="11"/>
  <c r="AD670" i="11"/>
  <c r="AD671" i="11"/>
  <c r="AD672" i="11"/>
  <c r="AD673" i="11"/>
  <c r="AD674" i="11"/>
  <c r="AD675" i="11"/>
  <c r="AD676" i="11"/>
  <c r="AD677" i="11"/>
  <c r="AD678" i="11"/>
  <c r="AD679" i="11"/>
  <c r="AD680" i="11"/>
  <c r="AD681" i="11"/>
  <c r="AD682" i="11"/>
  <c r="AD683" i="11"/>
  <c r="AD684" i="11"/>
  <c r="AD685" i="11"/>
  <c r="AD686" i="11"/>
  <c r="AD687" i="11"/>
  <c r="AD688" i="11"/>
  <c r="AD689" i="11"/>
  <c r="AD690" i="11"/>
  <c r="AD691" i="11"/>
  <c r="AD692" i="11"/>
  <c r="AD693" i="11"/>
  <c r="AD694" i="11"/>
  <c r="AD695" i="11"/>
  <c r="AD696" i="11"/>
  <c r="AD697" i="11"/>
  <c r="AD698" i="11"/>
  <c r="AD699" i="11"/>
  <c r="AD700" i="11"/>
  <c r="AD701" i="11"/>
  <c r="AD702" i="11"/>
  <c r="AD703" i="11"/>
  <c r="AD704" i="11"/>
  <c r="AD705" i="11"/>
  <c r="AD706" i="11"/>
  <c r="AD707" i="11"/>
  <c r="AD708" i="11"/>
  <c r="AD709" i="11"/>
  <c r="AD710" i="11"/>
  <c r="AD711" i="11"/>
  <c r="AD712" i="11"/>
  <c r="AD713" i="11"/>
  <c r="AD714" i="11"/>
  <c r="AD715" i="11"/>
  <c r="AD716" i="11"/>
  <c r="AD717" i="11"/>
  <c r="AD718" i="11"/>
  <c r="AD719" i="11"/>
  <c r="AD720" i="11"/>
  <c r="AD721" i="11"/>
  <c r="AD722" i="11"/>
  <c r="AD723" i="11"/>
  <c r="AD724" i="11"/>
  <c r="AD725" i="11"/>
  <c r="AD726" i="11"/>
  <c r="AD727" i="11"/>
  <c r="AD728" i="11"/>
  <c r="AD729" i="11"/>
  <c r="AD730" i="11"/>
  <c r="AD731" i="11"/>
  <c r="AD732" i="11"/>
  <c r="AD733" i="11"/>
  <c r="AD734" i="11"/>
  <c r="AD735" i="11"/>
  <c r="AD736" i="11"/>
  <c r="AD737" i="11"/>
  <c r="AD738" i="11"/>
  <c r="AD739" i="11"/>
  <c r="AD740" i="11"/>
  <c r="AD741" i="11"/>
  <c r="AD742" i="11"/>
  <c r="AD743" i="11"/>
  <c r="AD744" i="11"/>
  <c r="AD745" i="11"/>
  <c r="AD746" i="11"/>
  <c r="AD747" i="11"/>
  <c r="AD748" i="11"/>
  <c r="AD749" i="11"/>
  <c r="AD750" i="11"/>
  <c r="AD751" i="11"/>
  <c r="AD752" i="11"/>
  <c r="AD753" i="11"/>
  <c r="AD754" i="11"/>
  <c r="AD755" i="11"/>
  <c r="AD756" i="11"/>
  <c r="AD757" i="11"/>
  <c r="AD758" i="11"/>
  <c r="AD759" i="11"/>
  <c r="AD760" i="11"/>
  <c r="AD761" i="11"/>
  <c r="AD762" i="11"/>
  <c r="AD763" i="11"/>
  <c r="AD764" i="11"/>
  <c r="AD765" i="11"/>
  <c r="AD766" i="11"/>
  <c r="AD767" i="11"/>
  <c r="AD768" i="11"/>
  <c r="AD769" i="11"/>
  <c r="AD770" i="11"/>
  <c r="AD771" i="11"/>
  <c r="AD772" i="11"/>
  <c r="AD773" i="11"/>
  <c r="AD774" i="11"/>
  <c r="AD775" i="11"/>
  <c r="AD776" i="11"/>
  <c r="AD777" i="11"/>
  <c r="AD778" i="11"/>
  <c r="AD779" i="11"/>
  <c r="AD780" i="11"/>
  <c r="AD781" i="11"/>
  <c r="AD782" i="11"/>
  <c r="AD783" i="11"/>
  <c r="AD784" i="11"/>
  <c r="AD785" i="11"/>
  <c r="AD786" i="11"/>
  <c r="AD787" i="11"/>
  <c r="AD788" i="11"/>
  <c r="AD789" i="11"/>
  <c r="AD790" i="11"/>
  <c r="AD791" i="11"/>
  <c r="AD792" i="11"/>
  <c r="AD793" i="11"/>
  <c r="AD794" i="11"/>
  <c r="AD795" i="11"/>
  <c r="AD796" i="11"/>
  <c r="AD797" i="11"/>
  <c r="AD798" i="11"/>
  <c r="AD799" i="11"/>
  <c r="AD800" i="11"/>
  <c r="AD801" i="11"/>
  <c r="AD802" i="11"/>
  <c r="AD803" i="11"/>
  <c r="AD804" i="11"/>
  <c r="AD805" i="11"/>
  <c r="AD806" i="11"/>
  <c r="AD807" i="11"/>
  <c r="AD808" i="11"/>
  <c r="AD809" i="11"/>
  <c r="AD810" i="11"/>
  <c r="AD811" i="11"/>
  <c r="AD812" i="11"/>
  <c r="AD813" i="11"/>
  <c r="AD814" i="11"/>
  <c r="AD815" i="11"/>
  <c r="AD816" i="11"/>
  <c r="AD817" i="11"/>
  <c r="AD818" i="11"/>
  <c r="AD819" i="11"/>
  <c r="AD820" i="11"/>
  <c r="AD821" i="11"/>
  <c r="AD822" i="11"/>
  <c r="AD823" i="11"/>
  <c r="AD824" i="11"/>
  <c r="AD825" i="11"/>
  <c r="AD826" i="11"/>
  <c r="AD827" i="11"/>
  <c r="AD828" i="11"/>
  <c r="AD829" i="11"/>
  <c r="AD830" i="11"/>
  <c r="AD831" i="11"/>
  <c r="AD832" i="11"/>
  <c r="AD833" i="11"/>
  <c r="AD834" i="11"/>
  <c r="AD835" i="11"/>
  <c r="AD836" i="11"/>
  <c r="AD837" i="11"/>
  <c r="AD838" i="11"/>
  <c r="AD839" i="11"/>
  <c r="AD840" i="11"/>
  <c r="AD841" i="11"/>
  <c r="AD842" i="11"/>
  <c r="AD843" i="11"/>
  <c r="AD844" i="11"/>
  <c r="AD845" i="11"/>
  <c r="AD846" i="11"/>
  <c r="AD847" i="11"/>
  <c r="AD848" i="11"/>
  <c r="AD849" i="11"/>
  <c r="AD850" i="11"/>
  <c r="AD851" i="11"/>
  <c r="AD852" i="11"/>
  <c r="AD853" i="11"/>
  <c r="AD854" i="11"/>
  <c r="AD855" i="11"/>
  <c r="AD856" i="11"/>
  <c r="AD857" i="11"/>
  <c r="AD858" i="11"/>
  <c r="AD859" i="11"/>
  <c r="AD860" i="11"/>
  <c r="AD861" i="11"/>
  <c r="AD862" i="11"/>
  <c r="AD863" i="11"/>
  <c r="AD864" i="11"/>
  <c r="AD865" i="11"/>
  <c r="AD866" i="11"/>
  <c r="AD867" i="11"/>
  <c r="AD868" i="11"/>
  <c r="AD869" i="11"/>
  <c r="AD870" i="11"/>
  <c r="AD871" i="11"/>
  <c r="AD872" i="11"/>
  <c r="AD873" i="11"/>
  <c r="AD874" i="11"/>
  <c r="AD875" i="11"/>
  <c r="AD876" i="11"/>
  <c r="AD877" i="11"/>
  <c r="AD878" i="11"/>
  <c r="AD879" i="11"/>
  <c r="AD880" i="11"/>
  <c r="AD881" i="11"/>
  <c r="AD882" i="11"/>
  <c r="AD883" i="11"/>
  <c r="AD884" i="11"/>
  <c r="AD885" i="11"/>
  <c r="AD886" i="11"/>
  <c r="AD887" i="11"/>
  <c r="AD888" i="11"/>
  <c r="AD889" i="11"/>
  <c r="AD890" i="11"/>
  <c r="AD891" i="11"/>
  <c r="AD892" i="11"/>
  <c r="AD893" i="11"/>
  <c r="AD894" i="11"/>
  <c r="AD895" i="11"/>
  <c r="AD896" i="11"/>
  <c r="AD897" i="11"/>
  <c r="AD898" i="11"/>
  <c r="AD899" i="11"/>
  <c r="AD900" i="11"/>
  <c r="AD901" i="11"/>
  <c r="AD902" i="11"/>
  <c r="AD903" i="11"/>
  <c r="AD904" i="11"/>
  <c r="AD905" i="11"/>
  <c r="AD906" i="11"/>
  <c r="AD907" i="11"/>
  <c r="AD908" i="11"/>
  <c r="AD909" i="11"/>
  <c r="AD910" i="11"/>
  <c r="AD911" i="11"/>
  <c r="AD912" i="11"/>
  <c r="AD913" i="11"/>
  <c r="AD2" i="11"/>
  <c r="Z3" i="11"/>
  <c r="AA3" i="11" s="1"/>
  <c r="AB3" i="11" s="1"/>
  <c r="AC3" i="11" s="1"/>
  <c r="Z4" i="11"/>
  <c r="AA4" i="11" s="1"/>
  <c r="AB4" i="11" s="1"/>
  <c r="AC4" i="11" s="1"/>
  <c r="Z5" i="11"/>
  <c r="AA5" i="11" s="1"/>
  <c r="AB5" i="11" s="1"/>
  <c r="AC5" i="11" s="1"/>
  <c r="Z6" i="11"/>
  <c r="AA6" i="11" s="1"/>
  <c r="AB6" i="11" s="1"/>
  <c r="AC6" i="11" s="1"/>
  <c r="Z7" i="11"/>
  <c r="AA7" i="11" s="1"/>
  <c r="AB7" i="11" s="1"/>
  <c r="AC7" i="11" s="1"/>
  <c r="Z8" i="11"/>
  <c r="AA8" i="11" s="1"/>
  <c r="AB8" i="11" s="1"/>
  <c r="AC8" i="11" s="1"/>
  <c r="Z9" i="11"/>
  <c r="AA9" i="11" s="1"/>
  <c r="AB9" i="11" s="1"/>
  <c r="AC9" i="11" s="1"/>
  <c r="Z10" i="11"/>
  <c r="AA10" i="11" s="1"/>
  <c r="AB10" i="11" s="1"/>
  <c r="AC10" i="11" s="1"/>
  <c r="Z11" i="11"/>
  <c r="AA11" i="11" s="1"/>
  <c r="AB11" i="11" s="1"/>
  <c r="AC11" i="11" s="1"/>
  <c r="Z12" i="11"/>
  <c r="AA12" i="11" s="1"/>
  <c r="AB12" i="11" s="1"/>
  <c r="AC12" i="11" s="1"/>
  <c r="Z13" i="11"/>
  <c r="AA13" i="11" s="1"/>
  <c r="AB13" i="11" s="1"/>
  <c r="AC13" i="11" s="1"/>
  <c r="Z14" i="11"/>
  <c r="AA14" i="11" s="1"/>
  <c r="AB14" i="11" s="1"/>
  <c r="AC14" i="11" s="1"/>
  <c r="Z15" i="11"/>
  <c r="AA15" i="11" s="1"/>
  <c r="AB15" i="11" s="1"/>
  <c r="AC15" i="11" s="1"/>
  <c r="Z16" i="11"/>
  <c r="AA16" i="11" s="1"/>
  <c r="AB16" i="11" s="1"/>
  <c r="AC16" i="11" s="1"/>
  <c r="Z17" i="11"/>
  <c r="AA17" i="11" s="1"/>
  <c r="AB17" i="11" s="1"/>
  <c r="AC17" i="11" s="1"/>
  <c r="Z18" i="11"/>
  <c r="AA18" i="11" s="1"/>
  <c r="AB18" i="11" s="1"/>
  <c r="AC18" i="11" s="1"/>
  <c r="Z19" i="11"/>
  <c r="AA19" i="11" s="1"/>
  <c r="AB19" i="11" s="1"/>
  <c r="AC19" i="11" s="1"/>
  <c r="Z20" i="11"/>
  <c r="AA20" i="11" s="1"/>
  <c r="AB20" i="11" s="1"/>
  <c r="AC20" i="11" s="1"/>
  <c r="Z21" i="11"/>
  <c r="AA21" i="11" s="1"/>
  <c r="AB21" i="11" s="1"/>
  <c r="AC21" i="11" s="1"/>
  <c r="Z22" i="11"/>
  <c r="AA22" i="11" s="1"/>
  <c r="AB22" i="11" s="1"/>
  <c r="AC22" i="11" s="1"/>
  <c r="Z23" i="11"/>
  <c r="AA23" i="11" s="1"/>
  <c r="AB23" i="11" s="1"/>
  <c r="AC23" i="11" s="1"/>
  <c r="Z24" i="11"/>
  <c r="AA24" i="11" s="1"/>
  <c r="AB24" i="11" s="1"/>
  <c r="AC24" i="11" s="1"/>
  <c r="Z25" i="11"/>
  <c r="AA25" i="11" s="1"/>
  <c r="AB25" i="11" s="1"/>
  <c r="AC25" i="11" s="1"/>
  <c r="Z26" i="11"/>
  <c r="AA26" i="11" s="1"/>
  <c r="AB26" i="11" s="1"/>
  <c r="AC26" i="11" s="1"/>
  <c r="Z27" i="11"/>
  <c r="AA27" i="11" s="1"/>
  <c r="AB27" i="11" s="1"/>
  <c r="AC27" i="11" s="1"/>
  <c r="Z28" i="11"/>
  <c r="AA28" i="11" s="1"/>
  <c r="AB28" i="11" s="1"/>
  <c r="AC28" i="11" s="1"/>
  <c r="Z29" i="11"/>
  <c r="AA29" i="11" s="1"/>
  <c r="AB29" i="11" s="1"/>
  <c r="AC29" i="11" s="1"/>
  <c r="Z30" i="11"/>
  <c r="AA30" i="11" s="1"/>
  <c r="AB30" i="11" s="1"/>
  <c r="AC30" i="11" s="1"/>
  <c r="Z31" i="11"/>
  <c r="AA31" i="11" s="1"/>
  <c r="AB31" i="11" s="1"/>
  <c r="AC31" i="11" s="1"/>
  <c r="Z32" i="11"/>
  <c r="AA32" i="11" s="1"/>
  <c r="AB32" i="11" s="1"/>
  <c r="AC32" i="11" s="1"/>
  <c r="Z33" i="11"/>
  <c r="AA33" i="11" s="1"/>
  <c r="AB33" i="11" s="1"/>
  <c r="AC33" i="11" s="1"/>
  <c r="Z34" i="11"/>
  <c r="AA34" i="11" s="1"/>
  <c r="AB34" i="11" s="1"/>
  <c r="AC34" i="11" s="1"/>
  <c r="Z35" i="11"/>
  <c r="AA35" i="11" s="1"/>
  <c r="AB35" i="11" s="1"/>
  <c r="AC35" i="11" s="1"/>
  <c r="Z36" i="11"/>
  <c r="AA36" i="11" s="1"/>
  <c r="AB36" i="11" s="1"/>
  <c r="AC36" i="11" s="1"/>
  <c r="Z37" i="11"/>
  <c r="AA37" i="11" s="1"/>
  <c r="AB37" i="11" s="1"/>
  <c r="AC37" i="11" s="1"/>
  <c r="Z38" i="11"/>
  <c r="AA38" i="11" s="1"/>
  <c r="AB38" i="11" s="1"/>
  <c r="AC38" i="11" s="1"/>
  <c r="Z39" i="11"/>
  <c r="AA39" i="11" s="1"/>
  <c r="AB39" i="11" s="1"/>
  <c r="AC39" i="11" s="1"/>
  <c r="Z40" i="11"/>
  <c r="AA40" i="11" s="1"/>
  <c r="AB40" i="11" s="1"/>
  <c r="AC40" i="11" s="1"/>
  <c r="Z41" i="11"/>
  <c r="AA41" i="11" s="1"/>
  <c r="AB41" i="11" s="1"/>
  <c r="AC41" i="11" s="1"/>
  <c r="Z42" i="11"/>
  <c r="AA42" i="11" s="1"/>
  <c r="AB42" i="11" s="1"/>
  <c r="AC42" i="11" s="1"/>
  <c r="Z43" i="11"/>
  <c r="AA43" i="11" s="1"/>
  <c r="AB43" i="11" s="1"/>
  <c r="AC43" i="11" s="1"/>
  <c r="Z44" i="11"/>
  <c r="AA44" i="11" s="1"/>
  <c r="AB44" i="11" s="1"/>
  <c r="AC44" i="11" s="1"/>
  <c r="Z45" i="11"/>
  <c r="AA45" i="11" s="1"/>
  <c r="AB45" i="11" s="1"/>
  <c r="AC45" i="11" s="1"/>
  <c r="Z46" i="11"/>
  <c r="AA46" i="11" s="1"/>
  <c r="AB46" i="11" s="1"/>
  <c r="AC46" i="11" s="1"/>
  <c r="Z47" i="11"/>
  <c r="AA47" i="11" s="1"/>
  <c r="AB47" i="11" s="1"/>
  <c r="AC47" i="11" s="1"/>
  <c r="Z48" i="11"/>
  <c r="AA48" i="11" s="1"/>
  <c r="AB48" i="11" s="1"/>
  <c r="AC48" i="11" s="1"/>
  <c r="Z49" i="11"/>
  <c r="AA49" i="11" s="1"/>
  <c r="AB49" i="11" s="1"/>
  <c r="AC49" i="11" s="1"/>
  <c r="Z50" i="11"/>
  <c r="AA50" i="11" s="1"/>
  <c r="AB50" i="11" s="1"/>
  <c r="AC50" i="11" s="1"/>
  <c r="Z51" i="11"/>
  <c r="AA51" i="11" s="1"/>
  <c r="AB51" i="11" s="1"/>
  <c r="AC51" i="11" s="1"/>
  <c r="Z52" i="11"/>
  <c r="AA52" i="11" s="1"/>
  <c r="AB52" i="11" s="1"/>
  <c r="AC52" i="11" s="1"/>
  <c r="Z53" i="11"/>
  <c r="AA53" i="11" s="1"/>
  <c r="AB53" i="11" s="1"/>
  <c r="AC53" i="11" s="1"/>
  <c r="Z54" i="11"/>
  <c r="AA54" i="11" s="1"/>
  <c r="AB54" i="11" s="1"/>
  <c r="AC54" i="11" s="1"/>
  <c r="Z55" i="11"/>
  <c r="AA55" i="11" s="1"/>
  <c r="AB55" i="11" s="1"/>
  <c r="AC55" i="11" s="1"/>
  <c r="Z56" i="11"/>
  <c r="AA56" i="11" s="1"/>
  <c r="AB56" i="11" s="1"/>
  <c r="AC56" i="11" s="1"/>
  <c r="Z57" i="11"/>
  <c r="AA57" i="11" s="1"/>
  <c r="AB57" i="11" s="1"/>
  <c r="AC57" i="11" s="1"/>
  <c r="Z58" i="11"/>
  <c r="AA58" i="11" s="1"/>
  <c r="AB58" i="11" s="1"/>
  <c r="AC58" i="11" s="1"/>
  <c r="Z59" i="11"/>
  <c r="AA59" i="11" s="1"/>
  <c r="AB59" i="11" s="1"/>
  <c r="AC59" i="11" s="1"/>
  <c r="Z60" i="11"/>
  <c r="AA60" i="11" s="1"/>
  <c r="AB60" i="11" s="1"/>
  <c r="AC60" i="11" s="1"/>
  <c r="Z61" i="11"/>
  <c r="AA61" i="11" s="1"/>
  <c r="AB61" i="11" s="1"/>
  <c r="AC61" i="11" s="1"/>
  <c r="Z62" i="11"/>
  <c r="AA62" i="11" s="1"/>
  <c r="AB62" i="11" s="1"/>
  <c r="AC62" i="11" s="1"/>
  <c r="Z63" i="11"/>
  <c r="AA63" i="11" s="1"/>
  <c r="AB63" i="11" s="1"/>
  <c r="AC63" i="11" s="1"/>
  <c r="Z64" i="11"/>
  <c r="AA64" i="11" s="1"/>
  <c r="AB64" i="11" s="1"/>
  <c r="AC64" i="11" s="1"/>
  <c r="Z65" i="11"/>
  <c r="AA65" i="11" s="1"/>
  <c r="AB65" i="11" s="1"/>
  <c r="AC65" i="11" s="1"/>
  <c r="Z66" i="11"/>
  <c r="AA66" i="11" s="1"/>
  <c r="AB66" i="11" s="1"/>
  <c r="AC66" i="11" s="1"/>
  <c r="Z67" i="11"/>
  <c r="AA67" i="11" s="1"/>
  <c r="AB67" i="11" s="1"/>
  <c r="AC67" i="11" s="1"/>
  <c r="Z68" i="11"/>
  <c r="AA68" i="11" s="1"/>
  <c r="AB68" i="11" s="1"/>
  <c r="AC68" i="11" s="1"/>
  <c r="Z69" i="11"/>
  <c r="AA69" i="11" s="1"/>
  <c r="AB69" i="11" s="1"/>
  <c r="AC69" i="11" s="1"/>
  <c r="Z70" i="11"/>
  <c r="AA70" i="11" s="1"/>
  <c r="AB70" i="11" s="1"/>
  <c r="AC70" i="11" s="1"/>
  <c r="Z71" i="11"/>
  <c r="AA71" i="11" s="1"/>
  <c r="AB71" i="11" s="1"/>
  <c r="AC71" i="11" s="1"/>
  <c r="Z72" i="11"/>
  <c r="AA72" i="11" s="1"/>
  <c r="AB72" i="11" s="1"/>
  <c r="AC72" i="11" s="1"/>
  <c r="Z73" i="11"/>
  <c r="AA73" i="11" s="1"/>
  <c r="AB73" i="11" s="1"/>
  <c r="AC73" i="11" s="1"/>
  <c r="Z74" i="11"/>
  <c r="AA74" i="11" s="1"/>
  <c r="AB74" i="11" s="1"/>
  <c r="AC74" i="11" s="1"/>
  <c r="Z75" i="11"/>
  <c r="AA75" i="11" s="1"/>
  <c r="AB75" i="11" s="1"/>
  <c r="AC75" i="11" s="1"/>
  <c r="Z76" i="11"/>
  <c r="AA76" i="11" s="1"/>
  <c r="AB76" i="11" s="1"/>
  <c r="AC76" i="11" s="1"/>
  <c r="Z77" i="11"/>
  <c r="AA77" i="11" s="1"/>
  <c r="AB77" i="11" s="1"/>
  <c r="AC77" i="11" s="1"/>
  <c r="Z78" i="11"/>
  <c r="AA78" i="11" s="1"/>
  <c r="AB78" i="11" s="1"/>
  <c r="AC78" i="11" s="1"/>
  <c r="Z79" i="11"/>
  <c r="AA79" i="11" s="1"/>
  <c r="AB79" i="11" s="1"/>
  <c r="AC79" i="11" s="1"/>
  <c r="Z80" i="11"/>
  <c r="AA80" i="11" s="1"/>
  <c r="AB80" i="11" s="1"/>
  <c r="AC80" i="11" s="1"/>
  <c r="Z81" i="11"/>
  <c r="AA81" i="11" s="1"/>
  <c r="AB81" i="11" s="1"/>
  <c r="AC81" i="11" s="1"/>
  <c r="Z82" i="11"/>
  <c r="AA82" i="11" s="1"/>
  <c r="AB82" i="11" s="1"/>
  <c r="AC82" i="11" s="1"/>
  <c r="Z83" i="11"/>
  <c r="AA83" i="11" s="1"/>
  <c r="AB83" i="11" s="1"/>
  <c r="AC83" i="11" s="1"/>
  <c r="Z84" i="11"/>
  <c r="AA84" i="11" s="1"/>
  <c r="AB84" i="11" s="1"/>
  <c r="AC84" i="11" s="1"/>
  <c r="Z85" i="11"/>
  <c r="AA85" i="11" s="1"/>
  <c r="AB85" i="11" s="1"/>
  <c r="AC85" i="11" s="1"/>
  <c r="Z86" i="11"/>
  <c r="AA86" i="11" s="1"/>
  <c r="AB86" i="11" s="1"/>
  <c r="AC86" i="11" s="1"/>
  <c r="Z87" i="11"/>
  <c r="AA87" i="11" s="1"/>
  <c r="AB87" i="11" s="1"/>
  <c r="AC87" i="11" s="1"/>
  <c r="Z88" i="11"/>
  <c r="AA88" i="11" s="1"/>
  <c r="AB88" i="11" s="1"/>
  <c r="AC88" i="11" s="1"/>
  <c r="Z89" i="11"/>
  <c r="AA89" i="11" s="1"/>
  <c r="AB89" i="11" s="1"/>
  <c r="AC89" i="11" s="1"/>
  <c r="Z90" i="11"/>
  <c r="AA90" i="11" s="1"/>
  <c r="AB90" i="11" s="1"/>
  <c r="AC90" i="11" s="1"/>
  <c r="Z91" i="11"/>
  <c r="AA91" i="11" s="1"/>
  <c r="AB91" i="11" s="1"/>
  <c r="AC91" i="11" s="1"/>
  <c r="Z92" i="11"/>
  <c r="AA92" i="11" s="1"/>
  <c r="AB92" i="11" s="1"/>
  <c r="AC92" i="11" s="1"/>
  <c r="Z93" i="11"/>
  <c r="AA93" i="11" s="1"/>
  <c r="AB93" i="11" s="1"/>
  <c r="AC93" i="11" s="1"/>
  <c r="Z94" i="11"/>
  <c r="AA94" i="11" s="1"/>
  <c r="AB94" i="11" s="1"/>
  <c r="AC94" i="11" s="1"/>
  <c r="Z95" i="11"/>
  <c r="AA95" i="11" s="1"/>
  <c r="AB95" i="11" s="1"/>
  <c r="AC95" i="11" s="1"/>
  <c r="Z96" i="11"/>
  <c r="AA96" i="11" s="1"/>
  <c r="AB96" i="11" s="1"/>
  <c r="AC96" i="11" s="1"/>
  <c r="Z97" i="11"/>
  <c r="AA97" i="11" s="1"/>
  <c r="AB97" i="11" s="1"/>
  <c r="AC97" i="11" s="1"/>
  <c r="Z98" i="11"/>
  <c r="AA98" i="11" s="1"/>
  <c r="AB98" i="11" s="1"/>
  <c r="AC98" i="11" s="1"/>
  <c r="Z99" i="11"/>
  <c r="AA99" i="11" s="1"/>
  <c r="AB99" i="11" s="1"/>
  <c r="AC99" i="11" s="1"/>
  <c r="Z100" i="11"/>
  <c r="AA100" i="11" s="1"/>
  <c r="AB100" i="11" s="1"/>
  <c r="AC100" i="11" s="1"/>
  <c r="Z101" i="11"/>
  <c r="AA101" i="11" s="1"/>
  <c r="AB101" i="11" s="1"/>
  <c r="AC101" i="11" s="1"/>
  <c r="Z102" i="11"/>
  <c r="AA102" i="11" s="1"/>
  <c r="AB102" i="11" s="1"/>
  <c r="AC102" i="11" s="1"/>
  <c r="Z103" i="11"/>
  <c r="AA103" i="11" s="1"/>
  <c r="AB103" i="11" s="1"/>
  <c r="AC103" i="11" s="1"/>
  <c r="Z104" i="11"/>
  <c r="AA104" i="11" s="1"/>
  <c r="AB104" i="11" s="1"/>
  <c r="AC104" i="11" s="1"/>
  <c r="Z105" i="11"/>
  <c r="AA105" i="11" s="1"/>
  <c r="AB105" i="11" s="1"/>
  <c r="AC105" i="11" s="1"/>
  <c r="Z106" i="11"/>
  <c r="AA106" i="11" s="1"/>
  <c r="AB106" i="11" s="1"/>
  <c r="AC106" i="11" s="1"/>
  <c r="Z107" i="11"/>
  <c r="AA107" i="11" s="1"/>
  <c r="AB107" i="11" s="1"/>
  <c r="AC107" i="11" s="1"/>
  <c r="Z108" i="11"/>
  <c r="AA108" i="11" s="1"/>
  <c r="AB108" i="11" s="1"/>
  <c r="AC108" i="11" s="1"/>
  <c r="Z109" i="11"/>
  <c r="AA109" i="11" s="1"/>
  <c r="AB109" i="11" s="1"/>
  <c r="AC109" i="11" s="1"/>
  <c r="Z110" i="11"/>
  <c r="AA110" i="11" s="1"/>
  <c r="AB110" i="11" s="1"/>
  <c r="AC110" i="11" s="1"/>
  <c r="Z111" i="11"/>
  <c r="AA111" i="11" s="1"/>
  <c r="AB111" i="11" s="1"/>
  <c r="AC111" i="11" s="1"/>
  <c r="Z112" i="11"/>
  <c r="AA112" i="11" s="1"/>
  <c r="AB112" i="11" s="1"/>
  <c r="AC112" i="11" s="1"/>
  <c r="Z113" i="11"/>
  <c r="AA113" i="11" s="1"/>
  <c r="AB113" i="11" s="1"/>
  <c r="AC113" i="11" s="1"/>
  <c r="Z114" i="11"/>
  <c r="AA114" i="11" s="1"/>
  <c r="AB114" i="11" s="1"/>
  <c r="AC114" i="11" s="1"/>
  <c r="Z115" i="11"/>
  <c r="AA115" i="11" s="1"/>
  <c r="AB115" i="11" s="1"/>
  <c r="AC115" i="11" s="1"/>
  <c r="Z116" i="11"/>
  <c r="AA116" i="11" s="1"/>
  <c r="AB116" i="11" s="1"/>
  <c r="AC116" i="11" s="1"/>
  <c r="Z117" i="11"/>
  <c r="AA117" i="11" s="1"/>
  <c r="AB117" i="11" s="1"/>
  <c r="AC117" i="11" s="1"/>
  <c r="Z118" i="11"/>
  <c r="AA118" i="11" s="1"/>
  <c r="AB118" i="11" s="1"/>
  <c r="AC118" i="11" s="1"/>
  <c r="Z119" i="11"/>
  <c r="AA119" i="11" s="1"/>
  <c r="AB119" i="11" s="1"/>
  <c r="AC119" i="11" s="1"/>
  <c r="Z120" i="11"/>
  <c r="AA120" i="11" s="1"/>
  <c r="AB120" i="11" s="1"/>
  <c r="AC120" i="11" s="1"/>
  <c r="Z121" i="11"/>
  <c r="AA121" i="11" s="1"/>
  <c r="AB121" i="11" s="1"/>
  <c r="AC121" i="11" s="1"/>
  <c r="Z122" i="11"/>
  <c r="AA122" i="11" s="1"/>
  <c r="AB122" i="11" s="1"/>
  <c r="AC122" i="11" s="1"/>
  <c r="Z123" i="11"/>
  <c r="AA123" i="11" s="1"/>
  <c r="AB123" i="11" s="1"/>
  <c r="AC123" i="11" s="1"/>
  <c r="Z124" i="11"/>
  <c r="AA124" i="11" s="1"/>
  <c r="AB124" i="11" s="1"/>
  <c r="AC124" i="11" s="1"/>
  <c r="Z125" i="11"/>
  <c r="AA125" i="11" s="1"/>
  <c r="AB125" i="11" s="1"/>
  <c r="AC125" i="11" s="1"/>
  <c r="Z126" i="11"/>
  <c r="AA126" i="11" s="1"/>
  <c r="AB126" i="11" s="1"/>
  <c r="AC126" i="11" s="1"/>
  <c r="Z127" i="11"/>
  <c r="AA127" i="11" s="1"/>
  <c r="AB127" i="11" s="1"/>
  <c r="AC127" i="11" s="1"/>
  <c r="Z128" i="11"/>
  <c r="AA128" i="11" s="1"/>
  <c r="AB128" i="11" s="1"/>
  <c r="AC128" i="11" s="1"/>
  <c r="Z129" i="11"/>
  <c r="AA129" i="11" s="1"/>
  <c r="AB129" i="11" s="1"/>
  <c r="AC129" i="11" s="1"/>
  <c r="Z130" i="11"/>
  <c r="AA130" i="11" s="1"/>
  <c r="AB130" i="11" s="1"/>
  <c r="AC130" i="11" s="1"/>
  <c r="Z131" i="11"/>
  <c r="AA131" i="11" s="1"/>
  <c r="AB131" i="11" s="1"/>
  <c r="AC131" i="11" s="1"/>
  <c r="Z132" i="11"/>
  <c r="AA132" i="11" s="1"/>
  <c r="AB132" i="11" s="1"/>
  <c r="AC132" i="11" s="1"/>
  <c r="Z133" i="11"/>
  <c r="AA133" i="11" s="1"/>
  <c r="AB133" i="11" s="1"/>
  <c r="AC133" i="11" s="1"/>
  <c r="Z134" i="11"/>
  <c r="AA134" i="11" s="1"/>
  <c r="AB134" i="11" s="1"/>
  <c r="AC134" i="11" s="1"/>
  <c r="Z135" i="11"/>
  <c r="AA135" i="11" s="1"/>
  <c r="AB135" i="11" s="1"/>
  <c r="AC135" i="11" s="1"/>
  <c r="Z136" i="11"/>
  <c r="AA136" i="11" s="1"/>
  <c r="AB136" i="11" s="1"/>
  <c r="AC136" i="11" s="1"/>
  <c r="Z137" i="11"/>
  <c r="AA137" i="11" s="1"/>
  <c r="AB137" i="11" s="1"/>
  <c r="AC137" i="11" s="1"/>
  <c r="Z138" i="11"/>
  <c r="AA138" i="11" s="1"/>
  <c r="AB138" i="11" s="1"/>
  <c r="AC138" i="11" s="1"/>
  <c r="Z139" i="11"/>
  <c r="AA139" i="11" s="1"/>
  <c r="AB139" i="11" s="1"/>
  <c r="AC139" i="11" s="1"/>
  <c r="Z140" i="11"/>
  <c r="AA140" i="11" s="1"/>
  <c r="AB140" i="11" s="1"/>
  <c r="AC140" i="11" s="1"/>
  <c r="Z141" i="11"/>
  <c r="AA141" i="11" s="1"/>
  <c r="AB141" i="11" s="1"/>
  <c r="AC141" i="11" s="1"/>
  <c r="Z142" i="11"/>
  <c r="AA142" i="11" s="1"/>
  <c r="AB142" i="11" s="1"/>
  <c r="AC142" i="11" s="1"/>
  <c r="Z143" i="11"/>
  <c r="AA143" i="11" s="1"/>
  <c r="AB143" i="11" s="1"/>
  <c r="AC143" i="11" s="1"/>
  <c r="Z144" i="11"/>
  <c r="AA144" i="11" s="1"/>
  <c r="AB144" i="11" s="1"/>
  <c r="AC144" i="11" s="1"/>
  <c r="Z145" i="11"/>
  <c r="AA145" i="11" s="1"/>
  <c r="AB145" i="11" s="1"/>
  <c r="AC145" i="11" s="1"/>
  <c r="Z146" i="11"/>
  <c r="AA146" i="11" s="1"/>
  <c r="AB146" i="11" s="1"/>
  <c r="AC146" i="11" s="1"/>
  <c r="Z147" i="11"/>
  <c r="AA147" i="11" s="1"/>
  <c r="AB147" i="11" s="1"/>
  <c r="AC147" i="11" s="1"/>
  <c r="Z148" i="11"/>
  <c r="AA148" i="11" s="1"/>
  <c r="AB148" i="11" s="1"/>
  <c r="AC148" i="11" s="1"/>
  <c r="Z149" i="11"/>
  <c r="AA149" i="11" s="1"/>
  <c r="AB149" i="11" s="1"/>
  <c r="AC149" i="11" s="1"/>
  <c r="Z150" i="11"/>
  <c r="AA150" i="11" s="1"/>
  <c r="AB150" i="11" s="1"/>
  <c r="AC150" i="11" s="1"/>
  <c r="Z151" i="11"/>
  <c r="AA151" i="11" s="1"/>
  <c r="AB151" i="11" s="1"/>
  <c r="AC151" i="11" s="1"/>
  <c r="Z152" i="11"/>
  <c r="AA152" i="11" s="1"/>
  <c r="AB152" i="11" s="1"/>
  <c r="AC152" i="11" s="1"/>
  <c r="Z153" i="11"/>
  <c r="AA153" i="11" s="1"/>
  <c r="AB153" i="11" s="1"/>
  <c r="AC153" i="11" s="1"/>
  <c r="Z154" i="11"/>
  <c r="AA154" i="11" s="1"/>
  <c r="AB154" i="11" s="1"/>
  <c r="AC154" i="11" s="1"/>
  <c r="Z155" i="11"/>
  <c r="AA155" i="11" s="1"/>
  <c r="AB155" i="11" s="1"/>
  <c r="AC155" i="11" s="1"/>
  <c r="Z156" i="11"/>
  <c r="AA156" i="11" s="1"/>
  <c r="AB156" i="11" s="1"/>
  <c r="AC156" i="11" s="1"/>
  <c r="Z157" i="11"/>
  <c r="AA157" i="11" s="1"/>
  <c r="AB157" i="11" s="1"/>
  <c r="AC157" i="11" s="1"/>
  <c r="Z158" i="11"/>
  <c r="AA158" i="11" s="1"/>
  <c r="AB158" i="11" s="1"/>
  <c r="AC158" i="11" s="1"/>
  <c r="Z159" i="11"/>
  <c r="AA159" i="11" s="1"/>
  <c r="AB159" i="11" s="1"/>
  <c r="AC159" i="11" s="1"/>
  <c r="Z160" i="11"/>
  <c r="AA160" i="11" s="1"/>
  <c r="AB160" i="11" s="1"/>
  <c r="AC160" i="11" s="1"/>
  <c r="Z161" i="11"/>
  <c r="AA161" i="11" s="1"/>
  <c r="AB161" i="11" s="1"/>
  <c r="AC161" i="11" s="1"/>
  <c r="Z162" i="11"/>
  <c r="AA162" i="11" s="1"/>
  <c r="AB162" i="11" s="1"/>
  <c r="AC162" i="11" s="1"/>
  <c r="Z163" i="11"/>
  <c r="AA163" i="11" s="1"/>
  <c r="AB163" i="11" s="1"/>
  <c r="AC163" i="11" s="1"/>
  <c r="Z164" i="11"/>
  <c r="AA164" i="11" s="1"/>
  <c r="AB164" i="11" s="1"/>
  <c r="AC164" i="11" s="1"/>
  <c r="Z165" i="11"/>
  <c r="AA165" i="11" s="1"/>
  <c r="AB165" i="11" s="1"/>
  <c r="AC165" i="11" s="1"/>
  <c r="Z166" i="11"/>
  <c r="AA166" i="11" s="1"/>
  <c r="AB166" i="11" s="1"/>
  <c r="AC166" i="11" s="1"/>
  <c r="Z167" i="11"/>
  <c r="AA167" i="11" s="1"/>
  <c r="AB167" i="11" s="1"/>
  <c r="AC167" i="11" s="1"/>
  <c r="Z168" i="11"/>
  <c r="AA168" i="11" s="1"/>
  <c r="AB168" i="11" s="1"/>
  <c r="AC168" i="11" s="1"/>
  <c r="Z169" i="11"/>
  <c r="AA169" i="11" s="1"/>
  <c r="AB169" i="11" s="1"/>
  <c r="AC169" i="11" s="1"/>
  <c r="Z170" i="11"/>
  <c r="AA170" i="11" s="1"/>
  <c r="AB170" i="11" s="1"/>
  <c r="AC170" i="11" s="1"/>
  <c r="Z171" i="11"/>
  <c r="AA171" i="11" s="1"/>
  <c r="AB171" i="11" s="1"/>
  <c r="AC171" i="11" s="1"/>
  <c r="Z172" i="11"/>
  <c r="AA172" i="11" s="1"/>
  <c r="AB172" i="11" s="1"/>
  <c r="AC172" i="11" s="1"/>
  <c r="Z173" i="11"/>
  <c r="AA173" i="11" s="1"/>
  <c r="AB173" i="11" s="1"/>
  <c r="AC173" i="11" s="1"/>
  <c r="Z174" i="11"/>
  <c r="AA174" i="11" s="1"/>
  <c r="AB174" i="11" s="1"/>
  <c r="AC174" i="11" s="1"/>
  <c r="Z175" i="11"/>
  <c r="AA175" i="11" s="1"/>
  <c r="AB175" i="11" s="1"/>
  <c r="AC175" i="11" s="1"/>
  <c r="Z176" i="11"/>
  <c r="AA176" i="11" s="1"/>
  <c r="AB176" i="11" s="1"/>
  <c r="AC176" i="11" s="1"/>
  <c r="Z177" i="11"/>
  <c r="AA177" i="11" s="1"/>
  <c r="AB177" i="11" s="1"/>
  <c r="AC177" i="11" s="1"/>
  <c r="Z178" i="11"/>
  <c r="AA178" i="11" s="1"/>
  <c r="AB178" i="11" s="1"/>
  <c r="AC178" i="11" s="1"/>
  <c r="Z179" i="11"/>
  <c r="AA179" i="11" s="1"/>
  <c r="AB179" i="11" s="1"/>
  <c r="AC179" i="11" s="1"/>
  <c r="Z180" i="11"/>
  <c r="AA180" i="11" s="1"/>
  <c r="AB180" i="11" s="1"/>
  <c r="AC180" i="11" s="1"/>
  <c r="Z181" i="11"/>
  <c r="AA181" i="11" s="1"/>
  <c r="AB181" i="11" s="1"/>
  <c r="AC181" i="11" s="1"/>
  <c r="Z182" i="11"/>
  <c r="AA182" i="11" s="1"/>
  <c r="AB182" i="11" s="1"/>
  <c r="AC182" i="11" s="1"/>
  <c r="Z183" i="11"/>
  <c r="AA183" i="11" s="1"/>
  <c r="AB183" i="11" s="1"/>
  <c r="AC183" i="11" s="1"/>
  <c r="Z184" i="11"/>
  <c r="AA184" i="11" s="1"/>
  <c r="AB184" i="11" s="1"/>
  <c r="AC184" i="11" s="1"/>
  <c r="Z185" i="11"/>
  <c r="AA185" i="11" s="1"/>
  <c r="AB185" i="11" s="1"/>
  <c r="AC185" i="11" s="1"/>
  <c r="Z186" i="11"/>
  <c r="AA186" i="11" s="1"/>
  <c r="AB186" i="11" s="1"/>
  <c r="AC186" i="11" s="1"/>
  <c r="Z187" i="11"/>
  <c r="AA187" i="11" s="1"/>
  <c r="AB187" i="11" s="1"/>
  <c r="AC187" i="11" s="1"/>
  <c r="Z188" i="11"/>
  <c r="AA188" i="11" s="1"/>
  <c r="AB188" i="11" s="1"/>
  <c r="AC188" i="11" s="1"/>
  <c r="Z189" i="11"/>
  <c r="AA189" i="11" s="1"/>
  <c r="AB189" i="11" s="1"/>
  <c r="AC189" i="11" s="1"/>
  <c r="Z190" i="11"/>
  <c r="AA190" i="11" s="1"/>
  <c r="AB190" i="11" s="1"/>
  <c r="AC190" i="11" s="1"/>
  <c r="Z191" i="11"/>
  <c r="AA191" i="11" s="1"/>
  <c r="AB191" i="11" s="1"/>
  <c r="AC191" i="11" s="1"/>
  <c r="Z192" i="11"/>
  <c r="AA192" i="11" s="1"/>
  <c r="AB192" i="11" s="1"/>
  <c r="AC192" i="11" s="1"/>
  <c r="Z193" i="11"/>
  <c r="AA193" i="11" s="1"/>
  <c r="AB193" i="11" s="1"/>
  <c r="AC193" i="11" s="1"/>
  <c r="Z194" i="11"/>
  <c r="AA194" i="11" s="1"/>
  <c r="AB194" i="11" s="1"/>
  <c r="AC194" i="11" s="1"/>
  <c r="Z195" i="11"/>
  <c r="AA195" i="11" s="1"/>
  <c r="AB195" i="11" s="1"/>
  <c r="AC195" i="11" s="1"/>
  <c r="Z196" i="11"/>
  <c r="AA196" i="11" s="1"/>
  <c r="AB196" i="11" s="1"/>
  <c r="AC196" i="11" s="1"/>
  <c r="Z197" i="11"/>
  <c r="AA197" i="11" s="1"/>
  <c r="AB197" i="11" s="1"/>
  <c r="AC197" i="11" s="1"/>
  <c r="Z198" i="11"/>
  <c r="AA198" i="11" s="1"/>
  <c r="AB198" i="11" s="1"/>
  <c r="AC198" i="11" s="1"/>
  <c r="Z199" i="11"/>
  <c r="AA199" i="11" s="1"/>
  <c r="AB199" i="11" s="1"/>
  <c r="AC199" i="11" s="1"/>
  <c r="Z200" i="11"/>
  <c r="AA200" i="11" s="1"/>
  <c r="AB200" i="11" s="1"/>
  <c r="AC200" i="11" s="1"/>
  <c r="Z201" i="11"/>
  <c r="AA201" i="11" s="1"/>
  <c r="AB201" i="11" s="1"/>
  <c r="AC201" i="11" s="1"/>
  <c r="Z202" i="11"/>
  <c r="AA202" i="11" s="1"/>
  <c r="AB202" i="11" s="1"/>
  <c r="AC202" i="11" s="1"/>
  <c r="Z203" i="11"/>
  <c r="AA203" i="11" s="1"/>
  <c r="AB203" i="11" s="1"/>
  <c r="AC203" i="11" s="1"/>
  <c r="Z204" i="11"/>
  <c r="AA204" i="11" s="1"/>
  <c r="AB204" i="11" s="1"/>
  <c r="AC204" i="11" s="1"/>
  <c r="Z205" i="11"/>
  <c r="AA205" i="11" s="1"/>
  <c r="AB205" i="11" s="1"/>
  <c r="AC205" i="11" s="1"/>
  <c r="Z206" i="11"/>
  <c r="AA206" i="11" s="1"/>
  <c r="AB206" i="11" s="1"/>
  <c r="AC206" i="11" s="1"/>
  <c r="Z207" i="11"/>
  <c r="AA207" i="11" s="1"/>
  <c r="AB207" i="11" s="1"/>
  <c r="AC207" i="11" s="1"/>
  <c r="Z208" i="11"/>
  <c r="AA208" i="11" s="1"/>
  <c r="AB208" i="11" s="1"/>
  <c r="AC208" i="11" s="1"/>
  <c r="Z209" i="11"/>
  <c r="AA209" i="11" s="1"/>
  <c r="AB209" i="11" s="1"/>
  <c r="AC209" i="11" s="1"/>
  <c r="Z210" i="11"/>
  <c r="AA210" i="11" s="1"/>
  <c r="AB210" i="11" s="1"/>
  <c r="AC210" i="11" s="1"/>
  <c r="Z211" i="11"/>
  <c r="AA211" i="11" s="1"/>
  <c r="AB211" i="11" s="1"/>
  <c r="AC211" i="11" s="1"/>
  <c r="Z212" i="11"/>
  <c r="AA212" i="11" s="1"/>
  <c r="AB212" i="11" s="1"/>
  <c r="AC212" i="11" s="1"/>
  <c r="Z213" i="11"/>
  <c r="AA213" i="11" s="1"/>
  <c r="AB213" i="11" s="1"/>
  <c r="AC213" i="11" s="1"/>
  <c r="Z214" i="11"/>
  <c r="AA214" i="11" s="1"/>
  <c r="AB214" i="11" s="1"/>
  <c r="AC214" i="11" s="1"/>
  <c r="Z215" i="11"/>
  <c r="AA215" i="11" s="1"/>
  <c r="AB215" i="11" s="1"/>
  <c r="AC215" i="11" s="1"/>
  <c r="Z216" i="11"/>
  <c r="AA216" i="11" s="1"/>
  <c r="AB216" i="11" s="1"/>
  <c r="AC216" i="11" s="1"/>
  <c r="Z217" i="11"/>
  <c r="AA217" i="11" s="1"/>
  <c r="AB217" i="11" s="1"/>
  <c r="AC217" i="11" s="1"/>
  <c r="Z218" i="11"/>
  <c r="AA218" i="11" s="1"/>
  <c r="AB218" i="11" s="1"/>
  <c r="AC218" i="11" s="1"/>
  <c r="Z219" i="11"/>
  <c r="AA219" i="11" s="1"/>
  <c r="AB219" i="11" s="1"/>
  <c r="AC219" i="11" s="1"/>
  <c r="Z220" i="11"/>
  <c r="AA220" i="11" s="1"/>
  <c r="AB220" i="11" s="1"/>
  <c r="AC220" i="11" s="1"/>
  <c r="Z221" i="11"/>
  <c r="AA221" i="11" s="1"/>
  <c r="AB221" i="11" s="1"/>
  <c r="AC221" i="11" s="1"/>
  <c r="Z222" i="11"/>
  <c r="AA222" i="11" s="1"/>
  <c r="AB222" i="11" s="1"/>
  <c r="AC222" i="11" s="1"/>
  <c r="Z223" i="11"/>
  <c r="AA223" i="11" s="1"/>
  <c r="AB223" i="11" s="1"/>
  <c r="AC223" i="11" s="1"/>
  <c r="Z224" i="11"/>
  <c r="AA224" i="11" s="1"/>
  <c r="AB224" i="11" s="1"/>
  <c r="AC224" i="11" s="1"/>
  <c r="Z225" i="11"/>
  <c r="AA225" i="11" s="1"/>
  <c r="AB225" i="11" s="1"/>
  <c r="AC225" i="11" s="1"/>
  <c r="Z226" i="11"/>
  <c r="AA226" i="11" s="1"/>
  <c r="AB226" i="11" s="1"/>
  <c r="AC226" i="11" s="1"/>
  <c r="Z227" i="11"/>
  <c r="AA227" i="11" s="1"/>
  <c r="AB227" i="11" s="1"/>
  <c r="AC227" i="11" s="1"/>
  <c r="Z228" i="11"/>
  <c r="AA228" i="11" s="1"/>
  <c r="AB228" i="11" s="1"/>
  <c r="AC228" i="11" s="1"/>
  <c r="Z229" i="11"/>
  <c r="AA229" i="11" s="1"/>
  <c r="AB229" i="11" s="1"/>
  <c r="AC229" i="11" s="1"/>
  <c r="Z230" i="11"/>
  <c r="AA230" i="11" s="1"/>
  <c r="AB230" i="11" s="1"/>
  <c r="AC230" i="11" s="1"/>
  <c r="Z231" i="11"/>
  <c r="AA231" i="11" s="1"/>
  <c r="AB231" i="11" s="1"/>
  <c r="AC231" i="11" s="1"/>
  <c r="Z232" i="11"/>
  <c r="AA232" i="11" s="1"/>
  <c r="AB232" i="11" s="1"/>
  <c r="AC232" i="11" s="1"/>
  <c r="Z233" i="11"/>
  <c r="AA233" i="11" s="1"/>
  <c r="AB233" i="11" s="1"/>
  <c r="AC233" i="11" s="1"/>
  <c r="Z234" i="11"/>
  <c r="AA234" i="11" s="1"/>
  <c r="AB234" i="11" s="1"/>
  <c r="AC234" i="11" s="1"/>
  <c r="Z235" i="11"/>
  <c r="AA235" i="11" s="1"/>
  <c r="AB235" i="11" s="1"/>
  <c r="AC235" i="11" s="1"/>
  <c r="Z236" i="11"/>
  <c r="AA236" i="11" s="1"/>
  <c r="AB236" i="11" s="1"/>
  <c r="AC236" i="11" s="1"/>
  <c r="Z237" i="11"/>
  <c r="AA237" i="11" s="1"/>
  <c r="AB237" i="11" s="1"/>
  <c r="AC237" i="11" s="1"/>
  <c r="Z238" i="11"/>
  <c r="AA238" i="11" s="1"/>
  <c r="AB238" i="11" s="1"/>
  <c r="AC238" i="11" s="1"/>
  <c r="Z239" i="11"/>
  <c r="AA239" i="11" s="1"/>
  <c r="AB239" i="11" s="1"/>
  <c r="AC239" i="11" s="1"/>
  <c r="Z240" i="11"/>
  <c r="AA240" i="11" s="1"/>
  <c r="AB240" i="11" s="1"/>
  <c r="AC240" i="11" s="1"/>
  <c r="Z241" i="11"/>
  <c r="AA241" i="11" s="1"/>
  <c r="AB241" i="11" s="1"/>
  <c r="AC241" i="11" s="1"/>
  <c r="Z242" i="11"/>
  <c r="AA242" i="11" s="1"/>
  <c r="AB242" i="11" s="1"/>
  <c r="AC242" i="11" s="1"/>
  <c r="Z243" i="11"/>
  <c r="AA243" i="11" s="1"/>
  <c r="AB243" i="11" s="1"/>
  <c r="AC243" i="11" s="1"/>
  <c r="Z244" i="11"/>
  <c r="AA244" i="11" s="1"/>
  <c r="AB244" i="11" s="1"/>
  <c r="AC244" i="11" s="1"/>
  <c r="Z245" i="11"/>
  <c r="AA245" i="11" s="1"/>
  <c r="AB245" i="11" s="1"/>
  <c r="AC245" i="11" s="1"/>
  <c r="Z246" i="11"/>
  <c r="AA246" i="11" s="1"/>
  <c r="AB246" i="11" s="1"/>
  <c r="AC246" i="11" s="1"/>
  <c r="Z247" i="11"/>
  <c r="AA247" i="11" s="1"/>
  <c r="AB247" i="11" s="1"/>
  <c r="AC247" i="11" s="1"/>
  <c r="Z248" i="11"/>
  <c r="AA248" i="11" s="1"/>
  <c r="AB248" i="11" s="1"/>
  <c r="AC248" i="11" s="1"/>
  <c r="Z249" i="11"/>
  <c r="AA249" i="11" s="1"/>
  <c r="AB249" i="11" s="1"/>
  <c r="AC249" i="11" s="1"/>
  <c r="Z250" i="11"/>
  <c r="AA250" i="11" s="1"/>
  <c r="AB250" i="11" s="1"/>
  <c r="AC250" i="11" s="1"/>
  <c r="Z251" i="11"/>
  <c r="AA251" i="11" s="1"/>
  <c r="AB251" i="11" s="1"/>
  <c r="AC251" i="11" s="1"/>
  <c r="Z252" i="11"/>
  <c r="AA252" i="11" s="1"/>
  <c r="AB252" i="11" s="1"/>
  <c r="AC252" i="11" s="1"/>
  <c r="Z253" i="11"/>
  <c r="AA253" i="11" s="1"/>
  <c r="AB253" i="11" s="1"/>
  <c r="AC253" i="11" s="1"/>
  <c r="Z254" i="11"/>
  <c r="AA254" i="11" s="1"/>
  <c r="AB254" i="11" s="1"/>
  <c r="AC254" i="11" s="1"/>
  <c r="Z255" i="11"/>
  <c r="AA255" i="11" s="1"/>
  <c r="AB255" i="11" s="1"/>
  <c r="AC255" i="11" s="1"/>
  <c r="Z256" i="11"/>
  <c r="AA256" i="11" s="1"/>
  <c r="AB256" i="11" s="1"/>
  <c r="AC256" i="11" s="1"/>
  <c r="Z257" i="11"/>
  <c r="AA257" i="11" s="1"/>
  <c r="AB257" i="11" s="1"/>
  <c r="AC257" i="11" s="1"/>
  <c r="Z258" i="11"/>
  <c r="AA258" i="11" s="1"/>
  <c r="AB258" i="11" s="1"/>
  <c r="AC258" i="11" s="1"/>
  <c r="Z259" i="11"/>
  <c r="AA259" i="11" s="1"/>
  <c r="AB259" i="11" s="1"/>
  <c r="AC259" i="11" s="1"/>
  <c r="Z260" i="11"/>
  <c r="AA260" i="11" s="1"/>
  <c r="AB260" i="11" s="1"/>
  <c r="AC260" i="11" s="1"/>
  <c r="Z261" i="11"/>
  <c r="AA261" i="11" s="1"/>
  <c r="AB261" i="11" s="1"/>
  <c r="AC261" i="11" s="1"/>
  <c r="Z262" i="11"/>
  <c r="AA262" i="11" s="1"/>
  <c r="AB262" i="11" s="1"/>
  <c r="AC262" i="11" s="1"/>
  <c r="Z263" i="11"/>
  <c r="AA263" i="11" s="1"/>
  <c r="AB263" i="11" s="1"/>
  <c r="AC263" i="11" s="1"/>
  <c r="Z264" i="11"/>
  <c r="AA264" i="11" s="1"/>
  <c r="AB264" i="11" s="1"/>
  <c r="AC264" i="11" s="1"/>
  <c r="Z265" i="11"/>
  <c r="AA265" i="11" s="1"/>
  <c r="AB265" i="11" s="1"/>
  <c r="AC265" i="11" s="1"/>
  <c r="Z266" i="11"/>
  <c r="AA266" i="11" s="1"/>
  <c r="AB266" i="11" s="1"/>
  <c r="AC266" i="11" s="1"/>
  <c r="Z267" i="11"/>
  <c r="AA267" i="11" s="1"/>
  <c r="AB267" i="11" s="1"/>
  <c r="AC267" i="11" s="1"/>
  <c r="Z268" i="11"/>
  <c r="AA268" i="11" s="1"/>
  <c r="AB268" i="11" s="1"/>
  <c r="AC268" i="11" s="1"/>
  <c r="Z269" i="11"/>
  <c r="AA269" i="11" s="1"/>
  <c r="AB269" i="11" s="1"/>
  <c r="AC269" i="11" s="1"/>
  <c r="Z270" i="11"/>
  <c r="AA270" i="11" s="1"/>
  <c r="AB270" i="11" s="1"/>
  <c r="AC270" i="11" s="1"/>
  <c r="Z271" i="11"/>
  <c r="AA271" i="11" s="1"/>
  <c r="AB271" i="11" s="1"/>
  <c r="AC271" i="11" s="1"/>
  <c r="Z272" i="11"/>
  <c r="AA272" i="11" s="1"/>
  <c r="AB272" i="11" s="1"/>
  <c r="AC272" i="11" s="1"/>
  <c r="Z273" i="11"/>
  <c r="AA273" i="11" s="1"/>
  <c r="AB273" i="11" s="1"/>
  <c r="AC273" i="11" s="1"/>
  <c r="Z274" i="11"/>
  <c r="AA274" i="11" s="1"/>
  <c r="AB274" i="11" s="1"/>
  <c r="AC274" i="11" s="1"/>
  <c r="Z275" i="11"/>
  <c r="AA275" i="11" s="1"/>
  <c r="AB275" i="11" s="1"/>
  <c r="AC275" i="11" s="1"/>
  <c r="Z276" i="11"/>
  <c r="AA276" i="11" s="1"/>
  <c r="AB276" i="11" s="1"/>
  <c r="AC276" i="11" s="1"/>
  <c r="Z277" i="11"/>
  <c r="AA277" i="11" s="1"/>
  <c r="AB277" i="11" s="1"/>
  <c r="AC277" i="11" s="1"/>
  <c r="Z278" i="11"/>
  <c r="AA278" i="11" s="1"/>
  <c r="AB278" i="11" s="1"/>
  <c r="AC278" i="11" s="1"/>
  <c r="Z279" i="11"/>
  <c r="AA279" i="11" s="1"/>
  <c r="AB279" i="11" s="1"/>
  <c r="AC279" i="11" s="1"/>
  <c r="Z280" i="11"/>
  <c r="AA280" i="11" s="1"/>
  <c r="AB280" i="11" s="1"/>
  <c r="AC280" i="11" s="1"/>
  <c r="Z281" i="11"/>
  <c r="AA281" i="11" s="1"/>
  <c r="AB281" i="11" s="1"/>
  <c r="AC281" i="11" s="1"/>
  <c r="Z282" i="11"/>
  <c r="AA282" i="11" s="1"/>
  <c r="AB282" i="11" s="1"/>
  <c r="AC282" i="11" s="1"/>
  <c r="Z283" i="11"/>
  <c r="AA283" i="11" s="1"/>
  <c r="AB283" i="11" s="1"/>
  <c r="AC283" i="11" s="1"/>
  <c r="Z284" i="11"/>
  <c r="AA284" i="11" s="1"/>
  <c r="AB284" i="11" s="1"/>
  <c r="AC284" i="11" s="1"/>
  <c r="Z285" i="11"/>
  <c r="AA285" i="11" s="1"/>
  <c r="AB285" i="11" s="1"/>
  <c r="AC285" i="11" s="1"/>
  <c r="Z286" i="11"/>
  <c r="AA286" i="11" s="1"/>
  <c r="AB286" i="11" s="1"/>
  <c r="AC286" i="11" s="1"/>
  <c r="Z287" i="11"/>
  <c r="AA287" i="11" s="1"/>
  <c r="AB287" i="11" s="1"/>
  <c r="AC287" i="11" s="1"/>
  <c r="Z288" i="11"/>
  <c r="AA288" i="11" s="1"/>
  <c r="AB288" i="11" s="1"/>
  <c r="AC288" i="11" s="1"/>
  <c r="Z289" i="11"/>
  <c r="AA289" i="11" s="1"/>
  <c r="AB289" i="11" s="1"/>
  <c r="AC289" i="11" s="1"/>
  <c r="Z290" i="11"/>
  <c r="AA290" i="11" s="1"/>
  <c r="AB290" i="11" s="1"/>
  <c r="AC290" i="11" s="1"/>
  <c r="Z291" i="11"/>
  <c r="AA291" i="11" s="1"/>
  <c r="AB291" i="11" s="1"/>
  <c r="AC291" i="11" s="1"/>
  <c r="Z292" i="11"/>
  <c r="AA292" i="11" s="1"/>
  <c r="AB292" i="11" s="1"/>
  <c r="AC292" i="11" s="1"/>
  <c r="Z293" i="11"/>
  <c r="AA293" i="11" s="1"/>
  <c r="AB293" i="11" s="1"/>
  <c r="AC293" i="11" s="1"/>
  <c r="Z294" i="11"/>
  <c r="AA294" i="11" s="1"/>
  <c r="AB294" i="11" s="1"/>
  <c r="AC294" i="11" s="1"/>
  <c r="Z295" i="11"/>
  <c r="AA295" i="11" s="1"/>
  <c r="AB295" i="11" s="1"/>
  <c r="AC295" i="11" s="1"/>
  <c r="Z296" i="11"/>
  <c r="AA296" i="11" s="1"/>
  <c r="AB296" i="11" s="1"/>
  <c r="AC296" i="11" s="1"/>
  <c r="Z297" i="11"/>
  <c r="AA297" i="11" s="1"/>
  <c r="AB297" i="11" s="1"/>
  <c r="AC297" i="11" s="1"/>
  <c r="Z298" i="11"/>
  <c r="AA298" i="11" s="1"/>
  <c r="AB298" i="11" s="1"/>
  <c r="AC298" i="11" s="1"/>
  <c r="Z299" i="11"/>
  <c r="AA299" i="11" s="1"/>
  <c r="AB299" i="11" s="1"/>
  <c r="AC299" i="11" s="1"/>
  <c r="Z300" i="11"/>
  <c r="AA300" i="11" s="1"/>
  <c r="AB300" i="11" s="1"/>
  <c r="AC300" i="11" s="1"/>
  <c r="Z301" i="11"/>
  <c r="AA301" i="11" s="1"/>
  <c r="AB301" i="11" s="1"/>
  <c r="AC301" i="11" s="1"/>
  <c r="Z302" i="11"/>
  <c r="AA302" i="11" s="1"/>
  <c r="AB302" i="11" s="1"/>
  <c r="AC302" i="11" s="1"/>
  <c r="Z303" i="11"/>
  <c r="AA303" i="11" s="1"/>
  <c r="AB303" i="11" s="1"/>
  <c r="AC303" i="11" s="1"/>
  <c r="Z304" i="11"/>
  <c r="AA304" i="11" s="1"/>
  <c r="AB304" i="11" s="1"/>
  <c r="AC304" i="11" s="1"/>
  <c r="Z305" i="11"/>
  <c r="AA305" i="11" s="1"/>
  <c r="AB305" i="11" s="1"/>
  <c r="AC305" i="11" s="1"/>
  <c r="Z306" i="11"/>
  <c r="AA306" i="11" s="1"/>
  <c r="AB306" i="11" s="1"/>
  <c r="AC306" i="11" s="1"/>
  <c r="Z307" i="11"/>
  <c r="AA307" i="11" s="1"/>
  <c r="AB307" i="11" s="1"/>
  <c r="AC307" i="11" s="1"/>
  <c r="Z308" i="11"/>
  <c r="AA308" i="11" s="1"/>
  <c r="AB308" i="11" s="1"/>
  <c r="AC308" i="11" s="1"/>
  <c r="Z309" i="11"/>
  <c r="AA309" i="11" s="1"/>
  <c r="AB309" i="11" s="1"/>
  <c r="AC309" i="11" s="1"/>
  <c r="Z310" i="11"/>
  <c r="AA310" i="11" s="1"/>
  <c r="AB310" i="11" s="1"/>
  <c r="AC310" i="11" s="1"/>
  <c r="Z311" i="11"/>
  <c r="AA311" i="11" s="1"/>
  <c r="AB311" i="11" s="1"/>
  <c r="AC311" i="11" s="1"/>
  <c r="Z312" i="11"/>
  <c r="AA312" i="11" s="1"/>
  <c r="AB312" i="11" s="1"/>
  <c r="AC312" i="11" s="1"/>
  <c r="Z313" i="11"/>
  <c r="AA313" i="11" s="1"/>
  <c r="AB313" i="11" s="1"/>
  <c r="AC313" i="11" s="1"/>
  <c r="Z314" i="11"/>
  <c r="AA314" i="11" s="1"/>
  <c r="AB314" i="11" s="1"/>
  <c r="AC314" i="11" s="1"/>
  <c r="Z315" i="11"/>
  <c r="AA315" i="11" s="1"/>
  <c r="AB315" i="11" s="1"/>
  <c r="AC315" i="11" s="1"/>
  <c r="Z316" i="11"/>
  <c r="AA316" i="11" s="1"/>
  <c r="AB316" i="11" s="1"/>
  <c r="AC316" i="11" s="1"/>
  <c r="Z317" i="11"/>
  <c r="AA317" i="11" s="1"/>
  <c r="AB317" i="11" s="1"/>
  <c r="AC317" i="11" s="1"/>
  <c r="Z318" i="11"/>
  <c r="AA318" i="11" s="1"/>
  <c r="AB318" i="11" s="1"/>
  <c r="AC318" i="11" s="1"/>
  <c r="Z319" i="11"/>
  <c r="AA319" i="11" s="1"/>
  <c r="AB319" i="11" s="1"/>
  <c r="AC319" i="11" s="1"/>
  <c r="Z320" i="11"/>
  <c r="AA320" i="11" s="1"/>
  <c r="AB320" i="11" s="1"/>
  <c r="AC320" i="11" s="1"/>
  <c r="Z321" i="11"/>
  <c r="AA321" i="11" s="1"/>
  <c r="AB321" i="11" s="1"/>
  <c r="AC321" i="11" s="1"/>
  <c r="Z322" i="11"/>
  <c r="AA322" i="11" s="1"/>
  <c r="AB322" i="11" s="1"/>
  <c r="AC322" i="11" s="1"/>
  <c r="Z323" i="11"/>
  <c r="AA323" i="11" s="1"/>
  <c r="AB323" i="11" s="1"/>
  <c r="AC323" i="11" s="1"/>
  <c r="Z324" i="11"/>
  <c r="AA324" i="11" s="1"/>
  <c r="AB324" i="11" s="1"/>
  <c r="AC324" i="11" s="1"/>
  <c r="Z325" i="11"/>
  <c r="AA325" i="11" s="1"/>
  <c r="AB325" i="11" s="1"/>
  <c r="AC325" i="11" s="1"/>
  <c r="Z326" i="11"/>
  <c r="AA326" i="11" s="1"/>
  <c r="AB326" i="11" s="1"/>
  <c r="AC326" i="11" s="1"/>
  <c r="Z327" i="11"/>
  <c r="AA327" i="11" s="1"/>
  <c r="AB327" i="11" s="1"/>
  <c r="AC327" i="11" s="1"/>
  <c r="Z328" i="11"/>
  <c r="AA328" i="11" s="1"/>
  <c r="AB328" i="11" s="1"/>
  <c r="AC328" i="11" s="1"/>
  <c r="Z329" i="11"/>
  <c r="AA329" i="11" s="1"/>
  <c r="AB329" i="11" s="1"/>
  <c r="AC329" i="11" s="1"/>
  <c r="Z330" i="11"/>
  <c r="AA330" i="11" s="1"/>
  <c r="AB330" i="11" s="1"/>
  <c r="AC330" i="11" s="1"/>
  <c r="Z331" i="11"/>
  <c r="AA331" i="11" s="1"/>
  <c r="AB331" i="11" s="1"/>
  <c r="AC331" i="11" s="1"/>
  <c r="Z332" i="11"/>
  <c r="AA332" i="11" s="1"/>
  <c r="AB332" i="11" s="1"/>
  <c r="AC332" i="11" s="1"/>
  <c r="Z333" i="11"/>
  <c r="AA333" i="11" s="1"/>
  <c r="AB333" i="11" s="1"/>
  <c r="AC333" i="11" s="1"/>
  <c r="Z334" i="11"/>
  <c r="AA334" i="11" s="1"/>
  <c r="AB334" i="11" s="1"/>
  <c r="AC334" i="11" s="1"/>
  <c r="Z335" i="11"/>
  <c r="AA335" i="11" s="1"/>
  <c r="AB335" i="11" s="1"/>
  <c r="AC335" i="11" s="1"/>
  <c r="Z336" i="11"/>
  <c r="AA336" i="11" s="1"/>
  <c r="AB336" i="11" s="1"/>
  <c r="AC336" i="11" s="1"/>
  <c r="Z337" i="11"/>
  <c r="AA337" i="11" s="1"/>
  <c r="AB337" i="11" s="1"/>
  <c r="AC337" i="11" s="1"/>
  <c r="Z338" i="11"/>
  <c r="AA338" i="11" s="1"/>
  <c r="AB338" i="11" s="1"/>
  <c r="AC338" i="11" s="1"/>
  <c r="Z339" i="11"/>
  <c r="AA339" i="11" s="1"/>
  <c r="AB339" i="11" s="1"/>
  <c r="AC339" i="11" s="1"/>
  <c r="Z340" i="11"/>
  <c r="AA340" i="11" s="1"/>
  <c r="AB340" i="11" s="1"/>
  <c r="AC340" i="11" s="1"/>
  <c r="Z341" i="11"/>
  <c r="AA341" i="11" s="1"/>
  <c r="AB341" i="11" s="1"/>
  <c r="AC341" i="11" s="1"/>
  <c r="Z342" i="11"/>
  <c r="AA342" i="11" s="1"/>
  <c r="AB342" i="11" s="1"/>
  <c r="AC342" i="11" s="1"/>
  <c r="Z343" i="11"/>
  <c r="AA343" i="11" s="1"/>
  <c r="AB343" i="11" s="1"/>
  <c r="AC343" i="11" s="1"/>
  <c r="Z344" i="11"/>
  <c r="AA344" i="11" s="1"/>
  <c r="AB344" i="11" s="1"/>
  <c r="AC344" i="11" s="1"/>
  <c r="Z345" i="11"/>
  <c r="AA345" i="11" s="1"/>
  <c r="AB345" i="11" s="1"/>
  <c r="AC345" i="11" s="1"/>
  <c r="Z346" i="11"/>
  <c r="AA346" i="11" s="1"/>
  <c r="AB346" i="11" s="1"/>
  <c r="AC346" i="11" s="1"/>
  <c r="Z347" i="11"/>
  <c r="AA347" i="11" s="1"/>
  <c r="AB347" i="11" s="1"/>
  <c r="AC347" i="11" s="1"/>
  <c r="Z348" i="11"/>
  <c r="AA348" i="11" s="1"/>
  <c r="AB348" i="11" s="1"/>
  <c r="AC348" i="11" s="1"/>
  <c r="Z349" i="11"/>
  <c r="AA349" i="11" s="1"/>
  <c r="AB349" i="11" s="1"/>
  <c r="AC349" i="11" s="1"/>
  <c r="Z350" i="11"/>
  <c r="AA350" i="11" s="1"/>
  <c r="AB350" i="11" s="1"/>
  <c r="AC350" i="11" s="1"/>
  <c r="Z351" i="11"/>
  <c r="AA351" i="11" s="1"/>
  <c r="AB351" i="11" s="1"/>
  <c r="AC351" i="11" s="1"/>
  <c r="Z352" i="11"/>
  <c r="AA352" i="11" s="1"/>
  <c r="AB352" i="11" s="1"/>
  <c r="AC352" i="11" s="1"/>
  <c r="Z353" i="11"/>
  <c r="AA353" i="11" s="1"/>
  <c r="AB353" i="11" s="1"/>
  <c r="AC353" i="11" s="1"/>
  <c r="Z354" i="11"/>
  <c r="AA354" i="11" s="1"/>
  <c r="AB354" i="11" s="1"/>
  <c r="AC354" i="11" s="1"/>
  <c r="Z355" i="11"/>
  <c r="AA355" i="11" s="1"/>
  <c r="AB355" i="11" s="1"/>
  <c r="AC355" i="11" s="1"/>
  <c r="Z356" i="11"/>
  <c r="AA356" i="11" s="1"/>
  <c r="AB356" i="11" s="1"/>
  <c r="AC356" i="11" s="1"/>
  <c r="Z357" i="11"/>
  <c r="AA357" i="11" s="1"/>
  <c r="AB357" i="11" s="1"/>
  <c r="AC357" i="11" s="1"/>
  <c r="Z358" i="11"/>
  <c r="AA358" i="11" s="1"/>
  <c r="AB358" i="11" s="1"/>
  <c r="AC358" i="11" s="1"/>
  <c r="Z359" i="11"/>
  <c r="AA359" i="11" s="1"/>
  <c r="AB359" i="11" s="1"/>
  <c r="AC359" i="11" s="1"/>
  <c r="Z360" i="11"/>
  <c r="AA360" i="11" s="1"/>
  <c r="AB360" i="11" s="1"/>
  <c r="AC360" i="11" s="1"/>
  <c r="Z361" i="11"/>
  <c r="AA361" i="11" s="1"/>
  <c r="AB361" i="11" s="1"/>
  <c r="AC361" i="11" s="1"/>
  <c r="Z362" i="11"/>
  <c r="AA362" i="11" s="1"/>
  <c r="AB362" i="11" s="1"/>
  <c r="AC362" i="11" s="1"/>
  <c r="Z363" i="11"/>
  <c r="AA363" i="11" s="1"/>
  <c r="AB363" i="11" s="1"/>
  <c r="AC363" i="11" s="1"/>
  <c r="Z364" i="11"/>
  <c r="AA364" i="11" s="1"/>
  <c r="AB364" i="11" s="1"/>
  <c r="AC364" i="11" s="1"/>
  <c r="Z365" i="11"/>
  <c r="AA365" i="11" s="1"/>
  <c r="AB365" i="11" s="1"/>
  <c r="AC365" i="11" s="1"/>
  <c r="Z366" i="11"/>
  <c r="AA366" i="11" s="1"/>
  <c r="AB366" i="11" s="1"/>
  <c r="AC366" i="11" s="1"/>
  <c r="Z367" i="11"/>
  <c r="AA367" i="11" s="1"/>
  <c r="AB367" i="11" s="1"/>
  <c r="AC367" i="11" s="1"/>
  <c r="Z368" i="11"/>
  <c r="AA368" i="11" s="1"/>
  <c r="AB368" i="11" s="1"/>
  <c r="AC368" i="11" s="1"/>
  <c r="Z369" i="11"/>
  <c r="AA369" i="11" s="1"/>
  <c r="AB369" i="11" s="1"/>
  <c r="AC369" i="11" s="1"/>
  <c r="Z370" i="11"/>
  <c r="AA370" i="11" s="1"/>
  <c r="AB370" i="11" s="1"/>
  <c r="AC370" i="11" s="1"/>
  <c r="Z371" i="11"/>
  <c r="AA371" i="11" s="1"/>
  <c r="AB371" i="11" s="1"/>
  <c r="AC371" i="11" s="1"/>
  <c r="Z372" i="11"/>
  <c r="AA372" i="11" s="1"/>
  <c r="AB372" i="11" s="1"/>
  <c r="AC372" i="11" s="1"/>
  <c r="Z373" i="11"/>
  <c r="AA373" i="11" s="1"/>
  <c r="AB373" i="11" s="1"/>
  <c r="AC373" i="11" s="1"/>
  <c r="Z374" i="11"/>
  <c r="AA374" i="11" s="1"/>
  <c r="AB374" i="11" s="1"/>
  <c r="AC374" i="11" s="1"/>
  <c r="Z375" i="11"/>
  <c r="AA375" i="11" s="1"/>
  <c r="AB375" i="11" s="1"/>
  <c r="AC375" i="11" s="1"/>
  <c r="Z376" i="11"/>
  <c r="AA376" i="11" s="1"/>
  <c r="AB376" i="11" s="1"/>
  <c r="AC376" i="11" s="1"/>
  <c r="Z377" i="11"/>
  <c r="AA377" i="11" s="1"/>
  <c r="AB377" i="11" s="1"/>
  <c r="AC377" i="11" s="1"/>
  <c r="Z378" i="11"/>
  <c r="AA378" i="11" s="1"/>
  <c r="AB378" i="11" s="1"/>
  <c r="AC378" i="11" s="1"/>
  <c r="Z379" i="11"/>
  <c r="AA379" i="11" s="1"/>
  <c r="AB379" i="11" s="1"/>
  <c r="AC379" i="11" s="1"/>
  <c r="Z380" i="11"/>
  <c r="AA380" i="11" s="1"/>
  <c r="AB380" i="11" s="1"/>
  <c r="AC380" i="11" s="1"/>
  <c r="Z381" i="11"/>
  <c r="AA381" i="11" s="1"/>
  <c r="AB381" i="11" s="1"/>
  <c r="AC381" i="11" s="1"/>
  <c r="Z382" i="11"/>
  <c r="AA382" i="11" s="1"/>
  <c r="AB382" i="11" s="1"/>
  <c r="AC382" i="11" s="1"/>
  <c r="Z383" i="11"/>
  <c r="AA383" i="11" s="1"/>
  <c r="AB383" i="11" s="1"/>
  <c r="AC383" i="11" s="1"/>
  <c r="Z384" i="11"/>
  <c r="AA384" i="11" s="1"/>
  <c r="AB384" i="11" s="1"/>
  <c r="AC384" i="11" s="1"/>
  <c r="Z385" i="11"/>
  <c r="AA385" i="11" s="1"/>
  <c r="AB385" i="11" s="1"/>
  <c r="AC385" i="11" s="1"/>
  <c r="Z386" i="11"/>
  <c r="AA386" i="11" s="1"/>
  <c r="AB386" i="11" s="1"/>
  <c r="AC386" i="11" s="1"/>
  <c r="Z387" i="11"/>
  <c r="AA387" i="11" s="1"/>
  <c r="AB387" i="11" s="1"/>
  <c r="AC387" i="11" s="1"/>
  <c r="Z388" i="11"/>
  <c r="AA388" i="11" s="1"/>
  <c r="AB388" i="11" s="1"/>
  <c r="AC388" i="11" s="1"/>
  <c r="Z389" i="11"/>
  <c r="AA389" i="11" s="1"/>
  <c r="AB389" i="11" s="1"/>
  <c r="AC389" i="11" s="1"/>
  <c r="Z390" i="11"/>
  <c r="AA390" i="11" s="1"/>
  <c r="AB390" i="11" s="1"/>
  <c r="AC390" i="11" s="1"/>
  <c r="Z391" i="11"/>
  <c r="AA391" i="11" s="1"/>
  <c r="AB391" i="11" s="1"/>
  <c r="AC391" i="11" s="1"/>
  <c r="Z392" i="11"/>
  <c r="AA392" i="11" s="1"/>
  <c r="AB392" i="11" s="1"/>
  <c r="AC392" i="11" s="1"/>
  <c r="Z393" i="11"/>
  <c r="AA393" i="11" s="1"/>
  <c r="AB393" i="11" s="1"/>
  <c r="AC393" i="11" s="1"/>
  <c r="Z394" i="11"/>
  <c r="AA394" i="11" s="1"/>
  <c r="AB394" i="11" s="1"/>
  <c r="AC394" i="11" s="1"/>
  <c r="Z395" i="11"/>
  <c r="AA395" i="11" s="1"/>
  <c r="AB395" i="11" s="1"/>
  <c r="AC395" i="11" s="1"/>
  <c r="Z396" i="11"/>
  <c r="AA396" i="11" s="1"/>
  <c r="AB396" i="11" s="1"/>
  <c r="AC396" i="11" s="1"/>
  <c r="Z397" i="11"/>
  <c r="AA397" i="11" s="1"/>
  <c r="AB397" i="11" s="1"/>
  <c r="AC397" i="11" s="1"/>
  <c r="Z398" i="11"/>
  <c r="AA398" i="11" s="1"/>
  <c r="AB398" i="11" s="1"/>
  <c r="AC398" i="11" s="1"/>
  <c r="Z399" i="11"/>
  <c r="AA399" i="11" s="1"/>
  <c r="AB399" i="11" s="1"/>
  <c r="AC399" i="11" s="1"/>
  <c r="Z400" i="11"/>
  <c r="AA400" i="11" s="1"/>
  <c r="AB400" i="11" s="1"/>
  <c r="AC400" i="11" s="1"/>
  <c r="Z401" i="11"/>
  <c r="AA401" i="11" s="1"/>
  <c r="AB401" i="11" s="1"/>
  <c r="AC401" i="11" s="1"/>
  <c r="Z402" i="11"/>
  <c r="AA402" i="11" s="1"/>
  <c r="AB402" i="11" s="1"/>
  <c r="AC402" i="11" s="1"/>
  <c r="Z403" i="11"/>
  <c r="AA403" i="11" s="1"/>
  <c r="AB403" i="11" s="1"/>
  <c r="AC403" i="11" s="1"/>
  <c r="Z404" i="11"/>
  <c r="AA404" i="11" s="1"/>
  <c r="AB404" i="11" s="1"/>
  <c r="AC404" i="11" s="1"/>
  <c r="Z405" i="11"/>
  <c r="AA405" i="11" s="1"/>
  <c r="AB405" i="11" s="1"/>
  <c r="AC405" i="11" s="1"/>
  <c r="Z406" i="11"/>
  <c r="AA406" i="11" s="1"/>
  <c r="AB406" i="11" s="1"/>
  <c r="AC406" i="11" s="1"/>
  <c r="Z407" i="11"/>
  <c r="AA407" i="11" s="1"/>
  <c r="AB407" i="11" s="1"/>
  <c r="AC407" i="11" s="1"/>
  <c r="Z408" i="11"/>
  <c r="AA408" i="11" s="1"/>
  <c r="AB408" i="11" s="1"/>
  <c r="AC408" i="11" s="1"/>
  <c r="Z409" i="11"/>
  <c r="AA409" i="11" s="1"/>
  <c r="AB409" i="11" s="1"/>
  <c r="AC409" i="11" s="1"/>
  <c r="Z410" i="11"/>
  <c r="AA410" i="11" s="1"/>
  <c r="AB410" i="11" s="1"/>
  <c r="AC410" i="11" s="1"/>
  <c r="Z411" i="11"/>
  <c r="AA411" i="11" s="1"/>
  <c r="AB411" i="11" s="1"/>
  <c r="AC411" i="11" s="1"/>
  <c r="Z412" i="11"/>
  <c r="AA412" i="11" s="1"/>
  <c r="AB412" i="11" s="1"/>
  <c r="AC412" i="11" s="1"/>
  <c r="Z413" i="11"/>
  <c r="AA413" i="11" s="1"/>
  <c r="AB413" i="11" s="1"/>
  <c r="AC413" i="11" s="1"/>
  <c r="Z414" i="11"/>
  <c r="AA414" i="11" s="1"/>
  <c r="AB414" i="11" s="1"/>
  <c r="AC414" i="11" s="1"/>
  <c r="Z415" i="11"/>
  <c r="AA415" i="11" s="1"/>
  <c r="AB415" i="11" s="1"/>
  <c r="AC415" i="11" s="1"/>
  <c r="Z416" i="11"/>
  <c r="AA416" i="11" s="1"/>
  <c r="AB416" i="11" s="1"/>
  <c r="AC416" i="11" s="1"/>
  <c r="Z417" i="11"/>
  <c r="AA417" i="11" s="1"/>
  <c r="AB417" i="11" s="1"/>
  <c r="AC417" i="11" s="1"/>
  <c r="Z418" i="11"/>
  <c r="AA418" i="11" s="1"/>
  <c r="AB418" i="11" s="1"/>
  <c r="AC418" i="11" s="1"/>
  <c r="Z419" i="11"/>
  <c r="AA419" i="11" s="1"/>
  <c r="AB419" i="11" s="1"/>
  <c r="AC419" i="11" s="1"/>
  <c r="Z420" i="11"/>
  <c r="AA420" i="11" s="1"/>
  <c r="AB420" i="11" s="1"/>
  <c r="AC420" i="11" s="1"/>
  <c r="Z421" i="11"/>
  <c r="AA421" i="11" s="1"/>
  <c r="AB421" i="11" s="1"/>
  <c r="AC421" i="11" s="1"/>
  <c r="Z422" i="11"/>
  <c r="AA422" i="11" s="1"/>
  <c r="AB422" i="11" s="1"/>
  <c r="AC422" i="11" s="1"/>
  <c r="Z423" i="11"/>
  <c r="AA423" i="11" s="1"/>
  <c r="AB423" i="11" s="1"/>
  <c r="AC423" i="11" s="1"/>
  <c r="Z424" i="11"/>
  <c r="AA424" i="11" s="1"/>
  <c r="AB424" i="11" s="1"/>
  <c r="AC424" i="11" s="1"/>
  <c r="Z425" i="11"/>
  <c r="AA425" i="11" s="1"/>
  <c r="AB425" i="11" s="1"/>
  <c r="AC425" i="11" s="1"/>
  <c r="Z426" i="11"/>
  <c r="AA426" i="11" s="1"/>
  <c r="AB426" i="11" s="1"/>
  <c r="AC426" i="11" s="1"/>
  <c r="Z427" i="11"/>
  <c r="AA427" i="11" s="1"/>
  <c r="AB427" i="11" s="1"/>
  <c r="AC427" i="11" s="1"/>
  <c r="Z428" i="11"/>
  <c r="AA428" i="11" s="1"/>
  <c r="AB428" i="11" s="1"/>
  <c r="AC428" i="11" s="1"/>
  <c r="Z429" i="11"/>
  <c r="AA429" i="11" s="1"/>
  <c r="AB429" i="11" s="1"/>
  <c r="AC429" i="11" s="1"/>
  <c r="Z430" i="11"/>
  <c r="AA430" i="11" s="1"/>
  <c r="AB430" i="11" s="1"/>
  <c r="AC430" i="11" s="1"/>
  <c r="Z431" i="11"/>
  <c r="AA431" i="11" s="1"/>
  <c r="AB431" i="11" s="1"/>
  <c r="AC431" i="11" s="1"/>
  <c r="Z432" i="11"/>
  <c r="AA432" i="11" s="1"/>
  <c r="AB432" i="11" s="1"/>
  <c r="AC432" i="11" s="1"/>
  <c r="Z433" i="11"/>
  <c r="AA433" i="11" s="1"/>
  <c r="AB433" i="11" s="1"/>
  <c r="AC433" i="11" s="1"/>
  <c r="Z434" i="11"/>
  <c r="AA434" i="11" s="1"/>
  <c r="AB434" i="11" s="1"/>
  <c r="AC434" i="11" s="1"/>
  <c r="Z435" i="11"/>
  <c r="AA435" i="11" s="1"/>
  <c r="AB435" i="11" s="1"/>
  <c r="AC435" i="11" s="1"/>
  <c r="Z436" i="11"/>
  <c r="AA436" i="11" s="1"/>
  <c r="AB436" i="11" s="1"/>
  <c r="AC436" i="11" s="1"/>
  <c r="Z437" i="11"/>
  <c r="AA437" i="11" s="1"/>
  <c r="AB437" i="11" s="1"/>
  <c r="AC437" i="11" s="1"/>
  <c r="Z438" i="11"/>
  <c r="AA438" i="11" s="1"/>
  <c r="AB438" i="11" s="1"/>
  <c r="AC438" i="11" s="1"/>
  <c r="Z439" i="11"/>
  <c r="AA439" i="11" s="1"/>
  <c r="AB439" i="11" s="1"/>
  <c r="AC439" i="11" s="1"/>
  <c r="Z440" i="11"/>
  <c r="AA440" i="11" s="1"/>
  <c r="AB440" i="11" s="1"/>
  <c r="AC440" i="11" s="1"/>
  <c r="Z441" i="11"/>
  <c r="AA441" i="11" s="1"/>
  <c r="AB441" i="11" s="1"/>
  <c r="AC441" i="11" s="1"/>
  <c r="Z442" i="11"/>
  <c r="AA442" i="11" s="1"/>
  <c r="AB442" i="11" s="1"/>
  <c r="AC442" i="11" s="1"/>
  <c r="Z443" i="11"/>
  <c r="AA443" i="11" s="1"/>
  <c r="AB443" i="11" s="1"/>
  <c r="AC443" i="11" s="1"/>
  <c r="Z444" i="11"/>
  <c r="AA444" i="11" s="1"/>
  <c r="AB444" i="11" s="1"/>
  <c r="AC444" i="11" s="1"/>
  <c r="Z445" i="11"/>
  <c r="AA445" i="11" s="1"/>
  <c r="AB445" i="11" s="1"/>
  <c r="AC445" i="11" s="1"/>
  <c r="Z446" i="11"/>
  <c r="AA446" i="11" s="1"/>
  <c r="AB446" i="11" s="1"/>
  <c r="AC446" i="11" s="1"/>
  <c r="Z447" i="11"/>
  <c r="AA447" i="11" s="1"/>
  <c r="AB447" i="11" s="1"/>
  <c r="AC447" i="11" s="1"/>
  <c r="Z448" i="11"/>
  <c r="AA448" i="11" s="1"/>
  <c r="AB448" i="11" s="1"/>
  <c r="AC448" i="11" s="1"/>
  <c r="Z449" i="11"/>
  <c r="AA449" i="11" s="1"/>
  <c r="AB449" i="11" s="1"/>
  <c r="AC449" i="11" s="1"/>
  <c r="Z450" i="11"/>
  <c r="AA450" i="11" s="1"/>
  <c r="AB450" i="11" s="1"/>
  <c r="AC450" i="11" s="1"/>
  <c r="Z451" i="11"/>
  <c r="AA451" i="11" s="1"/>
  <c r="AB451" i="11" s="1"/>
  <c r="AC451" i="11" s="1"/>
  <c r="Z452" i="11"/>
  <c r="AA452" i="11" s="1"/>
  <c r="AB452" i="11" s="1"/>
  <c r="AC452" i="11" s="1"/>
  <c r="Z453" i="11"/>
  <c r="AA453" i="11" s="1"/>
  <c r="AB453" i="11" s="1"/>
  <c r="AC453" i="11" s="1"/>
  <c r="Z454" i="11"/>
  <c r="AA454" i="11" s="1"/>
  <c r="AB454" i="11" s="1"/>
  <c r="AC454" i="11" s="1"/>
  <c r="Z455" i="11"/>
  <c r="AA455" i="11" s="1"/>
  <c r="AB455" i="11" s="1"/>
  <c r="AC455" i="11" s="1"/>
  <c r="Z456" i="11"/>
  <c r="AA456" i="11" s="1"/>
  <c r="AB456" i="11" s="1"/>
  <c r="AC456" i="11" s="1"/>
  <c r="Z457" i="11"/>
  <c r="AA457" i="11" s="1"/>
  <c r="AB457" i="11" s="1"/>
  <c r="AC457" i="11" s="1"/>
  <c r="Z458" i="11"/>
  <c r="AA458" i="11" s="1"/>
  <c r="AB458" i="11" s="1"/>
  <c r="AC458" i="11" s="1"/>
  <c r="Z459" i="11"/>
  <c r="AA459" i="11" s="1"/>
  <c r="AB459" i="11" s="1"/>
  <c r="AC459" i="11" s="1"/>
  <c r="Z460" i="11"/>
  <c r="AA460" i="11" s="1"/>
  <c r="AB460" i="11" s="1"/>
  <c r="AC460" i="11" s="1"/>
  <c r="Z461" i="11"/>
  <c r="AA461" i="11" s="1"/>
  <c r="AB461" i="11" s="1"/>
  <c r="AC461" i="11" s="1"/>
  <c r="Z462" i="11"/>
  <c r="AA462" i="11" s="1"/>
  <c r="AB462" i="11" s="1"/>
  <c r="AC462" i="11" s="1"/>
  <c r="Z463" i="11"/>
  <c r="AA463" i="11" s="1"/>
  <c r="AB463" i="11" s="1"/>
  <c r="AC463" i="11" s="1"/>
  <c r="Z464" i="11"/>
  <c r="AA464" i="11" s="1"/>
  <c r="AB464" i="11" s="1"/>
  <c r="AC464" i="11" s="1"/>
  <c r="Z465" i="11"/>
  <c r="AA465" i="11" s="1"/>
  <c r="AB465" i="11" s="1"/>
  <c r="AC465" i="11" s="1"/>
  <c r="Z466" i="11"/>
  <c r="AA466" i="11" s="1"/>
  <c r="AB466" i="11" s="1"/>
  <c r="AC466" i="11" s="1"/>
  <c r="Z467" i="11"/>
  <c r="AA467" i="11" s="1"/>
  <c r="AB467" i="11" s="1"/>
  <c r="AC467" i="11" s="1"/>
  <c r="Z468" i="11"/>
  <c r="AA468" i="11" s="1"/>
  <c r="AB468" i="11" s="1"/>
  <c r="AC468" i="11" s="1"/>
  <c r="Z469" i="11"/>
  <c r="AA469" i="11" s="1"/>
  <c r="AB469" i="11" s="1"/>
  <c r="AC469" i="11" s="1"/>
  <c r="Z470" i="11"/>
  <c r="AA470" i="11" s="1"/>
  <c r="AB470" i="11" s="1"/>
  <c r="AC470" i="11" s="1"/>
  <c r="Z471" i="11"/>
  <c r="AA471" i="11" s="1"/>
  <c r="AB471" i="11" s="1"/>
  <c r="AC471" i="11" s="1"/>
  <c r="Z472" i="11"/>
  <c r="AA472" i="11" s="1"/>
  <c r="AB472" i="11" s="1"/>
  <c r="AC472" i="11" s="1"/>
  <c r="Z473" i="11"/>
  <c r="AA473" i="11" s="1"/>
  <c r="AB473" i="11" s="1"/>
  <c r="AC473" i="11" s="1"/>
  <c r="Z474" i="11"/>
  <c r="AA474" i="11" s="1"/>
  <c r="AB474" i="11" s="1"/>
  <c r="AC474" i="11" s="1"/>
  <c r="Z475" i="11"/>
  <c r="AA475" i="11" s="1"/>
  <c r="AB475" i="11" s="1"/>
  <c r="AC475" i="11" s="1"/>
  <c r="Z476" i="11"/>
  <c r="AA476" i="11" s="1"/>
  <c r="AB476" i="11" s="1"/>
  <c r="AC476" i="11" s="1"/>
  <c r="Z477" i="11"/>
  <c r="AA477" i="11" s="1"/>
  <c r="AB477" i="11" s="1"/>
  <c r="AC477" i="11" s="1"/>
  <c r="Z478" i="11"/>
  <c r="AA478" i="11" s="1"/>
  <c r="AB478" i="11" s="1"/>
  <c r="AC478" i="11" s="1"/>
  <c r="Z479" i="11"/>
  <c r="AA479" i="11" s="1"/>
  <c r="AB479" i="11" s="1"/>
  <c r="AC479" i="11" s="1"/>
  <c r="Z480" i="11"/>
  <c r="AA480" i="11" s="1"/>
  <c r="AB480" i="11" s="1"/>
  <c r="AC480" i="11" s="1"/>
  <c r="Z481" i="11"/>
  <c r="AA481" i="11" s="1"/>
  <c r="AB481" i="11" s="1"/>
  <c r="AC481" i="11" s="1"/>
  <c r="Z482" i="11"/>
  <c r="AA482" i="11" s="1"/>
  <c r="AB482" i="11" s="1"/>
  <c r="AC482" i="11" s="1"/>
  <c r="Z483" i="11"/>
  <c r="AA483" i="11" s="1"/>
  <c r="AB483" i="11" s="1"/>
  <c r="AC483" i="11" s="1"/>
  <c r="Z484" i="11"/>
  <c r="AA484" i="11" s="1"/>
  <c r="AB484" i="11" s="1"/>
  <c r="AC484" i="11" s="1"/>
  <c r="Z485" i="11"/>
  <c r="AA485" i="11" s="1"/>
  <c r="AB485" i="11" s="1"/>
  <c r="AC485" i="11" s="1"/>
  <c r="Z486" i="11"/>
  <c r="AA486" i="11" s="1"/>
  <c r="AB486" i="11" s="1"/>
  <c r="AC486" i="11" s="1"/>
  <c r="Z487" i="11"/>
  <c r="AA487" i="11" s="1"/>
  <c r="AB487" i="11" s="1"/>
  <c r="AC487" i="11" s="1"/>
  <c r="Z488" i="11"/>
  <c r="AA488" i="11" s="1"/>
  <c r="AB488" i="11" s="1"/>
  <c r="AC488" i="11" s="1"/>
  <c r="Z489" i="11"/>
  <c r="AA489" i="11" s="1"/>
  <c r="AB489" i="11" s="1"/>
  <c r="AC489" i="11" s="1"/>
  <c r="Z490" i="11"/>
  <c r="AA490" i="11" s="1"/>
  <c r="AB490" i="11" s="1"/>
  <c r="AC490" i="11" s="1"/>
  <c r="Z491" i="11"/>
  <c r="AA491" i="11" s="1"/>
  <c r="AB491" i="11" s="1"/>
  <c r="AC491" i="11" s="1"/>
  <c r="Z492" i="11"/>
  <c r="AA492" i="11" s="1"/>
  <c r="AB492" i="11" s="1"/>
  <c r="AC492" i="11" s="1"/>
  <c r="Z493" i="11"/>
  <c r="AA493" i="11" s="1"/>
  <c r="AB493" i="11" s="1"/>
  <c r="AC493" i="11" s="1"/>
  <c r="Z494" i="11"/>
  <c r="AA494" i="11" s="1"/>
  <c r="AB494" i="11" s="1"/>
  <c r="AC494" i="11" s="1"/>
  <c r="Z495" i="11"/>
  <c r="AA495" i="11" s="1"/>
  <c r="AB495" i="11" s="1"/>
  <c r="AC495" i="11" s="1"/>
  <c r="Z496" i="11"/>
  <c r="AA496" i="11" s="1"/>
  <c r="AB496" i="11" s="1"/>
  <c r="AC496" i="11" s="1"/>
  <c r="Z497" i="11"/>
  <c r="AA497" i="11" s="1"/>
  <c r="AB497" i="11" s="1"/>
  <c r="AC497" i="11" s="1"/>
  <c r="Z498" i="11"/>
  <c r="AA498" i="11" s="1"/>
  <c r="AB498" i="11" s="1"/>
  <c r="AC498" i="11" s="1"/>
  <c r="Z499" i="11"/>
  <c r="AA499" i="11" s="1"/>
  <c r="AB499" i="11" s="1"/>
  <c r="AC499" i="11" s="1"/>
  <c r="Z500" i="11"/>
  <c r="AA500" i="11" s="1"/>
  <c r="AB500" i="11" s="1"/>
  <c r="AC500" i="11" s="1"/>
  <c r="Z501" i="11"/>
  <c r="AA501" i="11" s="1"/>
  <c r="AB501" i="11" s="1"/>
  <c r="AC501" i="11" s="1"/>
  <c r="Z502" i="11"/>
  <c r="AA502" i="11" s="1"/>
  <c r="AB502" i="11" s="1"/>
  <c r="AC502" i="11" s="1"/>
  <c r="Z503" i="11"/>
  <c r="AA503" i="11" s="1"/>
  <c r="AB503" i="11" s="1"/>
  <c r="AC503" i="11" s="1"/>
  <c r="Z504" i="11"/>
  <c r="AA504" i="11" s="1"/>
  <c r="AB504" i="11" s="1"/>
  <c r="AC504" i="11" s="1"/>
  <c r="Z505" i="11"/>
  <c r="AA505" i="11" s="1"/>
  <c r="AB505" i="11" s="1"/>
  <c r="AC505" i="11" s="1"/>
  <c r="Z506" i="11"/>
  <c r="AA506" i="11" s="1"/>
  <c r="AB506" i="11" s="1"/>
  <c r="AC506" i="11" s="1"/>
  <c r="Z507" i="11"/>
  <c r="AA507" i="11" s="1"/>
  <c r="AB507" i="11" s="1"/>
  <c r="AC507" i="11" s="1"/>
  <c r="Z508" i="11"/>
  <c r="AA508" i="11" s="1"/>
  <c r="AB508" i="11" s="1"/>
  <c r="AC508" i="11" s="1"/>
  <c r="Z509" i="11"/>
  <c r="AA509" i="11" s="1"/>
  <c r="AB509" i="11" s="1"/>
  <c r="AC509" i="11" s="1"/>
  <c r="Z510" i="11"/>
  <c r="AA510" i="11" s="1"/>
  <c r="AB510" i="11" s="1"/>
  <c r="AC510" i="11" s="1"/>
  <c r="Z511" i="11"/>
  <c r="AA511" i="11" s="1"/>
  <c r="AB511" i="11" s="1"/>
  <c r="AC511" i="11" s="1"/>
  <c r="Z512" i="11"/>
  <c r="AA512" i="11" s="1"/>
  <c r="AB512" i="11" s="1"/>
  <c r="AC512" i="11" s="1"/>
  <c r="Z513" i="11"/>
  <c r="AA513" i="11" s="1"/>
  <c r="AB513" i="11" s="1"/>
  <c r="AC513" i="11" s="1"/>
  <c r="Z514" i="11"/>
  <c r="AA514" i="11" s="1"/>
  <c r="AB514" i="11" s="1"/>
  <c r="AC514" i="11" s="1"/>
  <c r="Z515" i="11"/>
  <c r="AA515" i="11" s="1"/>
  <c r="AB515" i="11" s="1"/>
  <c r="AC515" i="11" s="1"/>
  <c r="Z516" i="11"/>
  <c r="AA516" i="11" s="1"/>
  <c r="AB516" i="11" s="1"/>
  <c r="AC516" i="11" s="1"/>
  <c r="Z517" i="11"/>
  <c r="AA517" i="11" s="1"/>
  <c r="AB517" i="11" s="1"/>
  <c r="AC517" i="11" s="1"/>
  <c r="Z518" i="11"/>
  <c r="AA518" i="11" s="1"/>
  <c r="AB518" i="11" s="1"/>
  <c r="AC518" i="11" s="1"/>
  <c r="Z519" i="11"/>
  <c r="AA519" i="11" s="1"/>
  <c r="AB519" i="11" s="1"/>
  <c r="AC519" i="11" s="1"/>
  <c r="Z520" i="11"/>
  <c r="AA520" i="11" s="1"/>
  <c r="AB520" i="11" s="1"/>
  <c r="AC520" i="11" s="1"/>
  <c r="Z521" i="11"/>
  <c r="AA521" i="11" s="1"/>
  <c r="AB521" i="11" s="1"/>
  <c r="AC521" i="11" s="1"/>
  <c r="Z522" i="11"/>
  <c r="AA522" i="11" s="1"/>
  <c r="AB522" i="11" s="1"/>
  <c r="AC522" i="11" s="1"/>
  <c r="Z523" i="11"/>
  <c r="AA523" i="11" s="1"/>
  <c r="AB523" i="11" s="1"/>
  <c r="AC523" i="11" s="1"/>
  <c r="Z524" i="11"/>
  <c r="AA524" i="11" s="1"/>
  <c r="AB524" i="11" s="1"/>
  <c r="AC524" i="11" s="1"/>
  <c r="Z525" i="11"/>
  <c r="AA525" i="11" s="1"/>
  <c r="AB525" i="11" s="1"/>
  <c r="AC525" i="11" s="1"/>
  <c r="Z526" i="11"/>
  <c r="AA526" i="11" s="1"/>
  <c r="AB526" i="11" s="1"/>
  <c r="AC526" i="11" s="1"/>
  <c r="Z527" i="11"/>
  <c r="AA527" i="11" s="1"/>
  <c r="AB527" i="11" s="1"/>
  <c r="AC527" i="11" s="1"/>
  <c r="Z528" i="11"/>
  <c r="AA528" i="11" s="1"/>
  <c r="AB528" i="11" s="1"/>
  <c r="AC528" i="11" s="1"/>
  <c r="Z529" i="11"/>
  <c r="AA529" i="11" s="1"/>
  <c r="AB529" i="11" s="1"/>
  <c r="AC529" i="11" s="1"/>
  <c r="Z530" i="11"/>
  <c r="AA530" i="11" s="1"/>
  <c r="AB530" i="11" s="1"/>
  <c r="AC530" i="11" s="1"/>
  <c r="Z531" i="11"/>
  <c r="AA531" i="11" s="1"/>
  <c r="AB531" i="11" s="1"/>
  <c r="AC531" i="11" s="1"/>
  <c r="Z532" i="11"/>
  <c r="AA532" i="11" s="1"/>
  <c r="AB532" i="11" s="1"/>
  <c r="AC532" i="11" s="1"/>
  <c r="Z533" i="11"/>
  <c r="AA533" i="11" s="1"/>
  <c r="AB533" i="11" s="1"/>
  <c r="AC533" i="11" s="1"/>
  <c r="Z534" i="11"/>
  <c r="AA534" i="11" s="1"/>
  <c r="AB534" i="11" s="1"/>
  <c r="AC534" i="11" s="1"/>
  <c r="Z535" i="11"/>
  <c r="AA535" i="11" s="1"/>
  <c r="AB535" i="11" s="1"/>
  <c r="AC535" i="11" s="1"/>
  <c r="Z536" i="11"/>
  <c r="AA536" i="11" s="1"/>
  <c r="AB536" i="11" s="1"/>
  <c r="AC536" i="11" s="1"/>
  <c r="Z537" i="11"/>
  <c r="AA537" i="11" s="1"/>
  <c r="AB537" i="11" s="1"/>
  <c r="AC537" i="11" s="1"/>
  <c r="Z538" i="11"/>
  <c r="AA538" i="11" s="1"/>
  <c r="AB538" i="11" s="1"/>
  <c r="AC538" i="11" s="1"/>
  <c r="Z539" i="11"/>
  <c r="AA539" i="11" s="1"/>
  <c r="AB539" i="11" s="1"/>
  <c r="AC539" i="11" s="1"/>
  <c r="Z540" i="11"/>
  <c r="AA540" i="11" s="1"/>
  <c r="AB540" i="11" s="1"/>
  <c r="AC540" i="11" s="1"/>
  <c r="Z541" i="11"/>
  <c r="AA541" i="11" s="1"/>
  <c r="AB541" i="11" s="1"/>
  <c r="AC541" i="11" s="1"/>
  <c r="Z542" i="11"/>
  <c r="AA542" i="11" s="1"/>
  <c r="AB542" i="11" s="1"/>
  <c r="AC542" i="11" s="1"/>
  <c r="Z543" i="11"/>
  <c r="AA543" i="11" s="1"/>
  <c r="AB543" i="11" s="1"/>
  <c r="AC543" i="11" s="1"/>
  <c r="Z544" i="11"/>
  <c r="AA544" i="11" s="1"/>
  <c r="AB544" i="11" s="1"/>
  <c r="AC544" i="11" s="1"/>
  <c r="Z545" i="11"/>
  <c r="AA545" i="11" s="1"/>
  <c r="AB545" i="11" s="1"/>
  <c r="AC545" i="11" s="1"/>
  <c r="Z546" i="11"/>
  <c r="AA546" i="11" s="1"/>
  <c r="AB546" i="11" s="1"/>
  <c r="AC546" i="11" s="1"/>
  <c r="Z547" i="11"/>
  <c r="AA547" i="11" s="1"/>
  <c r="AB547" i="11" s="1"/>
  <c r="AC547" i="11" s="1"/>
  <c r="Z548" i="11"/>
  <c r="AA548" i="11" s="1"/>
  <c r="AB548" i="11" s="1"/>
  <c r="AC548" i="11" s="1"/>
  <c r="Z549" i="11"/>
  <c r="AA549" i="11" s="1"/>
  <c r="AB549" i="11" s="1"/>
  <c r="AC549" i="11" s="1"/>
  <c r="Z550" i="11"/>
  <c r="AA550" i="11" s="1"/>
  <c r="AB550" i="11" s="1"/>
  <c r="AC550" i="11" s="1"/>
  <c r="Z551" i="11"/>
  <c r="AA551" i="11" s="1"/>
  <c r="AB551" i="11" s="1"/>
  <c r="AC551" i="11" s="1"/>
  <c r="Z552" i="11"/>
  <c r="AA552" i="11" s="1"/>
  <c r="AB552" i="11" s="1"/>
  <c r="AC552" i="11" s="1"/>
  <c r="Z553" i="11"/>
  <c r="AA553" i="11" s="1"/>
  <c r="AB553" i="11" s="1"/>
  <c r="AC553" i="11" s="1"/>
  <c r="Z554" i="11"/>
  <c r="AA554" i="11" s="1"/>
  <c r="AB554" i="11" s="1"/>
  <c r="AC554" i="11" s="1"/>
  <c r="Z555" i="11"/>
  <c r="AA555" i="11" s="1"/>
  <c r="AB555" i="11" s="1"/>
  <c r="AC555" i="11" s="1"/>
  <c r="Z556" i="11"/>
  <c r="AA556" i="11" s="1"/>
  <c r="AB556" i="11" s="1"/>
  <c r="AC556" i="11" s="1"/>
  <c r="Z557" i="11"/>
  <c r="AA557" i="11" s="1"/>
  <c r="AB557" i="11" s="1"/>
  <c r="AC557" i="11" s="1"/>
  <c r="Z558" i="11"/>
  <c r="AA558" i="11" s="1"/>
  <c r="AB558" i="11" s="1"/>
  <c r="AC558" i="11" s="1"/>
  <c r="Z559" i="11"/>
  <c r="AA559" i="11" s="1"/>
  <c r="AB559" i="11" s="1"/>
  <c r="AC559" i="11" s="1"/>
  <c r="Z560" i="11"/>
  <c r="AA560" i="11" s="1"/>
  <c r="AB560" i="11" s="1"/>
  <c r="AC560" i="11" s="1"/>
  <c r="Z561" i="11"/>
  <c r="AA561" i="11" s="1"/>
  <c r="AB561" i="11" s="1"/>
  <c r="AC561" i="11" s="1"/>
  <c r="Z562" i="11"/>
  <c r="AA562" i="11" s="1"/>
  <c r="AB562" i="11" s="1"/>
  <c r="AC562" i="11" s="1"/>
  <c r="Z563" i="11"/>
  <c r="AA563" i="11" s="1"/>
  <c r="AB563" i="11" s="1"/>
  <c r="AC563" i="11" s="1"/>
  <c r="Z564" i="11"/>
  <c r="AA564" i="11" s="1"/>
  <c r="AB564" i="11" s="1"/>
  <c r="AC564" i="11" s="1"/>
  <c r="Z565" i="11"/>
  <c r="AA565" i="11" s="1"/>
  <c r="AB565" i="11" s="1"/>
  <c r="AC565" i="11" s="1"/>
  <c r="Z566" i="11"/>
  <c r="AA566" i="11" s="1"/>
  <c r="AB566" i="11" s="1"/>
  <c r="AC566" i="11" s="1"/>
  <c r="Z567" i="11"/>
  <c r="AA567" i="11" s="1"/>
  <c r="AB567" i="11" s="1"/>
  <c r="AC567" i="11" s="1"/>
  <c r="Z568" i="11"/>
  <c r="AA568" i="11" s="1"/>
  <c r="AB568" i="11" s="1"/>
  <c r="AC568" i="11" s="1"/>
  <c r="Z569" i="11"/>
  <c r="AA569" i="11" s="1"/>
  <c r="AB569" i="11" s="1"/>
  <c r="AC569" i="11" s="1"/>
  <c r="Z570" i="11"/>
  <c r="AA570" i="11" s="1"/>
  <c r="AB570" i="11" s="1"/>
  <c r="AC570" i="11" s="1"/>
  <c r="Z571" i="11"/>
  <c r="AA571" i="11" s="1"/>
  <c r="AB571" i="11" s="1"/>
  <c r="AC571" i="11" s="1"/>
  <c r="Z572" i="11"/>
  <c r="AA572" i="11" s="1"/>
  <c r="AB572" i="11" s="1"/>
  <c r="AC572" i="11" s="1"/>
  <c r="Z573" i="11"/>
  <c r="AA573" i="11" s="1"/>
  <c r="AB573" i="11" s="1"/>
  <c r="AC573" i="11" s="1"/>
  <c r="Z574" i="11"/>
  <c r="AA574" i="11" s="1"/>
  <c r="AB574" i="11" s="1"/>
  <c r="AC574" i="11" s="1"/>
  <c r="Z575" i="11"/>
  <c r="AA575" i="11" s="1"/>
  <c r="AB575" i="11" s="1"/>
  <c r="AC575" i="11" s="1"/>
  <c r="Z576" i="11"/>
  <c r="AA576" i="11" s="1"/>
  <c r="AB576" i="11" s="1"/>
  <c r="AC576" i="11" s="1"/>
  <c r="Z577" i="11"/>
  <c r="AA577" i="11" s="1"/>
  <c r="AB577" i="11" s="1"/>
  <c r="AC577" i="11" s="1"/>
  <c r="Z578" i="11"/>
  <c r="AA578" i="11" s="1"/>
  <c r="AB578" i="11" s="1"/>
  <c r="AC578" i="11" s="1"/>
  <c r="Z579" i="11"/>
  <c r="AA579" i="11" s="1"/>
  <c r="AB579" i="11" s="1"/>
  <c r="AC579" i="11" s="1"/>
  <c r="Z580" i="11"/>
  <c r="AA580" i="11" s="1"/>
  <c r="AB580" i="11" s="1"/>
  <c r="AC580" i="11" s="1"/>
  <c r="Z581" i="11"/>
  <c r="AA581" i="11" s="1"/>
  <c r="AB581" i="11" s="1"/>
  <c r="AC581" i="11" s="1"/>
  <c r="Z582" i="11"/>
  <c r="AA582" i="11" s="1"/>
  <c r="AB582" i="11" s="1"/>
  <c r="AC582" i="11" s="1"/>
  <c r="Z583" i="11"/>
  <c r="AA583" i="11" s="1"/>
  <c r="AB583" i="11" s="1"/>
  <c r="AC583" i="11" s="1"/>
  <c r="Z584" i="11"/>
  <c r="AA584" i="11" s="1"/>
  <c r="AB584" i="11" s="1"/>
  <c r="AC584" i="11" s="1"/>
  <c r="Z585" i="11"/>
  <c r="AA585" i="11" s="1"/>
  <c r="AB585" i="11" s="1"/>
  <c r="AC585" i="11" s="1"/>
  <c r="Z586" i="11"/>
  <c r="AA586" i="11" s="1"/>
  <c r="AB586" i="11" s="1"/>
  <c r="AC586" i="11" s="1"/>
  <c r="Z587" i="11"/>
  <c r="AA587" i="11" s="1"/>
  <c r="AB587" i="11" s="1"/>
  <c r="AC587" i="11" s="1"/>
  <c r="Z588" i="11"/>
  <c r="AA588" i="11" s="1"/>
  <c r="AB588" i="11" s="1"/>
  <c r="AC588" i="11" s="1"/>
  <c r="Z589" i="11"/>
  <c r="AA589" i="11" s="1"/>
  <c r="AB589" i="11" s="1"/>
  <c r="AC589" i="11" s="1"/>
  <c r="Z590" i="11"/>
  <c r="AA590" i="11" s="1"/>
  <c r="AB590" i="11" s="1"/>
  <c r="AC590" i="11" s="1"/>
  <c r="Z591" i="11"/>
  <c r="AA591" i="11" s="1"/>
  <c r="AB591" i="11" s="1"/>
  <c r="AC591" i="11" s="1"/>
  <c r="Z592" i="11"/>
  <c r="AA592" i="11" s="1"/>
  <c r="AB592" i="11" s="1"/>
  <c r="AC592" i="11" s="1"/>
  <c r="Z593" i="11"/>
  <c r="AA593" i="11" s="1"/>
  <c r="AB593" i="11" s="1"/>
  <c r="AC593" i="11" s="1"/>
  <c r="Z594" i="11"/>
  <c r="AA594" i="11" s="1"/>
  <c r="AB594" i="11" s="1"/>
  <c r="AC594" i="11" s="1"/>
  <c r="Z595" i="11"/>
  <c r="AA595" i="11" s="1"/>
  <c r="AB595" i="11" s="1"/>
  <c r="AC595" i="11" s="1"/>
  <c r="Z596" i="11"/>
  <c r="AA596" i="11" s="1"/>
  <c r="AB596" i="11" s="1"/>
  <c r="AC596" i="11" s="1"/>
  <c r="Z597" i="11"/>
  <c r="AA597" i="11" s="1"/>
  <c r="AB597" i="11" s="1"/>
  <c r="AC597" i="11" s="1"/>
  <c r="Z598" i="11"/>
  <c r="AA598" i="11" s="1"/>
  <c r="AB598" i="11" s="1"/>
  <c r="AC598" i="11" s="1"/>
  <c r="Z599" i="11"/>
  <c r="AA599" i="11" s="1"/>
  <c r="AB599" i="11" s="1"/>
  <c r="AC599" i="11" s="1"/>
  <c r="Z600" i="11"/>
  <c r="AA600" i="11" s="1"/>
  <c r="AB600" i="11" s="1"/>
  <c r="AC600" i="11" s="1"/>
  <c r="Z601" i="11"/>
  <c r="AA601" i="11" s="1"/>
  <c r="AB601" i="11" s="1"/>
  <c r="AC601" i="11" s="1"/>
  <c r="Z602" i="11"/>
  <c r="AA602" i="11" s="1"/>
  <c r="AB602" i="11" s="1"/>
  <c r="AC602" i="11" s="1"/>
  <c r="Z603" i="11"/>
  <c r="AA603" i="11" s="1"/>
  <c r="AB603" i="11" s="1"/>
  <c r="AC603" i="11" s="1"/>
  <c r="Z604" i="11"/>
  <c r="AA604" i="11" s="1"/>
  <c r="AB604" i="11" s="1"/>
  <c r="AC604" i="11" s="1"/>
  <c r="Z605" i="11"/>
  <c r="AA605" i="11" s="1"/>
  <c r="AB605" i="11" s="1"/>
  <c r="AC605" i="11" s="1"/>
  <c r="Z606" i="11"/>
  <c r="AA606" i="11" s="1"/>
  <c r="AB606" i="11" s="1"/>
  <c r="AC606" i="11" s="1"/>
  <c r="Z607" i="11"/>
  <c r="AA607" i="11" s="1"/>
  <c r="AB607" i="11" s="1"/>
  <c r="AC607" i="11" s="1"/>
  <c r="Z608" i="11"/>
  <c r="AA608" i="11" s="1"/>
  <c r="AB608" i="11" s="1"/>
  <c r="AC608" i="11" s="1"/>
  <c r="Z609" i="11"/>
  <c r="AA609" i="11" s="1"/>
  <c r="AB609" i="11" s="1"/>
  <c r="AC609" i="11" s="1"/>
  <c r="Z610" i="11"/>
  <c r="AA610" i="11" s="1"/>
  <c r="AB610" i="11" s="1"/>
  <c r="AC610" i="11" s="1"/>
  <c r="Z611" i="11"/>
  <c r="AA611" i="11" s="1"/>
  <c r="AB611" i="11" s="1"/>
  <c r="AC611" i="11" s="1"/>
  <c r="Z612" i="11"/>
  <c r="AA612" i="11" s="1"/>
  <c r="AB612" i="11" s="1"/>
  <c r="AC612" i="11" s="1"/>
  <c r="Z613" i="11"/>
  <c r="AA613" i="11" s="1"/>
  <c r="AB613" i="11" s="1"/>
  <c r="AC613" i="11" s="1"/>
  <c r="Z614" i="11"/>
  <c r="AA614" i="11" s="1"/>
  <c r="AB614" i="11" s="1"/>
  <c r="AC614" i="11" s="1"/>
  <c r="Z615" i="11"/>
  <c r="AA615" i="11" s="1"/>
  <c r="AB615" i="11" s="1"/>
  <c r="AC615" i="11" s="1"/>
  <c r="Z616" i="11"/>
  <c r="AA616" i="11" s="1"/>
  <c r="AB616" i="11" s="1"/>
  <c r="AC616" i="11" s="1"/>
  <c r="Z617" i="11"/>
  <c r="AA617" i="11" s="1"/>
  <c r="AB617" i="11" s="1"/>
  <c r="AC617" i="11" s="1"/>
  <c r="Z618" i="11"/>
  <c r="AA618" i="11" s="1"/>
  <c r="AB618" i="11" s="1"/>
  <c r="AC618" i="11" s="1"/>
  <c r="Z619" i="11"/>
  <c r="AA619" i="11" s="1"/>
  <c r="AB619" i="11" s="1"/>
  <c r="AC619" i="11" s="1"/>
  <c r="Z620" i="11"/>
  <c r="AA620" i="11" s="1"/>
  <c r="AB620" i="11" s="1"/>
  <c r="AC620" i="11" s="1"/>
  <c r="Z621" i="11"/>
  <c r="AA621" i="11" s="1"/>
  <c r="AB621" i="11" s="1"/>
  <c r="AC621" i="11" s="1"/>
  <c r="Z622" i="11"/>
  <c r="AA622" i="11" s="1"/>
  <c r="AB622" i="11" s="1"/>
  <c r="AC622" i="11" s="1"/>
  <c r="Z623" i="11"/>
  <c r="AA623" i="11" s="1"/>
  <c r="AB623" i="11" s="1"/>
  <c r="AC623" i="11" s="1"/>
  <c r="Z624" i="11"/>
  <c r="AA624" i="11" s="1"/>
  <c r="AB624" i="11" s="1"/>
  <c r="AC624" i="11" s="1"/>
  <c r="Z625" i="11"/>
  <c r="AA625" i="11" s="1"/>
  <c r="AB625" i="11" s="1"/>
  <c r="AC625" i="11" s="1"/>
  <c r="Z626" i="11"/>
  <c r="AA626" i="11" s="1"/>
  <c r="AB626" i="11" s="1"/>
  <c r="AC626" i="11" s="1"/>
  <c r="Z627" i="11"/>
  <c r="AA627" i="11" s="1"/>
  <c r="AB627" i="11" s="1"/>
  <c r="AC627" i="11" s="1"/>
  <c r="Z628" i="11"/>
  <c r="AA628" i="11" s="1"/>
  <c r="AB628" i="11" s="1"/>
  <c r="AC628" i="11" s="1"/>
  <c r="Z629" i="11"/>
  <c r="AA629" i="11" s="1"/>
  <c r="AB629" i="11" s="1"/>
  <c r="AC629" i="11" s="1"/>
  <c r="Z630" i="11"/>
  <c r="AA630" i="11" s="1"/>
  <c r="AB630" i="11" s="1"/>
  <c r="AC630" i="11" s="1"/>
  <c r="Z631" i="11"/>
  <c r="AA631" i="11" s="1"/>
  <c r="AB631" i="11" s="1"/>
  <c r="AC631" i="11" s="1"/>
  <c r="Z632" i="11"/>
  <c r="AA632" i="11" s="1"/>
  <c r="AB632" i="11" s="1"/>
  <c r="AC632" i="11" s="1"/>
  <c r="Z633" i="11"/>
  <c r="AA633" i="11" s="1"/>
  <c r="AB633" i="11" s="1"/>
  <c r="AC633" i="11" s="1"/>
  <c r="Z634" i="11"/>
  <c r="AA634" i="11" s="1"/>
  <c r="AB634" i="11" s="1"/>
  <c r="AC634" i="11" s="1"/>
  <c r="Z635" i="11"/>
  <c r="AA635" i="11" s="1"/>
  <c r="AB635" i="11" s="1"/>
  <c r="AC635" i="11" s="1"/>
  <c r="Z636" i="11"/>
  <c r="AA636" i="11" s="1"/>
  <c r="AB636" i="11" s="1"/>
  <c r="AC636" i="11" s="1"/>
  <c r="Z637" i="11"/>
  <c r="AA637" i="11" s="1"/>
  <c r="AB637" i="11" s="1"/>
  <c r="AC637" i="11" s="1"/>
  <c r="Z638" i="11"/>
  <c r="AA638" i="11" s="1"/>
  <c r="AB638" i="11" s="1"/>
  <c r="AC638" i="11" s="1"/>
  <c r="Z639" i="11"/>
  <c r="AA639" i="11" s="1"/>
  <c r="AB639" i="11" s="1"/>
  <c r="AC639" i="11" s="1"/>
  <c r="Z640" i="11"/>
  <c r="AA640" i="11" s="1"/>
  <c r="AB640" i="11" s="1"/>
  <c r="AC640" i="11" s="1"/>
  <c r="Z641" i="11"/>
  <c r="AA641" i="11" s="1"/>
  <c r="AB641" i="11" s="1"/>
  <c r="AC641" i="11" s="1"/>
  <c r="Z642" i="11"/>
  <c r="AA642" i="11" s="1"/>
  <c r="AB642" i="11" s="1"/>
  <c r="AC642" i="11" s="1"/>
  <c r="Z643" i="11"/>
  <c r="AA643" i="11" s="1"/>
  <c r="AB643" i="11" s="1"/>
  <c r="AC643" i="11" s="1"/>
  <c r="Z644" i="11"/>
  <c r="AA644" i="11" s="1"/>
  <c r="AB644" i="11" s="1"/>
  <c r="AC644" i="11" s="1"/>
  <c r="Z645" i="11"/>
  <c r="AA645" i="11" s="1"/>
  <c r="AB645" i="11" s="1"/>
  <c r="AC645" i="11" s="1"/>
  <c r="Z646" i="11"/>
  <c r="AA646" i="11" s="1"/>
  <c r="AB646" i="11" s="1"/>
  <c r="AC646" i="11" s="1"/>
  <c r="Z647" i="11"/>
  <c r="AA647" i="11" s="1"/>
  <c r="AB647" i="11" s="1"/>
  <c r="AC647" i="11" s="1"/>
  <c r="Z648" i="11"/>
  <c r="AA648" i="11" s="1"/>
  <c r="AB648" i="11" s="1"/>
  <c r="AC648" i="11" s="1"/>
  <c r="Z649" i="11"/>
  <c r="AA649" i="11" s="1"/>
  <c r="AB649" i="11" s="1"/>
  <c r="AC649" i="11" s="1"/>
  <c r="Z650" i="11"/>
  <c r="AA650" i="11" s="1"/>
  <c r="AB650" i="11" s="1"/>
  <c r="AC650" i="11" s="1"/>
  <c r="Z651" i="11"/>
  <c r="AA651" i="11" s="1"/>
  <c r="AB651" i="11" s="1"/>
  <c r="AC651" i="11" s="1"/>
  <c r="Z652" i="11"/>
  <c r="AA652" i="11" s="1"/>
  <c r="AB652" i="11" s="1"/>
  <c r="AC652" i="11" s="1"/>
  <c r="Z653" i="11"/>
  <c r="AA653" i="11" s="1"/>
  <c r="AB653" i="11" s="1"/>
  <c r="AC653" i="11" s="1"/>
  <c r="Z654" i="11"/>
  <c r="AA654" i="11" s="1"/>
  <c r="AB654" i="11" s="1"/>
  <c r="AC654" i="11" s="1"/>
  <c r="Z655" i="11"/>
  <c r="AA655" i="11" s="1"/>
  <c r="AB655" i="11" s="1"/>
  <c r="AC655" i="11" s="1"/>
  <c r="Z656" i="11"/>
  <c r="AA656" i="11" s="1"/>
  <c r="AB656" i="11" s="1"/>
  <c r="AC656" i="11" s="1"/>
  <c r="Z657" i="11"/>
  <c r="AA657" i="11" s="1"/>
  <c r="AB657" i="11" s="1"/>
  <c r="AC657" i="11" s="1"/>
  <c r="Z658" i="11"/>
  <c r="AA658" i="11" s="1"/>
  <c r="AB658" i="11" s="1"/>
  <c r="AC658" i="11" s="1"/>
  <c r="Z659" i="11"/>
  <c r="AA659" i="11" s="1"/>
  <c r="AB659" i="11" s="1"/>
  <c r="AC659" i="11" s="1"/>
  <c r="Z660" i="11"/>
  <c r="AA660" i="11" s="1"/>
  <c r="AB660" i="11" s="1"/>
  <c r="AC660" i="11" s="1"/>
  <c r="Z661" i="11"/>
  <c r="AA661" i="11" s="1"/>
  <c r="AB661" i="11" s="1"/>
  <c r="AC661" i="11" s="1"/>
  <c r="Z662" i="11"/>
  <c r="AA662" i="11" s="1"/>
  <c r="AB662" i="11" s="1"/>
  <c r="AC662" i="11" s="1"/>
  <c r="Z663" i="11"/>
  <c r="AA663" i="11" s="1"/>
  <c r="AB663" i="11" s="1"/>
  <c r="AC663" i="11" s="1"/>
  <c r="Z664" i="11"/>
  <c r="AA664" i="11" s="1"/>
  <c r="AB664" i="11" s="1"/>
  <c r="AC664" i="11" s="1"/>
  <c r="Z665" i="11"/>
  <c r="AA665" i="11" s="1"/>
  <c r="AB665" i="11" s="1"/>
  <c r="AC665" i="11" s="1"/>
  <c r="Z666" i="11"/>
  <c r="AA666" i="11" s="1"/>
  <c r="AB666" i="11" s="1"/>
  <c r="AC666" i="11" s="1"/>
  <c r="Z667" i="11"/>
  <c r="AA667" i="11" s="1"/>
  <c r="AB667" i="11" s="1"/>
  <c r="AC667" i="11" s="1"/>
  <c r="Z668" i="11"/>
  <c r="AA668" i="11" s="1"/>
  <c r="AB668" i="11" s="1"/>
  <c r="AC668" i="11" s="1"/>
  <c r="Z669" i="11"/>
  <c r="AA669" i="11" s="1"/>
  <c r="AB669" i="11" s="1"/>
  <c r="AC669" i="11" s="1"/>
  <c r="Z670" i="11"/>
  <c r="AA670" i="11" s="1"/>
  <c r="AB670" i="11" s="1"/>
  <c r="AC670" i="11" s="1"/>
  <c r="Z671" i="11"/>
  <c r="AA671" i="11" s="1"/>
  <c r="AB671" i="11" s="1"/>
  <c r="AC671" i="11" s="1"/>
  <c r="Z672" i="11"/>
  <c r="AA672" i="11" s="1"/>
  <c r="AB672" i="11" s="1"/>
  <c r="AC672" i="11" s="1"/>
  <c r="Z673" i="11"/>
  <c r="AA673" i="11" s="1"/>
  <c r="AB673" i="11" s="1"/>
  <c r="AC673" i="11" s="1"/>
  <c r="Z674" i="11"/>
  <c r="AA674" i="11" s="1"/>
  <c r="AB674" i="11" s="1"/>
  <c r="AC674" i="11" s="1"/>
  <c r="Z675" i="11"/>
  <c r="AA675" i="11" s="1"/>
  <c r="AB675" i="11" s="1"/>
  <c r="AC675" i="11" s="1"/>
  <c r="Z676" i="11"/>
  <c r="AA676" i="11" s="1"/>
  <c r="AB676" i="11" s="1"/>
  <c r="AC676" i="11" s="1"/>
  <c r="Z677" i="11"/>
  <c r="AA677" i="11" s="1"/>
  <c r="AB677" i="11" s="1"/>
  <c r="AC677" i="11" s="1"/>
  <c r="Z678" i="11"/>
  <c r="AA678" i="11" s="1"/>
  <c r="AB678" i="11" s="1"/>
  <c r="AC678" i="11" s="1"/>
  <c r="Z679" i="11"/>
  <c r="AA679" i="11" s="1"/>
  <c r="AB679" i="11" s="1"/>
  <c r="AC679" i="11" s="1"/>
  <c r="Z680" i="11"/>
  <c r="AA680" i="11" s="1"/>
  <c r="AB680" i="11" s="1"/>
  <c r="AC680" i="11" s="1"/>
  <c r="Z681" i="11"/>
  <c r="AA681" i="11" s="1"/>
  <c r="AB681" i="11" s="1"/>
  <c r="AC681" i="11" s="1"/>
  <c r="Z682" i="11"/>
  <c r="AA682" i="11" s="1"/>
  <c r="AB682" i="11" s="1"/>
  <c r="AC682" i="11" s="1"/>
  <c r="Z683" i="11"/>
  <c r="AA683" i="11" s="1"/>
  <c r="AB683" i="11" s="1"/>
  <c r="AC683" i="11" s="1"/>
  <c r="Z684" i="11"/>
  <c r="AA684" i="11" s="1"/>
  <c r="AB684" i="11" s="1"/>
  <c r="AC684" i="11" s="1"/>
  <c r="Z685" i="11"/>
  <c r="AA685" i="11" s="1"/>
  <c r="AB685" i="11" s="1"/>
  <c r="AC685" i="11" s="1"/>
  <c r="Z686" i="11"/>
  <c r="AA686" i="11" s="1"/>
  <c r="AB686" i="11" s="1"/>
  <c r="AC686" i="11" s="1"/>
  <c r="Z687" i="11"/>
  <c r="AA687" i="11" s="1"/>
  <c r="AB687" i="11" s="1"/>
  <c r="AC687" i="11" s="1"/>
  <c r="Z688" i="11"/>
  <c r="AA688" i="11" s="1"/>
  <c r="AB688" i="11" s="1"/>
  <c r="AC688" i="11" s="1"/>
  <c r="Z689" i="11"/>
  <c r="AA689" i="11" s="1"/>
  <c r="AB689" i="11" s="1"/>
  <c r="AC689" i="11" s="1"/>
  <c r="Z690" i="11"/>
  <c r="AA690" i="11" s="1"/>
  <c r="AB690" i="11" s="1"/>
  <c r="AC690" i="11" s="1"/>
  <c r="Z691" i="11"/>
  <c r="AA691" i="11" s="1"/>
  <c r="AB691" i="11" s="1"/>
  <c r="AC691" i="11" s="1"/>
  <c r="Z692" i="11"/>
  <c r="AA692" i="11" s="1"/>
  <c r="AB692" i="11" s="1"/>
  <c r="AC692" i="11" s="1"/>
  <c r="Z693" i="11"/>
  <c r="AA693" i="11" s="1"/>
  <c r="AB693" i="11" s="1"/>
  <c r="AC693" i="11" s="1"/>
  <c r="Z694" i="11"/>
  <c r="AA694" i="11" s="1"/>
  <c r="AB694" i="11" s="1"/>
  <c r="AC694" i="11" s="1"/>
  <c r="Z695" i="11"/>
  <c r="AA695" i="11" s="1"/>
  <c r="AB695" i="11" s="1"/>
  <c r="AC695" i="11" s="1"/>
  <c r="Z696" i="11"/>
  <c r="AA696" i="11" s="1"/>
  <c r="AB696" i="11" s="1"/>
  <c r="AC696" i="11" s="1"/>
  <c r="Z697" i="11"/>
  <c r="AA697" i="11" s="1"/>
  <c r="AB697" i="11" s="1"/>
  <c r="AC697" i="11" s="1"/>
  <c r="Z698" i="11"/>
  <c r="AA698" i="11" s="1"/>
  <c r="AB698" i="11" s="1"/>
  <c r="AC698" i="11" s="1"/>
  <c r="Z699" i="11"/>
  <c r="AA699" i="11" s="1"/>
  <c r="AB699" i="11" s="1"/>
  <c r="AC699" i="11" s="1"/>
  <c r="Z700" i="11"/>
  <c r="AA700" i="11" s="1"/>
  <c r="AB700" i="11" s="1"/>
  <c r="AC700" i="11" s="1"/>
  <c r="Z701" i="11"/>
  <c r="AA701" i="11" s="1"/>
  <c r="AB701" i="11" s="1"/>
  <c r="AC701" i="11" s="1"/>
  <c r="Z702" i="11"/>
  <c r="AA702" i="11" s="1"/>
  <c r="AB702" i="11" s="1"/>
  <c r="AC702" i="11" s="1"/>
  <c r="Z703" i="11"/>
  <c r="AA703" i="11" s="1"/>
  <c r="AB703" i="11" s="1"/>
  <c r="AC703" i="11" s="1"/>
  <c r="Z704" i="11"/>
  <c r="AA704" i="11" s="1"/>
  <c r="AB704" i="11" s="1"/>
  <c r="AC704" i="11" s="1"/>
  <c r="Z705" i="11"/>
  <c r="AA705" i="11" s="1"/>
  <c r="AB705" i="11" s="1"/>
  <c r="AC705" i="11" s="1"/>
  <c r="Z706" i="11"/>
  <c r="AA706" i="11" s="1"/>
  <c r="AB706" i="11" s="1"/>
  <c r="AC706" i="11" s="1"/>
  <c r="Z707" i="11"/>
  <c r="AA707" i="11" s="1"/>
  <c r="AB707" i="11" s="1"/>
  <c r="AC707" i="11" s="1"/>
  <c r="Z708" i="11"/>
  <c r="AA708" i="11" s="1"/>
  <c r="AB708" i="11" s="1"/>
  <c r="AC708" i="11" s="1"/>
  <c r="Z709" i="11"/>
  <c r="AA709" i="11" s="1"/>
  <c r="AB709" i="11" s="1"/>
  <c r="AC709" i="11" s="1"/>
  <c r="Z710" i="11"/>
  <c r="AA710" i="11" s="1"/>
  <c r="AB710" i="11" s="1"/>
  <c r="AC710" i="11" s="1"/>
  <c r="Z711" i="11"/>
  <c r="AA711" i="11" s="1"/>
  <c r="AB711" i="11" s="1"/>
  <c r="AC711" i="11" s="1"/>
  <c r="Z712" i="11"/>
  <c r="AA712" i="11" s="1"/>
  <c r="AB712" i="11" s="1"/>
  <c r="AC712" i="11" s="1"/>
  <c r="Z713" i="11"/>
  <c r="AA713" i="11" s="1"/>
  <c r="AB713" i="11" s="1"/>
  <c r="AC713" i="11" s="1"/>
  <c r="Z714" i="11"/>
  <c r="AA714" i="11" s="1"/>
  <c r="AB714" i="11" s="1"/>
  <c r="AC714" i="11" s="1"/>
  <c r="Z715" i="11"/>
  <c r="AA715" i="11" s="1"/>
  <c r="AB715" i="11" s="1"/>
  <c r="AC715" i="11" s="1"/>
  <c r="Z716" i="11"/>
  <c r="AA716" i="11" s="1"/>
  <c r="AB716" i="11" s="1"/>
  <c r="AC716" i="11" s="1"/>
  <c r="Z717" i="11"/>
  <c r="AA717" i="11" s="1"/>
  <c r="AB717" i="11" s="1"/>
  <c r="AC717" i="11" s="1"/>
  <c r="Z718" i="11"/>
  <c r="AA718" i="11" s="1"/>
  <c r="AB718" i="11" s="1"/>
  <c r="AC718" i="11" s="1"/>
  <c r="Z719" i="11"/>
  <c r="AA719" i="11" s="1"/>
  <c r="AB719" i="11" s="1"/>
  <c r="AC719" i="11" s="1"/>
  <c r="Z720" i="11"/>
  <c r="AA720" i="11" s="1"/>
  <c r="AB720" i="11" s="1"/>
  <c r="AC720" i="11" s="1"/>
  <c r="Z721" i="11"/>
  <c r="AA721" i="11" s="1"/>
  <c r="AB721" i="11" s="1"/>
  <c r="AC721" i="11" s="1"/>
  <c r="Z722" i="11"/>
  <c r="AA722" i="11" s="1"/>
  <c r="AB722" i="11" s="1"/>
  <c r="AC722" i="11" s="1"/>
  <c r="Z723" i="11"/>
  <c r="AA723" i="11" s="1"/>
  <c r="AB723" i="11" s="1"/>
  <c r="AC723" i="11" s="1"/>
  <c r="Z724" i="11"/>
  <c r="AA724" i="11" s="1"/>
  <c r="AB724" i="11" s="1"/>
  <c r="AC724" i="11" s="1"/>
  <c r="Z725" i="11"/>
  <c r="AA725" i="11" s="1"/>
  <c r="AB725" i="11" s="1"/>
  <c r="AC725" i="11" s="1"/>
  <c r="Z726" i="11"/>
  <c r="AA726" i="11" s="1"/>
  <c r="AB726" i="11" s="1"/>
  <c r="AC726" i="11" s="1"/>
  <c r="Z727" i="11"/>
  <c r="AA727" i="11" s="1"/>
  <c r="AB727" i="11" s="1"/>
  <c r="AC727" i="11" s="1"/>
  <c r="Z728" i="11"/>
  <c r="AA728" i="11" s="1"/>
  <c r="AB728" i="11" s="1"/>
  <c r="AC728" i="11" s="1"/>
  <c r="Z729" i="11"/>
  <c r="AA729" i="11" s="1"/>
  <c r="AB729" i="11" s="1"/>
  <c r="AC729" i="11" s="1"/>
  <c r="Z730" i="11"/>
  <c r="AA730" i="11" s="1"/>
  <c r="AB730" i="11" s="1"/>
  <c r="AC730" i="11" s="1"/>
  <c r="Z731" i="11"/>
  <c r="AA731" i="11" s="1"/>
  <c r="AB731" i="11" s="1"/>
  <c r="AC731" i="11" s="1"/>
  <c r="Z732" i="11"/>
  <c r="AA732" i="11" s="1"/>
  <c r="AB732" i="11" s="1"/>
  <c r="AC732" i="11" s="1"/>
  <c r="Z733" i="11"/>
  <c r="AA733" i="11" s="1"/>
  <c r="AB733" i="11" s="1"/>
  <c r="AC733" i="11" s="1"/>
  <c r="Z734" i="11"/>
  <c r="AA734" i="11" s="1"/>
  <c r="AB734" i="11" s="1"/>
  <c r="AC734" i="11" s="1"/>
  <c r="Z735" i="11"/>
  <c r="AA735" i="11" s="1"/>
  <c r="AB735" i="11" s="1"/>
  <c r="AC735" i="11" s="1"/>
  <c r="Z736" i="11"/>
  <c r="AA736" i="11" s="1"/>
  <c r="AB736" i="11" s="1"/>
  <c r="AC736" i="11" s="1"/>
  <c r="Z737" i="11"/>
  <c r="AA737" i="11" s="1"/>
  <c r="AB737" i="11" s="1"/>
  <c r="AC737" i="11" s="1"/>
  <c r="Z738" i="11"/>
  <c r="AA738" i="11" s="1"/>
  <c r="AB738" i="11" s="1"/>
  <c r="AC738" i="11" s="1"/>
  <c r="Z739" i="11"/>
  <c r="AA739" i="11" s="1"/>
  <c r="AB739" i="11" s="1"/>
  <c r="AC739" i="11" s="1"/>
  <c r="Z740" i="11"/>
  <c r="AA740" i="11" s="1"/>
  <c r="AB740" i="11" s="1"/>
  <c r="AC740" i="11" s="1"/>
  <c r="Z741" i="11"/>
  <c r="AA741" i="11" s="1"/>
  <c r="AB741" i="11" s="1"/>
  <c r="AC741" i="11" s="1"/>
  <c r="Z742" i="11"/>
  <c r="AA742" i="11" s="1"/>
  <c r="AB742" i="11" s="1"/>
  <c r="AC742" i="11" s="1"/>
  <c r="Z743" i="11"/>
  <c r="AA743" i="11" s="1"/>
  <c r="AB743" i="11" s="1"/>
  <c r="AC743" i="11" s="1"/>
  <c r="Z744" i="11"/>
  <c r="AA744" i="11" s="1"/>
  <c r="AB744" i="11" s="1"/>
  <c r="AC744" i="11" s="1"/>
  <c r="Z745" i="11"/>
  <c r="AA745" i="11" s="1"/>
  <c r="AB745" i="11" s="1"/>
  <c r="AC745" i="11" s="1"/>
  <c r="Z746" i="11"/>
  <c r="AA746" i="11" s="1"/>
  <c r="AB746" i="11" s="1"/>
  <c r="AC746" i="11" s="1"/>
  <c r="Z747" i="11"/>
  <c r="AA747" i="11" s="1"/>
  <c r="AB747" i="11" s="1"/>
  <c r="AC747" i="11" s="1"/>
  <c r="Z748" i="11"/>
  <c r="AA748" i="11" s="1"/>
  <c r="AB748" i="11" s="1"/>
  <c r="AC748" i="11" s="1"/>
  <c r="Z749" i="11"/>
  <c r="AA749" i="11" s="1"/>
  <c r="AB749" i="11" s="1"/>
  <c r="AC749" i="11" s="1"/>
  <c r="Z750" i="11"/>
  <c r="AA750" i="11" s="1"/>
  <c r="AB750" i="11" s="1"/>
  <c r="AC750" i="11" s="1"/>
  <c r="Z751" i="11"/>
  <c r="AA751" i="11" s="1"/>
  <c r="AB751" i="11" s="1"/>
  <c r="AC751" i="11" s="1"/>
  <c r="Z752" i="11"/>
  <c r="AA752" i="11" s="1"/>
  <c r="AB752" i="11" s="1"/>
  <c r="AC752" i="11" s="1"/>
  <c r="Z753" i="11"/>
  <c r="AA753" i="11" s="1"/>
  <c r="AB753" i="11" s="1"/>
  <c r="AC753" i="11" s="1"/>
  <c r="Z754" i="11"/>
  <c r="AA754" i="11" s="1"/>
  <c r="AB754" i="11" s="1"/>
  <c r="AC754" i="11" s="1"/>
  <c r="Z755" i="11"/>
  <c r="AA755" i="11" s="1"/>
  <c r="AB755" i="11" s="1"/>
  <c r="AC755" i="11" s="1"/>
  <c r="Z756" i="11"/>
  <c r="AA756" i="11" s="1"/>
  <c r="AB756" i="11" s="1"/>
  <c r="AC756" i="11" s="1"/>
  <c r="Z757" i="11"/>
  <c r="AA757" i="11" s="1"/>
  <c r="AB757" i="11" s="1"/>
  <c r="AC757" i="11" s="1"/>
  <c r="Z758" i="11"/>
  <c r="AA758" i="11" s="1"/>
  <c r="AB758" i="11" s="1"/>
  <c r="AC758" i="11" s="1"/>
  <c r="Z759" i="11"/>
  <c r="AA759" i="11" s="1"/>
  <c r="AB759" i="11" s="1"/>
  <c r="AC759" i="11" s="1"/>
  <c r="Z760" i="11"/>
  <c r="AA760" i="11" s="1"/>
  <c r="AB760" i="11" s="1"/>
  <c r="AC760" i="11" s="1"/>
  <c r="Z761" i="11"/>
  <c r="AA761" i="11" s="1"/>
  <c r="AB761" i="11" s="1"/>
  <c r="AC761" i="11" s="1"/>
  <c r="Z762" i="11"/>
  <c r="AA762" i="11" s="1"/>
  <c r="AB762" i="11" s="1"/>
  <c r="AC762" i="11" s="1"/>
  <c r="Z763" i="11"/>
  <c r="AA763" i="11" s="1"/>
  <c r="AB763" i="11" s="1"/>
  <c r="AC763" i="11" s="1"/>
  <c r="Z764" i="11"/>
  <c r="AA764" i="11" s="1"/>
  <c r="AB764" i="11" s="1"/>
  <c r="AC764" i="11" s="1"/>
  <c r="Z765" i="11"/>
  <c r="AA765" i="11" s="1"/>
  <c r="AB765" i="11" s="1"/>
  <c r="AC765" i="11" s="1"/>
  <c r="Z766" i="11"/>
  <c r="AA766" i="11" s="1"/>
  <c r="AB766" i="11" s="1"/>
  <c r="AC766" i="11" s="1"/>
  <c r="Z767" i="11"/>
  <c r="AA767" i="11" s="1"/>
  <c r="AB767" i="11" s="1"/>
  <c r="AC767" i="11" s="1"/>
  <c r="Z768" i="11"/>
  <c r="AA768" i="11" s="1"/>
  <c r="AB768" i="11" s="1"/>
  <c r="AC768" i="11" s="1"/>
  <c r="Z769" i="11"/>
  <c r="AA769" i="11" s="1"/>
  <c r="AB769" i="11" s="1"/>
  <c r="AC769" i="11" s="1"/>
  <c r="Z770" i="11"/>
  <c r="AA770" i="11" s="1"/>
  <c r="AB770" i="11" s="1"/>
  <c r="AC770" i="11" s="1"/>
  <c r="Z771" i="11"/>
  <c r="AA771" i="11" s="1"/>
  <c r="AB771" i="11" s="1"/>
  <c r="AC771" i="11" s="1"/>
  <c r="Z772" i="11"/>
  <c r="AA772" i="11" s="1"/>
  <c r="AB772" i="11" s="1"/>
  <c r="AC772" i="11" s="1"/>
  <c r="Z773" i="11"/>
  <c r="AA773" i="11" s="1"/>
  <c r="AB773" i="11" s="1"/>
  <c r="AC773" i="11" s="1"/>
  <c r="Z774" i="11"/>
  <c r="AA774" i="11" s="1"/>
  <c r="AB774" i="11" s="1"/>
  <c r="AC774" i="11" s="1"/>
  <c r="Z775" i="11"/>
  <c r="AA775" i="11" s="1"/>
  <c r="AB775" i="11" s="1"/>
  <c r="AC775" i="11" s="1"/>
  <c r="Z776" i="11"/>
  <c r="AA776" i="11" s="1"/>
  <c r="AB776" i="11" s="1"/>
  <c r="AC776" i="11" s="1"/>
  <c r="Z777" i="11"/>
  <c r="AA777" i="11" s="1"/>
  <c r="AB777" i="11" s="1"/>
  <c r="AC777" i="11" s="1"/>
  <c r="Z778" i="11"/>
  <c r="AA778" i="11" s="1"/>
  <c r="AB778" i="11" s="1"/>
  <c r="AC778" i="11" s="1"/>
  <c r="Z779" i="11"/>
  <c r="AA779" i="11" s="1"/>
  <c r="AB779" i="11" s="1"/>
  <c r="AC779" i="11" s="1"/>
  <c r="Z780" i="11"/>
  <c r="AA780" i="11" s="1"/>
  <c r="AB780" i="11" s="1"/>
  <c r="AC780" i="11" s="1"/>
  <c r="Z781" i="11"/>
  <c r="AA781" i="11" s="1"/>
  <c r="AB781" i="11" s="1"/>
  <c r="AC781" i="11" s="1"/>
  <c r="Z782" i="11"/>
  <c r="AA782" i="11" s="1"/>
  <c r="AB782" i="11" s="1"/>
  <c r="AC782" i="11" s="1"/>
  <c r="Z783" i="11"/>
  <c r="AA783" i="11" s="1"/>
  <c r="AB783" i="11" s="1"/>
  <c r="AC783" i="11" s="1"/>
  <c r="Z784" i="11"/>
  <c r="AA784" i="11" s="1"/>
  <c r="AB784" i="11" s="1"/>
  <c r="AC784" i="11" s="1"/>
  <c r="Z785" i="11"/>
  <c r="AA785" i="11" s="1"/>
  <c r="AB785" i="11" s="1"/>
  <c r="AC785" i="11" s="1"/>
  <c r="Z786" i="11"/>
  <c r="AA786" i="11" s="1"/>
  <c r="AB786" i="11" s="1"/>
  <c r="AC786" i="11" s="1"/>
  <c r="Z787" i="11"/>
  <c r="AA787" i="11" s="1"/>
  <c r="AB787" i="11" s="1"/>
  <c r="AC787" i="11" s="1"/>
  <c r="Z788" i="11"/>
  <c r="AA788" i="11" s="1"/>
  <c r="AB788" i="11" s="1"/>
  <c r="AC788" i="11" s="1"/>
  <c r="Z789" i="11"/>
  <c r="AA789" i="11" s="1"/>
  <c r="AB789" i="11" s="1"/>
  <c r="AC789" i="11" s="1"/>
  <c r="Z790" i="11"/>
  <c r="AA790" i="11" s="1"/>
  <c r="AB790" i="11" s="1"/>
  <c r="AC790" i="11" s="1"/>
  <c r="Z791" i="11"/>
  <c r="AA791" i="11" s="1"/>
  <c r="AB791" i="11" s="1"/>
  <c r="AC791" i="11" s="1"/>
  <c r="Z792" i="11"/>
  <c r="AA792" i="11" s="1"/>
  <c r="AB792" i="11" s="1"/>
  <c r="AC792" i="11" s="1"/>
  <c r="Z793" i="11"/>
  <c r="AA793" i="11" s="1"/>
  <c r="AB793" i="11" s="1"/>
  <c r="AC793" i="11" s="1"/>
  <c r="Z794" i="11"/>
  <c r="AA794" i="11" s="1"/>
  <c r="AB794" i="11" s="1"/>
  <c r="AC794" i="11" s="1"/>
  <c r="Z795" i="11"/>
  <c r="AA795" i="11" s="1"/>
  <c r="AB795" i="11" s="1"/>
  <c r="AC795" i="11" s="1"/>
  <c r="Z796" i="11"/>
  <c r="AA796" i="11" s="1"/>
  <c r="AB796" i="11" s="1"/>
  <c r="AC796" i="11" s="1"/>
  <c r="Z797" i="11"/>
  <c r="AA797" i="11" s="1"/>
  <c r="AB797" i="11" s="1"/>
  <c r="AC797" i="11" s="1"/>
  <c r="Z798" i="11"/>
  <c r="AA798" i="11" s="1"/>
  <c r="AB798" i="11" s="1"/>
  <c r="AC798" i="11" s="1"/>
  <c r="Z799" i="11"/>
  <c r="AA799" i="11" s="1"/>
  <c r="AB799" i="11" s="1"/>
  <c r="AC799" i="11" s="1"/>
  <c r="Z800" i="11"/>
  <c r="AA800" i="11" s="1"/>
  <c r="AB800" i="11" s="1"/>
  <c r="AC800" i="11" s="1"/>
  <c r="Z801" i="11"/>
  <c r="AA801" i="11" s="1"/>
  <c r="AB801" i="11" s="1"/>
  <c r="AC801" i="11" s="1"/>
  <c r="Z802" i="11"/>
  <c r="AA802" i="11" s="1"/>
  <c r="AB802" i="11" s="1"/>
  <c r="AC802" i="11" s="1"/>
  <c r="Z803" i="11"/>
  <c r="AA803" i="11" s="1"/>
  <c r="AB803" i="11" s="1"/>
  <c r="AC803" i="11" s="1"/>
  <c r="Z804" i="11"/>
  <c r="AA804" i="11" s="1"/>
  <c r="AB804" i="11" s="1"/>
  <c r="AC804" i="11" s="1"/>
  <c r="Z805" i="11"/>
  <c r="AA805" i="11" s="1"/>
  <c r="AB805" i="11" s="1"/>
  <c r="AC805" i="11" s="1"/>
  <c r="Z806" i="11"/>
  <c r="AA806" i="11" s="1"/>
  <c r="AB806" i="11" s="1"/>
  <c r="AC806" i="11" s="1"/>
  <c r="Z807" i="11"/>
  <c r="AA807" i="11" s="1"/>
  <c r="AB807" i="11" s="1"/>
  <c r="AC807" i="11" s="1"/>
  <c r="Z808" i="11"/>
  <c r="AA808" i="11" s="1"/>
  <c r="AB808" i="11" s="1"/>
  <c r="AC808" i="11" s="1"/>
  <c r="Z809" i="11"/>
  <c r="AA809" i="11" s="1"/>
  <c r="AB809" i="11" s="1"/>
  <c r="AC809" i="11" s="1"/>
  <c r="Z810" i="11"/>
  <c r="AA810" i="11" s="1"/>
  <c r="AB810" i="11" s="1"/>
  <c r="AC810" i="11" s="1"/>
  <c r="Z811" i="11"/>
  <c r="AA811" i="11" s="1"/>
  <c r="AB811" i="11" s="1"/>
  <c r="AC811" i="11" s="1"/>
  <c r="Z812" i="11"/>
  <c r="AA812" i="11" s="1"/>
  <c r="AB812" i="11" s="1"/>
  <c r="AC812" i="11" s="1"/>
  <c r="Z813" i="11"/>
  <c r="AA813" i="11" s="1"/>
  <c r="AB813" i="11" s="1"/>
  <c r="AC813" i="11" s="1"/>
  <c r="Z814" i="11"/>
  <c r="AA814" i="11" s="1"/>
  <c r="AB814" i="11" s="1"/>
  <c r="AC814" i="11" s="1"/>
  <c r="Z815" i="11"/>
  <c r="AA815" i="11" s="1"/>
  <c r="AB815" i="11" s="1"/>
  <c r="AC815" i="11" s="1"/>
  <c r="Z816" i="11"/>
  <c r="AA816" i="11" s="1"/>
  <c r="AB816" i="11" s="1"/>
  <c r="AC816" i="11" s="1"/>
  <c r="Z817" i="11"/>
  <c r="AA817" i="11" s="1"/>
  <c r="AB817" i="11" s="1"/>
  <c r="AC817" i="11" s="1"/>
  <c r="Z818" i="11"/>
  <c r="AA818" i="11" s="1"/>
  <c r="AB818" i="11" s="1"/>
  <c r="AC818" i="11" s="1"/>
  <c r="Z819" i="11"/>
  <c r="AA819" i="11" s="1"/>
  <c r="AB819" i="11" s="1"/>
  <c r="AC819" i="11" s="1"/>
  <c r="Z820" i="11"/>
  <c r="AA820" i="11" s="1"/>
  <c r="AB820" i="11" s="1"/>
  <c r="AC820" i="11" s="1"/>
  <c r="Z821" i="11"/>
  <c r="AA821" i="11" s="1"/>
  <c r="AB821" i="11" s="1"/>
  <c r="AC821" i="11" s="1"/>
  <c r="Z822" i="11"/>
  <c r="AA822" i="11" s="1"/>
  <c r="AB822" i="11" s="1"/>
  <c r="AC822" i="11" s="1"/>
  <c r="Z823" i="11"/>
  <c r="AA823" i="11" s="1"/>
  <c r="AB823" i="11" s="1"/>
  <c r="AC823" i="11" s="1"/>
  <c r="Z824" i="11"/>
  <c r="AA824" i="11" s="1"/>
  <c r="AB824" i="11" s="1"/>
  <c r="AC824" i="11" s="1"/>
  <c r="Z825" i="11"/>
  <c r="AA825" i="11" s="1"/>
  <c r="AB825" i="11" s="1"/>
  <c r="AC825" i="11" s="1"/>
  <c r="Z826" i="11"/>
  <c r="AA826" i="11" s="1"/>
  <c r="AB826" i="11" s="1"/>
  <c r="AC826" i="11" s="1"/>
  <c r="Z827" i="11"/>
  <c r="AA827" i="11" s="1"/>
  <c r="AB827" i="11" s="1"/>
  <c r="AC827" i="11" s="1"/>
  <c r="Z828" i="11"/>
  <c r="AA828" i="11" s="1"/>
  <c r="AB828" i="11" s="1"/>
  <c r="AC828" i="11" s="1"/>
  <c r="Z829" i="11"/>
  <c r="AA829" i="11" s="1"/>
  <c r="AB829" i="11" s="1"/>
  <c r="AC829" i="11" s="1"/>
  <c r="Z830" i="11"/>
  <c r="AA830" i="11" s="1"/>
  <c r="AB830" i="11" s="1"/>
  <c r="AC830" i="11" s="1"/>
  <c r="Z831" i="11"/>
  <c r="AA831" i="11" s="1"/>
  <c r="AB831" i="11" s="1"/>
  <c r="AC831" i="11" s="1"/>
  <c r="Z832" i="11"/>
  <c r="AA832" i="11" s="1"/>
  <c r="AB832" i="11" s="1"/>
  <c r="AC832" i="11" s="1"/>
  <c r="Z833" i="11"/>
  <c r="AA833" i="11" s="1"/>
  <c r="AB833" i="11" s="1"/>
  <c r="AC833" i="11" s="1"/>
  <c r="Z834" i="11"/>
  <c r="AA834" i="11" s="1"/>
  <c r="AB834" i="11" s="1"/>
  <c r="AC834" i="11" s="1"/>
  <c r="Z835" i="11"/>
  <c r="AA835" i="11" s="1"/>
  <c r="AB835" i="11" s="1"/>
  <c r="AC835" i="11" s="1"/>
  <c r="Z836" i="11"/>
  <c r="AA836" i="11" s="1"/>
  <c r="AB836" i="11" s="1"/>
  <c r="AC836" i="11" s="1"/>
  <c r="Z837" i="11"/>
  <c r="AA837" i="11" s="1"/>
  <c r="AB837" i="11" s="1"/>
  <c r="AC837" i="11" s="1"/>
  <c r="Z838" i="11"/>
  <c r="AA838" i="11" s="1"/>
  <c r="AB838" i="11" s="1"/>
  <c r="AC838" i="11" s="1"/>
  <c r="Z839" i="11"/>
  <c r="AA839" i="11" s="1"/>
  <c r="AB839" i="11" s="1"/>
  <c r="AC839" i="11" s="1"/>
  <c r="Z840" i="11"/>
  <c r="AA840" i="11" s="1"/>
  <c r="AB840" i="11" s="1"/>
  <c r="AC840" i="11" s="1"/>
  <c r="Z841" i="11"/>
  <c r="AA841" i="11" s="1"/>
  <c r="AB841" i="11" s="1"/>
  <c r="AC841" i="11" s="1"/>
  <c r="Z842" i="11"/>
  <c r="AA842" i="11" s="1"/>
  <c r="AB842" i="11" s="1"/>
  <c r="AC842" i="11" s="1"/>
  <c r="Z843" i="11"/>
  <c r="AA843" i="11" s="1"/>
  <c r="AB843" i="11" s="1"/>
  <c r="AC843" i="11" s="1"/>
  <c r="Z844" i="11"/>
  <c r="AA844" i="11" s="1"/>
  <c r="AB844" i="11" s="1"/>
  <c r="AC844" i="11" s="1"/>
  <c r="Z845" i="11"/>
  <c r="AA845" i="11" s="1"/>
  <c r="AB845" i="11" s="1"/>
  <c r="AC845" i="11" s="1"/>
  <c r="Z846" i="11"/>
  <c r="AA846" i="11" s="1"/>
  <c r="AB846" i="11" s="1"/>
  <c r="AC846" i="11" s="1"/>
  <c r="Z847" i="11"/>
  <c r="AA847" i="11" s="1"/>
  <c r="AB847" i="11" s="1"/>
  <c r="AC847" i="11" s="1"/>
  <c r="Z848" i="11"/>
  <c r="AA848" i="11" s="1"/>
  <c r="AB848" i="11" s="1"/>
  <c r="AC848" i="11" s="1"/>
  <c r="Z849" i="11"/>
  <c r="AA849" i="11" s="1"/>
  <c r="AB849" i="11" s="1"/>
  <c r="AC849" i="11" s="1"/>
  <c r="Z850" i="11"/>
  <c r="AA850" i="11" s="1"/>
  <c r="AB850" i="11" s="1"/>
  <c r="AC850" i="11" s="1"/>
  <c r="Z851" i="11"/>
  <c r="AA851" i="11" s="1"/>
  <c r="AB851" i="11" s="1"/>
  <c r="AC851" i="11" s="1"/>
  <c r="Z852" i="11"/>
  <c r="AA852" i="11" s="1"/>
  <c r="AB852" i="11" s="1"/>
  <c r="AC852" i="11" s="1"/>
  <c r="Z853" i="11"/>
  <c r="AA853" i="11" s="1"/>
  <c r="AB853" i="11" s="1"/>
  <c r="AC853" i="11" s="1"/>
  <c r="Z854" i="11"/>
  <c r="AA854" i="11" s="1"/>
  <c r="AB854" i="11" s="1"/>
  <c r="AC854" i="11" s="1"/>
  <c r="Z855" i="11"/>
  <c r="AA855" i="11" s="1"/>
  <c r="AB855" i="11" s="1"/>
  <c r="AC855" i="11" s="1"/>
  <c r="Z856" i="11"/>
  <c r="AA856" i="11" s="1"/>
  <c r="AB856" i="11" s="1"/>
  <c r="AC856" i="11" s="1"/>
  <c r="Z857" i="11"/>
  <c r="AA857" i="11" s="1"/>
  <c r="AB857" i="11" s="1"/>
  <c r="AC857" i="11" s="1"/>
  <c r="Z858" i="11"/>
  <c r="AA858" i="11" s="1"/>
  <c r="AB858" i="11" s="1"/>
  <c r="AC858" i="11" s="1"/>
  <c r="Z859" i="11"/>
  <c r="AA859" i="11" s="1"/>
  <c r="AB859" i="11" s="1"/>
  <c r="AC859" i="11" s="1"/>
  <c r="Z860" i="11"/>
  <c r="AA860" i="11" s="1"/>
  <c r="AB860" i="11" s="1"/>
  <c r="AC860" i="11" s="1"/>
  <c r="Z861" i="11"/>
  <c r="AA861" i="11" s="1"/>
  <c r="AB861" i="11" s="1"/>
  <c r="AC861" i="11" s="1"/>
  <c r="Z862" i="11"/>
  <c r="AA862" i="11" s="1"/>
  <c r="AB862" i="11" s="1"/>
  <c r="AC862" i="11" s="1"/>
  <c r="Z863" i="11"/>
  <c r="AA863" i="11" s="1"/>
  <c r="AB863" i="11" s="1"/>
  <c r="AC863" i="11" s="1"/>
  <c r="Z864" i="11"/>
  <c r="AA864" i="11" s="1"/>
  <c r="AB864" i="11" s="1"/>
  <c r="AC864" i="11" s="1"/>
  <c r="Z865" i="11"/>
  <c r="AA865" i="11" s="1"/>
  <c r="AB865" i="11" s="1"/>
  <c r="AC865" i="11" s="1"/>
  <c r="Z866" i="11"/>
  <c r="AA866" i="11" s="1"/>
  <c r="AB866" i="11" s="1"/>
  <c r="AC866" i="11" s="1"/>
  <c r="Z867" i="11"/>
  <c r="AA867" i="11" s="1"/>
  <c r="AB867" i="11" s="1"/>
  <c r="AC867" i="11" s="1"/>
  <c r="Z868" i="11"/>
  <c r="AA868" i="11" s="1"/>
  <c r="AB868" i="11" s="1"/>
  <c r="AC868" i="11" s="1"/>
  <c r="Z869" i="11"/>
  <c r="AA869" i="11" s="1"/>
  <c r="AB869" i="11" s="1"/>
  <c r="AC869" i="11" s="1"/>
  <c r="Z870" i="11"/>
  <c r="AA870" i="11" s="1"/>
  <c r="AB870" i="11" s="1"/>
  <c r="AC870" i="11" s="1"/>
  <c r="Z871" i="11"/>
  <c r="AA871" i="11" s="1"/>
  <c r="AB871" i="11" s="1"/>
  <c r="AC871" i="11" s="1"/>
  <c r="Z872" i="11"/>
  <c r="AA872" i="11" s="1"/>
  <c r="AB872" i="11" s="1"/>
  <c r="AC872" i="11" s="1"/>
  <c r="Z873" i="11"/>
  <c r="AA873" i="11" s="1"/>
  <c r="AB873" i="11" s="1"/>
  <c r="AC873" i="11" s="1"/>
  <c r="Z874" i="11"/>
  <c r="AA874" i="11" s="1"/>
  <c r="AB874" i="11" s="1"/>
  <c r="AC874" i="11" s="1"/>
  <c r="Z875" i="11"/>
  <c r="AA875" i="11" s="1"/>
  <c r="AB875" i="11" s="1"/>
  <c r="AC875" i="11" s="1"/>
  <c r="Z876" i="11"/>
  <c r="AA876" i="11" s="1"/>
  <c r="AB876" i="11" s="1"/>
  <c r="AC876" i="11" s="1"/>
  <c r="Z877" i="11"/>
  <c r="AA877" i="11" s="1"/>
  <c r="AB877" i="11" s="1"/>
  <c r="AC877" i="11" s="1"/>
  <c r="Z878" i="11"/>
  <c r="AA878" i="11" s="1"/>
  <c r="AB878" i="11" s="1"/>
  <c r="AC878" i="11" s="1"/>
  <c r="Z879" i="11"/>
  <c r="AA879" i="11" s="1"/>
  <c r="AB879" i="11" s="1"/>
  <c r="AC879" i="11" s="1"/>
  <c r="Z880" i="11"/>
  <c r="AA880" i="11" s="1"/>
  <c r="AB880" i="11" s="1"/>
  <c r="AC880" i="11" s="1"/>
  <c r="Z881" i="11"/>
  <c r="AA881" i="11" s="1"/>
  <c r="AB881" i="11" s="1"/>
  <c r="AC881" i="11" s="1"/>
  <c r="Z882" i="11"/>
  <c r="AA882" i="11" s="1"/>
  <c r="AB882" i="11" s="1"/>
  <c r="AC882" i="11" s="1"/>
  <c r="Z883" i="11"/>
  <c r="AA883" i="11" s="1"/>
  <c r="AB883" i="11" s="1"/>
  <c r="AC883" i="11" s="1"/>
  <c r="Z884" i="11"/>
  <c r="AA884" i="11" s="1"/>
  <c r="AB884" i="11" s="1"/>
  <c r="AC884" i="11" s="1"/>
  <c r="Z885" i="11"/>
  <c r="AA885" i="11" s="1"/>
  <c r="AB885" i="11" s="1"/>
  <c r="AC885" i="11" s="1"/>
  <c r="Z886" i="11"/>
  <c r="AA886" i="11" s="1"/>
  <c r="AB886" i="11" s="1"/>
  <c r="AC886" i="11" s="1"/>
  <c r="Z887" i="11"/>
  <c r="AA887" i="11" s="1"/>
  <c r="AB887" i="11" s="1"/>
  <c r="AC887" i="11" s="1"/>
  <c r="Z888" i="11"/>
  <c r="AA888" i="11" s="1"/>
  <c r="AB888" i="11" s="1"/>
  <c r="AC888" i="11" s="1"/>
  <c r="Z889" i="11"/>
  <c r="AA889" i="11" s="1"/>
  <c r="AB889" i="11" s="1"/>
  <c r="AC889" i="11" s="1"/>
  <c r="Z890" i="11"/>
  <c r="AA890" i="11" s="1"/>
  <c r="AB890" i="11" s="1"/>
  <c r="AC890" i="11" s="1"/>
  <c r="Z891" i="11"/>
  <c r="AA891" i="11" s="1"/>
  <c r="AB891" i="11" s="1"/>
  <c r="AC891" i="11" s="1"/>
  <c r="Z892" i="11"/>
  <c r="AA892" i="11" s="1"/>
  <c r="AB892" i="11" s="1"/>
  <c r="AC892" i="11" s="1"/>
  <c r="Z893" i="11"/>
  <c r="AA893" i="11" s="1"/>
  <c r="AB893" i="11" s="1"/>
  <c r="AC893" i="11" s="1"/>
  <c r="Z894" i="11"/>
  <c r="AA894" i="11" s="1"/>
  <c r="AB894" i="11" s="1"/>
  <c r="AC894" i="11" s="1"/>
  <c r="Z895" i="11"/>
  <c r="AA895" i="11" s="1"/>
  <c r="AB895" i="11" s="1"/>
  <c r="AC895" i="11" s="1"/>
  <c r="Z896" i="11"/>
  <c r="AA896" i="11" s="1"/>
  <c r="AB896" i="11" s="1"/>
  <c r="AC896" i="11" s="1"/>
  <c r="Z897" i="11"/>
  <c r="AA897" i="11" s="1"/>
  <c r="AB897" i="11" s="1"/>
  <c r="AC897" i="11" s="1"/>
  <c r="Z898" i="11"/>
  <c r="AA898" i="11" s="1"/>
  <c r="AB898" i="11" s="1"/>
  <c r="AC898" i="11" s="1"/>
  <c r="Z899" i="11"/>
  <c r="AA899" i="11" s="1"/>
  <c r="AB899" i="11" s="1"/>
  <c r="AC899" i="11" s="1"/>
  <c r="Z900" i="11"/>
  <c r="AA900" i="11" s="1"/>
  <c r="AB900" i="11" s="1"/>
  <c r="AC900" i="11" s="1"/>
  <c r="Z901" i="11"/>
  <c r="AA901" i="11" s="1"/>
  <c r="AB901" i="11" s="1"/>
  <c r="AC901" i="11" s="1"/>
  <c r="Z902" i="11"/>
  <c r="AA902" i="11" s="1"/>
  <c r="AB902" i="11" s="1"/>
  <c r="AC902" i="11" s="1"/>
  <c r="Z903" i="11"/>
  <c r="AA903" i="11" s="1"/>
  <c r="AB903" i="11" s="1"/>
  <c r="AC903" i="11" s="1"/>
  <c r="Z904" i="11"/>
  <c r="AA904" i="11" s="1"/>
  <c r="AB904" i="11" s="1"/>
  <c r="AC904" i="11" s="1"/>
  <c r="Z905" i="11"/>
  <c r="AA905" i="11" s="1"/>
  <c r="AB905" i="11" s="1"/>
  <c r="AC905" i="11" s="1"/>
  <c r="Z906" i="11"/>
  <c r="AA906" i="11" s="1"/>
  <c r="AB906" i="11" s="1"/>
  <c r="AC906" i="11" s="1"/>
  <c r="Z907" i="11"/>
  <c r="AA907" i="11" s="1"/>
  <c r="AB907" i="11" s="1"/>
  <c r="AC907" i="11" s="1"/>
  <c r="Z908" i="11"/>
  <c r="AA908" i="11" s="1"/>
  <c r="AB908" i="11" s="1"/>
  <c r="AC908" i="11" s="1"/>
  <c r="Z909" i="11"/>
  <c r="AA909" i="11" s="1"/>
  <c r="AB909" i="11" s="1"/>
  <c r="AC909" i="11" s="1"/>
  <c r="Z910" i="11"/>
  <c r="AA910" i="11" s="1"/>
  <c r="AB910" i="11" s="1"/>
  <c r="AC910" i="11" s="1"/>
  <c r="Z911" i="11"/>
  <c r="AA911" i="11" s="1"/>
  <c r="AB911" i="11" s="1"/>
  <c r="AC911" i="11" s="1"/>
  <c r="Z912" i="11"/>
  <c r="AA912" i="11" s="1"/>
  <c r="AB912" i="11" s="1"/>
  <c r="AC912" i="11" s="1"/>
  <c r="Z913" i="11"/>
  <c r="AA913" i="11" s="1"/>
  <c r="AB913" i="11" s="1"/>
  <c r="AC913" i="11" s="1"/>
  <c r="Z2" i="11"/>
  <c r="AA2" i="11" s="1"/>
  <c r="AB2" i="11" s="1"/>
  <c r="AC2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1" i="11"/>
  <c r="S212" i="11"/>
  <c r="S213" i="11"/>
  <c r="S214" i="11"/>
  <c r="S215" i="11"/>
  <c r="S216" i="11"/>
  <c r="S217" i="11"/>
  <c r="S218" i="11"/>
  <c r="S219" i="11"/>
  <c r="S220" i="11"/>
  <c r="S221" i="11"/>
  <c r="S222" i="11"/>
  <c r="S223" i="11"/>
  <c r="S224" i="11"/>
  <c r="S225" i="11"/>
  <c r="S226" i="11"/>
  <c r="S227" i="11"/>
  <c r="S228" i="11"/>
  <c r="S229" i="11"/>
  <c r="S230" i="11"/>
  <c r="S231" i="11"/>
  <c r="S232" i="11"/>
  <c r="S233" i="11"/>
  <c r="S234" i="11"/>
  <c r="S235" i="11"/>
  <c r="S236" i="11"/>
  <c r="S237" i="11"/>
  <c r="S238" i="11"/>
  <c r="S239" i="11"/>
  <c r="S240" i="11"/>
  <c r="S241" i="11"/>
  <c r="S242" i="11"/>
  <c r="S243" i="11"/>
  <c r="S244" i="11"/>
  <c r="S245" i="11"/>
  <c r="S246" i="11"/>
  <c r="S247" i="11"/>
  <c r="S248" i="11"/>
  <c r="S249" i="11"/>
  <c r="S250" i="11"/>
  <c r="S251" i="11"/>
  <c r="S252" i="11"/>
  <c r="S253" i="11"/>
  <c r="S254" i="11"/>
  <c r="S255" i="11"/>
  <c r="S256" i="11"/>
  <c r="S257" i="11"/>
  <c r="S258" i="11"/>
  <c r="S259" i="11"/>
  <c r="S260" i="11"/>
  <c r="S261" i="11"/>
  <c r="S262" i="11"/>
  <c r="S263" i="11"/>
  <c r="S264" i="11"/>
  <c r="S265" i="11"/>
  <c r="S266" i="11"/>
  <c r="S267" i="11"/>
  <c r="S268" i="11"/>
  <c r="S269" i="11"/>
  <c r="S270" i="11"/>
  <c r="S271" i="11"/>
  <c r="S272" i="11"/>
  <c r="S273" i="11"/>
  <c r="S274" i="11"/>
  <c r="S275" i="11"/>
  <c r="S276" i="11"/>
  <c r="S277" i="11"/>
  <c r="S278" i="11"/>
  <c r="S279" i="11"/>
  <c r="S280" i="11"/>
  <c r="S281" i="11"/>
  <c r="S282" i="11"/>
  <c r="S283" i="11"/>
  <c r="S284" i="11"/>
  <c r="S285" i="11"/>
  <c r="S286" i="11"/>
  <c r="S287" i="11"/>
  <c r="S288" i="11"/>
  <c r="S289" i="11"/>
  <c r="S290" i="11"/>
  <c r="S291" i="11"/>
  <c r="S292" i="11"/>
  <c r="S293" i="11"/>
  <c r="S294" i="11"/>
  <c r="S295" i="11"/>
  <c r="S296" i="11"/>
  <c r="S297" i="11"/>
  <c r="S298" i="11"/>
  <c r="S299" i="11"/>
  <c r="S300" i="11"/>
  <c r="S301" i="11"/>
  <c r="S302" i="11"/>
  <c r="S303" i="11"/>
  <c r="S304" i="11"/>
  <c r="S305" i="11"/>
  <c r="S306" i="11"/>
  <c r="S307" i="11"/>
  <c r="S308" i="11"/>
  <c r="S309" i="11"/>
  <c r="S310" i="11"/>
  <c r="S311" i="11"/>
  <c r="S312" i="11"/>
  <c r="S313" i="11"/>
  <c r="S314" i="11"/>
  <c r="S315" i="11"/>
  <c r="S316" i="11"/>
  <c r="S317" i="11"/>
  <c r="S318" i="11"/>
  <c r="S319" i="11"/>
  <c r="S320" i="11"/>
  <c r="S321" i="11"/>
  <c r="S322" i="11"/>
  <c r="S323" i="11"/>
  <c r="S324" i="11"/>
  <c r="S325" i="11"/>
  <c r="S326" i="11"/>
  <c r="S327" i="11"/>
  <c r="S328" i="11"/>
  <c r="S329" i="11"/>
  <c r="S330" i="11"/>
  <c r="S331" i="11"/>
  <c r="S332" i="11"/>
  <c r="S333" i="11"/>
  <c r="S334" i="11"/>
  <c r="S335" i="11"/>
  <c r="S336" i="11"/>
  <c r="S337" i="11"/>
  <c r="S338" i="11"/>
  <c r="S339" i="11"/>
  <c r="S340" i="11"/>
  <c r="S341" i="11"/>
  <c r="S342" i="11"/>
  <c r="S343" i="11"/>
  <c r="S344" i="11"/>
  <c r="S345" i="11"/>
  <c r="S346" i="11"/>
  <c r="S347" i="11"/>
  <c r="S348" i="11"/>
  <c r="S349" i="11"/>
  <c r="S350" i="11"/>
  <c r="S351" i="11"/>
  <c r="S352" i="11"/>
  <c r="S353" i="11"/>
  <c r="S354" i="11"/>
  <c r="S355" i="11"/>
  <c r="S356" i="11"/>
  <c r="S357" i="11"/>
  <c r="S358" i="11"/>
  <c r="S359" i="11"/>
  <c r="S360" i="11"/>
  <c r="S361" i="11"/>
  <c r="S362" i="11"/>
  <c r="S363" i="11"/>
  <c r="S364" i="11"/>
  <c r="S365" i="11"/>
  <c r="S366" i="11"/>
  <c r="S367" i="11"/>
  <c r="S368" i="11"/>
  <c r="S369" i="11"/>
  <c r="S370" i="11"/>
  <c r="S371" i="11"/>
  <c r="S372" i="11"/>
  <c r="S373" i="11"/>
  <c r="S374" i="11"/>
  <c r="S375" i="11"/>
  <c r="S376" i="11"/>
  <c r="S377" i="11"/>
  <c r="S378" i="11"/>
  <c r="S379" i="11"/>
  <c r="S380" i="11"/>
  <c r="S381" i="11"/>
  <c r="S382" i="11"/>
  <c r="S383" i="11"/>
  <c r="S384" i="11"/>
  <c r="S385" i="11"/>
  <c r="S386" i="11"/>
  <c r="S387" i="11"/>
  <c r="S388" i="11"/>
  <c r="S389" i="11"/>
  <c r="S390" i="11"/>
  <c r="S391" i="11"/>
  <c r="S392" i="11"/>
  <c r="S393" i="11"/>
  <c r="S394" i="11"/>
  <c r="S395" i="11"/>
  <c r="S396" i="11"/>
  <c r="S397" i="11"/>
  <c r="S398" i="11"/>
  <c r="S399" i="11"/>
  <c r="S400" i="11"/>
  <c r="S401" i="11"/>
  <c r="S402" i="11"/>
  <c r="S403" i="11"/>
  <c r="S404" i="11"/>
  <c r="S405" i="11"/>
  <c r="S406" i="11"/>
  <c r="S407" i="11"/>
  <c r="S408" i="11"/>
  <c r="S409" i="11"/>
  <c r="S410" i="11"/>
  <c r="S411" i="11"/>
  <c r="S412" i="11"/>
  <c r="S413" i="11"/>
  <c r="S414" i="11"/>
  <c r="S415" i="11"/>
  <c r="S416" i="11"/>
  <c r="S417" i="11"/>
  <c r="S418" i="11"/>
  <c r="S419" i="11"/>
  <c r="S420" i="11"/>
  <c r="S421" i="11"/>
  <c r="S422" i="11"/>
  <c r="S423" i="11"/>
  <c r="S424" i="11"/>
  <c r="S425" i="11"/>
  <c r="S426" i="11"/>
  <c r="S427" i="11"/>
  <c r="S428" i="11"/>
  <c r="S429" i="11"/>
  <c r="S430" i="11"/>
  <c r="S431" i="11"/>
  <c r="S432" i="11"/>
  <c r="S433" i="11"/>
  <c r="S434" i="11"/>
  <c r="S435" i="11"/>
  <c r="S436" i="11"/>
  <c r="S437" i="11"/>
  <c r="S438" i="11"/>
  <c r="S439" i="11"/>
  <c r="S440" i="11"/>
  <c r="S441" i="11"/>
  <c r="S442" i="11"/>
  <c r="S443" i="11"/>
  <c r="S444" i="11"/>
  <c r="S445" i="11"/>
  <c r="S446" i="11"/>
  <c r="S447" i="11"/>
  <c r="S448" i="11"/>
  <c r="S449" i="11"/>
  <c r="S450" i="11"/>
  <c r="S451" i="11"/>
  <c r="S452" i="11"/>
  <c r="S453" i="11"/>
  <c r="S454" i="11"/>
  <c r="S455" i="11"/>
  <c r="S456" i="11"/>
  <c r="S457" i="11"/>
  <c r="S458" i="11"/>
  <c r="S459" i="11"/>
  <c r="S460" i="11"/>
  <c r="S461" i="11"/>
  <c r="S462" i="11"/>
  <c r="S463" i="11"/>
  <c r="S464" i="11"/>
  <c r="S465" i="11"/>
  <c r="S466" i="11"/>
  <c r="S467" i="11"/>
  <c r="S468" i="11"/>
  <c r="S469" i="11"/>
  <c r="S470" i="11"/>
  <c r="S471" i="11"/>
  <c r="S472" i="11"/>
  <c r="S473" i="11"/>
  <c r="S474" i="11"/>
  <c r="S475" i="11"/>
  <c r="S476" i="11"/>
  <c r="S477" i="11"/>
  <c r="S478" i="11"/>
  <c r="S479" i="11"/>
  <c r="S480" i="11"/>
  <c r="S481" i="11"/>
  <c r="S482" i="11"/>
  <c r="S483" i="11"/>
  <c r="S484" i="11"/>
  <c r="S485" i="11"/>
  <c r="S486" i="11"/>
  <c r="S487" i="11"/>
  <c r="S488" i="11"/>
  <c r="S489" i="11"/>
  <c r="S490" i="11"/>
  <c r="S491" i="11"/>
  <c r="S492" i="11"/>
  <c r="S493" i="11"/>
  <c r="S494" i="11"/>
  <c r="S495" i="11"/>
  <c r="S496" i="11"/>
  <c r="S497" i="11"/>
  <c r="S498" i="11"/>
  <c r="S499" i="11"/>
  <c r="S500" i="11"/>
  <c r="S501" i="11"/>
  <c r="S502" i="11"/>
  <c r="S503" i="11"/>
  <c r="S504" i="11"/>
  <c r="S505" i="11"/>
  <c r="S506" i="11"/>
  <c r="S507" i="11"/>
  <c r="S508" i="11"/>
  <c r="S509" i="11"/>
  <c r="S510" i="11"/>
  <c r="S511" i="11"/>
  <c r="S512" i="11"/>
  <c r="S513" i="11"/>
  <c r="S514" i="11"/>
  <c r="S515" i="11"/>
  <c r="S516" i="11"/>
  <c r="S517" i="11"/>
  <c r="S518" i="11"/>
  <c r="S519" i="11"/>
  <c r="S520" i="11"/>
  <c r="S521" i="11"/>
  <c r="S522" i="11"/>
  <c r="S523" i="11"/>
  <c r="S524" i="11"/>
  <c r="S525" i="11"/>
  <c r="S526" i="11"/>
  <c r="S527" i="11"/>
  <c r="S528" i="11"/>
  <c r="S529" i="11"/>
  <c r="S530" i="11"/>
  <c r="S531" i="11"/>
  <c r="S532" i="11"/>
  <c r="S533" i="11"/>
  <c r="S534" i="11"/>
  <c r="S535" i="11"/>
  <c r="S536" i="11"/>
  <c r="S537" i="11"/>
  <c r="S538" i="11"/>
  <c r="S539" i="11"/>
  <c r="S540" i="11"/>
  <c r="S541" i="11"/>
  <c r="S542" i="11"/>
  <c r="S543" i="11"/>
  <c r="S544" i="11"/>
  <c r="S545" i="11"/>
  <c r="S546" i="11"/>
  <c r="S547" i="11"/>
  <c r="S548" i="11"/>
  <c r="S549" i="11"/>
  <c r="S550" i="11"/>
  <c r="S551" i="11"/>
  <c r="S552" i="11"/>
  <c r="S553" i="11"/>
  <c r="S554" i="11"/>
  <c r="S555" i="11"/>
  <c r="S556" i="11"/>
  <c r="S557" i="11"/>
  <c r="S558" i="11"/>
  <c r="S559" i="11"/>
  <c r="S560" i="11"/>
  <c r="S561" i="11"/>
  <c r="S562" i="11"/>
  <c r="S563" i="11"/>
  <c r="S564" i="11"/>
  <c r="S565" i="11"/>
  <c r="S566" i="11"/>
  <c r="S567" i="11"/>
  <c r="S568" i="11"/>
  <c r="S569" i="11"/>
  <c r="S570" i="11"/>
  <c r="S571" i="11"/>
  <c r="S572" i="11"/>
  <c r="S573" i="11"/>
  <c r="S574" i="11"/>
  <c r="S575" i="11"/>
  <c r="S576" i="11"/>
  <c r="S577" i="11"/>
  <c r="S578" i="11"/>
  <c r="S579" i="11"/>
  <c r="S580" i="11"/>
  <c r="S581" i="11"/>
  <c r="S582" i="11"/>
  <c r="S583" i="11"/>
  <c r="S584" i="11"/>
  <c r="S585" i="11"/>
  <c r="S586" i="11"/>
  <c r="S587" i="11"/>
  <c r="S588" i="11"/>
  <c r="S589" i="11"/>
  <c r="S590" i="11"/>
  <c r="S591" i="11"/>
  <c r="S592" i="11"/>
  <c r="S593" i="11"/>
  <c r="S594" i="11"/>
  <c r="S595" i="11"/>
  <c r="S596" i="11"/>
  <c r="S597" i="11"/>
  <c r="S598" i="11"/>
  <c r="S599" i="11"/>
  <c r="S600" i="11"/>
  <c r="S601" i="11"/>
  <c r="S602" i="11"/>
  <c r="S603" i="11"/>
  <c r="S604" i="11"/>
  <c r="S605" i="11"/>
  <c r="S606" i="11"/>
  <c r="S607" i="11"/>
  <c r="S608" i="11"/>
  <c r="S609" i="11"/>
  <c r="S610" i="11"/>
  <c r="S611" i="11"/>
  <c r="S612" i="11"/>
  <c r="S613" i="11"/>
  <c r="S614" i="11"/>
  <c r="S615" i="11"/>
  <c r="S616" i="11"/>
  <c r="S617" i="11"/>
  <c r="S618" i="11"/>
  <c r="S619" i="11"/>
  <c r="S620" i="11"/>
  <c r="S621" i="11"/>
  <c r="S622" i="11"/>
  <c r="S623" i="11"/>
  <c r="S624" i="11"/>
  <c r="S625" i="11"/>
  <c r="S626" i="11"/>
  <c r="S627" i="11"/>
  <c r="S628" i="11"/>
  <c r="S629" i="11"/>
  <c r="S630" i="11"/>
  <c r="S631" i="11"/>
  <c r="S632" i="11"/>
  <c r="S633" i="11"/>
  <c r="S634" i="11"/>
  <c r="S635" i="11"/>
  <c r="S636" i="11"/>
  <c r="S637" i="11"/>
  <c r="S638" i="11"/>
  <c r="S639" i="11"/>
  <c r="S640" i="11"/>
  <c r="S641" i="11"/>
  <c r="S642" i="11"/>
  <c r="S643" i="11"/>
  <c r="S644" i="11"/>
  <c r="S645" i="11"/>
  <c r="S646" i="11"/>
  <c r="S647" i="11"/>
  <c r="S648" i="11"/>
  <c r="S649" i="11"/>
  <c r="S650" i="11"/>
  <c r="S651" i="11"/>
  <c r="S652" i="11"/>
  <c r="S653" i="11"/>
  <c r="S654" i="11"/>
  <c r="S655" i="11"/>
  <c r="S656" i="11"/>
  <c r="S657" i="11"/>
  <c r="S658" i="11"/>
  <c r="S659" i="11"/>
  <c r="S660" i="11"/>
  <c r="S661" i="11"/>
  <c r="S662" i="11"/>
  <c r="S663" i="11"/>
  <c r="S664" i="11"/>
  <c r="S665" i="11"/>
  <c r="S666" i="11"/>
  <c r="S667" i="11"/>
  <c r="S668" i="11"/>
  <c r="S669" i="11"/>
  <c r="S670" i="11"/>
  <c r="S671" i="11"/>
  <c r="S672" i="11"/>
  <c r="S673" i="11"/>
  <c r="S674" i="11"/>
  <c r="S675" i="11"/>
  <c r="S676" i="11"/>
  <c r="S677" i="11"/>
  <c r="S678" i="11"/>
  <c r="S679" i="11"/>
  <c r="S680" i="11"/>
  <c r="S681" i="11"/>
  <c r="S682" i="11"/>
  <c r="S683" i="11"/>
  <c r="S684" i="11"/>
  <c r="S685" i="11"/>
  <c r="S686" i="11"/>
  <c r="S687" i="11"/>
  <c r="S688" i="11"/>
  <c r="S689" i="11"/>
  <c r="S690" i="11"/>
  <c r="S691" i="11"/>
  <c r="S692" i="11"/>
  <c r="S693" i="11"/>
  <c r="S694" i="11"/>
  <c r="S695" i="11"/>
  <c r="S696" i="11"/>
  <c r="S697" i="11"/>
  <c r="S698" i="11"/>
  <c r="S699" i="11"/>
  <c r="S700" i="11"/>
  <c r="S701" i="11"/>
  <c r="S702" i="11"/>
  <c r="S703" i="11"/>
  <c r="S704" i="11"/>
  <c r="S705" i="11"/>
  <c r="S706" i="11"/>
  <c r="S707" i="11"/>
  <c r="S708" i="11"/>
  <c r="S709" i="11"/>
  <c r="S710" i="11"/>
  <c r="S711" i="11"/>
  <c r="S712" i="11"/>
  <c r="S713" i="11"/>
  <c r="S714" i="11"/>
  <c r="S715" i="11"/>
  <c r="S716" i="11"/>
  <c r="S717" i="11"/>
  <c r="S718" i="11"/>
  <c r="S719" i="11"/>
  <c r="S720" i="11"/>
  <c r="S721" i="11"/>
  <c r="S722" i="11"/>
  <c r="S723" i="11"/>
  <c r="S724" i="11"/>
  <c r="S725" i="11"/>
  <c r="S726" i="11"/>
  <c r="S727" i="11"/>
  <c r="S728" i="11"/>
  <c r="S729" i="11"/>
  <c r="S730" i="11"/>
  <c r="S731" i="11"/>
  <c r="S732" i="11"/>
  <c r="S733" i="11"/>
  <c r="S734" i="11"/>
  <c r="S735" i="11"/>
  <c r="S736" i="11"/>
  <c r="S737" i="11"/>
  <c r="S738" i="11"/>
  <c r="S739" i="11"/>
  <c r="S740" i="11"/>
  <c r="S741" i="11"/>
  <c r="S742" i="11"/>
  <c r="S743" i="11"/>
  <c r="S744" i="11"/>
  <c r="S745" i="11"/>
  <c r="S746" i="11"/>
  <c r="S747" i="11"/>
  <c r="S748" i="11"/>
  <c r="S749" i="11"/>
  <c r="S750" i="11"/>
  <c r="S751" i="11"/>
  <c r="S752" i="11"/>
  <c r="S753" i="11"/>
  <c r="S754" i="11"/>
  <c r="S755" i="11"/>
  <c r="S756" i="11"/>
  <c r="S757" i="11"/>
  <c r="S758" i="11"/>
  <c r="S759" i="11"/>
  <c r="S760" i="11"/>
  <c r="S761" i="11"/>
  <c r="S762" i="11"/>
  <c r="S763" i="11"/>
  <c r="S764" i="11"/>
  <c r="S765" i="11"/>
  <c r="S766" i="11"/>
  <c r="S767" i="11"/>
  <c r="S768" i="11"/>
  <c r="S769" i="11"/>
  <c r="S770" i="11"/>
  <c r="S771" i="11"/>
  <c r="S772" i="11"/>
  <c r="S773" i="11"/>
  <c r="S774" i="11"/>
  <c r="S775" i="11"/>
  <c r="S776" i="11"/>
  <c r="S777" i="11"/>
  <c r="S778" i="11"/>
  <c r="S779" i="11"/>
  <c r="S780" i="11"/>
  <c r="S781" i="11"/>
  <c r="S782" i="11"/>
  <c r="S783" i="11"/>
  <c r="S784" i="11"/>
  <c r="S785" i="11"/>
  <c r="S786" i="11"/>
  <c r="S787" i="11"/>
  <c r="S788" i="11"/>
  <c r="S789" i="11"/>
  <c r="S790" i="11"/>
  <c r="S791" i="11"/>
  <c r="S792" i="11"/>
  <c r="S793" i="11"/>
  <c r="S794" i="11"/>
  <c r="S795" i="11"/>
  <c r="S796" i="11"/>
  <c r="S797" i="11"/>
  <c r="S798" i="11"/>
  <c r="S799" i="11"/>
  <c r="S800" i="11"/>
  <c r="S801" i="11"/>
  <c r="S802" i="11"/>
  <c r="S803" i="11"/>
  <c r="S804" i="11"/>
  <c r="S805" i="11"/>
  <c r="S806" i="11"/>
  <c r="S807" i="11"/>
  <c r="S808" i="11"/>
  <c r="S809" i="11"/>
  <c r="S810" i="11"/>
  <c r="S811" i="11"/>
  <c r="S812" i="11"/>
  <c r="S813" i="11"/>
  <c r="S814" i="11"/>
  <c r="S815" i="11"/>
  <c r="S816" i="11"/>
  <c r="S817" i="11"/>
  <c r="S818" i="11"/>
  <c r="S819" i="11"/>
  <c r="S820" i="11"/>
  <c r="S821" i="11"/>
  <c r="S822" i="11"/>
  <c r="S823" i="11"/>
  <c r="S824" i="11"/>
  <c r="S825" i="11"/>
  <c r="S826" i="11"/>
  <c r="S827" i="11"/>
  <c r="S828" i="11"/>
  <c r="S829" i="11"/>
  <c r="S830" i="11"/>
  <c r="S831" i="11"/>
  <c r="S832" i="11"/>
  <c r="S833" i="11"/>
  <c r="S834" i="11"/>
  <c r="S835" i="11"/>
  <c r="S836" i="11"/>
  <c r="S837" i="11"/>
  <c r="S838" i="11"/>
  <c r="S839" i="11"/>
  <c r="S840" i="11"/>
  <c r="S841" i="11"/>
  <c r="S842" i="11"/>
  <c r="S843" i="11"/>
  <c r="S844" i="11"/>
  <c r="S845" i="11"/>
  <c r="S846" i="11"/>
  <c r="S847" i="11"/>
  <c r="S848" i="11"/>
  <c r="S849" i="11"/>
  <c r="S850" i="11"/>
  <c r="S851" i="11"/>
  <c r="S852" i="11"/>
  <c r="S853" i="11"/>
  <c r="S854" i="11"/>
  <c r="S855" i="11"/>
  <c r="S856" i="11"/>
  <c r="S857" i="11"/>
  <c r="S858" i="11"/>
  <c r="S859" i="11"/>
  <c r="S860" i="11"/>
  <c r="S861" i="11"/>
  <c r="S862" i="11"/>
  <c r="S863" i="11"/>
  <c r="S864" i="11"/>
  <c r="S865" i="11"/>
  <c r="S866" i="11"/>
  <c r="S867" i="11"/>
  <c r="S868" i="11"/>
  <c r="S869" i="11"/>
  <c r="S870" i="11"/>
  <c r="S871" i="11"/>
  <c r="S872" i="11"/>
  <c r="S873" i="11"/>
  <c r="S874" i="11"/>
  <c r="S875" i="11"/>
  <c r="S876" i="11"/>
  <c r="S877" i="11"/>
  <c r="S878" i="11"/>
  <c r="S879" i="11"/>
  <c r="S880" i="11"/>
  <c r="S881" i="11"/>
  <c r="S882" i="11"/>
  <c r="S883" i="11"/>
  <c r="S884" i="11"/>
  <c r="S885" i="11"/>
  <c r="S886" i="11"/>
  <c r="S887" i="11"/>
  <c r="S888" i="11"/>
  <c r="S889" i="11"/>
  <c r="S890" i="11"/>
  <c r="S891" i="11"/>
  <c r="S892" i="11"/>
  <c r="S893" i="11"/>
  <c r="S894" i="11"/>
  <c r="S895" i="11"/>
  <c r="S896" i="11"/>
  <c r="S897" i="11"/>
  <c r="S898" i="11"/>
  <c r="S899" i="11"/>
  <c r="S900" i="11"/>
  <c r="S901" i="11"/>
  <c r="S902" i="11"/>
  <c r="S903" i="11"/>
  <c r="S904" i="11"/>
  <c r="S905" i="11"/>
  <c r="S906" i="11"/>
  <c r="S907" i="11"/>
  <c r="S908" i="11"/>
  <c r="S909" i="11"/>
  <c r="S910" i="11"/>
  <c r="S911" i="11"/>
  <c r="S912" i="11"/>
  <c r="S913" i="11"/>
  <c r="S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Y127" i="11"/>
  <c r="Y128" i="11"/>
  <c r="Y129" i="11"/>
  <c r="Y130" i="11"/>
  <c r="Y131" i="1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146" i="11"/>
  <c r="Y147" i="11"/>
  <c r="Y148" i="11"/>
  <c r="Y149" i="11"/>
  <c r="Y150" i="11"/>
  <c r="Y151" i="11"/>
  <c r="Y152" i="11"/>
  <c r="Y153" i="11"/>
  <c r="Y154" i="11"/>
  <c r="Y155" i="11"/>
  <c r="Y156" i="11"/>
  <c r="Y157" i="11"/>
  <c r="Y158" i="11"/>
  <c r="Y159" i="11"/>
  <c r="Y160" i="11"/>
  <c r="Y161" i="11"/>
  <c r="Y162" i="11"/>
  <c r="Y163" i="11"/>
  <c r="Y164" i="11"/>
  <c r="Y165" i="11"/>
  <c r="Y166" i="11"/>
  <c r="Y167" i="11"/>
  <c r="Y168" i="11"/>
  <c r="Y169" i="11"/>
  <c r="Y170" i="11"/>
  <c r="Y171" i="11"/>
  <c r="Y172" i="11"/>
  <c r="Y173" i="11"/>
  <c r="Y174" i="11"/>
  <c r="Y175" i="11"/>
  <c r="Y176" i="11"/>
  <c r="Y177" i="11"/>
  <c r="Y178" i="11"/>
  <c r="Y179" i="11"/>
  <c r="Y180" i="11"/>
  <c r="Y181" i="11"/>
  <c r="Y182" i="11"/>
  <c r="Y183" i="11"/>
  <c r="Y184" i="11"/>
  <c r="Y185" i="11"/>
  <c r="Y186" i="11"/>
  <c r="Y187" i="11"/>
  <c r="Y188" i="11"/>
  <c r="Y189" i="11"/>
  <c r="Y190" i="11"/>
  <c r="Y191" i="11"/>
  <c r="Y192" i="11"/>
  <c r="Y193" i="11"/>
  <c r="Y194" i="11"/>
  <c r="Y195" i="11"/>
  <c r="Y196" i="11"/>
  <c r="Y197" i="11"/>
  <c r="Y198" i="11"/>
  <c r="Y199" i="11"/>
  <c r="Y200" i="11"/>
  <c r="Y201" i="11"/>
  <c r="Y202" i="11"/>
  <c r="Y203" i="11"/>
  <c r="Y204" i="11"/>
  <c r="Y205" i="11"/>
  <c r="Y206" i="11"/>
  <c r="Y207" i="11"/>
  <c r="Y208" i="11"/>
  <c r="Y209" i="11"/>
  <c r="Y210" i="11"/>
  <c r="Y211" i="11"/>
  <c r="Y212" i="11"/>
  <c r="Y213" i="11"/>
  <c r="Y214" i="11"/>
  <c r="Y215" i="11"/>
  <c r="Y216" i="11"/>
  <c r="Y217" i="11"/>
  <c r="Y218" i="11"/>
  <c r="Y219" i="11"/>
  <c r="Y220" i="11"/>
  <c r="Y221" i="11"/>
  <c r="Y222" i="11"/>
  <c r="Y223" i="11"/>
  <c r="Y224" i="11"/>
  <c r="Y225" i="11"/>
  <c r="Y226" i="11"/>
  <c r="Y227" i="11"/>
  <c r="Y228" i="11"/>
  <c r="Y229" i="11"/>
  <c r="Y230" i="11"/>
  <c r="Y231" i="11"/>
  <c r="Y232" i="11"/>
  <c r="Y233" i="11"/>
  <c r="Y234" i="11"/>
  <c r="Y235" i="11"/>
  <c r="Y236" i="11"/>
  <c r="Y237" i="11"/>
  <c r="Y238" i="11"/>
  <c r="Y239" i="11"/>
  <c r="Y240" i="11"/>
  <c r="Y241" i="11"/>
  <c r="Y242" i="11"/>
  <c r="Y243" i="11"/>
  <c r="Y244" i="11"/>
  <c r="Y245" i="11"/>
  <c r="Y246" i="11"/>
  <c r="Y247" i="11"/>
  <c r="Y248" i="11"/>
  <c r="Y249" i="11"/>
  <c r="Y250" i="11"/>
  <c r="Y251" i="11"/>
  <c r="Y252" i="11"/>
  <c r="Y253" i="11"/>
  <c r="Y254" i="11"/>
  <c r="Y255" i="11"/>
  <c r="Y256" i="11"/>
  <c r="Y257" i="11"/>
  <c r="Y258" i="11"/>
  <c r="Y259" i="11"/>
  <c r="Y260" i="11"/>
  <c r="Y261" i="11"/>
  <c r="Y262" i="11"/>
  <c r="Y263" i="11"/>
  <c r="Y264" i="11"/>
  <c r="Y265" i="11"/>
  <c r="Y266" i="11"/>
  <c r="Y267" i="11"/>
  <c r="Y268" i="11"/>
  <c r="Y269" i="11"/>
  <c r="Y270" i="11"/>
  <c r="Y271" i="11"/>
  <c r="Y272" i="11"/>
  <c r="Y273" i="11"/>
  <c r="Y274" i="11"/>
  <c r="Y275" i="11"/>
  <c r="Y276" i="11"/>
  <c r="Y277" i="11"/>
  <c r="Y278" i="11"/>
  <c r="Y279" i="11"/>
  <c r="Y280" i="11"/>
  <c r="Y281" i="11"/>
  <c r="Y282" i="11"/>
  <c r="Y283" i="11"/>
  <c r="Y284" i="11"/>
  <c r="Y285" i="11"/>
  <c r="Y286" i="11"/>
  <c r="Y287" i="11"/>
  <c r="Y288" i="11"/>
  <c r="Y289" i="11"/>
  <c r="Y290" i="11"/>
  <c r="Y291" i="11"/>
  <c r="Y292" i="11"/>
  <c r="Y293" i="11"/>
  <c r="Y294" i="11"/>
  <c r="Y295" i="11"/>
  <c r="Y296" i="11"/>
  <c r="Y297" i="11"/>
  <c r="Y298" i="11"/>
  <c r="Y299" i="11"/>
  <c r="Y300" i="11"/>
  <c r="Y301" i="11"/>
  <c r="Y302" i="11"/>
  <c r="Y303" i="11"/>
  <c r="Y304" i="11"/>
  <c r="Y305" i="11"/>
  <c r="Y306" i="11"/>
  <c r="Y307" i="11"/>
  <c r="Y308" i="11"/>
  <c r="Y309" i="11"/>
  <c r="Y310" i="11"/>
  <c r="Y311" i="11"/>
  <c r="Y312" i="11"/>
  <c r="Y313" i="11"/>
  <c r="Y314" i="11"/>
  <c r="Y315" i="11"/>
  <c r="Y316" i="11"/>
  <c r="Y317" i="11"/>
  <c r="Y318" i="11"/>
  <c r="Y319" i="11"/>
  <c r="Y320" i="11"/>
  <c r="Y321" i="11"/>
  <c r="Y322" i="11"/>
  <c r="Y323" i="11"/>
  <c r="Y324" i="11"/>
  <c r="Y325" i="11"/>
  <c r="Y326" i="11"/>
  <c r="Y327" i="11"/>
  <c r="Y328" i="11"/>
  <c r="Y329" i="11"/>
  <c r="Y330" i="11"/>
  <c r="Y331" i="11"/>
  <c r="Y332" i="11"/>
  <c r="Y333" i="11"/>
  <c r="Y334" i="11"/>
  <c r="Y335" i="11"/>
  <c r="Y336" i="11"/>
  <c r="Y337" i="11"/>
  <c r="Y338" i="11"/>
  <c r="Y339" i="11"/>
  <c r="Y340" i="11"/>
  <c r="Y341" i="11"/>
  <c r="Y342" i="11"/>
  <c r="Y343" i="11"/>
  <c r="Y344" i="11"/>
  <c r="Y345" i="11"/>
  <c r="Y346" i="11"/>
  <c r="Y347" i="11"/>
  <c r="Y348" i="11"/>
  <c r="Y349" i="11"/>
  <c r="Y350" i="11"/>
  <c r="Y351" i="11"/>
  <c r="Y352" i="11"/>
  <c r="Y353" i="11"/>
  <c r="Y354" i="11"/>
  <c r="Y355" i="11"/>
  <c r="Y356" i="11"/>
  <c r="Y357" i="11"/>
  <c r="Y358" i="11"/>
  <c r="Y359" i="11"/>
  <c r="Y360" i="11"/>
  <c r="Y361" i="11"/>
  <c r="Y362" i="11"/>
  <c r="Y363" i="11"/>
  <c r="Y364" i="11"/>
  <c r="Y365" i="11"/>
  <c r="Y366" i="11"/>
  <c r="Y367" i="11"/>
  <c r="Y368" i="11"/>
  <c r="Y369" i="11"/>
  <c r="Y370" i="11"/>
  <c r="Y371" i="11"/>
  <c r="Y372" i="11"/>
  <c r="Y373" i="11"/>
  <c r="Y374" i="11"/>
  <c r="Y375" i="11"/>
  <c r="Y376" i="11"/>
  <c r="Y377" i="11"/>
  <c r="Y378" i="11"/>
  <c r="Y379" i="11"/>
  <c r="Y380" i="11"/>
  <c r="Y381" i="11"/>
  <c r="Y382" i="11"/>
  <c r="Y383" i="11"/>
  <c r="Y384" i="11"/>
  <c r="Y385" i="11"/>
  <c r="Y386" i="11"/>
  <c r="Y387" i="11"/>
  <c r="Y388" i="11"/>
  <c r="Y389" i="11"/>
  <c r="Y390" i="11"/>
  <c r="Y391" i="11"/>
  <c r="Y392" i="11"/>
  <c r="Y393" i="11"/>
  <c r="Y394" i="11"/>
  <c r="Y395" i="11"/>
  <c r="Y396" i="11"/>
  <c r="Y397" i="11"/>
  <c r="Y398" i="11"/>
  <c r="Y399" i="11"/>
  <c r="Y400" i="11"/>
  <c r="Y401" i="11"/>
  <c r="Y402" i="11"/>
  <c r="Y403" i="11"/>
  <c r="Y404" i="11"/>
  <c r="Y405" i="11"/>
  <c r="Y406" i="11"/>
  <c r="Y407" i="11"/>
  <c r="Y408" i="11"/>
  <c r="Y409" i="11"/>
  <c r="Y410" i="11"/>
  <c r="Y411" i="11"/>
  <c r="Y412" i="11"/>
  <c r="Y413" i="11"/>
  <c r="Y414" i="11"/>
  <c r="Y415" i="11"/>
  <c r="Y416" i="11"/>
  <c r="Y417" i="11"/>
  <c r="Y418" i="11"/>
  <c r="Y419" i="11"/>
  <c r="Y420" i="11"/>
  <c r="Y421" i="11"/>
  <c r="Y422" i="11"/>
  <c r="Y423" i="11"/>
  <c r="Y424" i="11"/>
  <c r="Y425" i="11"/>
  <c r="Y426" i="11"/>
  <c r="Y427" i="11"/>
  <c r="Y428" i="11"/>
  <c r="Y429" i="11"/>
  <c r="Y430" i="11"/>
  <c r="Y431" i="11"/>
  <c r="Y432" i="11"/>
  <c r="Y433" i="11"/>
  <c r="Y434" i="11"/>
  <c r="Y435" i="11"/>
  <c r="Y436" i="11"/>
  <c r="Y437" i="11"/>
  <c r="Y438" i="11"/>
  <c r="Y439" i="11"/>
  <c r="Y440" i="11"/>
  <c r="Y441" i="11"/>
  <c r="Y442" i="11"/>
  <c r="Y443" i="11"/>
  <c r="Y444" i="11"/>
  <c r="Y445" i="11"/>
  <c r="Y446" i="11"/>
  <c r="Y447" i="11"/>
  <c r="Y448" i="11"/>
  <c r="Y449" i="11"/>
  <c r="Y450" i="11"/>
  <c r="Y451" i="11"/>
  <c r="Y452" i="11"/>
  <c r="Y453" i="11"/>
  <c r="Y454" i="11"/>
  <c r="Y455" i="11"/>
  <c r="Y456" i="11"/>
  <c r="Y457" i="11"/>
  <c r="Y458" i="11"/>
  <c r="Y459" i="11"/>
  <c r="Y460" i="11"/>
  <c r="Y461" i="11"/>
  <c r="Y462" i="11"/>
  <c r="Y463" i="11"/>
  <c r="Y464" i="11"/>
  <c r="Y465" i="11"/>
  <c r="Y466" i="11"/>
  <c r="Y467" i="11"/>
  <c r="Y468" i="11"/>
  <c r="Y469" i="11"/>
  <c r="Y470" i="11"/>
  <c r="Y471" i="11"/>
  <c r="Y472" i="11"/>
  <c r="Y473" i="11"/>
  <c r="Y474" i="11"/>
  <c r="Y475" i="11"/>
  <c r="Y476" i="11"/>
  <c r="Y477" i="11"/>
  <c r="Y478" i="11"/>
  <c r="Y479" i="11"/>
  <c r="Y480" i="11"/>
  <c r="Y481" i="11"/>
  <c r="Y482" i="11"/>
  <c r="Y483" i="11"/>
  <c r="Y484" i="11"/>
  <c r="Y485" i="11"/>
  <c r="Y486" i="11"/>
  <c r="Y487" i="11"/>
  <c r="Y488" i="11"/>
  <c r="Y489" i="11"/>
  <c r="Y490" i="11"/>
  <c r="Y491" i="11"/>
  <c r="Y492" i="11"/>
  <c r="Y493" i="11"/>
  <c r="Y494" i="11"/>
  <c r="Y495" i="11"/>
  <c r="Y496" i="11"/>
  <c r="Y497" i="11"/>
  <c r="Y498" i="11"/>
  <c r="Y499" i="11"/>
  <c r="Y500" i="11"/>
  <c r="Y501" i="11"/>
  <c r="Y502" i="11"/>
  <c r="Y503" i="11"/>
  <c r="Y504" i="11"/>
  <c r="Y505" i="11"/>
  <c r="Y506" i="11"/>
  <c r="Y507" i="11"/>
  <c r="Y508" i="11"/>
  <c r="Y509" i="11"/>
  <c r="Y510" i="11"/>
  <c r="Y511" i="11"/>
  <c r="Y512" i="11"/>
  <c r="Y513" i="11"/>
  <c r="Y514" i="11"/>
  <c r="Y515" i="11"/>
  <c r="Y516" i="11"/>
  <c r="Y517" i="11"/>
  <c r="Y518" i="11"/>
  <c r="Y519" i="11"/>
  <c r="Y520" i="11"/>
  <c r="Y521" i="11"/>
  <c r="Y522" i="11"/>
  <c r="Y523" i="11"/>
  <c r="Y524" i="11"/>
  <c r="Y525" i="11"/>
  <c r="Y526" i="11"/>
  <c r="Y527" i="11"/>
  <c r="Y528" i="11"/>
  <c r="Y529" i="11"/>
  <c r="Y530" i="11"/>
  <c r="Y531" i="11"/>
  <c r="Y532" i="11"/>
  <c r="Y533" i="11"/>
  <c r="Y534" i="11"/>
  <c r="Y535" i="11"/>
  <c r="Y536" i="11"/>
  <c r="Y537" i="11"/>
  <c r="Y538" i="11"/>
  <c r="Y539" i="11"/>
  <c r="Y540" i="11"/>
  <c r="Y541" i="11"/>
  <c r="Y542" i="11"/>
  <c r="Y543" i="11"/>
  <c r="Y544" i="11"/>
  <c r="Y545" i="11"/>
  <c r="Y546" i="11"/>
  <c r="Y547" i="11"/>
  <c r="Y548" i="11"/>
  <c r="Y549" i="11"/>
  <c r="Y550" i="11"/>
  <c r="Y551" i="11"/>
  <c r="Y552" i="11"/>
  <c r="Y553" i="11"/>
  <c r="Y554" i="11"/>
  <c r="Y555" i="11"/>
  <c r="Y556" i="11"/>
  <c r="Y557" i="11"/>
  <c r="Y558" i="11"/>
  <c r="Y559" i="11"/>
  <c r="Y560" i="11"/>
  <c r="Y561" i="11"/>
  <c r="Y562" i="11"/>
  <c r="Y563" i="11"/>
  <c r="Y564" i="11"/>
  <c r="Y565" i="11"/>
  <c r="Y566" i="11"/>
  <c r="Y567" i="11"/>
  <c r="Y568" i="11"/>
  <c r="Y569" i="11"/>
  <c r="Y570" i="11"/>
  <c r="Y571" i="11"/>
  <c r="Y572" i="11"/>
  <c r="Y573" i="11"/>
  <c r="Y574" i="11"/>
  <c r="Y575" i="11"/>
  <c r="Y576" i="11"/>
  <c r="Y577" i="11"/>
  <c r="Y578" i="11"/>
  <c r="Y579" i="11"/>
  <c r="Y580" i="11"/>
  <c r="Y581" i="11"/>
  <c r="Y582" i="11"/>
  <c r="Y583" i="11"/>
  <c r="Y584" i="11"/>
  <c r="Y585" i="11"/>
  <c r="Y586" i="11"/>
  <c r="Y587" i="11"/>
  <c r="Y588" i="11"/>
  <c r="Y589" i="11"/>
  <c r="Y590" i="11"/>
  <c r="Y591" i="11"/>
  <c r="Y592" i="11"/>
  <c r="Y593" i="11"/>
  <c r="Y594" i="11"/>
  <c r="Y595" i="11"/>
  <c r="Y596" i="11"/>
  <c r="Y597" i="11"/>
  <c r="Y598" i="11"/>
  <c r="Y599" i="11"/>
  <c r="Y600" i="11"/>
  <c r="Y601" i="11"/>
  <c r="Y602" i="11"/>
  <c r="Y603" i="11"/>
  <c r="Y604" i="11"/>
  <c r="Y605" i="11"/>
  <c r="Y606" i="11"/>
  <c r="Y607" i="11"/>
  <c r="Y608" i="11"/>
  <c r="Y609" i="11"/>
  <c r="Y610" i="11"/>
  <c r="Y611" i="11"/>
  <c r="Y612" i="11"/>
  <c r="Y613" i="11"/>
  <c r="Y614" i="11"/>
  <c r="Y615" i="11"/>
  <c r="Y616" i="11"/>
  <c r="Y617" i="11"/>
  <c r="Y618" i="11"/>
  <c r="Y619" i="11"/>
  <c r="Y620" i="11"/>
  <c r="Y621" i="11"/>
  <c r="Y622" i="11"/>
  <c r="Y623" i="11"/>
  <c r="Y624" i="11"/>
  <c r="Y625" i="11"/>
  <c r="Y626" i="11"/>
  <c r="Y627" i="11"/>
  <c r="Y628" i="11"/>
  <c r="Y629" i="11"/>
  <c r="Y630" i="11"/>
  <c r="Y631" i="11"/>
  <c r="Y632" i="11"/>
  <c r="Y633" i="11"/>
  <c r="Y634" i="11"/>
  <c r="Y635" i="11"/>
  <c r="Y636" i="11"/>
  <c r="Y637" i="11"/>
  <c r="Y638" i="11"/>
  <c r="Y639" i="11"/>
  <c r="Y640" i="11"/>
  <c r="Y641" i="11"/>
  <c r="Y642" i="11"/>
  <c r="Y643" i="11"/>
  <c r="Y644" i="11"/>
  <c r="Y645" i="11"/>
  <c r="Y646" i="11"/>
  <c r="Y647" i="11"/>
  <c r="Y648" i="11"/>
  <c r="Y649" i="11"/>
  <c r="Y650" i="11"/>
  <c r="Y651" i="11"/>
  <c r="Y652" i="11"/>
  <c r="Y653" i="11"/>
  <c r="Y654" i="11"/>
  <c r="Y655" i="11"/>
  <c r="Y656" i="11"/>
  <c r="Y657" i="11"/>
  <c r="Y658" i="11"/>
  <c r="Y659" i="11"/>
  <c r="Y660" i="11"/>
  <c r="Y661" i="11"/>
  <c r="Y662" i="11"/>
  <c r="Y663" i="11"/>
  <c r="Y664" i="11"/>
  <c r="Y665" i="11"/>
  <c r="Y666" i="11"/>
  <c r="Y667" i="11"/>
  <c r="Y668" i="11"/>
  <c r="Y669" i="11"/>
  <c r="Y670" i="11"/>
  <c r="Y671" i="11"/>
  <c r="Y672" i="11"/>
  <c r="Y673" i="11"/>
  <c r="Y674" i="11"/>
  <c r="Y675" i="11"/>
  <c r="Y676" i="11"/>
  <c r="Y677" i="11"/>
  <c r="Y678" i="11"/>
  <c r="Y679" i="11"/>
  <c r="Y680" i="11"/>
  <c r="Y681" i="11"/>
  <c r="Y682" i="11"/>
  <c r="Y683" i="11"/>
  <c r="Y684" i="11"/>
  <c r="Y685" i="11"/>
  <c r="Y686" i="11"/>
  <c r="Y687" i="11"/>
  <c r="Y688" i="11"/>
  <c r="Y689" i="11"/>
  <c r="Y690" i="11"/>
  <c r="Y691" i="11"/>
  <c r="Y692" i="11"/>
  <c r="Y693" i="11"/>
  <c r="Y694" i="11"/>
  <c r="Y695" i="11"/>
  <c r="Y696" i="11"/>
  <c r="Y697" i="11"/>
  <c r="Y698" i="11"/>
  <c r="Y699" i="11"/>
  <c r="Y700" i="11"/>
  <c r="Y701" i="11"/>
  <c r="Y702" i="11"/>
  <c r="Y703" i="11"/>
  <c r="Y704" i="11"/>
  <c r="Y705" i="11"/>
  <c r="Y706" i="11"/>
  <c r="Y707" i="11"/>
  <c r="Y708" i="11"/>
  <c r="Y709" i="11"/>
  <c r="Y710" i="11"/>
  <c r="Y711" i="11"/>
  <c r="Y712" i="11"/>
  <c r="Y713" i="11"/>
  <c r="Y714" i="11"/>
  <c r="Y715" i="11"/>
  <c r="Y716" i="11"/>
  <c r="Y717" i="11"/>
  <c r="Y718" i="11"/>
  <c r="Y719" i="11"/>
  <c r="Y720" i="11"/>
  <c r="Y721" i="11"/>
  <c r="Y722" i="11"/>
  <c r="Y723" i="11"/>
  <c r="Y724" i="11"/>
  <c r="Y725" i="11"/>
  <c r="Y726" i="11"/>
  <c r="Y727" i="11"/>
  <c r="Y728" i="11"/>
  <c r="Y729" i="11"/>
  <c r="Y730" i="11"/>
  <c r="Y731" i="11"/>
  <c r="Y732" i="11"/>
  <c r="Y733" i="11"/>
  <c r="Y734" i="11"/>
  <c r="Y735" i="11"/>
  <c r="Y736" i="11"/>
  <c r="Y737" i="11"/>
  <c r="Y738" i="11"/>
  <c r="Y739" i="11"/>
  <c r="Y740" i="11"/>
  <c r="Y741" i="11"/>
  <c r="Y742" i="11"/>
  <c r="Y743" i="11"/>
  <c r="Y744" i="11"/>
  <c r="Y745" i="11"/>
  <c r="Y746" i="11"/>
  <c r="Y747" i="11"/>
  <c r="Y748" i="11"/>
  <c r="Y749" i="11"/>
  <c r="Y750" i="11"/>
  <c r="Y751" i="11"/>
  <c r="Y752" i="11"/>
  <c r="Y753" i="11"/>
  <c r="Y754" i="11"/>
  <c r="Y755" i="11"/>
  <c r="Y756" i="11"/>
  <c r="Y757" i="11"/>
  <c r="Y758" i="11"/>
  <c r="Y759" i="11"/>
  <c r="Y760" i="11"/>
  <c r="Y761" i="11"/>
  <c r="Y762" i="11"/>
  <c r="Y763" i="11"/>
  <c r="Y764" i="11"/>
  <c r="Y765" i="11"/>
  <c r="Y766" i="11"/>
  <c r="Y767" i="11"/>
  <c r="Y768" i="11"/>
  <c r="Y769" i="11"/>
  <c r="Y770" i="11"/>
  <c r="Y771" i="11"/>
  <c r="Y772" i="11"/>
  <c r="Y773" i="11"/>
  <c r="Y774" i="11"/>
  <c r="Y775" i="11"/>
  <c r="Y776" i="11"/>
  <c r="Y777" i="11"/>
  <c r="Y778" i="11"/>
  <c r="Y779" i="11"/>
  <c r="Y780" i="11"/>
  <c r="Y781" i="11"/>
  <c r="Y782" i="11"/>
  <c r="Y783" i="11"/>
  <c r="Y784" i="11"/>
  <c r="Y785" i="11"/>
  <c r="Y786" i="11"/>
  <c r="Y787" i="11"/>
  <c r="Y788" i="11"/>
  <c r="Y789" i="11"/>
  <c r="Y790" i="11"/>
  <c r="Y791" i="11"/>
  <c r="Y792" i="11"/>
  <c r="Y793" i="11"/>
  <c r="Y794" i="11"/>
  <c r="Y795" i="11"/>
  <c r="Y796" i="11"/>
  <c r="Y797" i="11"/>
  <c r="Y798" i="11"/>
  <c r="Y799" i="11"/>
  <c r="Y800" i="11"/>
  <c r="Y801" i="11"/>
  <c r="Y802" i="11"/>
  <c r="Y803" i="11"/>
  <c r="Y804" i="11"/>
  <c r="Y805" i="11"/>
  <c r="Y806" i="11"/>
  <c r="Y807" i="11"/>
  <c r="Y808" i="11"/>
  <c r="Y809" i="11"/>
  <c r="Y810" i="11"/>
  <c r="Y811" i="11"/>
  <c r="Y812" i="11"/>
  <c r="Y813" i="11"/>
  <c r="Y814" i="11"/>
  <c r="Y815" i="11"/>
  <c r="Y816" i="11"/>
  <c r="Y817" i="11"/>
  <c r="Y818" i="11"/>
  <c r="Y819" i="11"/>
  <c r="Y820" i="11"/>
  <c r="Y821" i="11"/>
  <c r="Y822" i="11"/>
  <c r="Y823" i="11"/>
  <c r="Y824" i="11"/>
  <c r="Y825" i="11"/>
  <c r="Y826" i="11"/>
  <c r="Y827" i="11"/>
  <c r="Y828" i="11"/>
  <c r="Y829" i="11"/>
  <c r="Y830" i="11"/>
  <c r="Y831" i="11"/>
  <c r="Y832" i="11"/>
  <c r="Y833" i="11"/>
  <c r="Y834" i="11"/>
  <c r="Y835" i="11"/>
  <c r="Y836" i="11"/>
  <c r="Y837" i="11"/>
  <c r="Y838" i="11"/>
  <c r="Y839" i="11"/>
  <c r="Y840" i="11"/>
  <c r="Y841" i="11"/>
  <c r="Y842" i="11"/>
  <c r="Y843" i="11"/>
  <c r="Y844" i="11"/>
  <c r="Y845" i="11"/>
  <c r="Y846" i="11"/>
  <c r="Y847" i="11"/>
  <c r="Y848" i="11"/>
  <c r="Y849" i="11"/>
  <c r="Y850" i="11"/>
  <c r="Y851" i="11"/>
  <c r="Y852" i="11"/>
  <c r="Y853" i="11"/>
  <c r="Y854" i="11"/>
  <c r="Y855" i="11"/>
  <c r="Y856" i="11"/>
  <c r="Y857" i="11"/>
  <c r="Y858" i="11"/>
  <c r="Y859" i="11"/>
  <c r="Y860" i="11"/>
  <c r="Y861" i="11"/>
  <c r="Y862" i="11"/>
  <c r="Y863" i="11"/>
  <c r="Y864" i="11"/>
  <c r="Y865" i="11"/>
  <c r="Y866" i="11"/>
  <c r="Y867" i="11"/>
  <c r="Y868" i="11"/>
  <c r="Y869" i="11"/>
  <c r="Y870" i="11"/>
  <c r="Y871" i="11"/>
  <c r="Y872" i="11"/>
  <c r="Y873" i="11"/>
  <c r="Y874" i="11"/>
  <c r="Y875" i="11"/>
  <c r="Y876" i="11"/>
  <c r="Y877" i="11"/>
  <c r="Y878" i="11"/>
  <c r="Y879" i="11"/>
  <c r="Y880" i="11"/>
  <c r="Y881" i="11"/>
  <c r="Y882" i="11"/>
  <c r="Y883" i="11"/>
  <c r="Y884" i="11"/>
  <c r="Y885" i="11"/>
  <c r="Y886" i="11"/>
  <c r="Y887" i="11"/>
  <c r="Y888" i="11"/>
  <c r="Y889" i="11"/>
  <c r="Y890" i="11"/>
  <c r="Y891" i="11"/>
  <c r="Y892" i="11"/>
  <c r="Y893" i="11"/>
  <c r="Y894" i="11"/>
  <c r="Y895" i="11"/>
  <c r="Y896" i="11"/>
  <c r="Y897" i="11"/>
  <c r="Y898" i="11"/>
  <c r="Y899" i="11"/>
  <c r="Y900" i="11"/>
  <c r="Y901" i="11"/>
  <c r="Y902" i="11"/>
  <c r="Y903" i="11"/>
  <c r="Y904" i="11"/>
  <c r="Y905" i="11"/>
  <c r="Y906" i="11"/>
  <c r="Y907" i="11"/>
  <c r="Y908" i="11"/>
  <c r="Y909" i="11"/>
  <c r="Y910" i="11"/>
  <c r="Y911" i="11"/>
  <c r="Y912" i="11"/>
  <c r="Y913" i="11"/>
  <c r="Y2" i="11"/>
  <c r="D913" i="11"/>
  <c r="D912" i="11"/>
  <c r="D911" i="11"/>
  <c r="D910" i="11"/>
  <c r="D909" i="11"/>
  <c r="D908" i="11"/>
  <c r="E907" i="11"/>
  <c r="D907" i="11"/>
  <c r="AF907" i="11" s="1"/>
  <c r="D906" i="11"/>
  <c r="D905" i="11"/>
  <c r="D904" i="11"/>
  <c r="D903" i="11"/>
  <c r="D902" i="11"/>
  <c r="E902" i="11" s="1"/>
  <c r="D901" i="11"/>
  <c r="D900" i="11"/>
  <c r="D899" i="11"/>
  <c r="D898" i="11"/>
  <c r="D897" i="11"/>
  <c r="D896" i="11"/>
  <c r="D895" i="11"/>
  <c r="E895" i="11" s="1"/>
  <c r="D894" i="11"/>
  <c r="D893" i="11"/>
  <c r="D892" i="11"/>
  <c r="D891" i="11"/>
  <c r="D890" i="11"/>
  <c r="E890" i="11" s="1"/>
  <c r="D889" i="11"/>
  <c r="D888" i="11"/>
  <c r="D887" i="11"/>
  <c r="D886" i="11"/>
  <c r="AF886" i="11" s="1"/>
  <c r="D885" i="11"/>
  <c r="D884" i="11"/>
  <c r="E884" i="11" s="1"/>
  <c r="D883" i="11"/>
  <c r="D882" i="11"/>
  <c r="D881" i="11"/>
  <c r="D880" i="11"/>
  <c r="D879" i="11"/>
  <c r="AF879" i="11" s="1"/>
  <c r="D878" i="11"/>
  <c r="E878" i="11" s="1"/>
  <c r="D877" i="11"/>
  <c r="D876" i="11"/>
  <c r="D875" i="11"/>
  <c r="D874" i="11"/>
  <c r="D873" i="11"/>
  <c r="E873" i="11" s="1"/>
  <c r="D872" i="11"/>
  <c r="D871" i="11"/>
  <c r="D870" i="11"/>
  <c r="D869" i="11"/>
  <c r="D868" i="11"/>
  <c r="D867" i="11"/>
  <c r="D866" i="11"/>
  <c r="E866" i="11" s="1"/>
  <c r="D865" i="11"/>
  <c r="D864" i="11"/>
  <c r="E863" i="11"/>
  <c r="D863" i="11"/>
  <c r="AF863" i="11" s="1"/>
  <c r="D862" i="11"/>
  <c r="E862" i="11" s="1"/>
  <c r="D861" i="11"/>
  <c r="D860" i="11"/>
  <c r="D859" i="11"/>
  <c r="D858" i="11"/>
  <c r="D857" i="11"/>
  <c r="D856" i="11"/>
  <c r="D855" i="11"/>
  <c r="D854" i="11"/>
  <c r="E854" i="11" s="1"/>
  <c r="D853" i="11"/>
  <c r="D852" i="11"/>
  <c r="D851" i="11"/>
  <c r="D850" i="11"/>
  <c r="D849" i="11"/>
  <c r="D848" i="11"/>
  <c r="D847" i="11"/>
  <c r="AF847" i="11" s="1"/>
  <c r="D846" i="11"/>
  <c r="AF846" i="11" s="1"/>
  <c r="D845" i="11"/>
  <c r="AF845" i="11" s="1"/>
  <c r="D844" i="11"/>
  <c r="E843" i="11"/>
  <c r="D843" i="11"/>
  <c r="AF843" i="11" s="1"/>
  <c r="D842" i="11"/>
  <c r="E842" i="11" s="1"/>
  <c r="D841" i="11"/>
  <c r="D840" i="11"/>
  <c r="D839" i="11"/>
  <c r="D838" i="11"/>
  <c r="D837" i="11"/>
  <c r="D836" i="11"/>
  <c r="D835" i="11"/>
  <c r="AF835" i="11" s="1"/>
  <c r="D834" i="11"/>
  <c r="D833" i="11"/>
  <c r="D832" i="11"/>
  <c r="E832" i="11" s="1"/>
  <c r="D831" i="11"/>
  <c r="D830" i="11"/>
  <c r="E830" i="11" s="1"/>
  <c r="E829" i="11"/>
  <c r="D829" i="11"/>
  <c r="AF829" i="11" s="1"/>
  <c r="D828" i="11"/>
  <c r="D827" i="11"/>
  <c r="E826" i="11"/>
  <c r="D826" i="11"/>
  <c r="AF826" i="11" s="1"/>
  <c r="D825" i="11"/>
  <c r="D824" i="11"/>
  <c r="D823" i="11"/>
  <c r="D822" i="11"/>
  <c r="E822" i="11" s="1"/>
  <c r="D821" i="11"/>
  <c r="D820" i="11"/>
  <c r="D819" i="11"/>
  <c r="D818" i="11"/>
  <c r="E818" i="11" s="1"/>
  <c r="D817" i="11"/>
  <c r="D816" i="11"/>
  <c r="D815" i="11"/>
  <c r="AF815" i="11" s="1"/>
  <c r="D814" i="11"/>
  <c r="D813" i="11"/>
  <c r="D812" i="11"/>
  <c r="E812" i="11" s="1"/>
  <c r="D811" i="11"/>
  <c r="D810" i="11"/>
  <c r="D809" i="11"/>
  <c r="D808" i="11"/>
  <c r="D807" i="11"/>
  <c r="D806" i="11"/>
  <c r="E806" i="11" s="1"/>
  <c r="D805" i="11"/>
  <c r="D804" i="11"/>
  <c r="D803" i="11"/>
  <c r="D802" i="11"/>
  <c r="AF802" i="11" s="1"/>
  <c r="D801" i="11"/>
  <c r="D800" i="11"/>
  <c r="D799" i="11"/>
  <c r="D798" i="11"/>
  <c r="D797" i="11"/>
  <c r="AF797" i="11" s="1"/>
  <c r="D796" i="11"/>
  <c r="D795" i="11"/>
  <c r="D794" i="11"/>
  <c r="AF794" i="11" s="1"/>
  <c r="E793" i="11"/>
  <c r="D793" i="11"/>
  <c r="AF793" i="11" s="1"/>
  <c r="D792" i="11"/>
  <c r="D791" i="11"/>
  <c r="D790" i="11"/>
  <c r="D789" i="11"/>
  <c r="D788" i="11"/>
  <c r="D787" i="11"/>
  <c r="D786" i="11"/>
  <c r="AF786" i="11" s="1"/>
  <c r="D785" i="11"/>
  <c r="AF785" i="11" s="1"/>
  <c r="D784" i="11"/>
  <c r="D783" i="11"/>
  <c r="E783" i="11" s="1"/>
  <c r="D782" i="11"/>
  <c r="E782" i="11" s="1"/>
  <c r="D781" i="11"/>
  <c r="D780" i="11"/>
  <c r="D779" i="11"/>
  <c r="D778" i="11"/>
  <c r="AF778" i="11" s="1"/>
  <c r="D777" i="11"/>
  <c r="AF777" i="11" s="1"/>
  <c r="D776" i="11"/>
  <c r="D775" i="11"/>
  <c r="D774" i="11"/>
  <c r="D773" i="11"/>
  <c r="E773" i="11" s="1"/>
  <c r="D772" i="11"/>
  <c r="D771" i="11"/>
  <c r="D770" i="11"/>
  <c r="E770" i="11" s="1"/>
  <c r="E769" i="11"/>
  <c r="D769" i="11"/>
  <c r="AF769" i="11" s="1"/>
  <c r="D768" i="11"/>
  <c r="D767" i="11"/>
  <c r="AF767" i="11" s="1"/>
  <c r="D766" i="11"/>
  <c r="D765" i="11"/>
  <c r="D764" i="11"/>
  <c r="D763" i="11"/>
  <c r="E763" i="11" s="1"/>
  <c r="D762" i="11"/>
  <c r="D761" i="11"/>
  <c r="AF761" i="11" s="1"/>
  <c r="D760" i="11"/>
  <c r="D759" i="11"/>
  <c r="D758" i="11"/>
  <c r="E758" i="11" s="1"/>
  <c r="D757" i="11"/>
  <c r="D756" i="11"/>
  <c r="D755" i="11"/>
  <c r="D754" i="11"/>
  <c r="AF754" i="11" s="1"/>
  <c r="D753" i="11"/>
  <c r="D752" i="11"/>
  <c r="D751" i="11"/>
  <c r="D750" i="11"/>
  <c r="AF750" i="11" s="1"/>
  <c r="D749" i="11"/>
  <c r="D748" i="11"/>
  <c r="D747" i="11"/>
  <c r="D746" i="11"/>
  <c r="E746" i="11" s="1"/>
  <c r="D745" i="11"/>
  <c r="D744" i="11"/>
  <c r="D743" i="11"/>
  <c r="D742" i="11"/>
  <c r="D741" i="11"/>
  <c r="D740" i="11"/>
  <c r="D739" i="11"/>
  <c r="AF739" i="11" s="1"/>
  <c r="D738" i="11"/>
  <c r="D737" i="11"/>
  <c r="AF737" i="11" s="1"/>
  <c r="D736" i="11"/>
  <c r="E735" i="11"/>
  <c r="D735" i="11"/>
  <c r="AF735" i="11" s="1"/>
  <c r="D734" i="11"/>
  <c r="E734" i="11" s="1"/>
  <c r="E733" i="11"/>
  <c r="D733" i="11"/>
  <c r="AF733" i="11" s="1"/>
  <c r="D732" i="11"/>
  <c r="D731" i="11"/>
  <c r="E730" i="11"/>
  <c r="D730" i="11"/>
  <c r="AF730" i="11" s="1"/>
  <c r="D729" i="11"/>
  <c r="D728" i="11"/>
  <c r="E727" i="11"/>
  <c r="D727" i="11"/>
  <c r="AF727" i="11" s="1"/>
  <c r="D726" i="11"/>
  <c r="E726" i="11" s="1"/>
  <c r="D725" i="11"/>
  <c r="D724" i="11"/>
  <c r="D723" i="11"/>
  <c r="D722" i="11"/>
  <c r="E722" i="11" s="1"/>
  <c r="D721" i="11"/>
  <c r="AF721" i="11" s="1"/>
  <c r="D720" i="11"/>
  <c r="D719" i="11"/>
  <c r="AF719" i="11" s="1"/>
  <c r="D718" i="11"/>
  <c r="D717" i="11"/>
  <c r="D716" i="11"/>
  <c r="E716" i="11" s="1"/>
  <c r="D715" i="11"/>
  <c r="AF715" i="11" s="1"/>
  <c r="D714" i="11"/>
  <c r="D713" i="11"/>
  <c r="D712" i="11"/>
  <c r="D711" i="11"/>
  <c r="D710" i="11"/>
  <c r="E710" i="11" s="1"/>
  <c r="D709" i="11"/>
  <c r="D708" i="11"/>
  <c r="D707" i="11"/>
  <c r="D706" i="11"/>
  <c r="D705" i="11"/>
  <c r="E705" i="11" s="1"/>
  <c r="D704" i="11"/>
  <c r="D703" i="11"/>
  <c r="D702" i="11"/>
  <c r="D701" i="11"/>
  <c r="AF701" i="11" s="1"/>
  <c r="D700" i="11"/>
  <c r="D699" i="11"/>
  <c r="D698" i="11"/>
  <c r="E698" i="11" s="1"/>
  <c r="D697" i="11"/>
  <c r="D696" i="11"/>
  <c r="D695" i="11"/>
  <c r="D694" i="11"/>
  <c r="D693" i="11"/>
  <c r="D692" i="11"/>
  <c r="D691" i="11"/>
  <c r="D690" i="11"/>
  <c r="D689" i="11"/>
  <c r="D688" i="11"/>
  <c r="D687" i="11"/>
  <c r="D686" i="11"/>
  <c r="E686" i="11" s="1"/>
  <c r="D685" i="11"/>
  <c r="D684" i="11"/>
  <c r="D683" i="11"/>
  <c r="E683" i="11" s="1"/>
  <c r="D682" i="11"/>
  <c r="D681" i="11"/>
  <c r="D680" i="11"/>
  <c r="D679" i="11"/>
  <c r="D678" i="11"/>
  <c r="D677" i="11"/>
  <c r="D676" i="11"/>
  <c r="D675" i="11"/>
  <c r="D674" i="11"/>
  <c r="E674" i="11" s="1"/>
  <c r="D673" i="11"/>
  <c r="D672" i="11"/>
  <c r="D671" i="11"/>
  <c r="D670" i="11"/>
  <c r="D669" i="11"/>
  <c r="AF669" i="11" s="1"/>
  <c r="D668" i="11"/>
  <c r="D667" i="11"/>
  <c r="AF667" i="11" s="1"/>
  <c r="D666" i="11"/>
  <c r="D665" i="11"/>
  <c r="D664" i="11"/>
  <c r="D663" i="11"/>
  <c r="D662" i="11"/>
  <c r="E662" i="11" s="1"/>
  <c r="D661" i="11"/>
  <c r="AF661" i="11" s="1"/>
  <c r="D660" i="11"/>
  <c r="D659" i="11"/>
  <c r="D658" i="11"/>
  <c r="D657" i="11"/>
  <c r="D656" i="11"/>
  <c r="E655" i="11"/>
  <c r="D655" i="11"/>
  <c r="AF655" i="11" s="1"/>
  <c r="D654" i="11"/>
  <c r="AF654" i="11" s="1"/>
  <c r="D653" i="11"/>
  <c r="E653" i="11" s="1"/>
  <c r="D652" i="11"/>
  <c r="D651" i="11"/>
  <c r="D650" i="11"/>
  <c r="E650" i="11" s="1"/>
  <c r="D649" i="11"/>
  <c r="D648" i="11"/>
  <c r="D647" i="11"/>
  <c r="D646" i="11"/>
  <c r="AF646" i="11" s="1"/>
  <c r="D645" i="11"/>
  <c r="D644" i="11"/>
  <c r="D643" i="11"/>
  <c r="D642" i="11"/>
  <c r="E642" i="11" s="1"/>
  <c r="D641" i="11"/>
  <c r="AF641" i="11" s="1"/>
  <c r="D640" i="11"/>
  <c r="D639" i="11"/>
  <c r="D638" i="11"/>
  <c r="E638" i="11" s="1"/>
  <c r="D637" i="11"/>
  <c r="D636" i="11"/>
  <c r="D635" i="11"/>
  <c r="D634" i="11"/>
  <c r="D633" i="11"/>
  <c r="D632" i="11"/>
  <c r="D631" i="11"/>
  <c r="E631" i="11" s="1"/>
  <c r="D630" i="11"/>
  <c r="D629" i="11"/>
  <c r="D628" i="11"/>
  <c r="E627" i="11"/>
  <c r="D627" i="11"/>
  <c r="AF627" i="11" s="1"/>
  <c r="D626" i="11"/>
  <c r="E626" i="11" s="1"/>
  <c r="D625" i="11"/>
  <c r="D624" i="11"/>
  <c r="D623" i="11"/>
  <c r="AF623" i="11" s="1"/>
  <c r="D622" i="11"/>
  <c r="D621" i="11"/>
  <c r="D620" i="11"/>
  <c r="D619" i="11"/>
  <c r="AF619" i="11" s="1"/>
  <c r="D618" i="11"/>
  <c r="D617" i="11"/>
  <c r="D616" i="11"/>
  <c r="D615" i="11"/>
  <c r="D614" i="11"/>
  <c r="E614" i="11" s="1"/>
  <c r="D613" i="11"/>
  <c r="D612" i="11"/>
  <c r="D611" i="11"/>
  <c r="E610" i="11"/>
  <c r="D610" i="11"/>
  <c r="AF610" i="11" s="1"/>
  <c r="D609" i="11"/>
  <c r="D608" i="11"/>
  <c r="D607" i="11"/>
  <c r="D606" i="11"/>
  <c r="D605" i="11"/>
  <c r="AF605" i="11" s="1"/>
  <c r="D604" i="11"/>
  <c r="D603" i="11"/>
  <c r="AF603" i="11" s="1"/>
  <c r="D602" i="11"/>
  <c r="AF602" i="11" s="1"/>
  <c r="D601" i="11"/>
  <c r="D600" i="11"/>
  <c r="D599" i="11"/>
  <c r="D598" i="11"/>
  <c r="D597" i="11"/>
  <c r="D596" i="11"/>
  <c r="D595" i="11"/>
  <c r="AF595" i="11" s="1"/>
  <c r="D594" i="11"/>
  <c r="AF594" i="11" s="1"/>
  <c r="D593" i="11"/>
  <c r="D592" i="11"/>
  <c r="D591" i="11"/>
  <c r="AF591" i="11" s="1"/>
  <c r="D590" i="11"/>
  <c r="E590" i="11" s="1"/>
  <c r="D589" i="11"/>
  <c r="D588" i="11"/>
  <c r="D587" i="11"/>
  <c r="AF587" i="11" s="1"/>
  <c r="E586" i="11"/>
  <c r="D586" i="11"/>
  <c r="AF586" i="11" s="1"/>
  <c r="D585" i="11"/>
  <c r="D584" i="11"/>
  <c r="D583" i="11"/>
  <c r="D582" i="11"/>
  <c r="D581" i="11"/>
  <c r="D580" i="11"/>
  <c r="D579" i="11"/>
  <c r="D578" i="11"/>
  <c r="E578" i="11" s="1"/>
  <c r="D577" i="11"/>
  <c r="D576" i="11"/>
  <c r="D575" i="11"/>
  <c r="D574" i="11"/>
  <c r="D573" i="11"/>
  <c r="AF573" i="11" s="1"/>
  <c r="D572" i="11"/>
  <c r="D571" i="11"/>
  <c r="D570" i="11"/>
  <c r="AF570" i="11" s="1"/>
  <c r="E569" i="11"/>
  <c r="D569" i="11"/>
  <c r="AF569" i="11" s="1"/>
  <c r="D568" i="11"/>
  <c r="D567" i="11"/>
  <c r="D566" i="11"/>
  <c r="E566" i="11" s="1"/>
  <c r="D565" i="11"/>
  <c r="AF565" i="11" s="1"/>
  <c r="D564" i="11"/>
  <c r="D563" i="11"/>
  <c r="D562" i="11"/>
  <c r="AF562" i="11" s="1"/>
  <c r="D561" i="11"/>
  <c r="D560" i="11"/>
  <c r="D559" i="11"/>
  <c r="D558" i="11"/>
  <c r="D557" i="11"/>
  <c r="AF557" i="11" s="1"/>
  <c r="D556" i="11"/>
  <c r="D555" i="11"/>
  <c r="D554" i="11"/>
  <c r="E554" i="11" s="1"/>
  <c r="D553" i="11"/>
  <c r="D552" i="11"/>
  <c r="D551" i="11"/>
  <c r="D550" i="11"/>
  <c r="D549" i="11"/>
  <c r="D548" i="11"/>
  <c r="D547" i="11"/>
  <c r="AF547" i="11" s="1"/>
  <c r="D546" i="11"/>
  <c r="D545" i="11"/>
  <c r="AF545" i="11" s="1"/>
  <c r="D544" i="11"/>
  <c r="D543" i="11"/>
  <c r="D542" i="11"/>
  <c r="E542" i="11" s="1"/>
  <c r="D541" i="11"/>
  <c r="D540" i="11"/>
  <c r="E539" i="11"/>
  <c r="D539" i="11"/>
  <c r="AF539" i="11" s="1"/>
  <c r="D538" i="11"/>
  <c r="D537" i="11"/>
  <c r="D536" i="11"/>
  <c r="AF536" i="11" s="1"/>
  <c r="D535" i="11"/>
  <c r="D534" i="11"/>
  <c r="D533" i="11"/>
  <c r="D532" i="11"/>
  <c r="D531" i="11"/>
  <c r="E530" i="11"/>
  <c r="D530" i="11"/>
  <c r="AF530" i="11" s="1"/>
  <c r="D529" i="11"/>
  <c r="AF529" i="11" s="1"/>
  <c r="D528" i="11"/>
  <c r="D527" i="11"/>
  <c r="D526" i="11"/>
  <c r="D525" i="11"/>
  <c r="E524" i="11"/>
  <c r="D524" i="11"/>
  <c r="AF524" i="11" s="1"/>
  <c r="D523" i="11"/>
  <c r="AF523" i="11" s="1"/>
  <c r="D522" i="11"/>
  <c r="E521" i="11"/>
  <c r="D521" i="11"/>
  <c r="AF521" i="11" s="1"/>
  <c r="D520" i="11"/>
  <c r="D519" i="11"/>
  <c r="D518" i="11"/>
  <c r="E518" i="11" s="1"/>
  <c r="D517" i="11"/>
  <c r="D516" i="11"/>
  <c r="E515" i="11"/>
  <c r="D515" i="11"/>
  <c r="AF515" i="11" s="1"/>
  <c r="D514" i="11"/>
  <c r="D513" i="11"/>
  <c r="E512" i="11"/>
  <c r="D512" i="11"/>
  <c r="AF512" i="11" s="1"/>
  <c r="D511" i="11"/>
  <c r="D510" i="11"/>
  <c r="D509" i="11"/>
  <c r="D508" i="11"/>
  <c r="D507" i="11"/>
  <c r="D506" i="11"/>
  <c r="AF506" i="11" s="1"/>
  <c r="D505" i="11"/>
  <c r="AF505" i="11" s="1"/>
  <c r="D504" i="11"/>
  <c r="D503" i="11"/>
  <c r="D502" i="11"/>
  <c r="D501" i="11"/>
  <c r="D500" i="11"/>
  <c r="AF500" i="11" s="1"/>
  <c r="D499" i="11"/>
  <c r="AF499" i="11" s="1"/>
  <c r="D498" i="11"/>
  <c r="E497" i="11"/>
  <c r="D497" i="11"/>
  <c r="AF497" i="11" s="1"/>
  <c r="D496" i="11"/>
  <c r="D495" i="11"/>
  <c r="D494" i="11"/>
  <c r="E494" i="11" s="1"/>
  <c r="D493" i="11"/>
  <c r="D492" i="11"/>
  <c r="D491" i="11"/>
  <c r="AF491" i="11" s="1"/>
  <c r="D490" i="11"/>
  <c r="D489" i="11"/>
  <c r="D488" i="11"/>
  <c r="AF488" i="11" s="1"/>
  <c r="D487" i="11"/>
  <c r="D486" i="11"/>
  <c r="D485" i="11"/>
  <c r="D484" i="11"/>
  <c r="D483" i="11"/>
  <c r="D482" i="11"/>
  <c r="E482" i="11" s="1"/>
  <c r="D481" i="11"/>
  <c r="AF481" i="11" s="1"/>
  <c r="D480" i="11"/>
  <c r="D479" i="11"/>
  <c r="D478" i="11"/>
  <c r="D477" i="11"/>
  <c r="D476" i="11"/>
  <c r="AF476" i="11" s="1"/>
  <c r="D475" i="11"/>
  <c r="AF475" i="11" s="1"/>
  <c r="D474" i="11"/>
  <c r="D473" i="11"/>
  <c r="AF473" i="11" s="1"/>
  <c r="D472" i="11"/>
  <c r="D471" i="11"/>
  <c r="D470" i="11"/>
  <c r="E470" i="11" s="1"/>
  <c r="D469" i="11"/>
  <c r="D468" i="11"/>
  <c r="D467" i="11"/>
  <c r="AF467" i="11" s="1"/>
  <c r="D466" i="11"/>
  <c r="D465" i="11"/>
  <c r="E464" i="11"/>
  <c r="D464" i="11"/>
  <c r="AF464" i="11" s="1"/>
  <c r="D463" i="11"/>
  <c r="D462" i="11"/>
  <c r="D461" i="11"/>
  <c r="D460" i="11"/>
  <c r="D459" i="11"/>
  <c r="D458" i="11"/>
  <c r="E458" i="11" s="1"/>
  <c r="D457" i="11"/>
  <c r="AF457" i="11" s="1"/>
  <c r="D456" i="11"/>
  <c r="D455" i="11"/>
  <c r="D454" i="11"/>
  <c r="D453" i="11"/>
  <c r="D452" i="11"/>
  <c r="AF452" i="11" s="1"/>
  <c r="D451" i="11"/>
  <c r="AF451" i="11" s="1"/>
  <c r="D450" i="11"/>
  <c r="E449" i="11"/>
  <c r="D449" i="11"/>
  <c r="AF449" i="11" s="1"/>
  <c r="D448" i="11"/>
  <c r="D447" i="11"/>
  <c r="D446" i="11"/>
  <c r="E446" i="11" s="1"/>
  <c r="D445" i="11"/>
  <c r="D444" i="11"/>
  <c r="D443" i="11"/>
  <c r="AF443" i="11" s="1"/>
  <c r="D442" i="11"/>
  <c r="D441" i="11"/>
  <c r="D440" i="11"/>
  <c r="AF440" i="11" s="1"/>
  <c r="D439" i="11"/>
  <c r="D438" i="11"/>
  <c r="D437" i="11"/>
  <c r="D436" i="11"/>
  <c r="D435" i="11"/>
  <c r="D434" i="11"/>
  <c r="E434" i="11" s="1"/>
  <c r="D433" i="11"/>
  <c r="AF433" i="11" s="1"/>
  <c r="D432" i="11"/>
  <c r="D431" i="11"/>
  <c r="D430" i="11"/>
  <c r="D429" i="11"/>
  <c r="D428" i="11"/>
  <c r="D427" i="11"/>
  <c r="D426" i="11"/>
  <c r="D425" i="11"/>
  <c r="D424" i="11"/>
  <c r="D423" i="11"/>
  <c r="D422" i="11"/>
  <c r="E422" i="11" s="1"/>
  <c r="D421" i="11"/>
  <c r="D420" i="11"/>
  <c r="D419" i="11"/>
  <c r="D418" i="11"/>
  <c r="AF418" i="11" s="1"/>
  <c r="D417" i="11"/>
  <c r="AF417" i="11" s="1"/>
  <c r="D416" i="11"/>
  <c r="D415" i="11"/>
  <c r="D414" i="11"/>
  <c r="D413" i="11"/>
  <c r="D412" i="11"/>
  <c r="D411" i="11"/>
  <c r="D410" i="11"/>
  <c r="E410" i="11" s="1"/>
  <c r="D409" i="11"/>
  <c r="D408" i="11"/>
  <c r="D407" i="11"/>
  <c r="D406" i="11"/>
  <c r="D405" i="11"/>
  <c r="D404" i="11"/>
  <c r="D403" i="11"/>
  <c r="D402" i="11"/>
  <c r="D401" i="11"/>
  <c r="D400" i="11"/>
  <c r="D399" i="11"/>
  <c r="D398" i="11"/>
  <c r="E398" i="11" s="1"/>
  <c r="D397" i="11"/>
  <c r="D396" i="11"/>
  <c r="D395" i="11"/>
  <c r="D394" i="11"/>
  <c r="AF394" i="11" s="1"/>
  <c r="D393" i="11"/>
  <c r="D392" i="11"/>
  <c r="D391" i="11"/>
  <c r="D390" i="11"/>
  <c r="D389" i="11"/>
  <c r="D388" i="11"/>
  <c r="D387" i="11"/>
  <c r="D386" i="11"/>
  <c r="E386" i="11" s="1"/>
  <c r="D385" i="11"/>
  <c r="D384" i="11"/>
  <c r="D383" i="11"/>
  <c r="D382" i="11"/>
  <c r="E381" i="11"/>
  <c r="D381" i="11"/>
  <c r="AF381" i="11" s="1"/>
  <c r="D380" i="11"/>
  <c r="D379" i="11"/>
  <c r="D378" i="11"/>
  <c r="D377" i="11"/>
  <c r="D376" i="11"/>
  <c r="D375" i="11"/>
  <c r="D374" i="11"/>
  <c r="E374" i="11" s="1"/>
  <c r="D373" i="11"/>
  <c r="D372" i="11"/>
  <c r="D371" i="11"/>
  <c r="D370" i="11"/>
  <c r="D369" i="11"/>
  <c r="D368" i="11"/>
  <c r="AF368" i="11" s="1"/>
  <c r="D367" i="11"/>
  <c r="D366" i="11"/>
  <c r="D365" i="11"/>
  <c r="D364" i="11"/>
  <c r="D363" i="11"/>
  <c r="D362" i="11"/>
  <c r="E362" i="11" s="1"/>
  <c r="D361" i="11"/>
  <c r="D360" i="11"/>
  <c r="D359" i="11"/>
  <c r="D358" i="11"/>
  <c r="D357" i="11"/>
  <c r="AF357" i="11" s="1"/>
  <c r="D356" i="11"/>
  <c r="D355" i="11"/>
  <c r="D354" i="11"/>
  <c r="D353" i="11"/>
  <c r="D352" i="11"/>
  <c r="D351" i="11"/>
  <c r="D350" i="11"/>
  <c r="E350" i="11" s="1"/>
  <c r="D349" i="11"/>
  <c r="D348" i="11"/>
  <c r="D347" i="11"/>
  <c r="D346" i="11"/>
  <c r="D345" i="11"/>
  <c r="D344" i="11"/>
  <c r="D343" i="11"/>
  <c r="D342" i="11"/>
  <c r="D341" i="11"/>
  <c r="D340" i="11"/>
  <c r="D339" i="11"/>
  <c r="D338" i="11"/>
  <c r="E338" i="11" s="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E326" i="11" s="1"/>
  <c r="D325" i="11"/>
  <c r="E324" i="11"/>
  <c r="D324" i="11"/>
  <c r="AF324" i="11" s="1"/>
  <c r="D323" i="11"/>
  <c r="D322" i="11"/>
  <c r="D321" i="11"/>
  <c r="D320" i="11"/>
  <c r="D319" i="11"/>
  <c r="D318" i="11"/>
  <c r="D317" i="11"/>
  <c r="D316" i="11"/>
  <c r="D315" i="11"/>
  <c r="D314" i="11"/>
  <c r="E314" i="11" s="1"/>
  <c r="D313" i="11"/>
  <c r="D312" i="11"/>
  <c r="AF312" i="11" s="1"/>
  <c r="D311" i="11"/>
  <c r="D310" i="11"/>
  <c r="D309" i="11"/>
  <c r="AF309" i="11" s="1"/>
  <c r="D308" i="11"/>
  <c r="D307" i="11"/>
  <c r="D306" i="11"/>
  <c r="D305" i="11"/>
  <c r="D304" i="11"/>
  <c r="D303" i="11"/>
  <c r="D302" i="11"/>
  <c r="AF302" i="11" s="1"/>
  <c r="D301" i="11"/>
  <c r="D300" i="11"/>
  <c r="D299" i="11"/>
  <c r="D298" i="11"/>
  <c r="D297" i="11"/>
  <c r="D296" i="11"/>
  <c r="AF296" i="11" s="1"/>
  <c r="D295" i="11"/>
  <c r="D294" i="11"/>
  <c r="D293" i="11"/>
  <c r="D292" i="11"/>
  <c r="D291" i="11"/>
  <c r="D290" i="11"/>
  <c r="E290" i="11" s="1"/>
  <c r="D289" i="11"/>
  <c r="AF289" i="11" s="1"/>
  <c r="D288" i="11"/>
  <c r="D287" i="11"/>
  <c r="D286" i="11"/>
  <c r="AF286" i="11" s="1"/>
  <c r="D285" i="11"/>
  <c r="D284" i="11"/>
  <c r="D283" i="11"/>
  <c r="D282" i="11"/>
  <c r="D281" i="11"/>
  <c r="D280" i="11"/>
  <c r="D279" i="11"/>
  <c r="D278" i="11"/>
  <c r="E278" i="11" s="1"/>
  <c r="D277" i="11"/>
  <c r="E276" i="11"/>
  <c r="D276" i="11"/>
  <c r="AF276" i="11" s="1"/>
  <c r="D275" i="11"/>
  <c r="D274" i="11"/>
  <c r="D273" i="11"/>
  <c r="E272" i="11"/>
  <c r="D272" i="11"/>
  <c r="AF272" i="11" s="1"/>
  <c r="D271" i="11"/>
  <c r="D270" i="11"/>
  <c r="D269" i="11"/>
  <c r="D268" i="11"/>
  <c r="D267" i="11"/>
  <c r="D266" i="11"/>
  <c r="E266" i="11" s="1"/>
  <c r="D265" i="11"/>
  <c r="D264" i="11"/>
  <c r="D263" i="11"/>
  <c r="D262" i="11"/>
  <c r="E261" i="11"/>
  <c r="D261" i="11"/>
  <c r="AF261" i="11" s="1"/>
  <c r="D260" i="11"/>
  <c r="AF260" i="11" s="1"/>
  <c r="D259" i="11"/>
  <c r="D258" i="11"/>
  <c r="D257" i="11"/>
  <c r="D256" i="11"/>
  <c r="D255" i="11"/>
  <c r="D254" i="11"/>
  <c r="E254" i="11" s="1"/>
  <c r="D253" i="11"/>
  <c r="D252" i="11"/>
  <c r="D251" i="11"/>
  <c r="D250" i="11"/>
  <c r="AF250" i="11" s="1"/>
  <c r="D249" i="11"/>
  <c r="D248" i="11"/>
  <c r="AF248" i="11" s="1"/>
  <c r="D247" i="11"/>
  <c r="D246" i="11"/>
  <c r="D245" i="11"/>
  <c r="D244" i="11"/>
  <c r="D243" i="11"/>
  <c r="D242" i="11"/>
  <c r="E242" i="11" s="1"/>
  <c r="D241" i="11"/>
  <c r="D240" i="11"/>
  <c r="D239" i="11"/>
  <c r="D238" i="11"/>
  <c r="D237" i="11"/>
  <c r="AF237" i="11" s="1"/>
  <c r="D236" i="11"/>
  <c r="D235" i="11"/>
  <c r="D234" i="11"/>
  <c r="D233" i="11"/>
  <c r="D232" i="11"/>
  <c r="D231" i="11"/>
  <c r="D230" i="11"/>
  <c r="E230" i="11" s="1"/>
  <c r="D229" i="11"/>
  <c r="D228" i="11"/>
  <c r="D227" i="11"/>
  <c r="D226" i="11"/>
  <c r="D225" i="11"/>
  <c r="D224" i="11"/>
  <c r="D223" i="11"/>
  <c r="D222" i="11"/>
  <c r="D221" i="11"/>
  <c r="D220" i="11"/>
  <c r="D219" i="11"/>
  <c r="D218" i="11"/>
  <c r="E218" i="11" s="1"/>
  <c r="D217" i="11"/>
  <c r="D216" i="11"/>
  <c r="D215" i="11"/>
  <c r="D214" i="11"/>
  <c r="D213" i="11"/>
  <c r="AF213" i="11" s="1"/>
  <c r="D212" i="11"/>
  <c r="D211" i="11"/>
  <c r="D210" i="11"/>
  <c r="D209" i="11"/>
  <c r="D208" i="11"/>
  <c r="D207" i="11"/>
  <c r="D206" i="11"/>
  <c r="E206" i="11" s="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E194" i="11" s="1"/>
  <c r="D193" i="11"/>
  <c r="AF193" i="11" s="1"/>
  <c r="D192" i="11"/>
  <c r="D191" i="11"/>
  <c r="D190" i="11"/>
  <c r="E189" i="11"/>
  <c r="D189" i="11"/>
  <c r="AF189" i="11" s="1"/>
  <c r="D188" i="11"/>
  <c r="D187" i="11"/>
  <c r="D186" i="11"/>
  <c r="D185" i="11"/>
  <c r="D184" i="11"/>
  <c r="D183" i="11"/>
  <c r="D182" i="11"/>
  <c r="E182" i="11" s="1"/>
  <c r="D181" i="11"/>
  <c r="D180" i="11"/>
  <c r="D179" i="11"/>
  <c r="D178" i="11"/>
  <c r="D177" i="11"/>
  <c r="D176" i="11"/>
  <c r="AF176" i="11" s="1"/>
  <c r="D175" i="11"/>
  <c r="D174" i="11"/>
  <c r="D173" i="11"/>
  <c r="D172" i="11"/>
  <c r="D171" i="11"/>
  <c r="D170" i="11"/>
  <c r="E170" i="11" s="1"/>
  <c r="D169" i="11"/>
  <c r="D168" i="11"/>
  <c r="D167" i="11"/>
  <c r="D166" i="11"/>
  <c r="D165" i="11"/>
  <c r="AF165" i="11" s="1"/>
  <c r="D164" i="11"/>
  <c r="D163" i="11"/>
  <c r="D162" i="11"/>
  <c r="D161" i="11"/>
  <c r="D160" i="11"/>
  <c r="D159" i="11"/>
  <c r="D158" i="11"/>
  <c r="E158" i="11" s="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E146" i="11" s="1"/>
  <c r="D145" i="11"/>
  <c r="AF145" i="11" s="1"/>
  <c r="D144" i="11"/>
  <c r="AF144" i="11" s="1"/>
  <c r="D143" i="11"/>
  <c r="D142" i="11"/>
  <c r="D141" i="11"/>
  <c r="D140" i="11"/>
  <c r="D139" i="11"/>
  <c r="D138" i="11"/>
  <c r="D137" i="11"/>
  <c r="D136" i="11"/>
  <c r="D135" i="11"/>
  <c r="D134" i="11"/>
  <c r="E134" i="11" s="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E122" i="11" s="1"/>
  <c r="D121" i="11"/>
  <c r="D120" i="11"/>
  <c r="D119" i="11"/>
  <c r="D118" i="11"/>
  <c r="E117" i="11"/>
  <c r="D117" i="11"/>
  <c r="AF117" i="11" s="1"/>
  <c r="D116" i="11"/>
  <c r="D115" i="11"/>
  <c r="D114" i="11"/>
  <c r="D113" i="11"/>
  <c r="D112" i="11"/>
  <c r="D111" i="11"/>
  <c r="D110" i="11"/>
  <c r="E110" i="11" s="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E98" i="11" s="1"/>
  <c r="D97" i="11"/>
  <c r="D96" i="11"/>
  <c r="D95" i="11"/>
  <c r="D94" i="11"/>
  <c r="D93" i="11"/>
  <c r="D92" i="11"/>
  <c r="D91" i="11"/>
  <c r="D90" i="11"/>
  <c r="D89" i="11"/>
  <c r="D88" i="11"/>
  <c r="D87" i="11"/>
  <c r="D86" i="11"/>
  <c r="E86" i="11" s="1"/>
  <c r="D85" i="11"/>
  <c r="D84" i="11"/>
  <c r="E83" i="11"/>
  <c r="D83" i="11"/>
  <c r="AF83" i="11" s="1"/>
  <c r="D82" i="11"/>
  <c r="D81" i="11"/>
  <c r="D80" i="11"/>
  <c r="D79" i="11"/>
  <c r="D78" i="11"/>
  <c r="D77" i="11"/>
  <c r="D76" i="11"/>
  <c r="D75" i="11"/>
  <c r="D74" i="11"/>
  <c r="E74" i="11" s="1"/>
  <c r="D73" i="11"/>
  <c r="D72" i="11"/>
  <c r="D71" i="11"/>
  <c r="D70" i="11"/>
  <c r="D69" i="11"/>
  <c r="D68" i="11"/>
  <c r="D67" i="11"/>
  <c r="AF67" i="11" s="1"/>
  <c r="D66" i="11"/>
  <c r="D65" i="11"/>
  <c r="D64" i="11"/>
  <c r="D63" i="11"/>
  <c r="D62" i="11"/>
  <c r="E62" i="11" s="1"/>
  <c r="D61" i="11"/>
  <c r="D60" i="11"/>
  <c r="D59" i="11"/>
  <c r="D58" i="11"/>
  <c r="D57" i="11"/>
  <c r="D56" i="11"/>
  <c r="D55" i="11"/>
  <c r="D54" i="11"/>
  <c r="D53" i="11"/>
  <c r="D52" i="11"/>
  <c r="D51" i="11"/>
  <c r="AF51" i="11" s="1"/>
  <c r="D50" i="11"/>
  <c r="E50" i="11" s="1"/>
  <c r="D49" i="11"/>
  <c r="D48" i="11"/>
  <c r="D47" i="11"/>
  <c r="D46" i="11"/>
  <c r="D45" i="11"/>
  <c r="D44" i="11"/>
  <c r="D43" i="11"/>
  <c r="D42" i="11"/>
  <c r="D41" i="11"/>
  <c r="D40" i="11"/>
  <c r="D39" i="11"/>
  <c r="D38" i="11"/>
  <c r="E38" i="11" s="1"/>
  <c r="D37" i="11"/>
  <c r="D36" i="11"/>
  <c r="D35" i="11"/>
  <c r="AF35" i="11" s="1"/>
  <c r="D34" i="11"/>
  <c r="D33" i="11"/>
  <c r="D32" i="11"/>
  <c r="D31" i="11"/>
  <c r="D30" i="11"/>
  <c r="D29" i="11"/>
  <c r="D28" i="11"/>
  <c r="D27" i="11"/>
  <c r="D26" i="11"/>
  <c r="E26" i="11" s="1"/>
  <c r="D25" i="11"/>
  <c r="D24" i="11"/>
  <c r="D23" i="11"/>
  <c r="D22" i="11"/>
  <c r="D21" i="11"/>
  <c r="D20" i="11"/>
  <c r="E19" i="11"/>
  <c r="D19" i="11"/>
  <c r="AF19" i="11" s="1"/>
  <c r="D18" i="11"/>
  <c r="D17" i="11"/>
  <c r="D16" i="11"/>
  <c r="D15" i="11"/>
  <c r="D14" i="11"/>
  <c r="E14" i="11" s="1"/>
  <c r="D13" i="11"/>
  <c r="D12" i="11"/>
  <c r="D11" i="11"/>
  <c r="D10" i="11"/>
  <c r="D9" i="11"/>
  <c r="D8" i="11"/>
  <c r="D7" i="11"/>
  <c r="D6" i="11"/>
  <c r="D5" i="11"/>
  <c r="D4" i="11"/>
  <c r="E3" i="11"/>
  <c r="D3" i="11"/>
  <c r="AF3" i="11" s="1"/>
  <c r="D2" i="11"/>
  <c r="E2" i="11" s="1"/>
  <c r="E107" i="11" l="1"/>
  <c r="AF107" i="11"/>
  <c r="E73" i="11"/>
  <c r="AF73" i="11"/>
  <c r="E108" i="11"/>
  <c r="AF108" i="11"/>
  <c r="E197" i="11"/>
  <c r="AF197" i="11"/>
  <c r="E220" i="11"/>
  <c r="AF220" i="11"/>
  <c r="E243" i="11"/>
  <c r="AF243" i="11"/>
  <c r="E274" i="11"/>
  <c r="AF274" i="11"/>
  <c r="E383" i="11"/>
  <c r="AF383" i="11"/>
  <c r="E405" i="11"/>
  <c r="AF405" i="11"/>
  <c r="E426" i="11"/>
  <c r="AF426" i="11"/>
  <c r="E437" i="11"/>
  <c r="AF437" i="11"/>
  <c r="E447" i="11"/>
  <c r="AF447" i="11"/>
  <c r="E466" i="11"/>
  <c r="AF466" i="11"/>
  <c r="E475" i="11"/>
  <c r="E485" i="11"/>
  <c r="AF485" i="11"/>
  <c r="E495" i="11"/>
  <c r="AF495" i="11"/>
  <c r="E504" i="11"/>
  <c r="AF504" i="11"/>
  <c r="E513" i="11"/>
  <c r="AF513" i="11"/>
  <c r="E541" i="11"/>
  <c r="AF541" i="11"/>
  <c r="E580" i="11"/>
  <c r="AF580" i="11"/>
  <c r="E599" i="11"/>
  <c r="AF599" i="11"/>
  <c r="E628" i="11"/>
  <c r="AF628" i="11"/>
  <c r="E640" i="11"/>
  <c r="AF640" i="11"/>
  <c r="E660" i="11"/>
  <c r="AF660" i="11"/>
  <c r="E669" i="11"/>
  <c r="E681" i="11"/>
  <c r="AF681" i="11"/>
  <c r="E693" i="11"/>
  <c r="AF693" i="11"/>
  <c r="E704" i="11"/>
  <c r="AF704" i="11"/>
  <c r="E715" i="11"/>
  <c r="E725" i="11"/>
  <c r="AF725" i="11"/>
  <c r="E743" i="11"/>
  <c r="AF743" i="11"/>
  <c r="E764" i="11"/>
  <c r="AF764" i="11"/>
  <c r="E774" i="11"/>
  <c r="AF774" i="11"/>
  <c r="E784" i="11"/>
  <c r="AF784" i="11"/>
  <c r="E802" i="11"/>
  <c r="E814" i="11"/>
  <c r="AF814" i="11"/>
  <c r="E824" i="11"/>
  <c r="AF824" i="11"/>
  <c r="E834" i="11"/>
  <c r="AF834" i="11"/>
  <c r="E844" i="11"/>
  <c r="AF844" i="11"/>
  <c r="E853" i="11"/>
  <c r="AF853" i="11"/>
  <c r="E864" i="11"/>
  <c r="AF864" i="11"/>
  <c r="E876" i="11"/>
  <c r="AF876" i="11"/>
  <c r="E886" i="11"/>
  <c r="E898" i="11"/>
  <c r="AF898" i="11"/>
  <c r="E909" i="11"/>
  <c r="AF909" i="11"/>
  <c r="E6" i="11"/>
  <c r="AF6" i="11"/>
  <c r="E29" i="11"/>
  <c r="AF29" i="11"/>
  <c r="E51" i="11"/>
  <c r="E85" i="11"/>
  <c r="AF85" i="11"/>
  <c r="E97" i="11"/>
  <c r="AF97" i="11"/>
  <c r="E109" i="11"/>
  <c r="AF109" i="11"/>
  <c r="E120" i="11"/>
  <c r="AF120" i="11"/>
  <c r="E132" i="11"/>
  <c r="AF132" i="11"/>
  <c r="E154" i="11"/>
  <c r="AF154" i="11"/>
  <c r="E176" i="11"/>
  <c r="E210" i="11"/>
  <c r="AF210" i="11"/>
  <c r="E306" i="11"/>
  <c r="AF306" i="11"/>
  <c r="E327" i="11"/>
  <c r="AF327" i="11"/>
  <c r="E373" i="11"/>
  <c r="AF373" i="11"/>
  <c r="E384" i="11"/>
  <c r="AF384" i="11"/>
  <c r="E395" i="11"/>
  <c r="AF395" i="11"/>
  <c r="E406" i="11"/>
  <c r="AF406" i="11"/>
  <c r="E427" i="11"/>
  <c r="AF427" i="11"/>
  <c r="E486" i="11"/>
  <c r="AF486" i="11"/>
  <c r="E496" i="11"/>
  <c r="AF496" i="11"/>
  <c r="E514" i="11"/>
  <c r="AF514" i="11"/>
  <c r="E570" i="11"/>
  <c r="E581" i="11"/>
  <c r="AF581" i="11"/>
  <c r="E670" i="11"/>
  <c r="AF670" i="11"/>
  <c r="E682" i="11"/>
  <c r="AF682" i="11"/>
  <c r="E694" i="11"/>
  <c r="AF694" i="11"/>
  <c r="E744" i="11"/>
  <c r="AF744" i="11"/>
  <c r="E754" i="11"/>
  <c r="E765" i="11"/>
  <c r="AF765" i="11"/>
  <c r="E775" i="11"/>
  <c r="AF775" i="11"/>
  <c r="E803" i="11"/>
  <c r="AF803" i="11"/>
  <c r="E825" i="11"/>
  <c r="AF825" i="11"/>
  <c r="E865" i="11"/>
  <c r="AF865" i="11"/>
  <c r="E877" i="11"/>
  <c r="AF877" i="11"/>
  <c r="E887" i="11"/>
  <c r="AF887" i="11"/>
  <c r="E899" i="11"/>
  <c r="AF899" i="11"/>
  <c r="E910" i="11"/>
  <c r="AF910" i="11"/>
  <c r="AF842" i="11"/>
  <c r="AF698" i="11"/>
  <c r="AF554" i="11"/>
  <c r="AF410" i="11"/>
  <c r="AF266" i="11"/>
  <c r="AF122" i="11"/>
  <c r="E273" i="11"/>
  <c r="AF273" i="11"/>
  <c r="E5" i="11"/>
  <c r="AF5" i="11"/>
  <c r="E17" i="11"/>
  <c r="AF17" i="11"/>
  <c r="E28" i="11"/>
  <c r="AF28" i="11"/>
  <c r="E39" i="11"/>
  <c r="AF39" i="11"/>
  <c r="E84" i="11"/>
  <c r="AF84" i="11"/>
  <c r="E96" i="11"/>
  <c r="AF96" i="11"/>
  <c r="E119" i="11"/>
  <c r="AF119" i="11"/>
  <c r="E153" i="11"/>
  <c r="AF153" i="11"/>
  <c r="E187" i="11"/>
  <c r="AF187" i="11"/>
  <c r="E209" i="11"/>
  <c r="AF209" i="11"/>
  <c r="E232" i="11"/>
  <c r="AF232" i="11"/>
  <c r="E253" i="11"/>
  <c r="AF253" i="11"/>
  <c r="E263" i="11"/>
  <c r="AF263" i="11"/>
  <c r="E285" i="11"/>
  <c r="AF285" i="11"/>
  <c r="E315" i="11"/>
  <c r="AF315" i="11"/>
  <c r="E394" i="11"/>
  <c r="E416" i="11"/>
  <c r="AF416" i="11"/>
  <c r="E456" i="11"/>
  <c r="AF456" i="11"/>
  <c r="E531" i="11"/>
  <c r="AF531" i="11"/>
  <c r="E551" i="11"/>
  <c r="AF551" i="11"/>
  <c r="E561" i="11"/>
  <c r="AF561" i="11"/>
  <c r="E608" i="11"/>
  <c r="AF608" i="11"/>
  <c r="AF134" i="11"/>
  <c r="E18" i="11"/>
  <c r="AF18" i="11"/>
  <c r="E40" i="11"/>
  <c r="AF40" i="11"/>
  <c r="E63" i="11"/>
  <c r="AF63" i="11"/>
  <c r="E165" i="11"/>
  <c r="E188" i="11"/>
  <c r="AF188" i="11"/>
  <c r="E198" i="11"/>
  <c r="AF198" i="11"/>
  <c r="E221" i="11"/>
  <c r="AF221" i="11"/>
  <c r="E233" i="11"/>
  <c r="AF233" i="11"/>
  <c r="E244" i="11"/>
  <c r="AF244" i="11"/>
  <c r="E264" i="11"/>
  <c r="AF264" i="11"/>
  <c r="E275" i="11"/>
  <c r="AF275" i="11"/>
  <c r="E316" i="11"/>
  <c r="AF316" i="11"/>
  <c r="E339" i="11"/>
  <c r="AF339" i="11"/>
  <c r="E351" i="11"/>
  <c r="AF351" i="11"/>
  <c r="E438" i="11"/>
  <c r="AF438" i="11"/>
  <c r="E448" i="11"/>
  <c r="AF448" i="11"/>
  <c r="E523" i="11"/>
  <c r="E532" i="11"/>
  <c r="AF532" i="11"/>
  <c r="E552" i="11"/>
  <c r="AF552" i="11"/>
  <c r="E600" i="11"/>
  <c r="AF600" i="11"/>
  <c r="E609" i="11"/>
  <c r="AF609" i="11"/>
  <c r="E619" i="11"/>
  <c r="E629" i="11"/>
  <c r="AF629" i="11"/>
  <c r="E651" i="11"/>
  <c r="AF651" i="11"/>
  <c r="E7" i="11"/>
  <c r="AF7" i="11"/>
  <c r="E30" i="11"/>
  <c r="AF30" i="11"/>
  <c r="E41" i="11"/>
  <c r="AF41" i="11"/>
  <c r="E52" i="11"/>
  <c r="AF52" i="11"/>
  <c r="E64" i="11"/>
  <c r="AF64" i="11"/>
  <c r="E75" i="11"/>
  <c r="AF75" i="11"/>
  <c r="E121" i="11"/>
  <c r="AF121" i="11"/>
  <c r="E133" i="11"/>
  <c r="AF133" i="11"/>
  <c r="E144" i="11"/>
  <c r="E155" i="11"/>
  <c r="AF155" i="11"/>
  <c r="E166" i="11"/>
  <c r="AF166" i="11"/>
  <c r="E177" i="11"/>
  <c r="AF177" i="11"/>
  <c r="E199" i="11"/>
  <c r="AF199" i="11"/>
  <c r="E211" i="11"/>
  <c r="AF211" i="11"/>
  <c r="E222" i="11"/>
  <c r="AF222" i="11"/>
  <c r="E234" i="11"/>
  <c r="AF234" i="11"/>
  <c r="E245" i="11"/>
  <c r="AF245" i="11"/>
  <c r="E255" i="11"/>
  <c r="AF255" i="11"/>
  <c r="E265" i="11"/>
  <c r="AF265" i="11"/>
  <c r="E286" i="11"/>
  <c r="E296" i="11"/>
  <c r="E307" i="11"/>
  <c r="AF307" i="11"/>
  <c r="E317" i="11"/>
  <c r="AF317" i="11"/>
  <c r="E328" i="11"/>
  <c r="AF328" i="11"/>
  <c r="E340" i="11"/>
  <c r="AF340" i="11"/>
  <c r="E352" i="11"/>
  <c r="AF352" i="11"/>
  <c r="E363" i="11"/>
  <c r="AF363" i="11"/>
  <c r="E385" i="11"/>
  <c r="AF385" i="11"/>
  <c r="E396" i="11"/>
  <c r="AF396" i="11"/>
  <c r="E407" i="11"/>
  <c r="AF407" i="11"/>
  <c r="E417" i="11"/>
  <c r="E428" i="11"/>
  <c r="AF428" i="11"/>
  <c r="E439" i="11"/>
  <c r="AF439" i="11"/>
  <c r="E457" i="11"/>
  <c r="E467" i="11"/>
  <c r="E476" i="11"/>
  <c r="E487" i="11"/>
  <c r="AF487" i="11"/>
  <c r="E505" i="11"/>
  <c r="E533" i="11"/>
  <c r="AF533" i="11"/>
  <c r="E543" i="11"/>
  <c r="AF543" i="11"/>
  <c r="E553" i="11"/>
  <c r="AF553" i="11"/>
  <c r="E562" i="11"/>
  <c r="E571" i="11"/>
  <c r="AF571" i="11"/>
  <c r="E582" i="11"/>
  <c r="AF582" i="11"/>
  <c r="E591" i="11"/>
  <c r="E601" i="11"/>
  <c r="AF601" i="11"/>
  <c r="E620" i="11"/>
  <c r="AF620" i="11"/>
  <c r="E630" i="11"/>
  <c r="AF630" i="11"/>
  <c r="E641" i="11"/>
  <c r="E652" i="11"/>
  <c r="AF652" i="11"/>
  <c r="E661" i="11"/>
  <c r="E671" i="11"/>
  <c r="AF671" i="11"/>
  <c r="E695" i="11"/>
  <c r="AF695" i="11"/>
  <c r="E706" i="11"/>
  <c r="AF706" i="11"/>
  <c r="E717" i="11"/>
  <c r="AF717" i="11"/>
  <c r="E745" i="11"/>
  <c r="AF745" i="11"/>
  <c r="E755" i="11"/>
  <c r="AF755" i="11"/>
  <c r="E766" i="11"/>
  <c r="AF766" i="11"/>
  <c r="E776" i="11"/>
  <c r="AF776" i="11"/>
  <c r="E785" i="11"/>
  <c r="E794" i="11"/>
  <c r="E804" i="11"/>
  <c r="AF804" i="11"/>
  <c r="E815" i="11"/>
  <c r="E835" i="11"/>
  <c r="E845" i="11"/>
  <c r="E855" i="11"/>
  <c r="AF855" i="11"/>
  <c r="E888" i="11"/>
  <c r="AF888" i="11"/>
  <c r="E900" i="11"/>
  <c r="AF900" i="11"/>
  <c r="E911" i="11"/>
  <c r="AF911" i="11"/>
  <c r="AF830" i="11"/>
  <c r="AF686" i="11"/>
  <c r="AF542" i="11"/>
  <c r="AF398" i="11"/>
  <c r="AF254" i="11"/>
  <c r="AF110" i="11"/>
  <c r="E618" i="11"/>
  <c r="AF618" i="11"/>
  <c r="E131" i="11"/>
  <c r="AF131" i="11"/>
  <c r="E65" i="11"/>
  <c r="AF65" i="11"/>
  <c r="E318" i="11"/>
  <c r="AF318" i="11"/>
  <c r="E364" i="11"/>
  <c r="AF364" i="11"/>
  <c r="E408" i="11"/>
  <c r="AF408" i="11"/>
  <c r="E572" i="11"/>
  <c r="AF572" i="11"/>
  <c r="E805" i="11"/>
  <c r="AF805" i="11"/>
  <c r="E867" i="11"/>
  <c r="AF867" i="11"/>
  <c r="AF818" i="11"/>
  <c r="AF674" i="11"/>
  <c r="AF386" i="11"/>
  <c r="AF242" i="11"/>
  <c r="AF98" i="11"/>
  <c r="E16" i="11"/>
  <c r="AF16" i="11"/>
  <c r="E372" i="11"/>
  <c r="AF372" i="11"/>
  <c r="E42" i="11"/>
  <c r="AF42" i="11"/>
  <c r="E111" i="11"/>
  <c r="AF111" i="11"/>
  <c r="E235" i="11"/>
  <c r="AF235" i="11"/>
  <c r="E429" i="11"/>
  <c r="AF429" i="11"/>
  <c r="E9" i="11"/>
  <c r="AF9" i="11"/>
  <c r="E20" i="11"/>
  <c r="AF20" i="11"/>
  <c r="E32" i="11"/>
  <c r="AF32" i="11"/>
  <c r="E43" i="11"/>
  <c r="AF43" i="11"/>
  <c r="E54" i="11"/>
  <c r="AF54" i="11"/>
  <c r="E66" i="11"/>
  <c r="AF66" i="11"/>
  <c r="E77" i="11"/>
  <c r="AF77" i="11"/>
  <c r="E88" i="11"/>
  <c r="AF88" i="11"/>
  <c r="E100" i="11"/>
  <c r="AF100" i="11"/>
  <c r="E112" i="11"/>
  <c r="AF112" i="11"/>
  <c r="E123" i="11"/>
  <c r="AF123" i="11"/>
  <c r="E135" i="11"/>
  <c r="AF135" i="11"/>
  <c r="E145" i="11"/>
  <c r="E157" i="11"/>
  <c r="AF157" i="11"/>
  <c r="E168" i="11"/>
  <c r="AF168" i="11"/>
  <c r="E179" i="11"/>
  <c r="AF179" i="11"/>
  <c r="E190" i="11"/>
  <c r="AF190" i="11"/>
  <c r="E201" i="11"/>
  <c r="AF201" i="11"/>
  <c r="E224" i="11"/>
  <c r="AF224" i="11"/>
  <c r="E247" i="11"/>
  <c r="AF247" i="11"/>
  <c r="E257" i="11"/>
  <c r="AF257" i="11"/>
  <c r="E267" i="11"/>
  <c r="AF267" i="11"/>
  <c r="E277" i="11"/>
  <c r="AF277" i="11"/>
  <c r="E288" i="11"/>
  <c r="AF288" i="11"/>
  <c r="E298" i="11"/>
  <c r="AF298" i="11"/>
  <c r="E319" i="11"/>
  <c r="AF319" i="11"/>
  <c r="E330" i="11"/>
  <c r="AF330" i="11"/>
  <c r="E342" i="11"/>
  <c r="AF342" i="11"/>
  <c r="E354" i="11"/>
  <c r="AF354" i="11"/>
  <c r="E365" i="11"/>
  <c r="AF365" i="11"/>
  <c r="E376" i="11"/>
  <c r="AF376" i="11"/>
  <c r="E387" i="11"/>
  <c r="AF387" i="11"/>
  <c r="E409" i="11"/>
  <c r="AF409" i="11"/>
  <c r="E418" i="11"/>
  <c r="E430" i="11"/>
  <c r="AF430" i="11"/>
  <c r="E440" i="11"/>
  <c r="E450" i="11"/>
  <c r="AF450" i="11"/>
  <c r="E459" i="11"/>
  <c r="AF459" i="11"/>
  <c r="E469" i="11"/>
  <c r="AF469" i="11"/>
  <c r="E478" i="11"/>
  <c r="AF478" i="11"/>
  <c r="E488" i="11"/>
  <c r="E506" i="11"/>
  <c r="E516" i="11"/>
  <c r="AF516" i="11"/>
  <c r="E525" i="11"/>
  <c r="AF525" i="11"/>
  <c r="E535" i="11"/>
  <c r="AF535" i="11"/>
  <c r="E564" i="11"/>
  <c r="AF564" i="11"/>
  <c r="E584" i="11"/>
  <c r="AF584" i="11"/>
  <c r="E593" i="11"/>
  <c r="AF593" i="11"/>
  <c r="E602" i="11"/>
  <c r="E611" i="11"/>
  <c r="AF611" i="11"/>
  <c r="E622" i="11"/>
  <c r="AF622" i="11"/>
  <c r="E632" i="11"/>
  <c r="AF632" i="11"/>
  <c r="E643" i="11"/>
  <c r="AF643" i="11"/>
  <c r="E663" i="11"/>
  <c r="AF663" i="11"/>
  <c r="E673" i="11"/>
  <c r="AF673" i="11"/>
  <c r="E685" i="11"/>
  <c r="AF685" i="11"/>
  <c r="E697" i="11"/>
  <c r="AF697" i="11"/>
  <c r="E708" i="11"/>
  <c r="AF708" i="11"/>
  <c r="E728" i="11"/>
  <c r="AF728" i="11"/>
  <c r="E747" i="11"/>
  <c r="AF747" i="11"/>
  <c r="E757" i="11"/>
  <c r="AF757" i="11"/>
  <c r="E767" i="11"/>
  <c r="E777" i="11"/>
  <c r="E786" i="11"/>
  <c r="E796" i="11"/>
  <c r="AF796" i="11"/>
  <c r="E817" i="11"/>
  <c r="AF817" i="11"/>
  <c r="E827" i="11"/>
  <c r="AF827" i="11"/>
  <c r="E837" i="11"/>
  <c r="AF837" i="11"/>
  <c r="E846" i="11"/>
  <c r="E857" i="11"/>
  <c r="AF857" i="11"/>
  <c r="E868" i="11"/>
  <c r="AF868" i="11"/>
  <c r="E879" i="11"/>
  <c r="E913" i="11"/>
  <c r="AF913" i="11"/>
  <c r="AF806" i="11"/>
  <c r="AF518" i="11"/>
  <c r="AF374" i="11"/>
  <c r="AF230" i="11"/>
  <c r="AF86" i="11"/>
  <c r="E8" i="11"/>
  <c r="AF8" i="11"/>
  <c r="E200" i="11"/>
  <c r="AF200" i="11"/>
  <c r="E256" i="11"/>
  <c r="AF256" i="11"/>
  <c r="E583" i="11"/>
  <c r="AF583" i="11"/>
  <c r="E621" i="11"/>
  <c r="AF621" i="11"/>
  <c r="E707" i="11"/>
  <c r="AF707" i="11"/>
  <c r="E901" i="11"/>
  <c r="AF901" i="11"/>
  <c r="E498" i="11"/>
  <c r="AF498" i="11"/>
  <c r="E10" i="11"/>
  <c r="AF10" i="11"/>
  <c r="E21" i="11"/>
  <c r="AF21" i="11"/>
  <c r="E33" i="11"/>
  <c r="AF33" i="11"/>
  <c r="E44" i="11"/>
  <c r="AF44" i="11"/>
  <c r="E55" i="11"/>
  <c r="AF55" i="11"/>
  <c r="E78" i="11"/>
  <c r="AF78" i="11"/>
  <c r="E89" i="11"/>
  <c r="AF89" i="11"/>
  <c r="E101" i="11"/>
  <c r="AF101" i="11"/>
  <c r="E113" i="11"/>
  <c r="AF113" i="11"/>
  <c r="E124" i="11"/>
  <c r="AF124" i="11"/>
  <c r="E136" i="11"/>
  <c r="AF136" i="11"/>
  <c r="E169" i="11"/>
  <c r="AF169" i="11"/>
  <c r="E180" i="11"/>
  <c r="AF180" i="11"/>
  <c r="E191" i="11"/>
  <c r="AF191" i="11"/>
  <c r="E202" i="11"/>
  <c r="AF202" i="11"/>
  <c r="E213" i="11"/>
  <c r="E225" i="11"/>
  <c r="AF225" i="11"/>
  <c r="E258" i="11"/>
  <c r="AF258" i="11"/>
  <c r="E268" i="11"/>
  <c r="AF268" i="11"/>
  <c r="E299" i="11"/>
  <c r="AF299" i="11"/>
  <c r="E309" i="11"/>
  <c r="E320" i="11"/>
  <c r="AF320" i="11"/>
  <c r="E331" i="11"/>
  <c r="AF331" i="11"/>
  <c r="E343" i="11"/>
  <c r="AF343" i="11"/>
  <c r="E355" i="11"/>
  <c r="AF355" i="11"/>
  <c r="E366" i="11"/>
  <c r="AF366" i="11"/>
  <c r="E377" i="11"/>
  <c r="AF377" i="11"/>
  <c r="E388" i="11"/>
  <c r="AF388" i="11"/>
  <c r="E419" i="11"/>
  <c r="AF419" i="11"/>
  <c r="E431" i="11"/>
  <c r="AF431" i="11"/>
  <c r="E441" i="11"/>
  <c r="AF441" i="11"/>
  <c r="E479" i="11"/>
  <c r="AF479" i="11"/>
  <c r="E489" i="11"/>
  <c r="AF489" i="11"/>
  <c r="E507" i="11"/>
  <c r="AF507" i="11"/>
  <c r="E517" i="11"/>
  <c r="AF517" i="11"/>
  <c r="E526" i="11"/>
  <c r="AF526" i="11"/>
  <c r="E545" i="11"/>
  <c r="E555" i="11"/>
  <c r="AF555" i="11"/>
  <c r="E573" i="11"/>
  <c r="E585" i="11"/>
  <c r="AF585" i="11"/>
  <c r="E612" i="11"/>
  <c r="AF612" i="11"/>
  <c r="E633" i="11"/>
  <c r="AF633" i="11"/>
  <c r="E644" i="11"/>
  <c r="AF644" i="11"/>
  <c r="E654" i="11"/>
  <c r="E664" i="11"/>
  <c r="AF664" i="11"/>
  <c r="E709" i="11"/>
  <c r="AF709" i="11"/>
  <c r="E719" i="11"/>
  <c r="E729" i="11"/>
  <c r="AF729" i="11"/>
  <c r="E737" i="11"/>
  <c r="E748" i="11"/>
  <c r="AF748" i="11"/>
  <c r="E768" i="11"/>
  <c r="AF768" i="11"/>
  <c r="E787" i="11"/>
  <c r="AF787" i="11"/>
  <c r="E807" i="11"/>
  <c r="AF807" i="11"/>
  <c r="E828" i="11"/>
  <c r="AF828" i="11"/>
  <c r="E838" i="11"/>
  <c r="AF838" i="11"/>
  <c r="E858" i="11"/>
  <c r="AF858" i="11"/>
  <c r="E869" i="11"/>
  <c r="AF869" i="11"/>
  <c r="E880" i="11"/>
  <c r="AF880" i="11"/>
  <c r="E891" i="11"/>
  <c r="AF891" i="11"/>
  <c r="E903" i="11"/>
  <c r="AF903" i="11"/>
  <c r="AF650" i="11"/>
  <c r="AF362" i="11"/>
  <c r="AF218" i="11"/>
  <c r="AF74" i="11"/>
  <c r="E4" i="11"/>
  <c r="AF4" i="11"/>
  <c r="E118" i="11"/>
  <c r="AF118" i="11"/>
  <c r="E142" i="11"/>
  <c r="AF142" i="11"/>
  <c r="E164" i="11"/>
  <c r="AF164" i="11"/>
  <c r="E186" i="11"/>
  <c r="AF186" i="11"/>
  <c r="E208" i="11"/>
  <c r="AF208" i="11"/>
  <c r="E219" i="11"/>
  <c r="AF219" i="11"/>
  <c r="E231" i="11"/>
  <c r="AF231" i="11"/>
  <c r="E252" i="11"/>
  <c r="AF252" i="11"/>
  <c r="E284" i="11"/>
  <c r="AF284" i="11"/>
  <c r="E294" i="11"/>
  <c r="AF294" i="11"/>
  <c r="E304" i="11"/>
  <c r="AF304" i="11"/>
  <c r="E325" i="11"/>
  <c r="AF325" i="11"/>
  <c r="E337" i="11"/>
  <c r="AF337" i="11"/>
  <c r="E349" i="11"/>
  <c r="AF349" i="11"/>
  <c r="E360" i="11"/>
  <c r="AF360" i="11"/>
  <c r="E371" i="11"/>
  <c r="AF371" i="11"/>
  <c r="E382" i="11"/>
  <c r="AF382" i="11"/>
  <c r="E404" i="11"/>
  <c r="AF404" i="11"/>
  <c r="E425" i="11"/>
  <c r="AF425" i="11"/>
  <c r="E455" i="11"/>
  <c r="AF455" i="11"/>
  <c r="E465" i="11"/>
  <c r="AF465" i="11"/>
  <c r="E550" i="11"/>
  <c r="AF550" i="11"/>
  <c r="E560" i="11"/>
  <c r="AF560" i="11"/>
  <c r="E579" i="11"/>
  <c r="AF579" i="11"/>
  <c r="E598" i="11"/>
  <c r="AF598" i="11"/>
  <c r="E639" i="11"/>
  <c r="AF639" i="11"/>
  <c r="E649" i="11"/>
  <c r="AF649" i="11"/>
  <c r="E659" i="11"/>
  <c r="AF659" i="11"/>
  <c r="E724" i="11"/>
  <c r="AF724" i="11"/>
  <c r="E742" i="11"/>
  <c r="AF742" i="11"/>
  <c r="E813" i="11"/>
  <c r="AF813" i="11"/>
  <c r="E852" i="11"/>
  <c r="AF852" i="11"/>
  <c r="E875" i="11"/>
  <c r="AF875" i="11"/>
  <c r="E897" i="11"/>
  <c r="AF897" i="11"/>
  <c r="E295" i="11"/>
  <c r="AF295" i="11"/>
  <c r="E99" i="11"/>
  <c r="AF99" i="11"/>
  <c r="E375" i="11"/>
  <c r="AF375" i="11"/>
  <c r="E236" i="11"/>
  <c r="AF236" i="11"/>
  <c r="E460" i="11"/>
  <c r="AF460" i="11"/>
  <c r="E11" i="11"/>
  <c r="AF11" i="11"/>
  <c r="E22" i="11"/>
  <c r="AF22" i="11"/>
  <c r="E34" i="11"/>
  <c r="AF34" i="11"/>
  <c r="E45" i="11"/>
  <c r="AF45" i="11"/>
  <c r="E56" i="11"/>
  <c r="AF56" i="11"/>
  <c r="E67" i="11"/>
  <c r="E79" i="11"/>
  <c r="AF79" i="11"/>
  <c r="E90" i="11"/>
  <c r="AF90" i="11"/>
  <c r="E102" i="11"/>
  <c r="AF102" i="11"/>
  <c r="E114" i="11"/>
  <c r="AF114" i="11"/>
  <c r="E125" i="11"/>
  <c r="AF125" i="11"/>
  <c r="E137" i="11"/>
  <c r="AF137" i="11"/>
  <c r="E147" i="11"/>
  <c r="AF147" i="11"/>
  <c r="E159" i="11"/>
  <c r="AF159" i="11"/>
  <c r="E181" i="11"/>
  <c r="AF181" i="11"/>
  <c r="E192" i="11"/>
  <c r="AF192" i="11"/>
  <c r="E203" i="11"/>
  <c r="AF203" i="11"/>
  <c r="E214" i="11"/>
  <c r="AF214" i="11"/>
  <c r="E226" i="11"/>
  <c r="AF226" i="11"/>
  <c r="E237" i="11"/>
  <c r="E248" i="11"/>
  <c r="E259" i="11"/>
  <c r="AF259" i="11"/>
  <c r="E269" i="11"/>
  <c r="AF269" i="11"/>
  <c r="E279" i="11"/>
  <c r="AF279" i="11"/>
  <c r="E289" i="11"/>
  <c r="E300" i="11"/>
  <c r="AF300" i="11"/>
  <c r="E310" i="11"/>
  <c r="AF310" i="11"/>
  <c r="E321" i="11"/>
  <c r="AF321" i="11"/>
  <c r="E332" i="11"/>
  <c r="AF332" i="11"/>
  <c r="E344" i="11"/>
  <c r="AF344" i="11"/>
  <c r="E356" i="11"/>
  <c r="AF356" i="11"/>
  <c r="E367" i="11"/>
  <c r="AF367" i="11"/>
  <c r="E378" i="11"/>
  <c r="AF378" i="11"/>
  <c r="E389" i="11"/>
  <c r="AF389" i="11"/>
  <c r="E399" i="11"/>
  <c r="AF399" i="11"/>
  <c r="E420" i="11"/>
  <c r="AF420" i="11"/>
  <c r="E432" i="11"/>
  <c r="AF432" i="11"/>
  <c r="E442" i="11"/>
  <c r="AF442" i="11"/>
  <c r="E451" i="11"/>
  <c r="E461" i="11"/>
  <c r="AF461" i="11"/>
  <c r="E471" i="11"/>
  <c r="AF471" i="11"/>
  <c r="E480" i="11"/>
  <c r="AF480" i="11"/>
  <c r="E490" i="11"/>
  <c r="AF490" i="11"/>
  <c r="E499" i="11"/>
  <c r="E508" i="11"/>
  <c r="AF508" i="11"/>
  <c r="E527" i="11"/>
  <c r="AF527" i="11"/>
  <c r="E536" i="11"/>
  <c r="E546" i="11"/>
  <c r="AF546" i="11"/>
  <c r="E556" i="11"/>
  <c r="AF556" i="11"/>
  <c r="E565" i="11"/>
  <c r="E574" i="11"/>
  <c r="AF574" i="11"/>
  <c r="E594" i="11"/>
  <c r="E603" i="11"/>
  <c r="E613" i="11"/>
  <c r="AF613" i="11"/>
  <c r="E623" i="11"/>
  <c r="E634" i="11"/>
  <c r="AF634" i="11"/>
  <c r="E645" i="11"/>
  <c r="AF645" i="11"/>
  <c r="E665" i="11"/>
  <c r="AF665" i="11"/>
  <c r="E675" i="11"/>
  <c r="AF675" i="11"/>
  <c r="E687" i="11"/>
  <c r="AF687" i="11"/>
  <c r="E699" i="11"/>
  <c r="AF699" i="11"/>
  <c r="E720" i="11"/>
  <c r="AF720" i="11"/>
  <c r="E738" i="11"/>
  <c r="AF738" i="11"/>
  <c r="E749" i="11"/>
  <c r="AF749" i="11"/>
  <c r="E759" i="11"/>
  <c r="AF759" i="11"/>
  <c r="E778" i="11"/>
  <c r="E788" i="11"/>
  <c r="AF788" i="11"/>
  <c r="E797" i="11"/>
  <c r="E808" i="11"/>
  <c r="AF808" i="11"/>
  <c r="E839" i="11"/>
  <c r="AF839" i="11"/>
  <c r="E847" i="11"/>
  <c r="E859" i="11"/>
  <c r="AF859" i="11"/>
  <c r="E870" i="11"/>
  <c r="AF870" i="11"/>
  <c r="E881" i="11"/>
  <c r="AF881" i="11"/>
  <c r="E892" i="11"/>
  <c r="AF892" i="11"/>
  <c r="E904" i="11"/>
  <c r="AF904" i="11"/>
  <c r="AF782" i="11"/>
  <c r="AF638" i="11"/>
  <c r="AF494" i="11"/>
  <c r="AF350" i="11"/>
  <c r="AF206" i="11"/>
  <c r="AF62" i="11"/>
  <c r="E53" i="11"/>
  <c r="AF53" i="11"/>
  <c r="E178" i="11"/>
  <c r="AF178" i="11"/>
  <c r="E223" i="11"/>
  <c r="AF223" i="11"/>
  <c r="E287" i="11"/>
  <c r="AF287" i="11"/>
  <c r="E329" i="11"/>
  <c r="AF329" i="11"/>
  <c r="E468" i="11"/>
  <c r="AF468" i="11"/>
  <c r="E563" i="11"/>
  <c r="AF563" i="11"/>
  <c r="E718" i="11"/>
  <c r="AF718" i="11"/>
  <c r="E795" i="11"/>
  <c r="AF795" i="11"/>
  <c r="E836" i="11"/>
  <c r="AF836" i="11"/>
  <c r="E889" i="11"/>
  <c r="AF889" i="11"/>
  <c r="E12" i="11"/>
  <c r="AF12" i="11"/>
  <c r="E23" i="11"/>
  <c r="AF23" i="11"/>
  <c r="E46" i="11"/>
  <c r="AF46" i="11"/>
  <c r="E68" i="11"/>
  <c r="AF68" i="11"/>
  <c r="E91" i="11"/>
  <c r="AF91" i="11"/>
  <c r="E115" i="11"/>
  <c r="AF115" i="11"/>
  <c r="E148" i="11"/>
  <c r="AF148" i="11"/>
  <c r="E215" i="11"/>
  <c r="AF215" i="11"/>
  <c r="E227" i="11"/>
  <c r="AF227" i="11"/>
  <c r="E238" i="11"/>
  <c r="AF238" i="11"/>
  <c r="E270" i="11"/>
  <c r="AF270" i="11"/>
  <c r="E280" i="11"/>
  <c r="AF280" i="11"/>
  <c r="E301" i="11"/>
  <c r="AF301" i="11"/>
  <c r="E311" i="11"/>
  <c r="AF311" i="11"/>
  <c r="E322" i="11"/>
  <c r="AF322" i="11"/>
  <c r="E333" i="11"/>
  <c r="AF333" i="11"/>
  <c r="E345" i="11"/>
  <c r="AF345" i="11"/>
  <c r="E379" i="11"/>
  <c r="AF379" i="11"/>
  <c r="E390" i="11"/>
  <c r="AF390" i="11"/>
  <c r="E400" i="11"/>
  <c r="AF400" i="11"/>
  <c r="E411" i="11"/>
  <c r="AF411" i="11"/>
  <c r="E421" i="11"/>
  <c r="AF421" i="11"/>
  <c r="E462" i="11"/>
  <c r="AF462" i="11"/>
  <c r="E472" i="11"/>
  <c r="AF472" i="11"/>
  <c r="E509" i="11"/>
  <c r="AF509" i="11"/>
  <c r="E519" i="11"/>
  <c r="AF519" i="11"/>
  <c r="E528" i="11"/>
  <c r="AF528" i="11"/>
  <c r="E575" i="11"/>
  <c r="AF575" i="11"/>
  <c r="E604" i="11"/>
  <c r="AF604" i="11"/>
  <c r="E624" i="11"/>
  <c r="AF624" i="11"/>
  <c r="E666" i="11"/>
  <c r="AF666" i="11"/>
  <c r="E676" i="11"/>
  <c r="AF676" i="11"/>
  <c r="E688" i="11"/>
  <c r="AF688" i="11"/>
  <c r="E700" i="11"/>
  <c r="AF700" i="11"/>
  <c r="E711" i="11"/>
  <c r="AF711" i="11"/>
  <c r="E760" i="11"/>
  <c r="AF760" i="11"/>
  <c r="E779" i="11"/>
  <c r="AF779" i="11"/>
  <c r="E789" i="11"/>
  <c r="AF789" i="11"/>
  <c r="E798" i="11"/>
  <c r="AF798" i="11"/>
  <c r="E809" i="11"/>
  <c r="AF809" i="11"/>
  <c r="E819" i="11"/>
  <c r="AF819" i="11"/>
  <c r="E840" i="11"/>
  <c r="AF840" i="11"/>
  <c r="E848" i="11"/>
  <c r="AF848" i="11"/>
  <c r="E860" i="11"/>
  <c r="AF860" i="11"/>
  <c r="E871" i="11"/>
  <c r="AF871" i="11"/>
  <c r="E882" i="11"/>
  <c r="AF882" i="11"/>
  <c r="E893" i="11"/>
  <c r="AF893" i="11"/>
  <c r="AF2" i="11"/>
  <c r="AF770" i="11"/>
  <c r="AF626" i="11"/>
  <c r="AF482" i="11"/>
  <c r="AF338" i="11"/>
  <c r="AF194" i="11"/>
  <c r="AF50" i="11"/>
  <c r="E61" i="11"/>
  <c r="AF61" i="11"/>
  <c r="E72" i="11"/>
  <c r="AF72" i="11"/>
  <c r="E95" i="11"/>
  <c r="AF95" i="11"/>
  <c r="E130" i="11"/>
  <c r="AF130" i="11"/>
  <c r="E152" i="11"/>
  <c r="AF152" i="11"/>
  <c r="E175" i="11"/>
  <c r="AF175" i="11"/>
  <c r="E196" i="11"/>
  <c r="AF196" i="11"/>
  <c r="E262" i="11"/>
  <c r="AF262" i="11"/>
  <c r="E415" i="11"/>
  <c r="AF415" i="11"/>
  <c r="E436" i="11"/>
  <c r="AF436" i="11"/>
  <c r="E484" i="11"/>
  <c r="AF484" i="11"/>
  <c r="E503" i="11"/>
  <c r="AF503" i="11"/>
  <c r="E522" i="11"/>
  <c r="AF522" i="11"/>
  <c r="E540" i="11"/>
  <c r="AF540" i="11"/>
  <c r="E589" i="11"/>
  <c r="AF589" i="11"/>
  <c r="E607" i="11"/>
  <c r="AF607" i="11"/>
  <c r="E680" i="11"/>
  <c r="AF680" i="11"/>
  <c r="E692" i="11"/>
  <c r="AF692" i="11"/>
  <c r="E703" i="11"/>
  <c r="AF703" i="11"/>
  <c r="E753" i="11"/>
  <c r="AF753" i="11"/>
  <c r="E823" i="11"/>
  <c r="AF823" i="11"/>
  <c r="E833" i="11"/>
  <c r="AF833" i="11"/>
  <c r="E908" i="11"/>
  <c r="AF908" i="11"/>
  <c r="E305" i="11"/>
  <c r="AF305" i="11"/>
  <c r="E212" i="11"/>
  <c r="AF212" i="11"/>
  <c r="E297" i="11"/>
  <c r="AF297" i="11"/>
  <c r="E477" i="11"/>
  <c r="AF477" i="11"/>
  <c r="E534" i="11"/>
  <c r="AF534" i="11"/>
  <c r="E592" i="11"/>
  <c r="AF592" i="11"/>
  <c r="E672" i="11"/>
  <c r="AF672" i="11"/>
  <c r="E736" i="11"/>
  <c r="AF736" i="11"/>
  <c r="E756" i="11"/>
  <c r="AF756" i="11"/>
  <c r="E912" i="11"/>
  <c r="AF912" i="11"/>
  <c r="E57" i="11"/>
  <c r="AF57" i="11"/>
  <c r="E80" i="11"/>
  <c r="AF80" i="11"/>
  <c r="E103" i="11"/>
  <c r="AF103" i="11"/>
  <c r="E126" i="11"/>
  <c r="AF126" i="11"/>
  <c r="E138" i="11"/>
  <c r="AF138" i="11"/>
  <c r="E160" i="11"/>
  <c r="AF160" i="11"/>
  <c r="E171" i="11"/>
  <c r="AF171" i="11"/>
  <c r="E204" i="11"/>
  <c r="AF204" i="11"/>
  <c r="E249" i="11"/>
  <c r="AF249" i="11"/>
  <c r="E905" i="11"/>
  <c r="AF905" i="11"/>
  <c r="E13" i="11"/>
  <c r="AF13" i="11"/>
  <c r="E24" i="11"/>
  <c r="AF24" i="11"/>
  <c r="E35" i="11"/>
  <c r="E47" i="11"/>
  <c r="AF47" i="11"/>
  <c r="E58" i="11"/>
  <c r="AF58" i="11"/>
  <c r="E69" i="11"/>
  <c r="AF69" i="11"/>
  <c r="E81" i="11"/>
  <c r="AF81" i="11"/>
  <c r="E92" i="11"/>
  <c r="AF92" i="11"/>
  <c r="E104" i="11"/>
  <c r="AF104" i="11"/>
  <c r="E116" i="11"/>
  <c r="AF116" i="11"/>
  <c r="E127" i="11"/>
  <c r="AF127" i="11"/>
  <c r="E139" i="11"/>
  <c r="AF139" i="11"/>
  <c r="E149" i="11"/>
  <c r="AF149" i="11"/>
  <c r="E161" i="11"/>
  <c r="AF161" i="11"/>
  <c r="E172" i="11"/>
  <c r="AF172" i="11"/>
  <c r="E183" i="11"/>
  <c r="AF183" i="11"/>
  <c r="E193" i="11"/>
  <c r="E205" i="11"/>
  <c r="AF205" i="11"/>
  <c r="E216" i="11"/>
  <c r="AF216" i="11"/>
  <c r="E228" i="11"/>
  <c r="AF228" i="11"/>
  <c r="E239" i="11"/>
  <c r="AF239" i="11"/>
  <c r="E260" i="11"/>
  <c r="E271" i="11"/>
  <c r="AF271" i="11"/>
  <c r="E281" i="11"/>
  <c r="AF281" i="11"/>
  <c r="E291" i="11"/>
  <c r="AF291" i="11"/>
  <c r="E323" i="11"/>
  <c r="AF323" i="11"/>
  <c r="E334" i="11"/>
  <c r="AF334" i="11"/>
  <c r="E346" i="11"/>
  <c r="AF346" i="11"/>
  <c r="E357" i="11"/>
  <c r="E368" i="11"/>
  <c r="E380" i="11"/>
  <c r="AF380" i="11"/>
  <c r="E391" i="11"/>
  <c r="AF391" i="11"/>
  <c r="E401" i="11"/>
  <c r="AF401" i="11"/>
  <c r="E412" i="11"/>
  <c r="AF412" i="11"/>
  <c r="E433" i="11"/>
  <c r="E443" i="11"/>
  <c r="E452" i="11"/>
  <c r="E481" i="11"/>
  <c r="E491" i="11"/>
  <c r="E500" i="11"/>
  <c r="E510" i="11"/>
  <c r="AF510" i="11"/>
  <c r="E538" i="11"/>
  <c r="AF538" i="11"/>
  <c r="E547" i="11"/>
  <c r="E557" i="11"/>
  <c r="E567" i="11"/>
  <c r="AF567" i="11"/>
  <c r="E576" i="11"/>
  <c r="AF576" i="11"/>
  <c r="E595" i="11"/>
  <c r="E615" i="11"/>
  <c r="AF615" i="11"/>
  <c r="E625" i="11"/>
  <c r="AF625" i="11"/>
  <c r="E636" i="11"/>
  <c r="AF636" i="11"/>
  <c r="E646" i="11"/>
  <c r="E656" i="11"/>
  <c r="AF656" i="11"/>
  <c r="E677" i="11"/>
  <c r="AF677" i="11"/>
  <c r="E689" i="11"/>
  <c r="AF689" i="11"/>
  <c r="E712" i="11"/>
  <c r="AF712" i="11"/>
  <c r="E721" i="11"/>
  <c r="E731" i="11"/>
  <c r="AF731" i="11"/>
  <c r="E739" i="11"/>
  <c r="E750" i="11"/>
  <c r="E780" i="11"/>
  <c r="AF780" i="11"/>
  <c r="E790" i="11"/>
  <c r="AF790" i="11"/>
  <c r="E799" i="11"/>
  <c r="AF799" i="11"/>
  <c r="E810" i="11"/>
  <c r="AF810" i="11"/>
  <c r="E820" i="11"/>
  <c r="AF820" i="11"/>
  <c r="E841" i="11"/>
  <c r="AF841" i="11"/>
  <c r="E849" i="11"/>
  <c r="AF849" i="11"/>
  <c r="E861" i="11"/>
  <c r="AF861" i="11"/>
  <c r="E872" i="11"/>
  <c r="AF872" i="11"/>
  <c r="E883" i="11"/>
  <c r="AF883" i="11"/>
  <c r="E894" i="11"/>
  <c r="AF894" i="11"/>
  <c r="E906" i="11"/>
  <c r="AF906" i="11"/>
  <c r="AF902" i="11"/>
  <c r="AF758" i="11"/>
  <c r="AF614" i="11"/>
  <c r="AF470" i="11"/>
  <c r="AF326" i="11"/>
  <c r="AF182" i="11"/>
  <c r="AF38" i="11"/>
  <c r="E143" i="11"/>
  <c r="AF143" i="11"/>
  <c r="E31" i="11"/>
  <c r="AF31" i="11"/>
  <c r="E87" i="11"/>
  <c r="AF87" i="11"/>
  <c r="E156" i="11"/>
  <c r="AF156" i="11"/>
  <c r="E246" i="11"/>
  <c r="AF246" i="11"/>
  <c r="E353" i="11"/>
  <c r="AF353" i="11"/>
  <c r="E544" i="11"/>
  <c r="AF544" i="11"/>
  <c r="E696" i="11"/>
  <c r="AF696" i="11"/>
  <c r="E816" i="11"/>
  <c r="AF816" i="11"/>
  <c r="E856" i="11"/>
  <c r="AF856" i="11"/>
  <c r="E635" i="11"/>
  <c r="AF635" i="11"/>
  <c r="E520" i="11"/>
  <c r="AF520" i="11"/>
  <c r="E25" i="11"/>
  <c r="AF25" i="11"/>
  <c r="E36" i="11"/>
  <c r="AF36" i="11"/>
  <c r="E48" i="11"/>
  <c r="AF48" i="11"/>
  <c r="E59" i="11"/>
  <c r="AF59" i="11"/>
  <c r="E70" i="11"/>
  <c r="AF70" i="11"/>
  <c r="E82" i="11"/>
  <c r="AF82" i="11"/>
  <c r="E93" i="11"/>
  <c r="AF93" i="11"/>
  <c r="E105" i="11"/>
  <c r="AF105" i="11"/>
  <c r="E128" i="11"/>
  <c r="AF128" i="11"/>
  <c r="E140" i="11"/>
  <c r="AF140" i="11"/>
  <c r="E150" i="11"/>
  <c r="AF150" i="11"/>
  <c r="E162" i="11"/>
  <c r="AF162" i="11"/>
  <c r="E173" i="11"/>
  <c r="AF173" i="11"/>
  <c r="E184" i="11"/>
  <c r="AF184" i="11"/>
  <c r="E217" i="11"/>
  <c r="AF217" i="11"/>
  <c r="E229" i="11"/>
  <c r="AF229" i="11"/>
  <c r="E240" i="11"/>
  <c r="AF240" i="11"/>
  <c r="E250" i="11"/>
  <c r="E282" i="11"/>
  <c r="AF282" i="11"/>
  <c r="E292" i="11"/>
  <c r="AF292" i="11"/>
  <c r="E302" i="11"/>
  <c r="E312" i="11"/>
  <c r="E335" i="11"/>
  <c r="AF335" i="11"/>
  <c r="E347" i="11"/>
  <c r="AF347" i="11"/>
  <c r="E358" i="11"/>
  <c r="AF358" i="11"/>
  <c r="E369" i="11"/>
  <c r="AF369" i="11"/>
  <c r="E392" i="11"/>
  <c r="AF392" i="11"/>
  <c r="E402" i="11"/>
  <c r="AF402" i="11"/>
  <c r="E413" i="11"/>
  <c r="AF413" i="11"/>
  <c r="E423" i="11"/>
  <c r="AF423" i="11"/>
  <c r="E444" i="11"/>
  <c r="AF444" i="11"/>
  <c r="E453" i="11"/>
  <c r="AF453" i="11"/>
  <c r="E473" i="11"/>
  <c r="E492" i="11"/>
  <c r="AF492" i="11"/>
  <c r="E501" i="11"/>
  <c r="AF501" i="11"/>
  <c r="E511" i="11"/>
  <c r="AF511" i="11"/>
  <c r="E529" i="11"/>
  <c r="E548" i="11"/>
  <c r="AF548" i="11"/>
  <c r="E558" i="11"/>
  <c r="AF558" i="11"/>
  <c r="E568" i="11"/>
  <c r="AF568" i="11"/>
  <c r="E577" i="11"/>
  <c r="AF577" i="11"/>
  <c r="E587" i="11"/>
  <c r="E596" i="11"/>
  <c r="AF596" i="11"/>
  <c r="E605" i="11"/>
  <c r="E616" i="11"/>
  <c r="AF616" i="11"/>
  <c r="E637" i="11"/>
  <c r="AF637" i="11"/>
  <c r="E647" i="11"/>
  <c r="AF647" i="11"/>
  <c r="E657" i="11"/>
  <c r="AF657" i="11"/>
  <c r="E667" i="11"/>
  <c r="E678" i="11"/>
  <c r="AF678" i="11"/>
  <c r="E690" i="11"/>
  <c r="AF690" i="11"/>
  <c r="E701" i="11"/>
  <c r="E713" i="11"/>
  <c r="AF713" i="11"/>
  <c r="E732" i="11"/>
  <c r="AF732" i="11"/>
  <c r="E740" i="11"/>
  <c r="AF740" i="11"/>
  <c r="E751" i="11"/>
  <c r="AF751" i="11"/>
  <c r="E761" i="11"/>
  <c r="E771" i="11"/>
  <c r="AF771" i="11"/>
  <c r="E781" i="11"/>
  <c r="AF781" i="11"/>
  <c r="E791" i="11"/>
  <c r="AF791" i="11"/>
  <c r="E800" i="11"/>
  <c r="AF800" i="11"/>
  <c r="E811" i="11"/>
  <c r="AF811" i="11"/>
  <c r="E821" i="11"/>
  <c r="AF821" i="11"/>
  <c r="E831" i="11"/>
  <c r="AF831" i="11"/>
  <c r="E850" i="11"/>
  <c r="AF850" i="11"/>
  <c r="AF890" i="11"/>
  <c r="AF746" i="11"/>
  <c r="AF458" i="11"/>
  <c r="AF314" i="11"/>
  <c r="AF170" i="11"/>
  <c r="AF26" i="11"/>
  <c r="E27" i="11"/>
  <c r="AF27" i="11"/>
  <c r="E361" i="11"/>
  <c r="AF361" i="11"/>
  <c r="E76" i="11"/>
  <c r="AF76" i="11"/>
  <c r="E167" i="11"/>
  <c r="AF167" i="11"/>
  <c r="E308" i="11"/>
  <c r="AF308" i="11"/>
  <c r="E341" i="11"/>
  <c r="AF341" i="11"/>
  <c r="E397" i="11"/>
  <c r="AF397" i="11"/>
  <c r="E684" i="11"/>
  <c r="AF684" i="11"/>
  <c r="E537" i="11"/>
  <c r="AF537" i="11"/>
  <c r="E463" i="11"/>
  <c r="AF463" i="11"/>
  <c r="E15" i="11"/>
  <c r="AF15" i="11"/>
  <c r="E37" i="11"/>
  <c r="AF37" i="11"/>
  <c r="E49" i="11"/>
  <c r="AF49" i="11"/>
  <c r="E60" i="11"/>
  <c r="AF60" i="11"/>
  <c r="E71" i="11"/>
  <c r="AF71" i="11"/>
  <c r="E94" i="11"/>
  <c r="AF94" i="11"/>
  <c r="E106" i="11"/>
  <c r="AF106" i="11"/>
  <c r="E129" i="11"/>
  <c r="AF129" i="11"/>
  <c r="E141" i="11"/>
  <c r="AF141" i="11"/>
  <c r="E151" i="11"/>
  <c r="AF151" i="11"/>
  <c r="E163" i="11"/>
  <c r="AF163" i="11"/>
  <c r="E174" i="11"/>
  <c r="AF174" i="11"/>
  <c r="E185" i="11"/>
  <c r="AF185" i="11"/>
  <c r="E195" i="11"/>
  <c r="AF195" i="11"/>
  <c r="E207" i="11"/>
  <c r="AF207" i="11"/>
  <c r="E241" i="11"/>
  <c r="AF241" i="11"/>
  <c r="E251" i="11"/>
  <c r="AF251" i="11"/>
  <c r="E283" i="11"/>
  <c r="AF283" i="11"/>
  <c r="E293" i="11"/>
  <c r="AF293" i="11"/>
  <c r="E303" i="11"/>
  <c r="AF303" i="11"/>
  <c r="E313" i="11"/>
  <c r="AF313" i="11"/>
  <c r="E336" i="11"/>
  <c r="AF336" i="11"/>
  <c r="E348" i="11"/>
  <c r="AF348" i="11"/>
  <c r="E359" i="11"/>
  <c r="AF359" i="11"/>
  <c r="E370" i="11"/>
  <c r="AF370" i="11"/>
  <c r="E393" i="11"/>
  <c r="AF393" i="11"/>
  <c r="E403" i="11"/>
  <c r="AF403" i="11"/>
  <c r="E414" i="11"/>
  <c r="AF414" i="11"/>
  <c r="E424" i="11"/>
  <c r="AF424" i="11"/>
  <c r="E435" i="11"/>
  <c r="AF435" i="11"/>
  <c r="E445" i="11"/>
  <c r="AF445" i="11"/>
  <c r="E454" i="11"/>
  <c r="AF454" i="11"/>
  <c r="E474" i="11"/>
  <c r="AF474" i="11"/>
  <c r="E483" i="11"/>
  <c r="AF483" i="11"/>
  <c r="E493" i="11"/>
  <c r="AF493" i="11"/>
  <c r="E502" i="11"/>
  <c r="AF502" i="11"/>
  <c r="E549" i="11"/>
  <c r="AF549" i="11"/>
  <c r="E559" i="11"/>
  <c r="AF559" i="11"/>
  <c r="E588" i="11"/>
  <c r="AF588" i="11"/>
  <c r="E597" i="11"/>
  <c r="AF597" i="11"/>
  <c r="E606" i="11"/>
  <c r="AF606" i="11"/>
  <c r="E617" i="11"/>
  <c r="AF617" i="11"/>
  <c r="E648" i="11"/>
  <c r="AF648" i="11"/>
  <c r="E658" i="11"/>
  <c r="AF658" i="11"/>
  <c r="E668" i="11"/>
  <c r="AF668" i="11"/>
  <c r="E679" i="11"/>
  <c r="AF679" i="11"/>
  <c r="E691" i="11"/>
  <c r="AF691" i="11"/>
  <c r="E702" i="11"/>
  <c r="AF702" i="11"/>
  <c r="E714" i="11"/>
  <c r="AF714" i="11"/>
  <c r="E723" i="11"/>
  <c r="AF723" i="11"/>
  <c r="E741" i="11"/>
  <c r="AF741" i="11"/>
  <c r="E752" i="11"/>
  <c r="AF752" i="11"/>
  <c r="E762" i="11"/>
  <c r="AF762" i="11"/>
  <c r="E772" i="11"/>
  <c r="AF772" i="11"/>
  <c r="E792" i="11"/>
  <c r="AF792" i="11"/>
  <c r="E801" i="11"/>
  <c r="AF801" i="11"/>
  <c r="E851" i="11"/>
  <c r="AF851" i="11"/>
  <c r="E874" i="11"/>
  <c r="AF874" i="11"/>
  <c r="E885" i="11"/>
  <c r="AF885" i="11"/>
  <c r="E896" i="11"/>
  <c r="AF896" i="11"/>
  <c r="AF878" i="11"/>
  <c r="AF734" i="11"/>
  <c r="AF590" i="11"/>
  <c r="AF446" i="11"/>
  <c r="AF158" i="11"/>
  <c r="AF14" i="11"/>
  <c r="AF683" i="11"/>
  <c r="AF862" i="11"/>
  <c r="AF873" i="11"/>
  <c r="AF705" i="11"/>
  <c r="AF884" i="11"/>
  <c r="AF812" i="11"/>
  <c r="AF716" i="11"/>
  <c r="AF895" i="11"/>
  <c r="AF763" i="11"/>
  <c r="AF631" i="11"/>
  <c r="AF822" i="11"/>
  <c r="AF726" i="11"/>
  <c r="AF642" i="11"/>
  <c r="AF773" i="11"/>
  <c r="AF653" i="11"/>
  <c r="AF832" i="11"/>
  <c r="AF783" i="11"/>
</calcChain>
</file>

<file path=xl/sharedStrings.xml><?xml version="1.0" encoding="utf-8"?>
<sst xmlns="http://schemas.openxmlformats.org/spreadsheetml/2006/main" count="12029" uniqueCount="2847">
  <si>
    <t>order_id</t>
  </si>
  <si>
    <t>order_date</t>
  </si>
  <si>
    <t>ship_date</t>
  </si>
  <si>
    <t>customer_id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</si>
  <si>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</si>
  <si>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</si>
  <si>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</si>
  <si>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</si>
  <si>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</si>
  <si>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</si>
  <si>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</si>
  <si>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</si>
  <si>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</si>
  <si>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</si>
  <si>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</si>
  <si>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</si>
  <si>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</si>
  <si>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</si>
  <si>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</si>
  <si>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</si>
  <si>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</si>
  <si>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</si>
  <si>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</si>
  <si>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</si>
  <si>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</si>
  <si>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</si>
  <si>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</si>
  <si>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</si>
  <si>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</si>
  <si>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</si>
  <si>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</si>
  <si>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</si>
  <si>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</si>
  <si>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</si>
  <si>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</si>
  <si>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</si>
  <si>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</si>
  <si>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</si>
  <si>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</si>
  <si>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</si>
  <si>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</si>
  <si>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</si>
  <si>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</si>
  <si>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</si>
  <si>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</si>
  <si>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</si>
  <si>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</si>
  <si>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</si>
  <si>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</si>
  <si>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</si>
  <si>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</si>
  <si>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</si>
  <si>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</si>
  <si>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</si>
  <si>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</si>
  <si>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</si>
  <si>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</si>
  <si>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</si>
  <si>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</si>
  <si>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</si>
  <si>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</si>
  <si>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</si>
  <si>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</si>
  <si>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</si>
  <si>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</si>
  <si>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</si>
  <si>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</si>
  <si>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</si>
  <si>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</si>
  <si>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</si>
  <si>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</si>
  <si>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</si>
  <si>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</si>
  <si>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</si>
  <si>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</si>
  <si>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</si>
  <si>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</si>
  <si>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</si>
  <si>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</si>
  <si>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</si>
  <si>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</si>
  <si>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</si>
  <si>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</si>
  <si>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</si>
  <si>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</si>
  <si>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</si>
  <si>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</si>
  <si>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</si>
  <si>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</si>
  <si>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</si>
  <si>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</si>
  <si>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</si>
  <si>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</si>
  <si>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</si>
  <si>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</si>
  <si>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</si>
  <si>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</si>
  <si>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</si>
  <si>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</si>
  <si>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</si>
  <si>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</si>
  <si>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</si>
  <si>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</si>
  <si>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</si>
  <si>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</si>
  <si>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</si>
  <si>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</si>
  <si>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</si>
  <si>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</si>
  <si>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</si>
  <si>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</si>
  <si>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</si>
  <si>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</si>
  <si>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</si>
  <si>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</si>
  <si>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</si>
  <si>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</si>
  <si>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</si>
  <si>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</si>
  <si>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</si>
  <si>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</si>
  <si>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</si>
  <si>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</si>
  <si>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</si>
  <si>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</si>
  <si>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</si>
  <si>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</si>
  <si>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</si>
  <si>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</si>
  <si>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</si>
  <si>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</si>
  <si>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</si>
  <si>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</si>
  <si>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</si>
  <si>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</si>
  <si>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</si>
  <si>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</si>
  <si>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</si>
  <si>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</si>
  <si>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</si>
  <si>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</si>
  <si>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</si>
  <si>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</si>
  <si>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</si>
  <si>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</si>
  <si>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</si>
  <si>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</si>
  <si>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</si>
  <si>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</si>
  <si>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</si>
  <si>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</si>
  <si>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</si>
  <si>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</si>
  <si>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</si>
  <si>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</si>
  <si>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</si>
  <si>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</si>
  <si>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</si>
  <si>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</si>
  <si>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</si>
  <si>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</si>
  <si>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</si>
  <si>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</si>
  <si>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</si>
  <si>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</si>
  <si>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</si>
  <si>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</si>
  <si>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</si>
  <si>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</si>
  <si>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</si>
  <si>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</si>
  <si>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</si>
  <si>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</si>
  <si>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</si>
  <si>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</si>
  <si>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</si>
  <si>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</si>
  <si>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</si>
  <si>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</si>
  <si>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</si>
  <si>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</si>
  <si>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</si>
  <si>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</si>
  <si>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</si>
  <si>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</si>
  <si>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</si>
  <si>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</si>
  <si>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</si>
  <si>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</si>
  <si>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</si>
  <si>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</si>
  <si>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</si>
  <si>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</si>
  <si>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</si>
  <si>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</si>
  <si>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</si>
  <si>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</si>
  <si>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</si>
  <si>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</si>
  <si>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</si>
  <si>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</si>
  <si>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</si>
  <si>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</si>
  <si>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</si>
  <si>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</si>
  <si>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</si>
  <si>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</si>
  <si>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</si>
  <si>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</si>
  <si>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</si>
  <si>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</si>
  <si>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</si>
  <si>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</si>
  <si>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</si>
  <si>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</si>
  <si>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</si>
  <si>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</si>
  <si>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</si>
  <si>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</si>
  <si>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</si>
  <si>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</si>
  <si>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</si>
  <si>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</si>
  <si>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</si>
  <si>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</si>
  <si>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</si>
  <si>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</si>
  <si>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</si>
  <si>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</si>
  <si>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</si>
  <si>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</si>
  <si>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</si>
  <si>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</si>
  <si>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</si>
  <si>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</si>
  <si>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</si>
  <si>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</si>
  <si>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</si>
  <si>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</si>
  <si>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</si>
  <si>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</si>
  <si>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</si>
  <si>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</si>
  <si>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</si>
  <si>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</si>
  <si>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</si>
  <si>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</si>
  <si>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</si>
  <si>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</si>
  <si>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</si>
  <si>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</si>
  <si>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</si>
  <si>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</si>
  <si>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</si>
  <si>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</si>
  <si>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</si>
  <si>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</si>
  <si>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</si>
  <si>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</si>
  <si>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</si>
  <si>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</si>
  <si>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</si>
  <si>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</si>
  <si>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</si>
  <si>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</si>
  <si>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</si>
  <si>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</si>
  <si>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</si>
  <si>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</si>
  <si>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</si>
  <si>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</si>
  <si>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</si>
  <si>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</si>
  <si>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</si>
  <si>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</si>
  <si>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</si>
  <si>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</si>
  <si>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</si>
  <si>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</si>
  <si>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</si>
  <si>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</si>
  <si>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</si>
  <si>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</si>
  <si>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</si>
  <si>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</si>
  <si>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</si>
  <si>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</si>
  <si>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</si>
  <si>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</si>
  <si>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</si>
  <si>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</si>
  <si>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</si>
  <si>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</si>
  <si>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</si>
  <si>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</si>
  <si>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</si>
  <si>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</si>
  <si>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</si>
  <si>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</si>
  <si>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</si>
  <si>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</si>
  <si>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</si>
  <si>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</si>
  <si>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</si>
  <si>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</si>
  <si>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</si>
  <si>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</si>
  <si>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</si>
  <si>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</si>
  <si>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</si>
  <si>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</si>
  <si>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</si>
  <si>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</si>
  <si>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</si>
  <si>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</si>
  <si>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</si>
  <si>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</si>
  <si>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</si>
  <si>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</si>
  <si>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</si>
  <si>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</si>
  <si>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</si>
  <si>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</si>
  <si>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</si>
  <si>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</si>
  <si>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</si>
  <si>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</si>
  <si>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</si>
  <si>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</si>
  <si>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</si>
  <si>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</si>
  <si>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</si>
  <si>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</si>
  <si>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</si>
  <si>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</si>
  <si>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</si>
  <si>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</si>
  <si>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</si>
  <si>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</si>
  <si>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</si>
  <si>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</si>
  <si>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</si>
  <si>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</si>
  <si>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</si>
  <si>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</si>
  <si>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</si>
  <si>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</si>
  <si>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</si>
  <si>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</si>
  <si>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</si>
  <si>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</si>
  <si>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</si>
  <si>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</si>
  <si>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</si>
  <si>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</si>
  <si>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</si>
  <si>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</si>
  <si>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</si>
  <si>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</si>
  <si>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</si>
  <si>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</si>
  <si>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</si>
  <si>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</si>
  <si>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</si>
  <si>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</si>
  <si>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</si>
  <si>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</si>
  <si>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</si>
  <si>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</si>
  <si>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</si>
  <si>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</si>
  <si>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</si>
  <si>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</si>
  <si>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</si>
  <si>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</si>
  <si>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</si>
  <si>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</si>
  <si>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</si>
  <si>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</si>
  <si>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</si>
  <si>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</si>
  <si>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</si>
  <si>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</si>
  <si>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</si>
  <si>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</si>
  <si>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</si>
  <si>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</si>
  <si>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</si>
  <si>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</si>
  <si>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</si>
  <si>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</si>
  <si>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</si>
  <si>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</si>
  <si>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</si>
  <si>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</si>
  <si>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</si>
  <si>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</si>
  <si>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</si>
  <si>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</si>
  <si>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</si>
  <si>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</si>
  <si>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</si>
  <si>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</si>
  <si>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</si>
  <si>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</si>
  <si>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</si>
  <si>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</si>
  <si>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</si>
  <si>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</si>
  <si>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</si>
  <si>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</si>
  <si>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</si>
  <si>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</si>
  <si>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</si>
  <si>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</si>
  <si>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</si>
  <si>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</si>
  <si>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</si>
  <si>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</si>
  <si>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</si>
  <si>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</si>
  <si>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</si>
  <si>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</si>
  <si>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</si>
  <si>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</si>
  <si>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</si>
  <si>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</si>
  <si>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</si>
  <si>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</si>
  <si>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</si>
  <si>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</si>
  <si>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</si>
  <si>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</si>
  <si>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</si>
  <si>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</si>
  <si>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</si>
  <si>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</si>
  <si>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</si>
  <si>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</si>
  <si>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</si>
  <si>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</si>
  <si>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</si>
  <si>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</si>
  <si>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</si>
  <si>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</si>
  <si>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</si>
  <si>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</si>
  <si>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</si>
  <si>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</si>
  <si>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</si>
  <si>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</si>
  <si>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</si>
  <si>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</si>
  <si>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</si>
  <si>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</si>
  <si>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</si>
  <si>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</si>
  <si>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</si>
  <si>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</si>
  <si>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</si>
  <si>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</si>
  <si>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</si>
  <si>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</si>
  <si>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</si>
  <si>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</si>
  <si>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</si>
  <si>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</si>
  <si>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</si>
  <si>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</si>
  <si>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</si>
  <si>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</si>
  <si>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</si>
  <si>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</si>
  <si>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</si>
  <si>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</si>
  <si>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</si>
  <si>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</si>
  <si>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</si>
  <si>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</si>
  <si>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</si>
  <si>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</si>
  <si>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</si>
  <si>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</si>
  <si>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</si>
  <si>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</si>
  <si>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</si>
  <si>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</si>
  <si>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</si>
  <si>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</si>
  <si>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</si>
  <si>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</si>
  <si>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</si>
  <si>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</si>
  <si>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</si>
  <si>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</si>
  <si>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</si>
  <si>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</si>
  <si>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</si>
  <si>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</si>
  <si>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</si>
  <si>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</si>
  <si>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</si>
  <si>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</si>
  <si>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</si>
  <si>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</si>
  <si>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</si>
  <si>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</si>
  <si>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</si>
  <si>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</si>
  <si>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</si>
  <si>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</si>
  <si>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</si>
  <si>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</si>
  <si>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</si>
  <si>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</si>
  <si>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</si>
  <si>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</si>
  <si>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</si>
  <si>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</si>
  <si>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</si>
  <si>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</si>
  <si>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</si>
  <si>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</si>
  <si>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</si>
  <si>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</si>
  <si>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</si>
  <si>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</si>
  <si>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</si>
  <si>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</si>
  <si>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</si>
  <si>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</si>
  <si>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</si>
  <si>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</si>
  <si>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</si>
  <si>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</si>
  <si>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</si>
  <si>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</si>
  <si>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</si>
  <si>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</si>
  <si>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</si>
  <si>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</si>
  <si>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</si>
  <si>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</si>
  <si>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</si>
  <si>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</si>
  <si>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</si>
  <si>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</si>
  <si>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</si>
  <si>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</si>
  <si>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</si>
  <si>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</si>
  <si>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</si>
  <si>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</si>
  <si>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</si>
  <si>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</si>
  <si>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</si>
  <si>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</si>
  <si>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</si>
  <si>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</si>
  <si>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</si>
  <si>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</si>
  <si>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</si>
  <si>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</si>
  <si>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</si>
  <si>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</si>
  <si>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</si>
  <si>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</si>
  <si>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</si>
  <si>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</si>
  <si>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</si>
  <si>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</si>
  <si>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</si>
  <si>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</si>
  <si>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</si>
  <si>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</si>
  <si>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</si>
  <si>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</si>
  <si>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</si>
  <si>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</si>
  <si>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</si>
  <si>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</si>
  <si>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</si>
  <si>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</si>
  <si>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</si>
  <si>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</si>
  <si>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</si>
  <si>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</si>
  <si>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</si>
  <si>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</si>
  <si>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</si>
  <si>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</si>
  <si>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</si>
  <si>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</si>
  <si>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</si>
  <si>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</si>
  <si>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</si>
  <si>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</si>
  <si>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</si>
  <si>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</si>
  <si>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</si>
  <si>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</si>
  <si>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</si>
  <si>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</si>
  <si>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</si>
  <si>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</si>
  <si>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</si>
  <si>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</si>
  <si>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</si>
  <si>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</si>
  <si>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</si>
  <si>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</si>
  <si>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</si>
  <si>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</si>
  <si>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</si>
  <si>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</si>
  <si>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</si>
  <si>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</si>
  <si>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</si>
  <si>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</si>
  <si>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</si>
  <si>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</si>
  <si>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</si>
  <si>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</si>
  <si>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</si>
  <si>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</si>
  <si>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</si>
  <si>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</si>
  <si>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</si>
  <si>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</si>
  <si>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</si>
  <si>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</si>
  <si>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</si>
  <si>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</si>
  <si>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</si>
  <si>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</si>
  <si>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</si>
  <si>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</si>
  <si>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</si>
  <si>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</si>
  <si>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</si>
  <si>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</si>
  <si>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</si>
  <si>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</si>
  <si>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</si>
  <si>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</si>
  <si>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</si>
  <si>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</si>
  <si>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</si>
  <si>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</si>
  <si>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</si>
  <si>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</si>
  <si>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</si>
  <si>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</si>
  <si>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</si>
  <si>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</si>
  <si>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</si>
  <si>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</si>
  <si>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</si>
  <si>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</si>
  <si>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</si>
  <si>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</si>
  <si>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</si>
  <si>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</si>
  <si>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</si>
  <si>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</si>
  <si>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</si>
  <si>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</si>
  <si>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</si>
  <si>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</si>
  <si>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</si>
  <si>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</si>
  <si>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</si>
  <si>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</si>
  <si>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</si>
  <si>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</si>
  <si>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</si>
  <si>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</si>
  <si>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</si>
  <si>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</si>
  <si>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</si>
  <si>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</si>
  <si>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</si>
  <si>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</si>
  <si>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</si>
  <si>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</si>
  <si>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</si>
  <si>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</si>
  <si>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</si>
  <si>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</si>
  <si>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</si>
  <si>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</si>
  <si>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</si>
  <si>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</si>
  <si>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</si>
  <si>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</si>
  <si>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</si>
  <si>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</si>
  <si>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</si>
  <si>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</si>
  <si>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</si>
  <si>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</si>
  <si>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</si>
  <si>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</si>
  <si>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</si>
  <si>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</si>
  <si>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</si>
  <si>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</si>
  <si>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</si>
  <si>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</si>
  <si>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</si>
  <si>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</si>
  <si>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</si>
  <si>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</si>
  <si>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</si>
  <si>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</si>
  <si>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</si>
  <si>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</si>
  <si>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</si>
  <si>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</si>
  <si>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</si>
  <si>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</si>
  <si>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</si>
  <si>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</si>
  <si>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</si>
  <si>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</si>
  <si>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</si>
  <si>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</si>
  <si>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</si>
  <si>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</si>
  <si>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</si>
  <si>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</si>
  <si>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</si>
  <si>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</si>
  <si>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</si>
  <si>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</si>
  <si>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</si>
  <si>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</si>
  <si>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</si>
  <si>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</si>
  <si>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</si>
  <si>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</si>
  <si>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</si>
  <si>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</si>
  <si>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</si>
  <si>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</si>
  <si>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</si>
  <si>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</si>
  <si>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</si>
  <si>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</si>
  <si>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</si>
  <si>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</si>
  <si>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</si>
  <si>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</si>
  <si>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</si>
  <si>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</si>
  <si>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</si>
  <si>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</si>
  <si>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</si>
  <si>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</si>
  <si>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</si>
  <si>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</si>
  <si>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</si>
  <si>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</si>
  <si>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</si>
  <si>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</si>
  <si>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</si>
  <si>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</si>
  <si>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</si>
  <si>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</si>
  <si>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</si>
  <si>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</si>
  <si>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</si>
  <si>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</si>
  <si>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</si>
  <si>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</si>
  <si>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</si>
  <si>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</si>
  <si>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</si>
  <si>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</si>
  <si>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</si>
  <si>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</si>
  <si>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</si>
  <si>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</si>
  <si>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</si>
  <si>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</si>
  <si>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</si>
  <si>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</si>
  <si>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</si>
  <si>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</si>
  <si>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</si>
  <si>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</si>
  <si>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</si>
  <si>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</si>
  <si>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</si>
  <si>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</si>
  <si>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</si>
  <si>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</si>
  <si>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</si>
  <si>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</si>
  <si>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</si>
  <si>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</si>
  <si>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</si>
  <si>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</si>
  <si>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</si>
  <si>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</si>
  <si>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</si>
  <si>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</si>
  <si>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</si>
  <si>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</si>
  <si>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</si>
  <si>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</si>
  <si>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</si>
  <si>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</si>
  <si>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</si>
  <si>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</si>
  <si>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</si>
  <si>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</si>
  <si>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</si>
  <si>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</si>
  <si>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</si>
  <si>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</si>
  <si>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</si>
  <si>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</si>
  <si>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</si>
  <si>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</si>
  <si>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</si>
  <si>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</si>
  <si>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</si>
  <si>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</si>
  <si>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</si>
  <si>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</si>
  <si>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</si>
  <si>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</si>
  <si>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</si>
  <si>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</si>
  <si>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</si>
  <si>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</si>
  <si>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</si>
  <si>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</si>
  <si>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</si>
  <si>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</si>
  <si>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</si>
  <si>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</si>
  <si>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</si>
  <si>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</si>
  <si>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</si>
  <si>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</si>
  <si>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</si>
  <si>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</si>
  <si>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</si>
  <si>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</si>
  <si>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</si>
  <si>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</si>
  <si>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</si>
  <si>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</si>
  <si>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</si>
  <si>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</si>
  <si>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</si>
  <si>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</si>
  <si>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</si>
  <si>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</si>
  <si>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</si>
  <si>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</si>
  <si>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</si>
  <si>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</si>
  <si>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</si>
  <si>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</si>
  <si>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</si>
  <si>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</si>
  <si>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</si>
  <si>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</si>
  <si>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</si>
  <si>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</si>
  <si>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</si>
  <si>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</si>
  <si>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</si>
  <si>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</si>
  <si>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</si>
  <si>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</si>
  <si>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</si>
  <si>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</si>
  <si>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</si>
  <si>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</si>
  <si>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</si>
  <si>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</si>
  <si>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</si>
  <si>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</si>
  <si>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</si>
  <si>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</si>
  <si>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</si>
  <si>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</si>
  <si>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</si>
  <si>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</si>
  <si>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</si>
  <si>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</si>
  <si>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</si>
  <si>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</si>
  <si>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</si>
  <si>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</si>
  <si>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</si>
  <si>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</si>
  <si>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</si>
  <si>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</si>
  <si>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</si>
  <si>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</si>
  <si>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</si>
  <si>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</si>
  <si>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</si>
  <si>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</si>
  <si>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</si>
  <si>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</si>
  <si>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</si>
  <si>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</si>
  <si>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</si>
  <si>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</si>
  <si>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</si>
  <si>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</si>
  <si>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</si>
  <si>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</si>
  <si>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</si>
  <si>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</si>
  <si>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</si>
  <si>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</si>
  <si>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</si>
  <si>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</si>
  <si>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</si>
  <si>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</si>
  <si>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</si>
  <si>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</si>
  <si>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</si>
  <si>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</si>
  <si>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</si>
  <si>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</si>
  <si>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</si>
  <si>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</si>
  <si>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</si>
  <si>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</si>
  <si>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</si>
  <si>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</si>
  <si>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</si>
  <si>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</si>
  <si>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</si>
  <si>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</si>
  <si>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</si>
  <si>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</si>
  <si>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</si>
  <si>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</si>
  <si>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</si>
  <si>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</si>
  <si>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</si>
  <si>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</si>
  <si>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</si>
  <si>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</si>
  <si>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</si>
  <si>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</si>
  <si>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</si>
  <si>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</si>
  <si>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</si>
  <si>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</si>
  <si>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</si>
  <si>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</si>
  <si>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</si>
  <si>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</si>
  <si>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</si>
  <si>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</si>
  <si>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</si>
  <si>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</si>
  <si>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</si>
  <si>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</si>
  <si>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</si>
  <si>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</si>
  <si>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</si>
  <si>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</si>
  <si>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</si>
  <si>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</si>
  <si>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</si>
  <si>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</si>
  <si>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</si>
  <si>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</si>
  <si>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</si>
  <si>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</si>
  <si>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</si>
  <si>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</si>
  <si>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</si>
  <si>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</si>
  <si>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</si>
  <si>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</si>
  <si>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</si>
  <si>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</si>
  <si>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</si>
  <si>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</si>
  <si>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</si>
  <si>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</si>
  <si>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</si>
  <si>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</si>
  <si>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</si>
  <si>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</si>
  <si>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</si>
  <si>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</si>
  <si>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</si>
  <si>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</si>
  <si>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</si>
  <si>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</si>
  <si>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</si>
  <si>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</si>
  <si>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</si>
  <si>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</si>
  <si>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</si>
  <si>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</si>
  <si>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</si>
  <si>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</si>
  <si>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</si>
  <si>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</si>
  <si>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</si>
  <si>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</si>
  <si>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</si>
  <si>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</si>
  <si>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</si>
  <si>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</si>
  <si>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</si>
  <si>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</si>
  <si>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</si>
  <si>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</si>
  <si>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</si>
  <si>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</si>
  <si>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</si>
  <si>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</si>
  <si>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</si>
  <si>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</si>
  <si>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</si>
  <si>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</si>
  <si>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</si>
  <si>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</si>
  <si>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</si>
  <si>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</si>
  <si>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</si>
  <si>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</si>
  <si>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</si>
  <si>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</si>
  <si>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</si>
  <si>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</si>
  <si>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</si>
  <si>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</si>
  <si>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</si>
  <si>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</si>
  <si>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</si>
  <si>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</si>
  <si>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</si>
  <si>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</si>
  <si>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</si>
  <si>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</si>
  <si>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</si>
  <si>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</si>
  <si>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</si>
  <si>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</si>
  <si>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</si>
  <si>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</si>
  <si>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</si>
  <si>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</si>
  <si>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</si>
  <si>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</si>
  <si>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</si>
  <si>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</si>
  <si>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</si>
  <si>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</si>
  <si>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</si>
  <si>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</si>
  <si>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</si>
  <si>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</si>
  <si>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</si>
  <si>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</si>
  <si>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</si>
  <si>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</si>
  <si>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</si>
  <si>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</si>
  <si>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</si>
  <si>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</si>
  <si>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</si>
  <si>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</si>
  <si>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</si>
  <si>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</si>
  <si>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</si>
  <si>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</si>
  <si>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</si>
  <si>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</si>
  <si>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</si>
  <si>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</si>
  <si>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</si>
  <si>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</si>
  <si>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</si>
  <si>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</si>
  <si>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</si>
  <si>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</si>
  <si>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</si>
  <si>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</si>
  <si>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</si>
  <si>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</si>
  <si>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</si>
  <si>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</si>
  <si>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</si>
  <si>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</si>
  <si>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</si>
  <si>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</si>
  <si>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</si>
  <si>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</si>
  <si>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</si>
  <si>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</si>
  <si>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</si>
  <si>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</si>
  <si>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</si>
  <si>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</si>
  <si>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</si>
  <si>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</si>
  <si>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</si>
  <si>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</si>
  <si>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</si>
  <si>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</si>
  <si>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</si>
  <si>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</si>
  <si>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</si>
  <si>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</si>
  <si>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</si>
  <si>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</si>
  <si>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</si>
  <si>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</si>
  <si>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</si>
  <si>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</si>
  <si>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</si>
  <si>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</si>
  <si>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</si>
  <si>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</si>
  <si>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</si>
  <si>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</si>
  <si>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</si>
  <si>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</si>
  <si>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</si>
  <si>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</si>
  <si>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</si>
  <si>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</si>
  <si>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</si>
  <si>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</si>
  <si>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</si>
  <si>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</si>
  <si>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</si>
  <si>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</si>
  <si>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</si>
  <si>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</si>
  <si>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</si>
  <si>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</si>
  <si>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</si>
  <si>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</si>
  <si>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</si>
  <si>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</si>
  <si>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</si>
  <si>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</si>
  <si>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</si>
  <si>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</si>
  <si>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</si>
  <si>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</si>
  <si>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</si>
  <si>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</si>
  <si>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</si>
  <si>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</si>
  <si>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</si>
  <si>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</si>
  <si>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</si>
  <si>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</si>
  <si>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</si>
  <si>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</si>
  <si>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</si>
  <si>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</si>
  <si>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</si>
  <si>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</si>
  <si>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</si>
  <si>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</si>
  <si>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</si>
  <si>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</si>
  <si>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</si>
  <si>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</si>
  <si>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</si>
  <si>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</si>
  <si>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</si>
  <si>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</si>
  <si>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</si>
  <si>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</si>
  <si>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</si>
  <si>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</si>
  <si>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</si>
  <si>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</si>
  <si>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</si>
  <si>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</si>
  <si>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</si>
  <si>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</si>
  <si>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</si>
  <si>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</si>
  <si>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</si>
  <si>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</si>
  <si>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</si>
  <si>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</si>
  <si>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</si>
  <si>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</si>
  <si>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</si>
  <si>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</si>
  <si>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</si>
  <si>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</si>
  <si>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</si>
  <si>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</si>
  <si>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</si>
  <si>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</si>
  <si>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</si>
  <si>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</si>
  <si>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</si>
  <si>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</si>
  <si>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</si>
  <si>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</si>
  <si>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</si>
  <si>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</si>
  <si>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</si>
  <si>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</si>
  <si>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</si>
  <si>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</si>
  <si>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</si>
  <si>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</si>
  <si>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</si>
  <si>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</si>
  <si>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</si>
  <si>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</si>
  <si>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</si>
  <si>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</si>
  <si>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</si>
  <si>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</si>
  <si>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</si>
  <si>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</si>
  <si>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</si>
  <si>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</si>
  <si>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</si>
  <si>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</si>
  <si>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</si>
  <si>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</si>
  <si>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</si>
  <si>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</si>
  <si>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</si>
  <si>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</si>
  <si>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</si>
  <si>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</si>
  <si>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</si>
  <si>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</si>
  <si>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</si>
  <si>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</si>
  <si>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</si>
  <si>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</si>
  <si>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</si>
  <si>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</si>
  <si>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</si>
  <si>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</si>
  <si>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</si>
  <si>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</si>
  <si>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</si>
  <si>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</si>
  <si>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</si>
  <si>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</si>
  <si>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</si>
  <si>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</si>
  <si>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</si>
  <si>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</si>
  <si>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</si>
  <si>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</si>
  <si>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</si>
  <si>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</si>
  <si>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</si>
  <si>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</si>
  <si>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</si>
  <si>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</si>
  <si>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</si>
  <si>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</si>
  <si>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</si>
  <si>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</si>
  <si>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</si>
  <si>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</si>
  <si>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</si>
  <si>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</si>
  <si>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</si>
  <si>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</si>
  <si>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</si>
  <si>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</si>
  <si>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</si>
  <si>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</si>
  <si>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</si>
  <si>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</si>
  <si>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</si>
  <si>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</si>
  <si>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</si>
  <si>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</si>
  <si>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</si>
  <si>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</si>
  <si>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</si>
  <si>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</si>
  <si>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</si>
  <si>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</si>
  <si>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</si>
  <si>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</si>
  <si>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</si>
  <si>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</si>
  <si>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</si>
  <si>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</si>
  <si>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</si>
  <si>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</si>
  <si>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</si>
  <si>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</si>
  <si>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</si>
  <si>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</si>
  <si>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</si>
  <si>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</si>
  <si>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</si>
  <si>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</si>
  <si>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</si>
  <si>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</si>
  <si>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</si>
  <si>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</si>
  <si>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</si>
  <si>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</si>
  <si>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</si>
  <si>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</si>
  <si>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</si>
  <si>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</si>
  <si>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</si>
  <si>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</si>
  <si>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</si>
  <si>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</si>
  <si>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</si>
  <si>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</si>
  <si>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</si>
  <si>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</si>
  <si>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</si>
  <si>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</si>
  <si>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</si>
  <si>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</si>
  <si>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</si>
  <si>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</si>
  <si>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</si>
  <si>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</si>
  <si>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</si>
  <si>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</si>
  <si>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</si>
  <si>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</si>
  <si>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</si>
  <si>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</si>
  <si>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</si>
  <si>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</si>
  <si>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</si>
  <si>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</si>
  <si>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</si>
  <si>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</si>
  <si>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</si>
  <si>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</si>
  <si>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</si>
  <si>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</si>
  <si>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</si>
  <si>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</si>
  <si>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</si>
  <si>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</si>
  <si>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</si>
  <si>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</si>
  <si>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</si>
  <si>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</si>
  <si>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</si>
  <si>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</si>
  <si>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</si>
  <si>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</si>
  <si>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</si>
  <si>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</si>
  <si>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</si>
  <si>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</si>
  <si>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</si>
  <si>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</si>
  <si>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</si>
  <si>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</si>
  <si>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</si>
  <si>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</si>
  <si>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</si>
  <si>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</si>
  <si>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</si>
  <si>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</si>
  <si>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</si>
  <si>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</si>
  <si>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</si>
  <si>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</si>
  <si>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</si>
  <si>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</si>
  <si>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</si>
  <si>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</si>
  <si>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</si>
  <si>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</si>
  <si>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</si>
  <si>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</si>
  <si>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</si>
  <si>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</si>
  <si>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</si>
  <si>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</si>
  <si>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</si>
  <si>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</si>
  <si>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</si>
  <si>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</si>
  <si>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</si>
  <si>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</si>
  <si>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</si>
  <si>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</si>
  <si>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</si>
  <si>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</si>
  <si>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</si>
  <si>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</si>
  <si>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</si>
  <si>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</si>
  <si>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</si>
  <si>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</si>
  <si>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</si>
  <si>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</si>
  <si>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</si>
  <si>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</si>
  <si>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</si>
  <si>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</si>
  <si>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</si>
  <si>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</si>
  <si>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</si>
  <si>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</si>
  <si>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</si>
  <si>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</si>
  <si>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</si>
  <si>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</si>
  <si>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</si>
  <si>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</si>
  <si>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</si>
  <si>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</si>
  <si>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</si>
  <si>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</si>
  <si>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</si>
  <si>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</si>
  <si>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</si>
  <si>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</si>
  <si>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</si>
  <si>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</si>
  <si>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</si>
  <si>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</si>
  <si>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</si>
  <si>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</si>
  <si>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</si>
  <si>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</si>
  <si>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</si>
  <si>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</si>
  <si>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</si>
  <si>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</si>
  <si>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</si>
  <si>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</si>
  <si>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</si>
  <si>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</si>
  <si>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</si>
  <si>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</si>
  <si>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</si>
  <si>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</si>
  <si>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</si>
  <si>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</si>
  <si>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</si>
  <si>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</si>
  <si>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</si>
  <si>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</si>
  <si>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</si>
  <si>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</si>
  <si>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</si>
  <si>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</si>
  <si>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</si>
  <si>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</si>
  <si>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</si>
  <si>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</si>
  <si>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</si>
  <si>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</si>
  <si>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</si>
  <si>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</si>
  <si>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</si>
  <si>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</si>
  <si>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</si>
  <si>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</si>
  <si>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</si>
  <si>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</si>
  <si>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</si>
  <si>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</si>
  <si>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</si>
  <si>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</si>
  <si>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</si>
  <si>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</si>
  <si>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</si>
  <si>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</si>
  <si>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</si>
  <si>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</si>
  <si>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</si>
  <si>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</si>
  <si>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</si>
  <si>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</si>
  <si>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</si>
  <si>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</si>
  <si>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</si>
  <si>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</si>
  <si>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</si>
  <si>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</si>
  <si>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</si>
  <si>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</si>
  <si>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</si>
  <si>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</si>
  <si>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</si>
  <si>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</si>
  <si>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</si>
  <si>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</si>
  <si>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</si>
  <si>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</si>
  <si>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</si>
  <si>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</si>
  <si>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</si>
  <si>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</si>
  <si>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</si>
  <si>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</si>
  <si>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</si>
  <si>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</si>
  <si>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</si>
  <si>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</si>
  <si>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</si>
  <si>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</si>
  <si>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</si>
  <si>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</si>
  <si>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</si>
  <si>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</si>
  <si>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</si>
  <si>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</si>
  <si>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</si>
  <si>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</si>
  <si>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</si>
  <si>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</si>
  <si>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</si>
  <si>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</si>
  <si>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</si>
  <si>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</si>
  <si>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</si>
  <si>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</si>
  <si>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</si>
  <si>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</si>
  <si>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</si>
  <si>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</si>
  <si>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</si>
  <si>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</si>
  <si>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</si>
  <si>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</si>
  <si>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</si>
  <si>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</si>
  <si>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</si>
  <si>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</si>
  <si>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</si>
  <si>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</si>
  <si>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</si>
  <si>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</si>
  <si>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</si>
  <si>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</si>
  <si>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</si>
  <si>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</si>
  <si>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</si>
  <si>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</si>
  <si>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</si>
  <si>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</si>
  <si>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</si>
  <si>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</si>
  <si>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</si>
  <si>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</si>
  <si>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</si>
  <si>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</si>
  <si>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</si>
  <si>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</si>
  <si>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</si>
  <si>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</si>
  <si>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</si>
  <si>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</si>
  <si>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</si>
  <si>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</si>
  <si>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</si>
  <si>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</si>
  <si>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</si>
  <si>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</si>
  <si>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</si>
  <si>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</si>
  <si>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</si>
  <si>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</si>
  <si>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</si>
  <si>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</si>
  <si>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</si>
  <si>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</si>
  <si>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</si>
  <si>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</si>
  <si>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</si>
  <si>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</si>
  <si>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</si>
  <si>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</si>
  <si>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</si>
  <si>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</si>
  <si>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</si>
  <si>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</si>
  <si>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</si>
  <si>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</si>
  <si>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</si>
  <si>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</si>
  <si>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</si>
  <si>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</si>
  <si>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</si>
  <si>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</si>
  <si>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</si>
  <si>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</si>
  <si>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</si>
  <si>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</si>
  <si>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</si>
  <si>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</si>
  <si>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</si>
  <si>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</si>
  <si>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</si>
  <si>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</si>
  <si>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</si>
  <si>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</si>
  <si>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</si>
  <si>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</si>
  <si>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</si>
  <si>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</si>
  <si>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</si>
  <si>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</si>
  <si>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</si>
  <si>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</si>
  <si>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</si>
  <si>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</si>
  <si>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</si>
  <si>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</si>
  <si>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</si>
  <si>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</si>
  <si>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</si>
  <si>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</si>
  <si>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</si>
  <si>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</si>
  <si>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</si>
  <si>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</si>
  <si>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</si>
  <si>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</si>
  <si>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</si>
  <si>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</si>
  <si>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</si>
  <si>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</si>
  <si>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</si>
  <si>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</si>
  <si>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</si>
  <si>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</si>
  <si>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</si>
  <si>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</si>
  <si>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</si>
  <si>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</si>
  <si>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</si>
  <si>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</si>
  <si>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</si>
  <si>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</si>
  <si>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</si>
  <si>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</si>
  <si>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</si>
  <si>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</si>
  <si>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</si>
  <si>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</si>
  <si>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</si>
  <si>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</si>
  <si>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</si>
  <si>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</si>
  <si>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</si>
  <si>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</si>
  <si>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</si>
  <si>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</si>
  <si>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</si>
  <si>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</si>
  <si>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</si>
  <si>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</si>
  <si>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</si>
  <si>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</si>
  <si>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</si>
  <si>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</si>
  <si>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</si>
  <si>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</si>
  <si>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</si>
  <si>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</si>
  <si>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</si>
  <si>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</si>
  <si>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</si>
  <si>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</si>
  <si>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</si>
  <si>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</si>
  <si>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</si>
  <si>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</si>
  <si>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</si>
  <si>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</si>
  <si>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</si>
  <si>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</si>
  <si>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</si>
  <si>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</si>
  <si>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</si>
  <si>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</si>
  <si>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</si>
  <si>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</si>
  <si>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</si>
  <si>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</si>
  <si>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</si>
  <si>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</si>
  <si>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</si>
  <si>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</si>
  <si>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</si>
  <si>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</si>
  <si>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</si>
  <si>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</si>
  <si>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</si>
  <si>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</si>
  <si>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</si>
  <si>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</si>
  <si>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</si>
  <si>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</si>
  <si>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</si>
  <si>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</si>
  <si>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</si>
  <si>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</si>
  <si>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</si>
  <si>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</si>
  <si>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</si>
  <si>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</si>
  <si>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</si>
  <si>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</si>
  <si>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</si>
  <si>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</si>
  <si>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</si>
  <si>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</si>
  <si>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</si>
  <si>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</si>
  <si>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</si>
  <si>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</si>
  <si>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</si>
  <si>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</si>
  <si>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</si>
  <si>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</si>
  <si>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</si>
  <si>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</si>
  <si>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</si>
  <si>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</si>
  <si>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</si>
  <si>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</si>
  <si>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</si>
  <si>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</si>
  <si>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</si>
  <si>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</si>
  <si>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</si>
  <si>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</si>
  <si>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</si>
  <si>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</si>
  <si>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</si>
  <si>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</si>
  <si>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</si>
  <si>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</si>
  <si>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</si>
  <si>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</si>
  <si>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</si>
  <si>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</si>
  <si>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</si>
  <si>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</si>
  <si>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</si>
  <si>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</si>
  <si>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</si>
  <si>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</si>
  <si>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</si>
  <si>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</si>
  <si>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</si>
  <si>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</si>
  <si>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</si>
  <si>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</si>
  <si>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</si>
  <si>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</si>
  <si>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</si>
  <si>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</si>
  <si>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</si>
  <si>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</si>
  <si>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</si>
  <si>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</si>
  <si>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</si>
  <si>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</si>
  <si>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</si>
  <si>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</si>
  <si>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</si>
  <si>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</si>
  <si>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</si>
  <si>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</si>
  <si>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</si>
  <si>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</si>
  <si>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</si>
  <si>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</si>
  <si>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</si>
  <si>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</si>
  <si>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</si>
  <si>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</si>
  <si>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</si>
  <si>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</si>
  <si>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</si>
  <si>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</si>
  <si>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</si>
  <si>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</si>
  <si>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</si>
  <si>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</si>
  <si>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</si>
  <si>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</si>
  <si>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</si>
  <si>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</si>
  <si>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</si>
  <si>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</si>
  <si>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</si>
  <si>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</si>
  <si>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</si>
  <si>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</si>
  <si>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</si>
  <si>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</si>
  <si>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</si>
  <si>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</si>
  <si>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</si>
  <si>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</si>
  <si>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</si>
  <si>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</si>
  <si>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</si>
  <si>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</si>
  <si>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</si>
  <si>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</si>
  <si>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</si>
  <si>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</si>
  <si>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</si>
  <si>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</si>
  <si>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</si>
  <si>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</si>
  <si>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</si>
  <si>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</si>
  <si>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</si>
  <si>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</si>
  <si>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</si>
  <si>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</si>
  <si>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</si>
  <si>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</si>
  <si>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</si>
  <si>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</si>
  <si>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</si>
  <si>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</si>
  <si>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</si>
  <si>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</si>
  <si>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</si>
  <si>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</si>
  <si>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</si>
  <si>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</si>
  <si>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</si>
  <si>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</si>
  <si>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</si>
  <si>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</si>
  <si>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</si>
  <si>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</si>
  <si>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</si>
  <si>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</si>
  <si>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</si>
  <si>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</si>
  <si>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</si>
  <si>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</si>
  <si>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</si>
  <si>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</si>
  <si>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</si>
  <si>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</si>
  <si>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</si>
  <si>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</si>
  <si>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</si>
  <si>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</si>
  <si>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</si>
  <si>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</si>
  <si>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</si>
  <si>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</si>
  <si>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</si>
  <si>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</si>
  <si>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</si>
  <si>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</si>
  <si>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</si>
  <si>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</si>
  <si>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</si>
  <si>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</si>
  <si>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</si>
  <si>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</si>
  <si>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</si>
  <si>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</si>
  <si>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</si>
  <si>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</si>
  <si>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</si>
  <si>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</si>
  <si>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</si>
  <si>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</si>
  <si>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</si>
  <si>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</si>
  <si>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</si>
  <si>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</si>
  <si>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</si>
  <si>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</si>
  <si>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</si>
  <si>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</si>
  <si>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</si>
  <si>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</si>
  <si>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</si>
  <si>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</si>
  <si>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</si>
  <si>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</si>
  <si>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</si>
  <si>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</si>
  <si>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</si>
  <si>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</si>
  <si>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</si>
  <si>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</si>
  <si>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</si>
  <si>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</si>
  <si>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</si>
  <si>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</si>
  <si>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</si>
  <si>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</si>
  <si>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</si>
  <si>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</si>
  <si>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</si>
  <si>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</si>
  <si>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</si>
  <si>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</si>
  <si>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</si>
  <si>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</si>
  <si>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</si>
  <si>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</si>
  <si>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</si>
  <si>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</si>
  <si>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</si>
  <si>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</si>
  <si>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</si>
  <si>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</si>
  <si>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</si>
  <si>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</si>
  <si>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</si>
  <si>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</si>
  <si>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</si>
  <si>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</si>
  <si>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</si>
  <si>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</si>
  <si>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</si>
  <si>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</si>
  <si>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</si>
  <si>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</si>
  <si>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</si>
  <si>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</si>
  <si>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</si>
  <si>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</si>
  <si>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</si>
  <si>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</si>
  <si>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</si>
  <si>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</si>
  <si>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</si>
  <si>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</si>
  <si>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</si>
  <si>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</si>
  <si>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</si>
  <si>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</si>
  <si>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</si>
  <si>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</si>
  <si>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</si>
  <si>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</si>
  <si>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</si>
  <si>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</si>
  <si>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</si>
  <si>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</si>
  <si>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</si>
  <si>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</si>
  <si>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</si>
  <si>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</si>
  <si>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</si>
  <si>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</si>
  <si>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</si>
  <si>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</si>
  <si>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</si>
  <si>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</si>
  <si>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</si>
  <si>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</si>
  <si>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</si>
  <si>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</si>
  <si>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</si>
  <si>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</si>
  <si>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</si>
  <si>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</si>
  <si>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</si>
  <si>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</si>
  <si>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</si>
  <si>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</si>
  <si>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</si>
  <si>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</si>
  <si>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</si>
  <si>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</si>
  <si>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</si>
  <si>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</si>
  <si>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</si>
  <si>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</si>
  <si>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</si>
  <si>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</si>
  <si>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</si>
  <si>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</si>
  <si>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</si>
  <si>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</si>
  <si>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</si>
  <si>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</si>
  <si>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</si>
  <si>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</si>
  <si>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</si>
  <si>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</si>
  <si>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</si>
  <si>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</si>
  <si>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</si>
  <si>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</si>
  <si>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</si>
  <si>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</si>
  <si>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</si>
  <si>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</si>
  <si>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</si>
  <si>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</si>
  <si>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</si>
  <si>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</si>
  <si>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</si>
  <si>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</si>
  <si>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</si>
  <si>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</si>
  <si>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</si>
  <si>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</si>
  <si>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</si>
  <si>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</si>
  <si>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</si>
  <si>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</si>
  <si>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</si>
  <si>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</si>
  <si>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</si>
  <si>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</si>
  <si>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</si>
  <si>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</si>
  <si>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</si>
  <si>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</si>
  <si>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</si>
  <si>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</si>
  <si>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</si>
  <si>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</si>
  <si>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</si>
  <si>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</si>
  <si>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</si>
  <si>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</si>
  <si>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</si>
  <si>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</si>
  <si>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</si>
  <si>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</si>
  <si>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</si>
  <si>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</si>
  <si>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</si>
  <si>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</si>
  <si>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</si>
  <si>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</si>
  <si>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</si>
  <si>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</si>
  <si>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</si>
  <si>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</si>
  <si>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</si>
  <si>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</si>
  <si>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</si>
  <si>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</si>
  <si>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</si>
  <si>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</si>
  <si>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</si>
  <si>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</si>
  <si>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</si>
  <si>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</si>
  <si>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</si>
  <si>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</si>
  <si>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</si>
  <si>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</si>
  <si>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</si>
  <si>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</si>
  <si>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</si>
  <si>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</si>
  <si>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</si>
  <si>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</si>
  <si>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</si>
  <si>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</si>
  <si>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</si>
  <si>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</si>
  <si>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</si>
  <si>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</si>
  <si>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</si>
  <si>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</si>
  <si>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</si>
  <si>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</si>
  <si>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</si>
  <si>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</si>
  <si>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</si>
  <si>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</si>
  <si>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</si>
  <si>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</si>
  <si>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</si>
  <si>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</si>
  <si>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</si>
  <si>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</si>
  <si>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</si>
  <si>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</si>
  <si>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</si>
  <si>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</si>
  <si>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</si>
  <si>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</si>
  <si>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</si>
  <si>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</si>
  <si>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</si>
  <si>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</si>
  <si>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</si>
  <si>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</si>
  <si>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</si>
  <si>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</si>
  <si>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</si>
  <si>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</si>
  <si>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</si>
  <si>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</si>
  <si>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</si>
  <si>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</si>
  <si>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</si>
  <si>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</si>
  <si>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</si>
  <si>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</si>
  <si>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</si>
  <si>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</si>
  <si>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</si>
  <si>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</si>
  <si>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</si>
  <si>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</si>
  <si>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</si>
  <si>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</si>
  <si>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</si>
  <si>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</si>
  <si>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</si>
  <si>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</si>
  <si>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</si>
  <si>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</si>
  <si>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</si>
  <si>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</si>
  <si>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</si>
  <si>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</si>
  <si>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</si>
  <si>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</si>
  <si>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</si>
  <si>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</si>
  <si>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</si>
  <si>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</si>
  <si>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</si>
  <si>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</si>
  <si>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</si>
  <si>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</si>
  <si>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</si>
  <si>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</si>
  <si>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</si>
  <si>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</si>
  <si>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</si>
  <si>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</si>
  <si>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</si>
  <si>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</si>
  <si>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</si>
  <si>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</si>
  <si>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</si>
  <si>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</si>
  <si>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</si>
  <si>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</si>
  <si>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</si>
  <si>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</si>
  <si>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</si>
  <si>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</si>
  <si>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</si>
  <si>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</si>
  <si>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</si>
  <si>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</si>
  <si>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</si>
  <si>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</si>
  <si>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</si>
  <si>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</si>
  <si>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</si>
  <si>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</si>
  <si>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</si>
  <si>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</si>
  <si>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</si>
  <si>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</si>
  <si>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</si>
  <si>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</si>
  <si>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</si>
  <si>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</si>
  <si>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</si>
  <si>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</si>
  <si>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</si>
  <si>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</si>
  <si>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</si>
  <si>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</si>
  <si>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</si>
  <si>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</si>
  <si>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</si>
  <si>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</si>
  <si>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</si>
  <si>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</si>
  <si>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</si>
  <si>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</si>
  <si>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</si>
  <si>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</si>
  <si>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</si>
  <si>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</si>
  <si>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</si>
  <si>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</si>
  <si>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</si>
  <si>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</si>
  <si>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</si>
  <si>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</si>
  <si>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</si>
  <si>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</si>
  <si>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</si>
  <si>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</si>
  <si>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</si>
  <si>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</si>
  <si>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</si>
  <si>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</si>
  <si>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</si>
  <si>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</si>
  <si>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</si>
  <si>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</si>
  <si>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</si>
  <si>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</si>
  <si>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</si>
  <si>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</si>
  <si>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</si>
  <si>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</si>
  <si>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</si>
  <si>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</si>
  <si>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</si>
  <si>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</si>
  <si>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</si>
  <si>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</si>
  <si>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</si>
  <si>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</si>
  <si>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</si>
  <si>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</si>
  <si>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</si>
  <si>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</si>
  <si>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</si>
  <si>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</si>
  <si>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</si>
  <si>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</si>
  <si>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</si>
  <si>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</si>
  <si>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</si>
  <si>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</si>
  <si>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</si>
  <si>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</si>
  <si>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</si>
  <si>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</si>
  <si>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</si>
  <si>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</si>
  <si>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</si>
  <si>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</si>
  <si>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</si>
  <si>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</si>
  <si>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</si>
  <si>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</si>
  <si>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</si>
  <si>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</si>
  <si>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</si>
  <si>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</si>
  <si>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</si>
  <si>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</si>
  <si>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</si>
  <si>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</si>
  <si>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</si>
  <si>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</si>
  <si>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</si>
  <si>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</si>
  <si>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</si>
  <si>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</si>
  <si>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</si>
  <si>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</si>
  <si>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</si>
  <si>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</si>
  <si>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</si>
  <si>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</si>
  <si>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</si>
  <si>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</si>
  <si>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</si>
  <si>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</si>
  <si>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</si>
  <si>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</si>
  <si>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</si>
  <si>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</si>
  <si>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</si>
  <si>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</si>
  <si>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</si>
  <si>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</si>
  <si>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</si>
  <si>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</si>
  <si>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</si>
  <si>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</si>
  <si>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</si>
  <si>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</si>
  <si>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</si>
  <si>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</si>
  <si>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</si>
  <si>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</si>
  <si>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</si>
  <si>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</si>
  <si>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</si>
  <si>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</si>
  <si>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</si>
  <si>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</si>
  <si>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</si>
  <si>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</si>
  <si>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</si>
  <si>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</si>
  <si>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</si>
  <si>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</si>
  <si>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</si>
  <si>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</si>
  <si>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</si>
  <si>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</si>
  <si>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</si>
  <si>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</si>
  <si>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</si>
  <si>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</si>
  <si>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</si>
  <si>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</si>
  <si>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</si>
  <si>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</si>
  <si>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</si>
  <si>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</si>
  <si>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</si>
  <si>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</si>
  <si>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</si>
  <si>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</si>
  <si>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</si>
  <si>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</si>
  <si>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</si>
  <si>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</si>
  <si>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</si>
  <si>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</si>
  <si>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</si>
  <si>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</si>
  <si>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</si>
  <si>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</si>
  <si>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</si>
  <si>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</si>
  <si>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</si>
  <si>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</si>
  <si>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</si>
  <si>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</si>
  <si>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</si>
  <si>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</si>
  <si>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</si>
  <si>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</si>
  <si>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</si>
  <si>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</si>
  <si>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</si>
  <si>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</si>
  <si>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</si>
  <si>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</si>
  <si>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</si>
  <si>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</si>
  <si>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</si>
  <si>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</si>
  <si>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</si>
  <si>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</si>
  <si>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</si>
  <si>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</si>
  <si>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</si>
  <si>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</si>
  <si>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</si>
  <si>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</si>
  <si>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</si>
  <si>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</si>
  <si>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</si>
  <si>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</si>
  <si>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</si>
  <si>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</si>
  <si>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</si>
  <si>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</si>
  <si>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</si>
  <si>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</si>
  <si>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</si>
  <si>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</si>
  <si>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</si>
  <si>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</si>
  <si>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</si>
  <si>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</si>
  <si>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</si>
  <si>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</si>
  <si>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</si>
  <si>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</si>
  <si>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</si>
  <si>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</si>
  <si>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</si>
  <si>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</si>
  <si>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</si>
  <si>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</si>
  <si>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</si>
  <si>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</si>
  <si>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</si>
  <si>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</si>
  <si>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</si>
  <si>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</si>
  <si>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</si>
  <si>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</si>
  <si>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</si>
  <si>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</si>
  <si>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</si>
  <si>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</si>
  <si>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</si>
  <si>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</si>
  <si>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</si>
  <si>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</si>
  <si>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</si>
  <si>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</si>
  <si>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</si>
  <si>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</si>
  <si>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</si>
  <si>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</si>
  <si>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</si>
  <si>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</si>
  <si>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</si>
  <si>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</si>
  <si>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</si>
  <si>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</si>
  <si>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</si>
  <si>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</si>
  <si>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</si>
  <si>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</si>
  <si>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</si>
  <si>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</si>
  <si>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</si>
  <si>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</si>
  <si>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</si>
  <si>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</si>
  <si>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</si>
  <si>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</si>
  <si>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</si>
  <si>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</si>
  <si>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</si>
  <si>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</si>
  <si>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</si>
  <si>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</si>
  <si>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</si>
  <si>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</si>
  <si>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</si>
  <si>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</si>
  <si>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</si>
  <si>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</si>
  <si>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</si>
  <si>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</si>
  <si>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</si>
  <si>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</si>
  <si>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</si>
  <si>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</si>
  <si>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</si>
  <si>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</si>
  <si>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</si>
  <si>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</si>
  <si>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</si>
  <si>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</si>
  <si>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</si>
  <si>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</si>
  <si>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</si>
  <si>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</si>
  <si>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</si>
  <si>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</si>
  <si>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</si>
  <si>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</si>
  <si>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</si>
  <si>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</si>
  <si>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</si>
  <si>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</si>
  <si>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</si>
  <si>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</si>
  <si>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</si>
  <si>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</si>
  <si>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</si>
  <si>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</si>
  <si>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</si>
  <si>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</si>
  <si>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</si>
  <si>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</si>
  <si>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</si>
  <si>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</si>
  <si>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</si>
  <si>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</si>
  <si>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</si>
  <si>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</si>
  <si>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</si>
  <si>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</si>
  <si>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</si>
  <si>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</si>
  <si>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</si>
  <si>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</si>
  <si>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</si>
  <si>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</si>
  <si>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</si>
  <si>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</si>
  <si>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</si>
  <si>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</si>
  <si>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</si>
  <si>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</si>
  <si>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</si>
  <si>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</si>
  <si>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</si>
  <si>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</si>
  <si>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</si>
  <si>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</si>
  <si>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</si>
  <si>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</si>
  <si>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</si>
  <si>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</si>
  <si>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</si>
  <si>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</si>
  <si>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</si>
  <si>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</si>
  <si>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</si>
  <si>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</si>
  <si>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</si>
  <si>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</si>
  <si>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</si>
  <si>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</si>
  <si>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</si>
  <si>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</si>
  <si>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</si>
  <si>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</si>
  <si>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</si>
  <si>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</si>
  <si>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</si>
  <si>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</si>
  <si>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</si>
  <si>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</si>
  <si>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</si>
  <si>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</si>
  <si>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</si>
  <si>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</si>
  <si>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</si>
  <si>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</si>
  <si>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</si>
  <si>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</si>
  <si>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</si>
  <si>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</si>
  <si>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</si>
  <si>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</si>
  <si>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</si>
  <si>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</si>
  <si>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</si>
  <si>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</si>
  <si>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</si>
  <si>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</si>
  <si>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</si>
  <si>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</si>
  <si>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</si>
  <si>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</si>
  <si>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</si>
  <si>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</si>
  <si>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</si>
  <si>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</si>
  <si>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</si>
  <si>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</si>
  <si>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</si>
  <si>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</si>
  <si>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</si>
  <si>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</si>
  <si>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</si>
  <si>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</si>
  <si>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</si>
  <si>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</si>
  <si>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</si>
  <si>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</si>
  <si>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</si>
  <si>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</si>
  <si>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</si>
  <si>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</si>
  <si>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</si>
  <si>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</si>
  <si>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</si>
  <si>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</si>
  <si>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</si>
  <si>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</si>
  <si>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</si>
  <si>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</si>
  <si>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</si>
  <si>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</si>
  <si>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</si>
  <si>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</si>
  <si>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</si>
  <si>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</si>
  <si>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</si>
  <si>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</si>
  <si>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</si>
  <si>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</si>
  <si>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</si>
  <si>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</si>
  <si>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</si>
  <si>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</si>
  <si>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</si>
  <si>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</si>
  <si>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</si>
  <si>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</si>
  <si>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</si>
  <si>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</si>
  <si>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</si>
  <si>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</si>
  <si>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</si>
  <si>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</si>
  <si>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</si>
  <si>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</si>
  <si>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</si>
  <si>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</si>
  <si>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</si>
  <si>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</si>
  <si>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</si>
  <si>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</si>
  <si>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</si>
  <si>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</si>
  <si>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</si>
  <si>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</si>
  <si>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</si>
  <si>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</si>
  <si>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</si>
  <si>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</si>
  <si>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</si>
  <si>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</si>
  <si>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</si>
  <si>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</si>
  <si>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</si>
  <si>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</si>
  <si>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</si>
  <si>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</si>
  <si>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</si>
  <si>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</si>
  <si>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</si>
  <si>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</si>
  <si>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</si>
  <si>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</si>
  <si>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</si>
  <si>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</si>
  <si>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</si>
  <si>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</si>
  <si>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</si>
  <si>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</si>
  <si>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</si>
  <si>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</si>
  <si>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</si>
  <si>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</si>
  <si>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</si>
  <si>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</si>
  <si>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</si>
  <si>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</si>
  <si>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</si>
  <si>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</si>
  <si>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</si>
  <si>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</si>
  <si>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</si>
  <si>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</si>
  <si>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</si>
  <si>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</si>
  <si>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</si>
  <si>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</si>
  <si>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</si>
  <si>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</si>
  <si>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</si>
  <si>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</si>
  <si>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</si>
  <si>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</si>
  <si>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</si>
  <si>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</si>
  <si>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</si>
  <si>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</si>
  <si>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</si>
  <si>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</si>
  <si>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</si>
  <si>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</si>
  <si>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</si>
  <si>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</si>
  <si>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</si>
  <si>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</si>
  <si>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</si>
  <si>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</si>
  <si>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</si>
  <si>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</si>
  <si>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</si>
  <si>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</si>
  <si>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</si>
  <si>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</si>
  <si>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</si>
  <si>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</si>
  <si>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</si>
  <si>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</si>
  <si>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</si>
  <si>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</si>
  <si>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</si>
  <si>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</si>
  <si>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</si>
  <si>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</si>
  <si>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</si>
  <si>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</si>
  <si>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</si>
  <si>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</si>
  <si>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</si>
  <si>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</si>
  <si>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</si>
  <si>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</si>
  <si>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</si>
  <si>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</si>
  <si>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</si>
  <si>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</si>
  <si>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</si>
  <si>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</si>
  <si>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</si>
  <si>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</si>
  <si>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</si>
  <si>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</si>
  <si>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</si>
  <si>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</si>
  <si>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</si>
  <si>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</si>
  <si>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</si>
  <si>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</si>
  <si>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</si>
  <si>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</si>
  <si>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</si>
  <si>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</si>
  <si>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</si>
  <si>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</si>
  <si>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</si>
  <si>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</si>
  <si>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</si>
  <si>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</si>
  <si>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</si>
  <si>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</si>
  <si>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</si>
  <si>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</si>
  <si>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</si>
  <si>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</si>
  <si>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</si>
  <si>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</si>
  <si>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</si>
  <si>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</si>
  <si>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</si>
  <si>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</si>
  <si>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</si>
  <si>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</si>
  <si>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</si>
  <si>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</si>
  <si>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</si>
  <si>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</si>
  <si>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</si>
  <si>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</si>
  <si>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</si>
  <si>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</si>
  <si>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</si>
  <si>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</si>
  <si>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Customer_name</t>
  </si>
  <si>
    <t>Unknown</t>
  </si>
  <si>
    <t>shipping_delay_days</t>
  </si>
  <si>
    <t>date_flag</t>
  </si>
  <si>
    <t>Dis_flag</t>
  </si>
  <si>
    <t>Calculated_sales</t>
  </si>
  <si>
    <t>COLUMN A</t>
  </si>
  <si>
    <t>COLUMN B</t>
  </si>
  <si>
    <t>Number of exact duplicate rows found</t>
  </si>
  <si>
    <t>Number of records removed</t>
  </si>
  <si>
    <t>Number of records flagged for review</t>
  </si>
  <si>
    <t>Duplicate handling summary</t>
  </si>
  <si>
    <t>Column1</t>
  </si>
  <si>
    <t>Column2</t>
  </si>
  <si>
    <t>MISSING VALUE  SUMMERY</t>
  </si>
  <si>
    <t xml:space="preserve">COLUMN NAME </t>
  </si>
  <si>
    <t>MISSING COUNT</t>
  </si>
  <si>
    <t>Region</t>
  </si>
  <si>
    <t>Ship_Mode</t>
  </si>
  <si>
    <t>Discount</t>
  </si>
  <si>
    <t>Metric</t>
  </si>
  <si>
    <t>Count</t>
  </si>
  <si>
    <t>Invalid discount summary</t>
  </si>
  <si>
    <t>Negative Discount</t>
  </si>
  <si>
    <t>Discount as text</t>
  </si>
  <si>
    <t>Missing Discount</t>
  </si>
  <si>
    <t>Column3</t>
  </si>
  <si>
    <t>Logic</t>
  </si>
  <si>
    <t>Fill as UNKNOWN</t>
  </si>
  <si>
    <t>Fill as 0</t>
  </si>
  <si>
    <t>fill as 0</t>
  </si>
  <si>
    <t>Date Issue Summery</t>
  </si>
  <si>
    <t>Issue</t>
  </si>
  <si>
    <t>Ship before order date</t>
  </si>
  <si>
    <t>missing oreder date</t>
  </si>
  <si>
    <t>missing ship date</t>
  </si>
  <si>
    <t>Flag as Invalid</t>
  </si>
  <si>
    <t>Order status issue summary</t>
  </si>
  <si>
    <t>Status</t>
  </si>
  <si>
    <t>Action</t>
  </si>
  <si>
    <t>Returned order</t>
  </si>
  <si>
    <t>Cancelled order</t>
  </si>
  <si>
    <t>Completed order</t>
  </si>
  <si>
    <t>total</t>
  </si>
  <si>
    <t>Not use in final summery</t>
  </si>
  <si>
    <t>Sales/profit calculation mismatch summary</t>
  </si>
  <si>
    <t>Match</t>
  </si>
  <si>
    <t>Mismatch</t>
  </si>
  <si>
    <t>count(SALES)</t>
  </si>
  <si>
    <t>count(PROFIT)</t>
  </si>
  <si>
    <t xml:space="preserve">Mismatch because some discount data (-) negative and text(%) valuse </t>
  </si>
  <si>
    <t>Final clean vs flagged record count</t>
  </si>
  <si>
    <t>CLEAN</t>
  </si>
  <si>
    <t>WARNING</t>
  </si>
  <si>
    <t>INVALID</t>
  </si>
  <si>
    <t>Sum of Calculated_sales</t>
  </si>
  <si>
    <t>Row Labels</t>
  </si>
  <si>
    <t>Grand Total</t>
  </si>
  <si>
    <t>Count of order_id</t>
  </si>
  <si>
    <t>Column Labels</t>
  </si>
  <si>
    <t>LOGIC</t>
  </si>
  <si>
    <t>Total Raw</t>
  </si>
  <si>
    <t>Duplicate Check</t>
  </si>
  <si>
    <t>Number of  Conflicting duplicate order IDs found</t>
  </si>
  <si>
    <t>Check with Conditional formatting and formula</t>
  </si>
  <si>
    <t>Remove Duplicates</t>
  </si>
  <si>
    <t>Duplicate_flag</t>
  </si>
  <si>
    <t>Duplicate flag Column</t>
  </si>
  <si>
    <t>Standardized_dis</t>
  </si>
  <si>
    <t>Calculated_Profit</t>
  </si>
  <si>
    <t>Profit_Margin</t>
  </si>
  <si>
    <t>Order_Month</t>
  </si>
  <si>
    <t>Order_year</t>
  </si>
  <si>
    <t>Data_Quality_Flag</t>
  </si>
  <si>
    <t xml:space="preserve">Flag Invalid </t>
  </si>
  <si>
    <t xml:space="preserve">Convert to decimal  </t>
  </si>
  <si>
    <t>Sum of Calculated_Profit</t>
  </si>
  <si>
    <t>Average of Profit_Margin</t>
  </si>
  <si>
    <t>Cancelled Total</t>
  </si>
  <si>
    <t>Sum of sales</t>
  </si>
  <si>
    <t xml:space="preserve"> 1.Sales and profit by region</t>
  </si>
  <si>
    <t xml:space="preserve"> 2.Sales and profit by category and sub-category</t>
  </si>
  <si>
    <t>3.Order count by ship mode</t>
  </si>
  <si>
    <t>4.Profit margin by customer segment</t>
  </si>
  <si>
    <t>5.Refunded/cancelled/failed orders by region</t>
  </si>
  <si>
    <t>6.Monthly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</si>
</sst>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/mm\/dd"/>
    <numFmt numFmtId="165" formatCode="[$-14009]dd/mm/yyyy;@"/>
  </numFmts>
  <fonts count="6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0" fontId="0" fillId="0" borderId="0" xfId="0" applyNumberFormat="1"/>
    <xf numFmtId="0" fontId="4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201.480889467595" createdVersion="8" refreshedVersion="8" minRefreshableVersion="3" recordCount="933" xr:uid="{B97CEB27-7F2E-453C-A9D7-770EC2B2B2A7}">
  <cacheSource type="worksheet">
    <worksheetSource ref="A1:AF1048576" sheet="Cleaned_data"/>
  </cacheSource>
  <cacheFields count="32">
    <cacheField name="order_id" numFmtId="0">
      <sharedItems containsBlank="1"/>
    </cacheField>
    <cacheField name="order_date" numFmtId="165">
      <sharedItems containsNonDate="0" containsDate="1" containsString="0" containsBlank="1" minDate="2024-01-01T00:00:00" maxDate="2025-12-11T00:00:00"/>
    </cacheField>
    <cacheField name="ship_date" numFmtId="165">
      <sharedItems containsNonDate="0" containsDate="1" containsString="0" containsBlank="1" minDate="2024-01-02T00:00:00" maxDate="2025-12-08T00:00:00"/>
    </cacheField>
    <cacheField name="shipping_delay_days" numFmtId="0">
      <sharedItems containsString="0" containsBlank="1" containsNumber="1" containsInteger="1" minValue="-320" maxValue="331"/>
    </cacheField>
    <cacheField name="date_flag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region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Dis_flag" numFmtId="0">
      <sharedItems containsBlank="1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/>
    </cacheField>
    <cacheField name="order_status" numFmtId="0">
      <sharedItems containsBlank="1"/>
    </cacheField>
    <cacheField name="Duplicate_flag" numFmtId="0">
      <sharedItems containsBlank="1"/>
    </cacheField>
    <cacheField name="Standardized_dis" numFmtId="0">
      <sharedItems containsString="0" containsBlank="1" containsNumber="1" minValue="0" maxValue="0.85"/>
    </cacheField>
    <cacheField name="Calculated_sales" numFmtId="0">
      <sharedItems containsString="0" containsBlank="1" containsNumber="1" minValue="36.450000000000003" maxValue="36782.269999999997" count="901">
        <n v="19049.28"/>
        <n v="7312.5"/>
        <n v="1917.77"/>
        <n v="8317.94"/>
        <n v="2527.46"/>
        <n v="25073.599999999999"/>
        <n v="9628.56"/>
        <n v="596.82000000000005"/>
        <n v="4106.75"/>
        <n v="23794.560000000001"/>
        <n v="9970.5300000000007"/>
        <n v="7633.9"/>
        <n v="11663.82"/>
        <n v="13478.82"/>
        <n v="7335.84"/>
        <n v="2578.0700000000002"/>
        <n v="2913.33"/>
        <n v="3079.59"/>
        <n v="12003.75"/>
        <n v="2585.15"/>
        <n v="19054.11"/>
        <n v="9379.41"/>
        <n v="13927.28"/>
        <n v="4935.3100000000004"/>
        <n v="14051.91"/>
        <n v="6846.48"/>
        <n v="3030.69"/>
        <n v="26971.14"/>
        <n v="29851.43"/>
        <n v="16110.83"/>
        <n v="17606.23"/>
        <n v="6772.54"/>
        <n v="9168.48"/>
        <n v="12596.67"/>
        <n v="1279.3499999999999"/>
        <n v="11254.79"/>
        <n v="16535.400000000001"/>
        <n v="661.82"/>
        <n v="949.59"/>
        <n v="21904.49"/>
        <n v="4815.71"/>
        <n v="3134.88"/>
        <n v="4066.18"/>
        <n v="19900.080000000002"/>
        <n v="21527.67"/>
        <n v="13610.45"/>
        <n v="10218.81"/>
        <n v="4256.3500000000004"/>
        <n v="6010.38"/>
        <n v="948.53"/>
        <n v="2737.34"/>
        <n v="608.64"/>
        <n v="2390.2600000000002"/>
        <n v="23416.54"/>
        <n v="6241.03"/>
        <n v="21062.1"/>
        <n v="19522.79"/>
        <n v="26470.71"/>
        <n v="3840.71"/>
        <n v="15184.3"/>
        <n v="16486.95"/>
        <n v="1233"/>
        <n v="8008.08"/>
        <n v="12263.24"/>
        <n v="806.31"/>
        <n v="4500.9399999999996"/>
        <n v="10914.02"/>
        <n v="2450.59"/>
        <n v="3949.56"/>
        <n v="758.78"/>
        <n v="8976.2900000000009"/>
        <n v="6321.08"/>
        <n v="1884.3"/>
        <n v="1458.94"/>
        <n v="511.05"/>
        <n v="634.13"/>
        <n v="4185.54"/>
        <n v="4386.3900000000003"/>
        <n v="18229.580000000002"/>
        <n v="873.68"/>
        <n v="1066.1600000000001"/>
        <n v="22930.62"/>
        <n v="24018.3"/>
        <n v="8743.65"/>
        <n v="3996.03"/>
        <n v="3857.05"/>
        <n v="3068.55"/>
        <n v="11276.95"/>
        <n v="2779.92"/>
        <n v="13269.95"/>
        <n v="1398.71"/>
        <n v="7718.22"/>
        <n v="5875.42"/>
        <n v="2209.25"/>
        <n v="2335.39"/>
        <n v="3989.56"/>
        <n v="35782.720000000001"/>
        <n v="10268.969999999999"/>
        <n v="1734.19"/>
        <n v="15906.85"/>
        <n v="31039.599999999999"/>
        <n v="13126.96"/>
        <n v="9558.9"/>
        <n v="5320.92"/>
        <n v="5430.39"/>
        <n v="1777.96"/>
        <n v="1605.07"/>
        <n v="23996.06"/>
        <n v="9047.64"/>
        <n v="8764.1200000000008"/>
        <n v="9391.82"/>
        <n v="3272.48"/>
        <n v="1125.3499999999999"/>
        <n v="9835.11"/>
        <n v="484.79"/>
        <n v="1752.72"/>
        <n v="4131.3599999999997"/>
        <n v="27020.48"/>
        <n v="364.65"/>
        <n v="13864.74"/>
        <n v="707.31"/>
        <n v="19214.400000000001"/>
        <n v="36.450000000000003"/>
        <n v="9554.58"/>
        <n v="5265.6"/>
        <n v="1473.26"/>
        <n v="2715.21"/>
        <n v="11090.38"/>
        <n v="11462.75"/>
        <n v="31236.720000000001"/>
        <n v="10964.24"/>
        <n v="15226.35"/>
        <n v="24376.68"/>
        <n v="20972.7"/>
        <n v="12615.91"/>
        <n v="3136.1"/>
        <n v="20835.900000000001"/>
        <n v="6131.34"/>
        <n v="9827.7900000000009"/>
        <n v="521.89"/>
        <n v="14960.4"/>
        <n v="6027.51"/>
        <n v="14338.91"/>
        <n v="4746.8999999999996"/>
        <n v="19328.22"/>
        <n v="5580.11"/>
        <n v="18265.09"/>
        <n v="6012.28"/>
        <n v="495.01"/>
        <n v="2482.3200000000002"/>
        <n v="11674.25"/>
        <n v="3510.42"/>
        <n v="21658.22"/>
        <n v="980.51"/>
        <n v="20349.18"/>
        <n v="4141.16"/>
        <n v="8943.0300000000007"/>
        <n v="4596"/>
        <n v="4730.76"/>
        <n v="4421.34"/>
        <n v="6516.93"/>
        <n v="7411.83"/>
        <n v="9685.98"/>
        <n v="3081.06"/>
        <n v="5966.59"/>
        <n v="10830.02"/>
        <n v="31539.29"/>
        <n v="2363.65"/>
        <n v="12976.47"/>
        <n v="7480.91"/>
        <n v="12982.6"/>
        <n v="16274"/>
        <n v="2493.1799999999998"/>
        <n v="20917.919999999998"/>
        <n v="29500.92"/>
        <n v="3116.05"/>
        <n v="11203.54"/>
        <n v="270.27999999999997"/>
        <n v="788.53"/>
        <n v="2699.28"/>
        <n v="6984.35"/>
        <n v="10185.67"/>
        <n v="4402.92"/>
        <n v="783.09"/>
        <n v="10742.64"/>
        <n v="12969.92"/>
        <n v="15940.56"/>
        <n v="7090.44"/>
        <n v="26414.16"/>
        <n v="18261.36"/>
        <n v="31107.42"/>
        <n v="5530.6"/>
        <n v="11925.96"/>
        <n v="19306.759999999998"/>
        <n v="11914.34"/>
        <n v="20080.68"/>
        <n v="16017.4"/>
        <n v="4997.38"/>
        <n v="17669.400000000001"/>
        <n v="1866.41"/>
        <n v="13651.2"/>
        <n v="19456.96"/>
        <n v="13069.34"/>
        <n v="6156.36"/>
        <n v="2624.87"/>
        <n v="8854.94"/>
        <n v="7956.76"/>
        <n v="8384.44"/>
        <n v="2822.1"/>
        <n v="9385.77"/>
        <n v="7750.16"/>
        <n v="6135.23"/>
        <n v="36477.089999999997"/>
        <n v="3680.13"/>
        <n v="27616.47"/>
        <n v="5731.7"/>
        <n v="2021.84"/>
        <n v="4095.78"/>
        <n v="16683.189999999999"/>
        <n v="1078.83"/>
        <n v="24431.46"/>
        <n v="7933.65"/>
        <n v="9378.7900000000009"/>
        <n v="1583.54"/>
        <n v="9439.5"/>
        <n v="10277.200000000001"/>
        <n v="21962.400000000001"/>
        <n v="27211.03"/>
        <n v="6436.16"/>
        <n v="1918.24"/>
        <n v="27047.95"/>
        <n v="3672.71"/>
        <n v="6177.68"/>
        <n v="985.07"/>
        <n v="6160.88"/>
        <n v="6593.65"/>
        <n v="2886.63"/>
        <n v="17869.63"/>
        <n v="25304.94"/>
        <n v="3315.38"/>
        <n v="3377.97"/>
        <n v="342.06"/>
        <n v="19622.16"/>
        <n v="13039.95"/>
        <n v="9663.98"/>
        <n v="3235.08"/>
        <n v="11070.87"/>
        <n v="19960.57"/>
        <n v="8596.0400000000009"/>
        <n v="3452.76"/>
        <n v="2040.22"/>
        <n v="2517.8000000000002"/>
        <n v="11462.11"/>
        <n v="19297.490000000002"/>
        <n v="2812.48"/>
        <n v="7079.65"/>
        <n v="6793.07"/>
        <n v="1844.22"/>
        <n v="918.96"/>
        <n v="4900.71"/>
        <n v="1035.67"/>
        <n v="25702.17"/>
        <n v="2202.5500000000002"/>
        <n v="2894"/>
        <n v="705.21"/>
        <n v="16385.490000000002"/>
        <n v="8666.56"/>
        <n v="361.75"/>
        <n v="2418.1999999999998"/>
        <n v="2015.04"/>
        <n v="3784.72"/>
        <n v="2485.5"/>
        <n v="9997.83"/>
        <n v="5124.59"/>
        <n v="17837.45"/>
        <n v="4465.42"/>
        <n v="10594.08"/>
        <n v="17555.689999999999"/>
        <n v="1205.6400000000001"/>
        <n v="7324"/>
        <n v="8477.02"/>
        <n v="3673.82"/>
        <n v="20913.88"/>
        <n v="2233.1799999999998"/>
        <n v="1611.11"/>
        <n v="5805.26"/>
        <n v="34079.620000000003"/>
        <n v="11359.8"/>
        <n v="29558.12"/>
        <n v="16400.25"/>
        <n v="398.67"/>
        <n v="2165.85"/>
        <n v="9602.35"/>
        <n v="1927.65"/>
        <n v="29900.79"/>
        <n v="21571.59"/>
        <n v="9762.2900000000009"/>
        <n v="418.77"/>
        <n v="17260.12"/>
        <n v="30148.93"/>
        <n v="1072.01"/>
        <n v="10206.91"/>
        <n v="8027.63"/>
        <n v="4070.64"/>
        <n v="4426.66"/>
        <n v="32228.880000000001"/>
        <n v="1130.1199999999999"/>
        <n v="680.62"/>
        <n v="5694.98"/>
        <n v="1474.14"/>
        <n v="4712.2"/>
        <n v="1305.3599999999999"/>
        <n v="2854.73"/>
        <n v="1774.94"/>
        <n v="5423.2"/>
        <n v="23530.14"/>
        <n v="15011.81"/>
        <n v="3202.41"/>
        <n v="3356.2"/>
        <n v="2101.4699999999998"/>
        <n v="837.19"/>
        <n v="1574.25"/>
        <n v="20582.099999999999"/>
        <n v="10635.24"/>
        <n v="29929.59"/>
        <n v="11945.28"/>
        <n v="18382.009999999998"/>
        <n v="3354.05"/>
        <n v="2482.9699999999998"/>
        <n v="6460.12"/>
        <n v="26192.22"/>
        <n v="19383.75"/>
        <n v="2729.66"/>
        <n v="22688.78"/>
        <n v="20389.919999999998"/>
        <n v="5659.88"/>
        <n v="18842.64"/>
        <n v="24677.19"/>
        <n v="12623.24"/>
        <n v="3401.01"/>
        <n v="6609.06"/>
        <n v="5464.2"/>
        <n v="10329.84"/>
        <n v="8456.9599999999991"/>
        <n v="1266.4100000000001"/>
        <n v="10969.38"/>
        <n v="31409.86"/>
        <n v="16394.96"/>
        <n v="12990.11"/>
        <n v="5107.95"/>
        <n v="7738.37"/>
        <n v="1514.97"/>
        <n v="8607.67"/>
        <n v="26324.02"/>
        <n v="13087.49"/>
        <n v="1640.57"/>
        <n v="5065.8500000000004"/>
        <n v="15760.12"/>
        <n v="11004.4"/>
        <n v="1627.5"/>
        <n v="9637.92"/>
        <n v="6370.02"/>
        <n v="1527.06"/>
        <n v="265.83999999999997"/>
        <n v="2401.84"/>
        <n v="5102.16"/>
        <n v="31203.31"/>
        <n v="12010.52"/>
        <n v="1033.71"/>
        <n v="18364.36"/>
        <n v="21141.62"/>
        <n v="14800.96"/>
        <n v="6001.35"/>
        <n v="4698.26"/>
        <n v="3745.29"/>
        <n v="3462.52"/>
        <n v="8767.17"/>
        <n v="1029.56"/>
        <n v="27755.29"/>
        <n v="9450.74"/>
        <n v="7792.55"/>
        <n v="8574.58"/>
        <n v="1035.03"/>
        <n v="2401.79"/>
        <n v="16015.81"/>
        <n v="1901.48"/>
        <n v="7406.01"/>
        <n v="9680.02"/>
        <n v="4733.45"/>
        <n v="15231.73"/>
        <n v="4333.59"/>
        <n v="760.29"/>
        <n v="8072"/>
        <n v="28353.02"/>
        <n v="2008.57"/>
        <n v="15756.05"/>
        <n v="14787.78"/>
        <n v="25181.64"/>
        <n v="8837.9500000000007"/>
        <n v="7275.79"/>
        <n v="2355.08"/>
        <n v="3609.12"/>
        <n v="11370.84"/>
        <n v="9298.7999999999993"/>
        <n v="9043.7999999999993"/>
        <n v="1736.62"/>
        <n v="10022.040000000001"/>
        <n v="2886.03"/>
        <n v="1459.2"/>
        <n v="11709.8"/>
        <n v="2593.91"/>
        <n v="12191.76"/>
        <n v="4166.91"/>
        <n v="14947.54"/>
        <n v="13462.12"/>
        <n v="5910.59"/>
        <n v="16617.310000000001"/>
        <n v="933.44"/>
        <n v="8128.69"/>
        <n v="3452"/>
        <n v="8525.64"/>
        <n v="23736.720000000001"/>
        <n v="5065.12"/>
        <n v="6707.52"/>
        <n v="11983.45"/>
        <n v="1364.58"/>
        <n v="862.65"/>
        <n v="2452.83"/>
        <n v="4519.41"/>
        <n v="7065.66"/>
        <n v="17911.009999999998"/>
        <n v="4272.58"/>
        <n v="9352.6200000000008"/>
        <n v="21511.599999999999"/>
        <n v="26051.94"/>
        <n v="9661.64"/>
        <n v="13714.96"/>
        <n v="4595.2"/>
        <n v="21234.97"/>
        <n v="4306.6499999999996"/>
        <n v="2932.78"/>
        <n v="2363.89"/>
        <n v="2577.1999999999998"/>
        <n v="17827.759999999998"/>
        <n v="4259.07"/>
        <n v="786.87"/>
        <n v="15848.32"/>
        <n v="33968.080000000002"/>
        <n v="10877.94"/>
        <n v="10246.530000000001"/>
        <n v="633.66999999999996"/>
        <n v="6521.38"/>
        <n v="23696.400000000001"/>
        <n v="4047.66"/>
        <n v="1074.22"/>
        <n v="3826.3"/>
        <n v="7453.07"/>
        <n v="24409.55"/>
        <n v="7955.04"/>
        <n v="1631.11"/>
        <n v="7266.06"/>
        <n v="1858.08"/>
        <n v="25021.83"/>
        <n v="3110.3"/>
        <n v="1580.4"/>
        <n v="12190.37"/>
        <n v="11619.44"/>
        <n v="25075.439999999999"/>
        <n v="4177.45"/>
        <n v="4695.71"/>
        <n v="19676.07"/>
        <n v="8848.08"/>
        <n v="21574.67"/>
        <n v="22741.32"/>
        <n v="11834.8"/>
        <n v="16173.85"/>
        <n v="25155.56"/>
        <n v="1625.31"/>
        <n v="16704.52"/>
        <n v="13965.89"/>
        <n v="10835.87"/>
        <n v="1127.1500000000001"/>
        <n v="25524.3"/>
        <n v="2418.0100000000002"/>
        <n v="3508.38"/>
        <n v="4917.4399999999996"/>
        <n v="20816.32"/>
        <n v="5847.56"/>
        <n v="2980.71"/>
        <n v="6134.69"/>
        <n v="10074.27"/>
        <n v="26365.39"/>
        <n v="3995.98"/>
        <n v="16398.98"/>
        <n v="2790.76"/>
        <n v="8291.51"/>
        <n v="6265.63"/>
        <n v="6774.41"/>
        <n v="217.61"/>
        <n v="27832.95"/>
        <n v="6655.5"/>
        <n v="4248.13"/>
        <n v="7447.01"/>
        <n v="28445.62"/>
        <n v="2025.38"/>
        <n v="5131.75"/>
        <n v="3415.46"/>
        <n v="3411.54"/>
        <n v="9466.83"/>
        <n v="7032.11"/>
        <n v="24002.11"/>
        <n v="1539.98"/>
        <n v="10947.53"/>
        <n v="7128.7"/>
        <n v="3309.84"/>
        <n v="7907.57"/>
        <n v="2194.87"/>
        <n v="9050.42"/>
        <n v="33465.31"/>
        <n v="5525.73"/>
        <n v="9445.1"/>
        <n v="2427.12"/>
        <n v="36111.910000000003"/>
        <n v="10524.78"/>
        <n v="14409.44"/>
        <n v="6495.87"/>
        <n v="9540.66"/>
        <n v="11462.84"/>
        <n v="7809.09"/>
        <n v="7922.03"/>
        <n v="2091.4699999999998"/>
        <n v="1623.02"/>
        <n v="3590.93"/>
        <n v="17414.599999999999"/>
        <n v="14558.72"/>
        <n v="4303.42"/>
        <n v="5774.67"/>
        <n v="2692.15"/>
        <n v="1436.63"/>
        <n v="3424.78"/>
        <n v="31178.38"/>
        <n v="19202.900000000001"/>
        <n v="10301.040000000001"/>
        <n v="15055.74"/>
        <n v="25639.98"/>
        <n v="10176.42"/>
        <n v="22962.17"/>
        <n v="7720.16"/>
        <n v="12103.19"/>
        <n v="33893.33"/>
        <n v="4789.6000000000004"/>
        <n v="1643.41"/>
        <n v="15679.33"/>
        <n v="2365.8200000000002"/>
        <n v="2046.28"/>
        <n v="23186.61"/>
        <n v="2557.08"/>
        <n v="5577.64"/>
        <n v="5133.96"/>
        <n v="15923.51"/>
        <n v="23997.22"/>
        <n v="8264.7000000000007"/>
        <n v="24229.01"/>
        <n v="10205.799999999999"/>
        <n v="12907.22"/>
        <n v="8717.2199999999993"/>
        <n v="6407.23"/>
        <n v="29864.16"/>
        <n v="1458.24"/>
        <n v="7339.23"/>
        <n v="9614.15"/>
        <n v="17409.87"/>
        <n v="12907.98"/>
        <n v="5007.0600000000004"/>
        <n v="13231.14"/>
        <n v="1624.15"/>
        <n v="4193.2299999999996"/>
        <n v="430.26"/>
        <n v="999.83"/>
        <n v="7006.34"/>
        <n v="11039.22"/>
        <n v="4595.76"/>
        <n v="1291.4000000000001"/>
        <n v="4900.8999999999996"/>
        <n v="25848.54"/>
        <n v="1176.72"/>
        <n v="11833.92"/>
        <n v="1987.44"/>
        <n v="8658.69"/>
        <n v="670.11"/>
        <n v="1212.9000000000001"/>
        <n v="5697.83"/>
        <n v="4049.51"/>
        <n v="8928.93"/>
        <n v="6132.96"/>
        <n v="2329.4699999999998"/>
        <n v="5603.08"/>
        <n v="12810"/>
        <n v="6474.54"/>
        <n v="15209.88"/>
        <n v="1648.18"/>
        <n v="13399.44"/>
        <n v="32743.85"/>
        <n v="13017.72"/>
        <n v="785.4"/>
        <n v="3319.05"/>
        <n v="1925.86"/>
        <n v="22694.67"/>
        <n v="1813.67"/>
        <n v="3780.66"/>
        <n v="16504.22"/>
        <n v="1814.01"/>
        <n v="36735.93"/>
        <n v="8258.7099999999991"/>
        <n v="1658.37"/>
        <n v="33740.550000000003"/>
        <n v="18716.990000000002"/>
        <n v="9385.34"/>
        <n v="17826.59"/>
        <n v="1951.54"/>
        <n v="6285.62"/>
        <n v="4054.92"/>
        <n v="14692.44"/>
        <n v="29469.89"/>
        <n v="2341.02"/>
        <n v="12488.58"/>
        <n v="6485.36"/>
        <n v="22926.82"/>
        <n v="1655.7"/>
        <n v="15602.6"/>
        <n v="15138.49"/>
        <n v="18604.080000000002"/>
        <n v="15401.51"/>
        <n v="7823.92"/>
        <n v="2936.1"/>
        <n v="11581.3"/>
        <n v="20900.86"/>
        <n v="7524.63"/>
        <n v="12231.36"/>
        <n v="31079.7"/>
        <n v="7715.81"/>
        <n v="19355.96"/>
        <n v="3237.48"/>
        <n v="10734.75"/>
        <n v="10308.02"/>
        <n v="2486.8000000000002"/>
        <n v="4369.04"/>
        <n v="5956.12"/>
        <n v="35615.71"/>
        <n v="6867.64"/>
        <n v="6195.75"/>
        <n v="8836.56"/>
        <n v="2079.27"/>
        <n v="8945.68"/>
        <n v="7651.8"/>
        <n v="10068.120000000001"/>
        <n v="14359.5"/>
        <n v="2564.7399999999998"/>
        <n v="7821.22"/>
        <n v="16671.169999999998"/>
        <n v="10468.44"/>
        <n v="4485.5"/>
        <n v="1975.1"/>
        <n v="20063.95"/>
        <n v="1764.3"/>
        <n v="714.43"/>
        <n v="1213.5899999999999"/>
        <n v="3463.76"/>
        <n v="3268.88"/>
        <n v="6146.63"/>
        <n v="7877.55"/>
        <n v="5886.3"/>
        <n v="7093.84"/>
        <n v="2269.1"/>
        <n v="3334.25"/>
        <n v="15345.84"/>
        <n v="3833.7"/>
        <n v="18542.400000000001"/>
        <n v="1308.78"/>
        <n v="1814.99"/>
        <n v="2489.88"/>
        <n v="4098.66"/>
        <n v="26454.959999999999"/>
        <n v="1853.9"/>
        <n v="17658.599999999999"/>
        <n v="3263.9"/>
        <n v="2327.0500000000002"/>
        <n v="1813.18"/>
        <n v="3326.25"/>
        <n v="1842.31"/>
        <n v="20342.5"/>
        <n v="33940.080000000002"/>
        <n v="21872.37"/>
        <n v="15380.35"/>
        <n v="7417.6"/>
        <n v="25229.7"/>
        <n v="11626.97"/>
        <n v="8614.2800000000007"/>
        <n v="2846.4"/>
        <n v="10331.48"/>
        <n v="6564.99"/>
        <n v="20272.919999999998"/>
        <n v="11843.44"/>
        <n v="4525.8"/>
        <n v="1676.33"/>
        <n v="7665.57"/>
        <n v="4670.83"/>
        <n v="6155.5"/>
        <n v="1941.06"/>
        <n v="4088.16"/>
        <n v="15273.06"/>
        <n v="6635.56"/>
        <n v="850.35"/>
        <n v="17312.48"/>
        <n v="8971.26"/>
        <n v="23241.22"/>
        <n v="6047.18"/>
        <n v="5937.25"/>
        <n v="4458.49"/>
        <n v="11890.37"/>
        <n v="8421.68"/>
        <n v="13968.67"/>
        <n v="12495.03"/>
        <n v="33034.86"/>
        <n v="1136.1600000000001"/>
        <n v="13802.13"/>
        <n v="17053.060000000001"/>
        <n v="17862.150000000001"/>
        <n v="14268.2"/>
        <n v="19891.73"/>
        <n v="1904.45"/>
        <n v="8641.68"/>
        <n v="21861.72"/>
        <n v="10911.32"/>
        <n v="10271.530000000001"/>
        <n v="750.07"/>
        <n v="8735.24"/>
        <n v="5943.96"/>
        <n v="19711.68"/>
        <n v="14750.19"/>
        <n v="2900.88"/>
        <n v="9224.93"/>
        <n v="14630.27"/>
        <n v="8879.49"/>
        <n v="21381.45"/>
        <n v="573.65"/>
        <n v="3983.42"/>
        <n v="1879.15"/>
        <n v="417.49"/>
        <n v="16323.8"/>
        <n v="27629.279999999999"/>
        <n v="7471.52"/>
        <n v="3615.76"/>
        <n v="32013.79"/>
        <n v="27675.74"/>
        <n v="13144.03"/>
        <n v="1855.44"/>
        <n v="11048.25"/>
        <n v="19564.599999999999"/>
        <n v="3228.9"/>
        <n v="1260.01"/>
        <n v="8754.32"/>
        <n v="4057.35"/>
        <n v="30362.36"/>
        <n v="4718.0200000000004"/>
        <n v="3844.01"/>
        <n v="10484.24"/>
        <n v="11473.04"/>
        <n v="4012.03"/>
        <n v="5364.36"/>
        <n v="10706.07"/>
        <n v="14252.65"/>
        <n v="1382.17"/>
        <n v="9223.17"/>
        <n v="1267.3"/>
        <n v="6405.74"/>
        <n v="14250.08"/>
        <n v="14441.91"/>
        <n v="6776.88"/>
        <n v="1795.65"/>
        <n v="18362.509999999998"/>
        <n v="26524.68"/>
        <n v="2056.0500000000002"/>
        <n v="8607.2800000000007"/>
        <n v="2033"/>
        <n v="19966.939999999999"/>
        <n v="710.9"/>
        <n v="15994.48"/>
        <n v="5698.4"/>
        <n v="3959.14"/>
        <n v="6176.59"/>
        <n v="13847.86"/>
        <n v="2889.78"/>
        <n v="20296.7"/>
        <n v="1692.68"/>
        <n v="7772.34"/>
        <n v="7902.96"/>
        <n v="24621.24"/>
        <n v="3313.51"/>
        <n v="688.2"/>
        <n v="15492.07"/>
        <n v="8516.4500000000007"/>
        <n v="11826.84"/>
        <n v="11629.02"/>
        <n v="3536.52"/>
        <n v="3970.05"/>
        <n v="2692.82"/>
        <n v="8375.99"/>
        <n v="16559.11"/>
        <n v="8110.09"/>
        <n v="4110.41"/>
        <n v="217.48"/>
        <n v="18675.18"/>
        <n v="19901.63"/>
        <n v="2879.82"/>
        <n v="18712.22"/>
        <n v="3795.86"/>
        <n v="13649.75"/>
        <n v="13634"/>
        <n v="14943.11"/>
        <n v="9234.2099999999991"/>
        <n v="2658.83"/>
        <n v="2188.19"/>
        <n v="8853.36"/>
        <n v="2211.3000000000002"/>
        <n v="12158.51"/>
        <n v="8266.2099999999991"/>
        <n v="26696.32"/>
        <n v="8445.26"/>
        <n v="2674.02"/>
        <n v="9926.9599999999991"/>
        <n v="4285.76"/>
        <n v="7467.36"/>
        <n v="16454.88"/>
        <n v="25159.8"/>
        <n v="1824.42"/>
        <n v="14554.08"/>
        <n v="3708.06"/>
        <n v="9424.2199999999993"/>
        <n v="7752.6"/>
        <n v="26999.91"/>
        <n v="1138.3699999999999"/>
        <n v="1589.08"/>
        <n v="2718.71"/>
        <n v="14149.92"/>
        <n v="2800.9"/>
        <n v="7279.36"/>
        <n v="15354.45"/>
        <n v="8093.3"/>
        <n v="8651.4599999999991"/>
        <n v="1948.09"/>
        <n v="3045.09"/>
        <n v="4379.3599999999997"/>
        <n v="5472.77"/>
        <n v="7377.1"/>
        <n v="2675.34"/>
        <n v="3563.91"/>
        <n v="8233.61"/>
        <n v="511.31"/>
        <n v="1704.24"/>
        <n v="33719.22"/>
        <n v="2720.17"/>
        <n v="8213.0300000000007"/>
        <n v="25216.53"/>
        <n v="12867.55"/>
        <n v="26489.66"/>
        <n v="36782.269999999997"/>
        <n v="10038.77"/>
        <n v="9399.67"/>
        <n v="1470.57"/>
        <n v="6336.44"/>
        <n v="21850.83"/>
        <n v="35905.68"/>
        <n v="3515.15"/>
        <n v="336.13"/>
        <n v="1308.26"/>
        <n v="3710.72"/>
        <n v="8487.83"/>
        <n v="10898.18"/>
        <n v="6975.7"/>
        <n v="8811.69"/>
        <n v="17034.349999999999"/>
        <n v="7984.08"/>
        <n v="21912.26"/>
        <n v="1923.24"/>
        <n v="4301.91"/>
        <n v="22436.84"/>
        <n v="4487.83"/>
        <n v="29829.09"/>
        <n v="3641.54"/>
        <n v="6028.35"/>
        <n v="7649.8"/>
        <n v="1620.87"/>
        <n v="3567.52"/>
        <n v="23739.91"/>
        <n v="12685.1"/>
        <n v="5883.12"/>
        <n v="581.51"/>
        <n v="6789.27"/>
        <n v="3304.05"/>
        <m/>
      </sharedItems>
    </cacheField>
    <cacheField name="Calculated_Profit" numFmtId="0">
      <sharedItems containsString="0" containsBlank="1" containsNumber="1" minValue="-23452.560000000001" maxValue="15226"/>
    </cacheField>
    <cacheField name="Profit_Margin" numFmtId="0">
      <sharedItems containsString="0" containsBlank="1" containsNumber="1" minValue="-4.5765000000000002" maxValue="0.58699999999999997"/>
    </cacheField>
    <cacheField name="Order_Month" numFmtId="0">
      <sharedItems containsString="0" containsBlank="1" containsNumber="1" containsInteger="1" minValue="1" maxValue="12"/>
    </cacheField>
    <cacheField name="Order_year" numFmtId="0">
      <sharedItems containsString="0" containsBlank="1" containsNumber="1" containsInteger="1" minValue="2024" maxValue="2025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cision" refreshedDate="46201.485106365741" createdVersion="8" refreshedVersion="8" minRefreshableVersion="3" recordCount="912" xr:uid="{08D8BCF4-78CF-4732-BD45-580C51A96C38}">
  <cacheSource type="worksheet">
    <worksheetSource ref="A1:AF913" sheet="Cleaned_data"/>
  </cacheSource>
  <cacheFields count="32">
    <cacheField name="order_id" numFmtId="0">
      <sharedItems count="900">
        <s v="ORD-2024-10001"/>
        <s v="ORD-2024-10002"/>
        <s v="ORD-2024-10003"/>
        <s v="ORD-2024-10004"/>
        <s v="ORD-2024-10006"/>
        <s v="ORD-2024-10009"/>
        <s v="ORD-2024-10012"/>
        <s v="ORD-2024-10013"/>
        <s v="ORD-2024-10015"/>
        <s v="ORD-2024-10016"/>
        <s v="ORD-2024-10017"/>
        <s v="ORD-2024-10018"/>
        <s v="ORD-2024-10020"/>
        <s v="ORD-2024-10025"/>
        <s v="ORD-2024-10026"/>
        <s v="ORD-2024-10027"/>
        <s v="ORD-2024-10029"/>
        <s v="ORD-2024-10031"/>
        <s v="ORD-2024-10033"/>
        <s v="ORD-2024-10034"/>
        <s v="ORD-2024-10036"/>
        <s v="ORD-2024-10037"/>
        <s v="ORD-2024-10039"/>
        <s v="ORD-2024-10040"/>
        <s v="ORD-2024-10041"/>
        <s v="ORD-2024-10042"/>
        <s v="ORD-2024-10044"/>
        <s v="ORD-2024-10045"/>
        <s v="ORD-2024-10046"/>
        <s v="ORD-2024-10047"/>
        <s v="ORD-2024-10048"/>
        <s v="ORD-2024-10050"/>
        <s v="ORD-2024-10052"/>
        <s v="ORD-2024-10053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4-10069"/>
        <s v="ORD-2024-10070"/>
        <s v="ORD-2024-10073"/>
        <s v="ORD-2024-10077"/>
        <s v="ORD-2024-10081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4-10094"/>
        <s v="ORD-2024-10095"/>
        <s v="ORD-2024-10097"/>
        <s v="ORD-2024-10099"/>
        <s v="ORD-2024-10102"/>
        <s v="ORD-2024-10106"/>
        <s v="ORD-2024-10107"/>
        <s v="ORD-2024-10108"/>
        <s v="ORD-2024-10109"/>
        <s v="ORD-2024-10111"/>
        <s v="ORD-2024-10113"/>
        <s v="ORD-2024-10114"/>
        <s v="ORD-2024-10115"/>
        <s v="ORD-2024-10116"/>
        <s v="ORD-2024-10118"/>
        <s v="ORD-2024-10119"/>
        <s v="ORD-2024-10120"/>
        <s v="ORD-2024-10121"/>
        <s v="ORD-2024-10123"/>
        <s v="ORD-2024-10124"/>
        <s v="ORD-2024-10125"/>
        <s v="ORD-2024-10129"/>
        <s v="ORD-2024-10130"/>
        <s v="ORD-2024-10131"/>
        <s v="ORD-2024-10133"/>
        <s v="ORD-2024-10134"/>
        <s v="ORD-2024-10139"/>
        <s v="ORD-2024-10141"/>
        <s v="ORD-2024-10142"/>
        <s v="ORD-2024-10143"/>
        <s v="ORD-2024-10144"/>
        <s v="ORD-2024-10145"/>
        <s v="ORD-2024-10148"/>
        <s v="ORD-2024-10150"/>
        <s v="ORD-2024-10151"/>
        <s v="ORD-2024-10152"/>
        <s v="ORD-2024-10153"/>
        <s v="ORD-2024-10155"/>
        <s v="ORD-2024-10158"/>
        <s v="ORD-2024-10159"/>
        <s v="ORD-2024-10163"/>
        <s v="ORD-2024-10166"/>
        <s v="ORD-2024-10174"/>
        <s v="ORD-2024-10176"/>
        <s v="ORD-2024-10178"/>
        <s v="ORD-2024-10179"/>
        <s v="ORD-2024-10180"/>
        <s v="ORD-2024-10181"/>
        <s v="ORD-2024-10183"/>
        <s v="ORD-2024-10185"/>
        <s v="ORD-2024-10186"/>
        <s v="ORD-2024-10187"/>
        <s v="ORD-2024-10192"/>
        <s v="ORD-2024-10193"/>
        <s v="ORD-2024-10194"/>
        <s v="ORD-2024-10197"/>
        <s v="ORD-2024-10199"/>
        <s v="ORD-2024-10200"/>
        <s v="ORD-2024-10204"/>
        <s v="ORD-2024-10208"/>
        <s v="ORD-2024-10211"/>
        <s v="ORD-2024-10212"/>
        <s v="ORD-2024-10213"/>
        <s v="ORD-2024-10214"/>
        <s v="ORD-2024-10215"/>
        <s v="ORD-2024-10216"/>
        <s v="ORD-2024-10220"/>
        <s v="ORD-2024-10221"/>
        <s v="ORD-2024-10226"/>
        <s v="ORD-2024-10228"/>
        <s v="ORD-2024-10229"/>
        <s v="ORD-2024-10231"/>
        <s v="ORD-2024-10232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4-10245"/>
        <s v="ORD-2024-10246"/>
        <s v="ORD-2024-10247"/>
        <s v="ORD-2024-10248"/>
        <s v="ORD-2024-10249"/>
        <s v="ORD-2024-10251"/>
        <s v="ORD-2024-10254"/>
        <s v="ORD-2024-10257"/>
        <s v="ORD-2024-10259"/>
        <s v="ORD-2024-10260"/>
        <s v="ORD-2024-10265"/>
        <s v="ORD-2024-10266"/>
        <s v="ORD-2024-10271"/>
        <s v="ORD-2024-10272"/>
        <s v="ORD-2024-10273"/>
        <s v="ORD-2024-10275"/>
        <s v="ORD-2024-10276"/>
        <s v="ORD-2024-10277"/>
        <s v="ORD-2024-10280"/>
        <s v="ORD-2024-10281"/>
        <s v="ORD-2024-10283"/>
        <s v="ORD-2024-10285"/>
        <s v="ORD-2024-10287"/>
        <s v="ORD-2024-10288"/>
        <s v="ORD-2024-10289"/>
        <s v="ORD-2024-10292"/>
        <s v="ORD-2024-10294"/>
        <s v="ORD-2024-10298"/>
        <s v="ORD-2024-10300"/>
        <s v="ORD-2024-10301"/>
        <s v="ORD-2024-10304"/>
        <s v="ORD-2024-10305"/>
        <s v="ORD-2024-10306"/>
        <s v="ORD-2024-10310"/>
        <s v="ORD-2024-10311"/>
        <s v="ORD-2024-10312"/>
        <s v="ORD-2024-10313"/>
        <s v="ORD-2024-10316"/>
        <s v="ORD-2024-10317"/>
        <s v="ORD-2024-10319"/>
        <s v="ORD-2024-10320"/>
        <s v="ORD-2024-10321"/>
        <s v="ORD-2024-10322"/>
        <s v="ORD-2024-10323"/>
        <s v="ORD-2024-10324"/>
        <s v="ORD-2024-10328"/>
        <s v="ORD-2024-10331"/>
        <s v="ORD-2024-10332"/>
        <s v="ORD-2024-10335"/>
        <s v="ORD-2024-10337"/>
        <s v="ORD-2024-10338"/>
        <s v="ORD-2024-10339"/>
        <s v="ORD-2024-10341"/>
        <s v="ORD-2024-10345"/>
        <s v="ORD-2024-10346"/>
        <s v="ORD-2024-10348"/>
        <s v="ORD-2024-10349"/>
        <s v="ORD-2024-10351"/>
        <s v="ORD-2024-10355"/>
        <s v="ORD-2024-10356"/>
        <s v="ORD-2024-10360"/>
        <s v="ORD-2024-10361"/>
        <s v="ORD-2024-10363"/>
        <s v="ORD-2024-10366"/>
        <s v="ORD-2024-10368"/>
        <s v="ORD-2024-10371"/>
        <s v="ORD-2024-10372"/>
        <s v="ORD-2024-10376"/>
        <s v="ORD-2024-10377"/>
        <s v="ORD-2024-10380"/>
        <s v="ORD-2024-10381"/>
        <s v="ORD-2024-10385"/>
        <s v="ORD-2024-10389"/>
        <s v="ORD-2024-10390"/>
        <s v="ORD-2024-10391"/>
        <s v="ORD-2024-10393"/>
        <s v="ORD-2024-10394"/>
        <s v="ORD-2024-10395"/>
        <s v="ORD-2024-10396"/>
        <s v="ORD-2024-10399"/>
        <s v="ORD-2024-10403"/>
        <s v="ORD-2024-10404"/>
        <s v="ORD-2024-10405"/>
        <s v="ORD-2024-10406"/>
        <s v="ORD-2024-10408"/>
        <s v="ORD-2024-10411"/>
        <s v="ORD-2024-10413"/>
        <s v="ORD-2024-10415"/>
        <s v="ORD-2024-10416"/>
        <s v="ORD-2024-10419"/>
        <s v="ORD-2024-10424"/>
        <s v="ORD-2024-10425"/>
        <s v="ORD-2024-10426"/>
        <s v="ORD-2024-10427"/>
        <s v="ORD-2024-10431"/>
        <s v="ORD-2024-10432"/>
        <s v="ORD-2024-10433"/>
        <s v="ORD-2024-10434"/>
        <s v="ORD-2024-10437"/>
        <s v="ORD-2024-10438"/>
        <s v="ORD-2024-10441"/>
        <s v="ORD-2024-10442"/>
        <s v="ORD-2024-10444"/>
        <s v="ORD-2024-10446"/>
        <s v="ORD-2024-10449"/>
        <s v="ORD-2024-10450"/>
        <s v="ORD-2024-10452"/>
        <s v="ORD-2024-10453"/>
        <s v="ORD-2024-10456"/>
        <s v="ORD-2024-10457"/>
        <s v="ORD-2024-10458"/>
        <s v="ORD-2024-10459"/>
        <s v="ORD-2024-10460"/>
        <s v="ORD-2024-10463"/>
        <s v="ORD-2024-10466"/>
        <s v="ORD-2024-10467"/>
        <s v="ORD-2024-10468"/>
        <s v="ORD-2024-10470"/>
        <s v="ORD-2024-10471"/>
        <s v="ORD-2024-10472"/>
        <s v="ORD-2024-10473"/>
        <s v="ORD-2024-10474"/>
        <s v="ORD-2024-10475"/>
        <s v="ORD-2024-10477"/>
        <s v="ORD-2024-10479"/>
        <s v="ORD-2024-10480"/>
        <s v="ORD-2024-10483"/>
        <s v="ORD-2024-10484"/>
        <s v="ORD-2024-10485"/>
        <s v="ORD-2024-10489"/>
        <s v="ORD-2024-10490"/>
        <s v="ORD-2024-10491"/>
        <s v="ORD-2024-10495"/>
        <s v="ORD-2024-10496"/>
        <s v="ORD-2024-10498"/>
        <s v="ORD-2024-10500"/>
        <s v="ORD-2024-10501"/>
        <s v="ORD-2024-10502"/>
        <s v="ORD-2024-10503"/>
        <s v="ORD-2024-10504"/>
        <s v="ORD-2024-10506"/>
        <s v="ORD-2024-10507"/>
        <s v="ORD-2024-10509"/>
        <s v="ORD-2024-10511"/>
        <s v="ORD-2024-10512"/>
        <s v="ORD-2024-10515"/>
        <s v="ORD-2024-10517"/>
        <s v="ORD-2024-10521"/>
        <s v="ORD-2024-10524"/>
        <s v="ORD-2024-10525"/>
        <s v="ORD-2024-10526"/>
        <s v="ORD-2024-10529"/>
        <s v="ORD-2024-10530"/>
        <s v="ORD-2024-10532"/>
        <s v="ORD-2024-10534"/>
        <s v="ORD-2024-10536"/>
        <s v="ORD-2024-10538"/>
        <s v="ORD-2024-10539"/>
        <s v="ORD-2024-10541"/>
        <s v="ORD-2024-10543"/>
        <s v="ORD-2024-10544"/>
        <s v="ORD-2024-10546"/>
        <s v="ORD-2024-10548"/>
        <s v="ORD-2024-10549"/>
        <s v="ORD-2024-10551"/>
        <s v="ORD-2024-10552"/>
        <s v="ORD-2024-10555"/>
        <s v="ORD-2024-10557"/>
        <s v="ORD-2024-10558"/>
        <s v="ORD-2024-10561"/>
        <s v="ORD-2024-10563"/>
        <s v="ORD-2024-10564"/>
        <s v="ORD-2024-10565"/>
        <s v="ORD-2024-10567"/>
        <s v="ORD-2024-10568"/>
        <s v="ORD-2024-10569"/>
        <s v="ORD-2024-10573"/>
        <s v="ORD-2024-10575"/>
        <s v="ORD-2024-10577"/>
        <s v="ORD-2024-10579"/>
        <s v="ORD-2024-10580"/>
        <s v="ORD-2024-10583"/>
        <s v="ORD-2024-10584"/>
        <s v="ORD-2024-10585"/>
        <s v="ORD-2024-10590"/>
        <s v="ORD-2024-10591"/>
        <s v="ORD-2024-10592"/>
        <s v="ORD-2024-10593"/>
        <s v="ORD-2024-10595"/>
        <s v="ORD-2024-10597"/>
        <s v="ORD-2024-10599"/>
        <s v="ORD-2024-10600"/>
        <s v="ORD-2024-10602"/>
        <s v="ORD-2024-10603"/>
        <s v="ORD-2024-10609"/>
        <s v="ORD-2024-10611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4-10624"/>
        <s v="ORD-2024-10625"/>
        <s v="ORD-2024-10626"/>
        <s v="ORD-2024-10631"/>
        <s v="ORD-2024-10632"/>
        <s v="ORD-2024-10636"/>
        <s v="ORD-2024-10637"/>
        <s v="ORD-2024-10638"/>
        <s v="ORD-2024-10639"/>
        <s v="ORD-2024-10640"/>
        <s v="ORD-2024-10643"/>
        <s v="ORD-2024-10644"/>
        <s v="ORD-2024-10646"/>
        <s v="ORD-2024-10647"/>
        <s v="ORD-2024-10649"/>
        <s v="ORD-2024-10651"/>
        <s v="ORD-2024-10657"/>
        <s v="ORD-2024-10662"/>
        <s v="ORD-2024-10663"/>
        <s v="ORD-2024-10664"/>
        <s v="ORD-2024-10665"/>
        <s v="ORD-2024-10667"/>
        <s v="ORD-2024-10669"/>
        <s v="ORD-2024-10670"/>
        <s v="ORD-2024-10672"/>
        <s v="ORD-2024-10673"/>
        <s v="ORD-2024-10675"/>
        <s v="ORD-2024-10678"/>
        <s v="ORD-2024-10679"/>
        <s v="ORD-2024-10681"/>
        <s v="ORD-2024-10682"/>
        <s v="ORD-2024-10687"/>
        <s v="ORD-2024-10690"/>
        <s v="ORD-2024-10691"/>
        <s v="ORD-2024-10692"/>
        <s v="ORD-2024-10696"/>
        <s v="ORD-2024-10699"/>
        <s v="ORD-2024-10700"/>
        <s v="ORD-2024-10701"/>
        <s v="ORD-2024-10702"/>
        <s v="ORD-2024-10704"/>
        <s v="ORD-2024-10705"/>
        <s v="ORD-2024-10706"/>
        <s v="ORD-2024-10707"/>
        <s v="ORD-2024-10711"/>
        <s v="ORD-2024-10713"/>
        <s v="ORD-2024-10719"/>
        <s v="ORD-2024-10721"/>
        <s v="ORD-2024-10723"/>
        <s v="ORD-2024-10725"/>
        <s v="ORD-2024-10727"/>
        <s v="ORD-2024-10728"/>
        <s v="ORD-2024-10729"/>
        <s v="ORD-2024-10732"/>
        <s v="ORD-2024-10733"/>
        <s v="ORD-2024-10734"/>
        <s v="ORD-2024-10735"/>
        <s v="ORD-2024-10736"/>
        <s v="ORD-2024-10737"/>
        <s v="ORD-2024-10738"/>
        <s v="ORD-2024-10740"/>
        <s v="ORD-2024-10741"/>
        <s v="ORD-2024-10743"/>
        <s v="ORD-2024-10746"/>
        <s v="ORD-2024-10748"/>
        <s v="ORD-2024-10749"/>
        <s v="ORD-2024-10750"/>
        <s v="ORD-2024-10753"/>
        <s v="ORD-2024-10754"/>
        <s v="ORD-2024-10757"/>
        <s v="ORD-2024-10759"/>
        <s v="ORD-2024-10760"/>
        <s v="ORD-2024-10761"/>
        <s v="ORD-2024-10763"/>
        <s v="ORD-2024-10767"/>
        <s v="ORD-2024-10768"/>
        <s v="ORD-2024-10770"/>
        <s v="ORD-2024-10771"/>
        <s v="ORD-2024-10772"/>
        <s v="ORD-2024-10776"/>
        <s v="ORD-2024-10778"/>
        <s v="ORD-2024-10779"/>
        <s v="ORD-2024-10780"/>
        <s v="ORD-2024-10781"/>
        <s v="ORD-2024-10782"/>
        <s v="ORD-2024-10784"/>
        <s v="ORD-2024-10786"/>
        <s v="ORD-2024-10788"/>
        <s v="ORD-2024-10789"/>
        <s v="ORD-2024-10791"/>
        <s v="ORD-2024-10792"/>
        <s v="ORD-2024-10794"/>
        <s v="ORD-2024-10796"/>
        <s v="ORD-2024-10797"/>
        <s v="ORD-2024-10798"/>
        <s v="ORD-2024-10800"/>
        <s v="ORD-2024-10801"/>
        <s v="ORD-2024-10804"/>
        <s v="ORD-2024-10807"/>
        <s v="ORD-2024-10811"/>
        <s v="ORD-2024-10812"/>
        <s v="ORD-2024-10813"/>
        <s v="ORD-2024-10816"/>
        <s v="ORD-2024-10817"/>
        <s v="ORD-2024-10819"/>
        <s v="ORD-2024-10820"/>
        <s v="ORD-2024-10822"/>
        <s v="ORD-2024-10823"/>
        <s v="ORD-2024-10828"/>
        <s v="ORD-2024-10830"/>
        <s v="ORD-2024-10834"/>
        <s v="ORD-2024-10835"/>
        <s v="ORD-2024-10837"/>
        <s v="ORD-2024-10840"/>
        <s v="ORD-2024-10843"/>
        <s v="ORD-2024-10846"/>
        <s v="ORD-2024-10847"/>
        <s v="ORD-2024-10850"/>
        <s v="ORD-2024-10851"/>
        <s v="ORD-2024-10852"/>
        <s v="ORD-2024-10853"/>
        <s v="ORD-2024-10856"/>
        <s v="ORD-2024-10857"/>
        <s v="ORD-2024-10858"/>
        <s v="ORD-2024-10859"/>
        <s v="ORD-2024-10860"/>
        <s v="ORD-2024-10861"/>
        <s v="ORD-2024-10868"/>
        <s v="ORD-2024-10872"/>
        <s v="ORD-2024-10873"/>
        <s v="ORD-2024-10876"/>
        <s v="ORD-2024-10877"/>
        <s v="ORD-2024-10879"/>
        <s v="ORD-2024-10881"/>
        <s v="ORD-2024-10882"/>
        <s v="ORD-2024-10886"/>
        <s v="ORD-2024-10888"/>
        <s v="ORD-2024-10891"/>
        <s v="ORD-2024-10892"/>
        <s v="ORD-2024-10894"/>
        <s v="ORD-2024-10895"/>
        <s v="ORD-2024-10896"/>
        <s v="ORD-2024-10897"/>
        <s v="ORD-2024-10899"/>
        <s v="ORD-2025-10005"/>
        <s v="ORD-2025-10007"/>
        <s v="ORD-2025-10008"/>
        <s v="ORD-2025-10010"/>
        <s v="ORD-2025-10011"/>
        <s v="ORD-2025-10014"/>
        <s v="ORD-2025-10019"/>
        <s v="ORD-2025-10021"/>
        <s v="ORD-2025-10022"/>
        <s v="ORD-2025-10023"/>
        <s v="ORD-2025-10024"/>
        <s v="ORD-2025-10028"/>
        <s v="ORD-2025-10030"/>
        <s v="ORD-2025-10032"/>
        <s v="ORD-2025-10035"/>
        <s v="ORD-2025-10038"/>
        <s v="ORD-2025-10043"/>
        <s v="ORD-2025-10049"/>
        <s v="ORD-2025-10051"/>
        <s v="ORD-2025-10054"/>
        <s v="ORD-2025-10055"/>
        <s v="ORD-2025-10056"/>
        <s v="ORD-2025-10057"/>
        <s v="ORD-2025-10067"/>
        <s v="ORD-2025-10068"/>
        <s v="ORD-2025-10071"/>
        <s v="ORD-2025-10072"/>
        <s v="ORD-2025-10074"/>
        <s v="ORD-2025-10075"/>
        <s v="ORD-2025-10076"/>
        <s v="ORD-2025-10078"/>
        <s v="ORD-2025-10079"/>
        <s v="ORD-2025-10080"/>
        <s v="ORD-2025-10082"/>
        <s v="ORD-2025-10091"/>
        <s v="ORD-2025-10092"/>
        <s v="ORD-2025-10093"/>
        <s v="ORD-2025-10096"/>
        <s v="ORD-2025-10098"/>
        <s v="ORD-2025-10100"/>
        <s v="ORD-2025-10101"/>
        <s v="ORD-2025-10103"/>
        <s v="ORD-2025-10104"/>
        <s v="ORD-2025-10105"/>
        <s v="ORD-2025-10110"/>
        <s v="ORD-2025-10112"/>
        <s v="ORD-2025-10117"/>
        <s v="ORD-2025-10122"/>
        <s v="ORD-2025-10126"/>
        <s v="ORD-2025-10127"/>
        <s v="ORD-2025-10128"/>
        <s v="ORD-2025-10132"/>
        <s v="ORD-2025-10135"/>
        <s v="ORD-2025-10136"/>
        <s v="ORD-2025-10137"/>
        <s v="ORD-2025-10138"/>
        <s v="ORD-2025-10140"/>
        <s v="ORD-2025-10146"/>
        <s v="ORD-2025-10147"/>
        <s v="ORD-2025-10149"/>
        <s v="ORD-2025-10154"/>
        <s v="ORD-2025-10156"/>
        <s v="ORD-2025-10157"/>
        <s v="ORD-2025-10160"/>
        <s v="ORD-2025-10161"/>
        <s v="ORD-2025-10162"/>
        <s v="ORD-2025-10164"/>
        <s v="ORD-2025-10165"/>
        <s v="ORD-2025-10167"/>
        <s v="ORD-2025-10168"/>
        <s v="ORD-2025-10169"/>
        <s v="ORD-2025-10170"/>
        <s v="ORD-2025-10171"/>
        <s v="ORD-2025-10172"/>
        <s v="ORD-2025-10173"/>
        <s v="ORD-2025-10175"/>
        <s v="ORD-2025-10177"/>
        <s v="ORD-2025-10182"/>
        <s v="ORD-2025-10184"/>
        <s v="ORD-2025-10188"/>
        <s v="ORD-2025-10189"/>
        <s v="ORD-2025-10190"/>
        <s v="ORD-2025-10191"/>
        <s v="ORD-2025-10195"/>
        <s v="ORD-2025-10196"/>
        <s v="ORD-2025-10198"/>
        <s v="ORD-2025-10201"/>
        <s v="ORD-2025-10202"/>
        <s v="ORD-2025-10203"/>
        <s v="ORD-2025-10205"/>
        <s v="ORD-2025-10206"/>
        <s v="ORD-2025-10207"/>
        <s v="ORD-2025-10209"/>
        <s v="ORD-2025-10210"/>
        <s v="ORD-2025-10217"/>
        <s v="ORD-2025-10218"/>
        <s v="ORD-2025-10219"/>
        <s v="ORD-2025-10222"/>
        <s v="ORD-2025-10223"/>
        <s v="ORD-2025-10224"/>
        <s v="ORD-2025-10225"/>
        <s v="ORD-2025-10227"/>
        <s v="ORD-2025-10230"/>
        <s v="ORD-2025-10233"/>
        <s v="ORD-2025-10242"/>
        <s v="ORD-2025-10243"/>
        <s v="ORD-2025-10244"/>
        <s v="ORD-2025-10250"/>
        <s v="ORD-2025-10252"/>
        <s v="ORD-2025-10253"/>
        <s v="ORD-2025-10255"/>
        <s v="ORD-2025-10256"/>
        <s v="ORD-2025-10258"/>
        <s v="ORD-2025-10261"/>
        <s v="ORD-2025-10262"/>
        <s v="ORD-2025-10263"/>
        <s v="ORD-2025-10264"/>
        <s v="ORD-2025-10267"/>
        <s v="ORD-2025-10268"/>
        <s v="ORD-2025-10269"/>
        <s v="ORD-2025-10270"/>
        <s v="ORD-2025-10274"/>
        <s v="ORD-2025-10278"/>
        <s v="ORD-2025-10279"/>
        <s v="ORD-2025-10282"/>
        <s v="ORD-2025-10284"/>
        <s v="ORD-2025-10286"/>
        <s v="ORD-2025-10290"/>
        <s v="ORD-2025-10291"/>
        <s v="ORD-2025-10293"/>
        <s v="ORD-2025-10295"/>
        <s v="ORD-2025-10296"/>
        <s v="ORD-2025-10297"/>
        <s v="ORD-2025-10299"/>
        <s v="ORD-2025-10302"/>
        <s v="ORD-2025-10303"/>
        <s v="ORD-2025-10307"/>
        <s v="ORD-2025-10308"/>
        <s v="ORD-2025-10309"/>
        <s v="ORD-2025-10314"/>
        <s v="ORD-2025-10315"/>
        <s v="ORD-2025-10318"/>
        <s v="ORD-2025-10325"/>
        <s v="ORD-2025-10326"/>
        <s v="ORD-2025-10327"/>
        <s v="ORD-2025-10329"/>
        <s v="ORD-2025-10330"/>
        <s v="ORD-2025-10333"/>
        <s v="ORD-2025-10334"/>
        <s v="ORD-2025-10336"/>
        <s v="ORD-2025-10340"/>
        <s v="ORD-2025-10342"/>
        <s v="ORD-2025-10343"/>
        <s v="ORD-2025-10344"/>
        <s v="ORD-2025-10347"/>
        <s v="ORD-2025-10350"/>
        <s v="ORD-2025-10352"/>
        <s v="ORD-2025-10353"/>
        <s v="ORD-2025-10354"/>
        <s v="ORD-2025-10357"/>
        <s v="ORD-2025-10358"/>
        <s v="ORD-2025-10359"/>
        <s v="ORD-2025-10362"/>
        <s v="ORD-2025-10364"/>
        <s v="ORD-2025-10365"/>
        <s v="ORD-2025-10367"/>
        <s v="ORD-2025-10369"/>
        <s v="ORD-2025-10370"/>
        <s v="ORD-2025-10373"/>
        <s v="ORD-2025-10374"/>
        <s v="ORD-2025-10375"/>
        <s v="ORD-2025-10378"/>
        <s v="ORD-2025-10379"/>
        <s v="ORD-2025-10382"/>
        <s v="ORD-2025-10383"/>
        <s v="ORD-2025-10384"/>
        <s v="ORD-2025-10386"/>
        <s v="ORD-2025-10387"/>
        <s v="ORD-2025-10388"/>
        <s v="ORD-2025-10392"/>
        <s v="ORD-2025-10397"/>
        <s v="ORD-2025-10398"/>
        <s v="ORD-2025-10400"/>
        <s v="ORD-2025-10401"/>
        <s v="ORD-2025-10402"/>
        <s v="ORD-2025-10407"/>
        <s v="ORD-2025-10409"/>
        <s v="ORD-2025-10410"/>
        <s v="ORD-2025-10412"/>
        <s v="ORD-2025-10414"/>
        <s v="ORD-2025-10417"/>
        <s v="ORD-2025-10418"/>
        <s v="ORD-2025-10420"/>
        <s v="ORD-2025-10421"/>
        <s v="ORD-2025-10422"/>
        <s v="ORD-2025-10423"/>
        <s v="ORD-2025-10428"/>
        <s v="ORD-2025-10429"/>
        <s v="ORD-2025-10430"/>
        <s v="ORD-2025-10435"/>
        <s v="ORD-2025-10436"/>
        <s v="ORD-2025-10439"/>
        <s v="ORD-2025-10440"/>
        <s v="ORD-2025-10443"/>
        <s v="ORD-2025-10445"/>
        <s v="ORD-2025-10447"/>
        <s v="ORD-2025-10448"/>
        <s v="ORD-2025-10451"/>
        <s v="ORD-2025-10454"/>
        <s v="ORD-2025-10455"/>
        <s v="ORD-2025-10461"/>
        <s v="ORD-2025-10462"/>
        <s v="ORD-2025-10464"/>
        <s v="ORD-2025-10465"/>
        <s v="ORD-2025-10469"/>
        <s v="ORD-2025-10476"/>
        <s v="ORD-2025-10478"/>
        <s v="ORD-2025-10481"/>
        <s v="ORD-2025-10482"/>
        <s v="ORD-2025-10486"/>
        <s v="ORD-2025-10487"/>
        <s v="ORD-2025-10488"/>
        <s v="ORD-2025-10492"/>
        <s v="ORD-2025-10493"/>
        <s v="ORD-2025-10494"/>
        <s v="ORD-2025-10497"/>
        <s v="ORD-2025-10499"/>
        <s v="ORD-2025-10505"/>
        <s v="ORD-2025-10508"/>
        <s v="ORD-2025-10510"/>
        <s v="ORD-2025-10513"/>
        <s v="ORD-2025-10514"/>
        <s v="ORD-2025-10516"/>
        <s v="ORD-2025-10518"/>
        <s v="ORD-2025-10519"/>
        <s v="ORD-2025-10520"/>
        <s v="ORD-2025-10522"/>
        <s v="ORD-2025-10523"/>
        <s v="ORD-2025-10527"/>
        <s v="ORD-2025-10528"/>
        <s v="ORD-2025-10531"/>
        <s v="ORD-2025-10533"/>
        <s v="ORD-2025-10535"/>
        <s v="ORD-2025-10537"/>
        <s v="ORD-2025-10540"/>
        <s v="ORD-2025-10542"/>
        <s v="ORD-2025-10545"/>
        <s v="ORD-2025-10547"/>
        <s v="ORD-2025-10550"/>
        <s v="ORD-2025-10553"/>
        <s v="ORD-2025-10554"/>
        <s v="ORD-2025-10556"/>
        <s v="ORD-2025-10559"/>
        <s v="ORD-2025-10560"/>
        <s v="ORD-2025-10562"/>
        <s v="ORD-2025-10566"/>
        <s v="ORD-2025-10570"/>
        <s v="ORD-2025-10571"/>
        <s v="ORD-2025-10572"/>
        <s v="ORD-2025-10574"/>
        <s v="ORD-2025-10576"/>
        <s v="ORD-2025-10578"/>
        <s v="ORD-2025-10581"/>
        <s v="ORD-2025-10582"/>
        <s v="ORD-2025-10586"/>
        <s v="ORD-2025-10587"/>
        <s v="ORD-2025-10588"/>
        <s v="ORD-2025-10589"/>
        <s v="ORD-2025-10594"/>
        <s v="ORD-2025-10596"/>
        <s v="ORD-2025-10598"/>
        <s v="ORD-2025-10601"/>
        <s v="ORD-2025-10604"/>
        <s v="ORD-2025-10605"/>
        <s v="ORD-2025-10606"/>
        <s v="ORD-2025-10607"/>
        <s v="ORD-2025-10608"/>
        <s v="ORD-2025-10610"/>
        <s v="ORD-2025-10612"/>
        <s v="ORD-2025-10613"/>
        <s v="ORD-2025-10623"/>
        <s v="ORD-2025-10627"/>
        <s v="ORD-2025-10628"/>
        <s v="ORD-2025-10629"/>
        <s v="ORD-2025-10630"/>
        <s v="ORD-2025-10633"/>
        <s v="ORD-2025-10634"/>
        <s v="ORD-2025-10635"/>
        <s v="ORD-2025-10641"/>
        <s v="ORD-2025-10642"/>
        <s v="ORD-2025-10645"/>
        <s v="ORD-2025-10648"/>
        <s v="ORD-2025-10650"/>
        <s v="ORD-2025-10652"/>
        <s v="ORD-2025-10653"/>
        <s v="ORD-2025-10654"/>
        <s v="ORD-2025-10655"/>
        <s v="ORD-2025-10656"/>
        <s v="ORD-2025-10658"/>
        <s v="ORD-2025-10659"/>
        <s v="ORD-2025-10660"/>
        <s v="ORD-2025-10661"/>
        <s v="ORD-2025-10666"/>
        <s v="ORD-2025-10668"/>
        <s v="ORD-2025-10671"/>
        <s v="ORD-2025-10674"/>
        <s v="ORD-2025-10676"/>
        <s v="ORD-2025-10677"/>
        <s v="ORD-2025-10680"/>
        <s v="ORD-2025-10683"/>
        <s v="ORD-2025-10684"/>
        <s v="ORD-2025-10685"/>
        <s v="ORD-2025-10686"/>
        <s v="ORD-2025-10688"/>
        <s v="ORD-2025-10689"/>
        <s v="ORD-2025-10693"/>
        <s v="ORD-2025-10694"/>
        <s v="ORD-2025-10695"/>
        <s v="ORD-2025-10697"/>
        <s v="ORD-2025-10698"/>
        <s v="ORD-2025-10703"/>
        <s v="ORD-2025-10708"/>
        <s v="ORD-2025-10709"/>
        <s v="ORD-2025-10710"/>
        <s v="ORD-2025-10712"/>
        <s v="ORD-2025-10714"/>
        <s v="ORD-2025-10715"/>
        <s v="ORD-2025-10716"/>
        <s v="ORD-2025-10717"/>
        <s v="ORD-2025-10718"/>
        <s v="ORD-2025-10720"/>
        <s v="ORD-2025-10722"/>
        <s v="ORD-2025-10724"/>
        <s v="ORD-2025-10726"/>
        <s v="ORD-2025-10730"/>
        <s v="ORD-2025-10731"/>
        <s v="ORD-2025-10739"/>
        <s v="ORD-2025-10742"/>
        <s v="ORD-2025-10744"/>
        <s v="ORD-2025-10745"/>
        <s v="ORD-2025-10747"/>
        <s v="ORD-2025-10751"/>
        <s v="ORD-2025-10752"/>
        <s v="ORD-2025-10755"/>
        <s v="ORD-2025-10756"/>
        <s v="ORD-2025-10758"/>
        <s v="ORD-2025-10762"/>
        <s v="ORD-2025-10764"/>
        <s v="ORD-2025-10765"/>
        <s v="ORD-2025-10766"/>
        <s v="ORD-2025-10769"/>
        <s v="ORD-2025-10773"/>
        <s v="ORD-2025-10774"/>
        <s v="ORD-2025-10775"/>
        <s v="ORD-2025-10777"/>
        <s v="ORD-2025-10783"/>
        <s v="ORD-2025-10785"/>
        <s v="ORD-2025-10787"/>
        <s v="ORD-2025-10790"/>
        <s v="ORD-2025-10793"/>
        <s v="ORD-2025-10795"/>
        <s v="ORD-2025-10799"/>
        <s v="ORD-2025-10802"/>
        <s v="ORD-2025-10803"/>
        <s v="ORD-2025-10805"/>
        <s v="ORD-2025-10806"/>
        <s v="ORD-2025-10808"/>
        <s v="ORD-2025-10809"/>
        <s v="ORD-2025-10810"/>
        <s v="ORD-2025-10814"/>
        <s v="ORD-2025-10815"/>
        <s v="ORD-2025-10818"/>
        <s v="ORD-2025-10821"/>
        <s v="ORD-2025-10824"/>
        <s v="ORD-2025-10825"/>
        <s v="ORD-2025-10826"/>
        <s v="ORD-2025-10827"/>
        <s v="ORD-2025-10829"/>
        <s v="ORD-2025-10831"/>
        <s v="ORD-2025-10832"/>
        <s v="ORD-2025-10833"/>
        <s v="ORD-2025-10836"/>
        <s v="ORD-2025-10838"/>
        <s v="ORD-2025-10839"/>
        <s v="ORD-2025-10841"/>
        <s v="ORD-2025-10842"/>
        <s v="ORD-2025-10844"/>
        <s v="ORD-2025-10845"/>
        <s v="ORD-2025-10848"/>
        <s v="ORD-2025-10849"/>
        <s v="ORD-2025-10854"/>
        <s v="ORD-2025-10855"/>
        <s v="ORD-2025-10862"/>
        <s v="ORD-2025-10863"/>
        <s v="ORD-2025-10864"/>
        <s v="ORD-2025-10865"/>
        <s v="ORD-2025-10866"/>
        <s v="ORD-2025-10867"/>
        <s v="ORD-2025-10869"/>
        <s v="ORD-2025-10870"/>
        <s v="ORD-2025-10871"/>
        <s v="ORD-2025-10874"/>
        <s v="ORD-2025-10875"/>
        <s v="ORD-2025-10878"/>
        <s v="ORD-2025-10880"/>
        <s v="ORD-2025-10883"/>
        <s v="ORD-2025-10884"/>
        <s v="ORD-2025-10885"/>
        <s v="ORD-2025-10887"/>
        <s v="ORD-2025-10889"/>
        <s v="ORD-2025-10890"/>
        <s v="ORD-2025-10893"/>
        <s v="ORD-2025-10898"/>
        <s v="ORD-2025-10900"/>
      </sharedItems>
    </cacheField>
    <cacheField name="order_date" numFmtId="165">
      <sharedItems containsSemiMixedTypes="0" containsNonDate="0" containsDate="1" containsString="0" minDate="2024-01-01T00:00:00" maxDate="2025-12-11T00:00:00"/>
    </cacheField>
    <cacheField name="ship_date" numFmtId="165">
      <sharedItems containsSemiMixedTypes="0" containsNonDate="0" containsDate="1" containsString="0" minDate="2024-01-02T00:00:00" maxDate="2025-12-08T00:00:00"/>
    </cacheField>
    <cacheField name="shipping_delay_days" numFmtId="0">
      <sharedItems containsSemiMixedTypes="0" containsString="0" containsNumber="1" containsInteger="1" minValue="-320" maxValue="331"/>
    </cacheField>
    <cacheField name="date_flag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Dis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Duplicate_flag" numFmtId="0">
      <sharedItems/>
    </cacheField>
    <cacheField name="Standardized_dis" numFmtId="0">
      <sharedItems containsSemiMixedTypes="0" containsString="0" containsNumber="1" minValue="0" maxValue="0.85"/>
    </cacheField>
    <cacheField name="Calculated_sales" numFmtId="0">
      <sharedItems containsSemiMixedTypes="0" containsString="0" containsNumber="1" minValue="36.450000000000003" maxValue="36782.269999999997"/>
    </cacheField>
    <cacheField name="Calculated_Profit" numFmtId="0">
      <sharedItems containsSemiMixedTypes="0" containsString="0" containsNumber="1" minValue="-23452.560000000001" maxValue="15226"/>
    </cacheField>
    <cacheField name="Profit_Margin" numFmtId="0">
      <sharedItems containsSemiMixedTypes="0" containsString="0" containsNumber="1" minValue="-4.5765000000000002" maxValue="0.58699999999999997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3"/>
        <n v="2"/>
        <n v="10"/>
        <n v="4"/>
        <n v="9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s v="ORD-2024-10001"/>
    <d v="2024-07-21T00:00:00"/>
    <d v="2024-07-27T00:00:00"/>
    <n v="6"/>
    <s v="OK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s v="OK"/>
    <n v="19049.28"/>
    <n v="15841.89"/>
    <n v="3207.39"/>
    <s v="Paid"/>
    <s v="Completed"/>
    <s v="OK"/>
    <n v="0.2"/>
    <x v="0"/>
    <n v="3207.39"/>
    <n v="0.16839999999999999"/>
    <n v="7"/>
    <n v="2024"/>
    <s v="CLEAN"/>
  </r>
  <r>
    <s v="ORD-2024-10002"/>
    <d v="2024-08-31T00:00:00"/>
    <d v="2024-09-05T00:00:00"/>
    <n v="5"/>
    <s v="OK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s v="OK"/>
    <n v="7312.5"/>
    <n v="4904.7299999999996"/>
    <n v="2407.77"/>
    <s v="Paid"/>
    <s v="Completed"/>
    <s v="OK"/>
    <n v="0"/>
    <x v="1"/>
    <n v="2407.77"/>
    <n v="0.32929999999999998"/>
    <n v="8"/>
    <n v="2024"/>
    <s v="CLEAN"/>
  </r>
  <r>
    <s v="ORD-2024-10003"/>
    <d v="2024-06-08T00:00:00"/>
    <d v="2024-06-15T00:00:00"/>
    <n v="7"/>
    <s v="OK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s v="OK"/>
    <n v="4261.72"/>
    <n v="2465.69"/>
    <n v="1796.03"/>
    <s v="Paid"/>
    <s v="Completed"/>
    <s v="OK"/>
    <n v="0.55000000000000004"/>
    <x v="2"/>
    <n v="-547.91999999999996"/>
    <n v="-0.28570000000000001"/>
    <n v="6"/>
    <n v="2024"/>
    <s v="CLEAN"/>
  </r>
  <r>
    <s v="ORD-2024-10004"/>
    <d v="2024-11-28T00:00:00"/>
    <d v="2024-11-29T00:00:00"/>
    <n v="1"/>
    <s v="OK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s v="OK"/>
    <n v="8317.93"/>
    <n v="6796.77"/>
    <n v="1521.16"/>
    <s v="Paid"/>
    <s v="Completed"/>
    <s v="OK"/>
    <n v="0.25"/>
    <x v="3"/>
    <n v="1521.17"/>
    <n v="0.18290000000000001"/>
    <n v="11"/>
    <n v="2024"/>
    <s v="CLEAN"/>
  </r>
  <r>
    <s v="ORD-2024-10006"/>
    <d v="2024-05-24T00:00:00"/>
    <d v="2024-05-28T00:00:00"/>
    <n v="4"/>
    <s v="OK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s v="OK"/>
    <n v="2527.46"/>
    <n v="1533.58"/>
    <n v="993.88"/>
    <s v="Paid"/>
    <s v="Completed"/>
    <s v="OK"/>
    <n v="0.2"/>
    <x v="4"/>
    <n v="993.88"/>
    <n v="0.39319999999999999"/>
    <n v="5"/>
    <n v="2024"/>
    <s v="CLEAN"/>
  </r>
  <r>
    <s v="ORD-2024-10009"/>
    <d v="2024-11-05T00:00:00"/>
    <d v="2024-11-10T00:00:00"/>
    <n v="5"/>
    <s v="OK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s v="OK"/>
    <n v="25073.599999999999"/>
    <n v="17347.23"/>
    <n v="7726.37"/>
    <s v="Paid"/>
    <s v="Completed"/>
    <s v="OK"/>
    <n v="0"/>
    <x v="5"/>
    <n v="7726.37"/>
    <n v="0.30809999999999998"/>
    <n v="11"/>
    <n v="2024"/>
    <s v="CLEAN"/>
  </r>
  <r>
    <s v="ORD-2024-10012"/>
    <d v="2024-07-22T00:00:00"/>
    <d v="2024-07-23T00:00:00"/>
    <n v="1"/>
    <s v="OK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s v="OK"/>
    <n v="9628.56"/>
    <n v="8038.59"/>
    <n v="1589.97"/>
    <s v="Paid"/>
    <s v="Completed"/>
    <s v="OK"/>
    <n v="0.2"/>
    <x v="6"/>
    <n v="1589.97"/>
    <n v="0.1651"/>
    <n v="7"/>
    <n v="2024"/>
    <s v="CLEAN"/>
  </r>
  <r>
    <s v="ORD-2024-10013"/>
    <d v="2024-12-20T00:00:00"/>
    <d v="2024-12-21T00:00:00"/>
    <n v="1"/>
    <s v="OK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s v="OK"/>
    <n v="596.82000000000005"/>
    <n v="380.25"/>
    <n v="216.57"/>
    <s v="Pending"/>
    <s v="Returned"/>
    <s v="OK"/>
    <n v="0.15"/>
    <x v="7"/>
    <n v="216.57"/>
    <n v="0.3629"/>
    <n v="12"/>
    <n v="2024"/>
    <s v="CLEAN"/>
  </r>
  <r>
    <s v="ORD-2024-10015"/>
    <d v="2024-12-27T00:00:00"/>
    <d v="2024-12-28T00:00:00"/>
    <n v="1"/>
    <s v="OK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s v="OK"/>
    <n v="4106.74"/>
    <n v="2666.3"/>
    <n v="1440.44"/>
    <s v="Paid"/>
    <s v="Completed"/>
    <s v="OK"/>
    <n v="0.25"/>
    <x v="8"/>
    <n v="1440.45"/>
    <n v="0.3508"/>
    <n v="12"/>
    <n v="2024"/>
    <s v="CLEAN"/>
  </r>
  <r>
    <s v="ORD-2024-10016"/>
    <d v="2024-07-09T00:00:00"/>
    <d v="2024-07-09T00:00:00"/>
    <n v="0"/>
    <s v="OK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s v="OK"/>
    <n v="23794.560000000001"/>
    <n v="15698.47"/>
    <n v="8096.09"/>
    <s v="Paid"/>
    <s v="Completed"/>
    <s v="OK"/>
    <n v="0"/>
    <x v="9"/>
    <n v="8096.09"/>
    <n v="0.3402"/>
    <n v="7"/>
    <n v="2024"/>
    <s v="CLEAN"/>
  </r>
  <r>
    <s v="ORD-2024-10017"/>
    <d v="2024-05-08T00:00:00"/>
    <d v="2024-05-15T00:00:00"/>
    <n v="7"/>
    <s v="OK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s v="OK"/>
    <n v="9970.5300000000007"/>
    <n v="5668.17"/>
    <n v="4302.3599999999997"/>
    <s v="Paid"/>
    <s v="Completed"/>
    <s v="OK"/>
    <n v="0.25"/>
    <x v="10"/>
    <n v="4302.3599999999997"/>
    <n v="0.43149999999999999"/>
    <n v="5"/>
    <n v="2024"/>
    <s v="CLEAN"/>
  </r>
  <r>
    <s v="ORD-2024-10018"/>
    <d v="2024-01-07T00:00:00"/>
    <d v="2024-01-08T00:00:00"/>
    <n v="1"/>
    <s v="OK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s v="OK"/>
    <n v="7633.9"/>
    <n v="4706.91"/>
    <n v="2926.99"/>
    <s v="Paid"/>
    <s v="Completed"/>
    <s v="OK"/>
    <n v="0"/>
    <x v="11"/>
    <n v="2926.99"/>
    <n v="0.38340000000000002"/>
    <n v="1"/>
    <n v="2024"/>
    <s v="CLEAN"/>
  </r>
  <r>
    <s v="ORD-2024-10020"/>
    <d v="2024-07-27T00:00:00"/>
    <d v="2024-07-31T00:00:00"/>
    <n v="4"/>
    <s v="OK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-0.19"/>
    <s v="INVALID-NEGATIVE"/>
    <n v="9331.06"/>
    <n v="7529.31"/>
    <n v="1801.75"/>
    <s v="Paid"/>
    <s v="Completed"/>
    <s v="OK"/>
    <n v="0"/>
    <x v="12"/>
    <n v="4134.51"/>
    <n v="0.35449999999999998"/>
    <n v="7"/>
    <n v="2024"/>
    <s v="INVALID"/>
  </r>
  <r>
    <s v="ORD-2024-10025"/>
    <d v="2024-03-04T00:00:00"/>
    <d v="2024-03-01T00:00:00"/>
    <n v="-3"/>
    <s v="INVALID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s v="OK"/>
    <n v="13478.82"/>
    <n v="10937.35"/>
    <n v="2541.4699999999998"/>
    <s v="Pending"/>
    <s v="Cancelled"/>
    <s v="OK"/>
    <n v="0.25"/>
    <x v="13"/>
    <n v="2541.4699999999998"/>
    <n v="0.18859999999999999"/>
    <n v="3"/>
    <n v="2024"/>
    <s v="INVALID"/>
  </r>
  <r>
    <s v="ORD-2024-10026"/>
    <d v="2024-11-10T00:00:00"/>
    <d v="2024-10-19T00:00:00"/>
    <n v="-22"/>
    <s v="INVALID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s v="OK"/>
    <n v="7335.84"/>
    <n v="4968.41"/>
    <n v="2367.4299999999998"/>
    <s v="Paid"/>
    <s v="Completed"/>
    <s v="OK"/>
    <n v="0.15"/>
    <x v="14"/>
    <n v="2367.4299999999998"/>
    <n v="0.32269999999999999"/>
    <n v="11"/>
    <n v="2024"/>
    <s v="INVALID"/>
  </r>
  <r>
    <s v="ORD-2024-10027"/>
    <d v="2024-11-23T00:00:00"/>
    <d v="2024-11-23T00:00:00"/>
    <n v="0"/>
    <s v="OK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s v="OK"/>
    <n v="2578.0700000000002"/>
    <n v="1527.55"/>
    <n v="1050.52"/>
    <s v="Paid"/>
    <s v="Returned"/>
    <s v="OK"/>
    <n v="0.1"/>
    <x v="15"/>
    <n v="1050.52"/>
    <n v="0.40749999999999997"/>
    <n v="11"/>
    <n v="2024"/>
    <s v="CLEAN"/>
  </r>
  <r>
    <s v="ORD-2024-10029"/>
    <d v="2024-11-10T00:00:00"/>
    <d v="2024-10-18T00:00:00"/>
    <n v="-23"/>
    <s v="INVALID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s v="OK"/>
    <n v="2913.33"/>
    <n v="2122.33"/>
    <n v="791"/>
    <s v="Refunded"/>
    <s v="Cancelled"/>
    <s v="OK"/>
    <n v="0.25"/>
    <x v="16"/>
    <n v="791"/>
    <n v="0.27150000000000002"/>
    <n v="11"/>
    <n v="2024"/>
    <s v="INVALID"/>
  </r>
  <r>
    <s v="ORD-2024-10031"/>
    <d v="2024-02-09T00:00:00"/>
    <d v="2024-02-12T00:00:00"/>
    <n v="3"/>
    <s v="OK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s v="OK"/>
    <n v="3079.59"/>
    <n v="2001.89"/>
    <n v="1077.7"/>
    <s v="Paid"/>
    <s v="Completed"/>
    <s v="OK"/>
    <n v="0.1"/>
    <x v="17"/>
    <n v="1077.7"/>
    <n v="0.34989999999999999"/>
    <n v="2"/>
    <n v="2024"/>
    <s v="CLEAN"/>
  </r>
  <r>
    <s v="ORD-2024-10033"/>
    <d v="2024-11-22T00:00:00"/>
    <d v="2024-11-26T00:00:00"/>
    <n v="4"/>
    <s v="OK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n v="0"/>
    <s v="OK"/>
    <n v="9002.81"/>
    <n v="7529.92"/>
    <n v="1472.89"/>
    <s v="Paid"/>
    <s v="Completed"/>
    <s v="OK"/>
    <n v="0"/>
    <x v="18"/>
    <n v="4473.83"/>
    <n v="0.37269999999999998"/>
    <n v="11"/>
    <n v="2024"/>
    <s v="CLEAN"/>
  </r>
  <r>
    <s v="ORD-2024-10034"/>
    <d v="2024-07-22T00:00:00"/>
    <d v="2024-07-27T00:00:00"/>
    <n v="5"/>
    <s v="OK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s v="OK"/>
    <n v="2585.15"/>
    <n v="2070.73"/>
    <n v="514.41999999999996"/>
    <s v="Paid"/>
    <s v="Completed"/>
    <s v="OK"/>
    <n v="0.25"/>
    <x v="19"/>
    <n v="514.41999999999996"/>
    <n v="0.19900000000000001"/>
    <n v="7"/>
    <n v="2024"/>
    <s v="CLEAN"/>
  </r>
  <r>
    <s v="ORD-2024-10036"/>
    <d v="2024-05-29T00:00:00"/>
    <d v="2024-05-29T00:00:00"/>
    <n v="0"/>
    <s v="OK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s v="OK"/>
    <n v="19054.11"/>
    <n v="15313.83"/>
    <n v="3740.28"/>
    <s v="Pending"/>
    <s v="Returned"/>
    <s v="OK"/>
    <n v="0.05"/>
    <x v="20"/>
    <n v="3740.28"/>
    <n v="0.1963"/>
    <n v="5"/>
    <n v="2024"/>
    <s v="CLEAN"/>
  </r>
  <r>
    <s v="ORD-2024-10037"/>
    <d v="2024-10-25T00:00:00"/>
    <d v="2024-10-28T00:00:00"/>
    <n v="3"/>
    <s v="OK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s v="OK"/>
    <n v="9379.41"/>
    <n v="6670.85"/>
    <n v="2708.56"/>
    <s v="Paid"/>
    <s v="Returned"/>
    <s v="OK"/>
    <n v="0"/>
    <x v="21"/>
    <n v="2708.56"/>
    <n v="0.2888"/>
    <n v="10"/>
    <n v="2024"/>
    <s v="CLEAN"/>
  </r>
  <r>
    <s v="ORD-2024-10039"/>
    <d v="2024-06-17T00:00:00"/>
    <d v="2024-06-22T00:00:00"/>
    <n v="5"/>
    <s v="OK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s v="OK"/>
    <n v="13927.28"/>
    <n v="10504.87"/>
    <n v="3422.41"/>
    <s v="Paid"/>
    <s v="Completed"/>
    <s v="OK"/>
    <n v="0.1"/>
    <x v="22"/>
    <n v="3422.41"/>
    <n v="0.2457"/>
    <n v="6"/>
    <n v="2024"/>
    <s v="CLEAN"/>
  </r>
  <r>
    <s v="ORD-2024-10040"/>
    <d v="2024-12-11T00:00:00"/>
    <d v="2024-12-11T00:00:00"/>
    <n v="0"/>
    <s v="OK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s v="OK"/>
    <n v="4935.3100000000004"/>
    <n v="3374.77"/>
    <n v="1560.54"/>
    <s v="Pending"/>
    <s v="Returned"/>
    <s v="OK"/>
    <n v="0.1"/>
    <x v="23"/>
    <n v="1560.54"/>
    <n v="0.31619999999999998"/>
    <n v="12"/>
    <n v="2024"/>
    <s v="CLEAN"/>
  </r>
  <r>
    <s v="ORD-2024-10041"/>
    <d v="2024-10-10T00:00:00"/>
    <d v="2024-10-16T00:00:00"/>
    <n v="6"/>
    <s v="OK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s v="OK"/>
    <n v="14051.91"/>
    <n v="11990.37"/>
    <n v="2061.54"/>
    <s v="Paid"/>
    <s v="Completed"/>
    <s v="OK"/>
    <n v="0.2"/>
    <x v="24"/>
    <n v="2061.54"/>
    <n v="0.1467"/>
    <n v="10"/>
    <n v="2024"/>
    <s v="CLEAN"/>
  </r>
  <r>
    <s v="ORD-2024-10042"/>
    <d v="2024-03-12T00:00:00"/>
    <d v="2024-03-17T00:00:00"/>
    <n v="5"/>
    <s v="OK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s v="OK"/>
    <n v="6846.48"/>
    <n v="4239.8900000000003"/>
    <n v="2606.59"/>
    <s v="Pending"/>
    <s v="Cancelled"/>
    <s v="OK"/>
    <n v="0"/>
    <x v="25"/>
    <n v="2606.59"/>
    <n v="0.38069999999999998"/>
    <n v="3"/>
    <n v="2024"/>
    <s v="CLEAN"/>
  </r>
  <r>
    <s v="ORD-2024-10044"/>
    <d v="2024-07-08T00:00:00"/>
    <d v="2024-07-14T00:00:00"/>
    <n v="6"/>
    <s v="OK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s v="OK"/>
    <n v="3030.69"/>
    <n v="1721.08"/>
    <n v="1309.6099999999999"/>
    <s v="Paid"/>
    <s v="Completed"/>
    <s v="OK"/>
    <n v="0"/>
    <x v="26"/>
    <n v="1309.6099999999999"/>
    <n v="0.43209999999999998"/>
    <n v="7"/>
    <n v="2024"/>
    <s v="CLEAN"/>
  </r>
  <r>
    <s v="ORD-2024-10045"/>
    <d v="2024-06-22T00:00:00"/>
    <d v="2024-06-25T00:00:00"/>
    <n v="3"/>
    <s v="OK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s v="OK"/>
    <n v="26971.14"/>
    <n v="17376.2"/>
    <n v="9594.94"/>
    <s v="Paid"/>
    <s v="Completed"/>
    <s v="OK"/>
    <n v="0.1"/>
    <x v="27"/>
    <n v="9594.94"/>
    <n v="0.35570000000000002"/>
    <n v="6"/>
    <n v="2024"/>
    <s v="CLEAN"/>
  </r>
  <r>
    <s v="ORD-2024-10046"/>
    <d v="2024-01-18T00:00:00"/>
    <d v="2024-01-24T00:00:00"/>
    <n v="6"/>
    <s v="OK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s v="OK"/>
    <n v="29851.43"/>
    <n v="17487.48"/>
    <n v="12363.95"/>
    <s v="Pending"/>
    <s v="Returned"/>
    <s v="OK"/>
    <n v="0.05"/>
    <x v="28"/>
    <n v="12363.95"/>
    <n v="0.41420000000000001"/>
    <n v="1"/>
    <n v="2024"/>
    <s v="CLEAN"/>
  </r>
  <r>
    <s v="ORD-2024-10047"/>
    <d v="2024-07-19T00:00:00"/>
    <d v="2024-07-19T00:00:00"/>
    <n v="0"/>
    <s v="OK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s v="OK"/>
    <n v="16110.83"/>
    <n v="10680.03"/>
    <n v="5430.8"/>
    <s v="Refunded"/>
    <s v="Returned"/>
    <s v="OK"/>
    <n v="0.25"/>
    <x v="29"/>
    <n v="5430.8"/>
    <n v="0.33710000000000001"/>
    <n v="7"/>
    <n v="2024"/>
    <s v="CLEAN"/>
  </r>
  <r>
    <s v="ORD-2024-10048"/>
    <d v="2024-12-08T00:00:00"/>
    <d v="2024-08-12T00:00:00"/>
    <n v="-118"/>
    <s v="INVALID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s v="OK"/>
    <n v="17606.23"/>
    <n v="12438.96"/>
    <n v="5167.2700000000004"/>
    <s v="Paid"/>
    <s v="Completed"/>
    <s v="OK"/>
    <n v="0.1"/>
    <x v="30"/>
    <n v="5167.2700000000004"/>
    <n v="0.29349999999999998"/>
    <n v="12"/>
    <n v="2024"/>
    <s v="INVALID"/>
  </r>
  <r>
    <s v="ORD-2024-10050"/>
    <d v="2024-04-06T00:00:00"/>
    <d v="2024-04-13T00:00:00"/>
    <n v="7"/>
    <s v="OK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s v="OK"/>
    <n v="6772.54"/>
    <n v="5755.46"/>
    <n v="1017.08"/>
    <s v="Paid"/>
    <s v="Completed"/>
    <s v="OK"/>
    <n v="0.05"/>
    <x v="31"/>
    <n v="1017.08"/>
    <n v="0.1502"/>
    <n v="4"/>
    <n v="2024"/>
    <s v="CLEAN"/>
  </r>
  <r>
    <s v="ORD-2024-10052"/>
    <d v="2024-04-24T00:00:00"/>
    <d v="2024-04-29T00:00:00"/>
    <n v="5"/>
    <s v="OK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s v="OK"/>
    <n v="9168.48"/>
    <n v="7439.77"/>
    <n v="1728.71"/>
    <s v="Paid"/>
    <s v="Completed"/>
    <s v="OK"/>
    <n v="0"/>
    <x v="32"/>
    <n v="1728.71"/>
    <n v="0.1885"/>
    <n v="4"/>
    <n v="2024"/>
    <s v="CLEAN"/>
  </r>
  <r>
    <s v="ORD-2024-10053"/>
    <d v="2024-10-26T00:00:00"/>
    <d v="2024-10-28T00:00:00"/>
    <n v="2"/>
    <s v="OK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s v="OK"/>
    <n v="12596.67"/>
    <n v="10603.29"/>
    <n v="1993.38"/>
    <s v="Failed"/>
    <s v="Cancelled"/>
    <s v="OK"/>
    <n v="0"/>
    <x v="33"/>
    <n v="1993.38"/>
    <n v="0.15820000000000001"/>
    <n v="10"/>
    <n v="2024"/>
    <s v="INVALID"/>
  </r>
  <r>
    <s v="ORD-2024-10058"/>
    <d v="2024-02-07T00:00:00"/>
    <d v="2024-02-15T00:00:00"/>
    <n v="8"/>
    <s v="OK"/>
    <s v="CUST-9941"/>
    <s v="Priya Menon"/>
    <s v="Consumer"/>
    <x v="3"/>
    <s v="Goa"/>
    <s v="Panaji"/>
    <s v="Furniture"/>
    <s v="Chairs"/>
    <s v="Max Chairs 813"/>
    <s v="Same Day"/>
    <n v="5"/>
    <n v="255.87"/>
    <n v="0"/>
    <s v="OK"/>
    <n v="1279.3499999999999"/>
    <n v="1091.54"/>
    <n v="187.81"/>
    <s v="Paid"/>
    <s v="Completed"/>
    <s v="OK"/>
    <n v="0"/>
    <x v="34"/>
    <n v="187.81"/>
    <n v="0.14680000000000001"/>
    <n v="2"/>
    <n v="2024"/>
    <s v="CLEAN"/>
  </r>
  <r>
    <s v="ORD-2024-10059"/>
    <d v="2024-09-01T00:00:00"/>
    <d v="2024-09-07T00:00:00"/>
    <n v="6"/>
    <s v="OK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s v="OK"/>
    <n v="11254.79"/>
    <n v="6578.06"/>
    <n v="4676.7299999999996"/>
    <s v="Pending"/>
    <s v="Returned"/>
    <s v="OK"/>
    <n v="0.1"/>
    <x v="35"/>
    <n v="4676.7299999999996"/>
    <n v="0.41549999999999998"/>
    <n v="9"/>
    <n v="2024"/>
    <s v="WARNING"/>
  </r>
  <r>
    <s v="ORD-2024-10060"/>
    <d v="2024-07-20T00:00:00"/>
    <d v="2024-07-25T00:00:00"/>
    <n v="5"/>
    <s v="OK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s v="OK"/>
    <n v="16535.400000000001"/>
    <n v="12990.21"/>
    <n v="3545.19"/>
    <s v="Paid"/>
    <s v="Cancelled"/>
    <s v="OK"/>
    <n v="0.2"/>
    <x v="36"/>
    <n v="3545.19"/>
    <n v="0.21440000000000001"/>
    <n v="7"/>
    <n v="2024"/>
    <s v="CLEAN"/>
  </r>
  <r>
    <s v="ORD-2024-10061"/>
    <d v="2024-07-13T00:00:00"/>
    <d v="2024-07-19T00:00:00"/>
    <n v="6"/>
    <s v="OK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s v="OK"/>
    <n v="661.82"/>
    <n v="481.47"/>
    <n v="180.35"/>
    <s v="Refunded"/>
    <s v="Cancelled"/>
    <s v="OK"/>
    <n v="0.2"/>
    <x v="37"/>
    <n v="180.35"/>
    <n v="0.27250000000000002"/>
    <n v="7"/>
    <n v="2024"/>
    <s v="CLEAN"/>
  </r>
  <r>
    <s v="ORD-2024-10062"/>
    <d v="2024-04-16T00:00:00"/>
    <d v="2024-04-16T00:00:00"/>
    <n v="0"/>
    <s v="OK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s v="OK"/>
    <n v="949.59"/>
    <n v="751.25"/>
    <n v="198.34"/>
    <s v="Paid"/>
    <s v="Completed"/>
    <s v="OK"/>
    <n v="0"/>
    <x v="38"/>
    <n v="198.34"/>
    <n v="0.2089"/>
    <n v="4"/>
    <n v="2024"/>
    <s v="CLEAN"/>
  </r>
  <r>
    <s v="ORD-2024-10063"/>
    <d v="2024-10-30T00:00:00"/>
    <d v="2024-02-11T00:00:00"/>
    <n v="-262"/>
    <s v="INVALID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s v="OK"/>
    <n v="21904.49"/>
    <n v="13570.55"/>
    <n v="8333.94"/>
    <s v="Paid"/>
    <s v="Completed"/>
    <s v="OK"/>
    <n v="0.2"/>
    <x v="39"/>
    <n v="8333.94"/>
    <n v="0.3805"/>
    <n v="10"/>
    <n v="2024"/>
    <s v="INVALID"/>
  </r>
  <r>
    <s v="ORD-2024-10064"/>
    <d v="2024-01-25T00:00:00"/>
    <d v="2024-01-02T00:00:00"/>
    <n v="-23"/>
    <s v="INVALID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s v="OK"/>
    <n v="4815.71"/>
    <n v="3027.75"/>
    <n v="1917.47"/>
    <s v="Paid"/>
    <s v="Completed"/>
    <s v="OK"/>
    <n v="0.15"/>
    <x v="40"/>
    <n v="1787.96"/>
    <n v="0.37130000000000002"/>
    <n v="1"/>
    <n v="2024"/>
    <s v="INVALID"/>
  </r>
  <r>
    <s v="ORD-2024-10065"/>
    <d v="2024-12-23T00:00:00"/>
    <d v="2024-12-29T00:00:00"/>
    <n v="6"/>
    <s v="OK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s v="OK"/>
    <n v="3134.88"/>
    <n v="2367.63"/>
    <n v="767.25"/>
    <s v="Refunded"/>
    <s v="Returned"/>
    <s v="OK"/>
    <n v="0"/>
    <x v="41"/>
    <n v="767.25"/>
    <n v="0.2447"/>
    <n v="12"/>
    <n v="2024"/>
    <s v="CLEAN"/>
  </r>
  <r>
    <s v="ORD-2024-10066"/>
    <d v="2024-04-22T00:00:00"/>
    <d v="2024-04-27T00:00:00"/>
    <n v="5"/>
    <s v="OK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s v="OK"/>
    <n v="4066.18"/>
    <n v="2628.92"/>
    <n v="1437.26"/>
    <s v="Paid"/>
    <s v="Completed"/>
    <s v="OK"/>
    <n v="0.05"/>
    <x v="42"/>
    <n v="1437.26"/>
    <n v="0.35349999999999998"/>
    <n v="4"/>
    <n v="2024"/>
    <s v="CLEAN"/>
  </r>
  <r>
    <s v="ORD-2024-10069"/>
    <d v="2024-11-10T00:00:00"/>
    <d v="2024-11-13T00:00:00"/>
    <n v="3"/>
    <s v="OK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s v="OK"/>
    <n v="19900.080000000002"/>
    <n v="10962.66"/>
    <n v="8937.42"/>
    <s v="Failed"/>
    <s v="Returned"/>
    <s v="OK"/>
    <n v="0"/>
    <x v="43"/>
    <n v="8937.42"/>
    <n v="0.4491"/>
    <n v="11"/>
    <n v="2024"/>
    <s v="INVALID"/>
  </r>
  <r>
    <s v="ORD-2024-10070"/>
    <d v="2024-04-09T00:00:00"/>
    <d v="2024-04-14T00:00:00"/>
    <n v="5"/>
    <s v="OK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s v="OK"/>
    <n v="21527.67"/>
    <n v="18287.580000000002"/>
    <n v="3240.09"/>
    <s v="Refunded"/>
    <s v="Returned"/>
    <s v="OK"/>
    <n v="0.1"/>
    <x v="44"/>
    <n v="3240.09"/>
    <n v="0.15049999999999999"/>
    <n v="4"/>
    <n v="2024"/>
    <s v="CLEAN"/>
  </r>
  <r>
    <s v="ORD-2024-10073"/>
    <d v="2024-02-11T00:00:00"/>
    <d v="2024-02-07T00:00:00"/>
    <n v="-4"/>
    <s v="INVALID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s v="OK"/>
    <n v="13610.45"/>
    <n v="10039.049999999999"/>
    <n v="3571.4"/>
    <s v="Paid"/>
    <s v="Completed"/>
    <s v="OK"/>
    <n v="0.15"/>
    <x v="45"/>
    <n v="3571.4"/>
    <n v="0.26240000000000002"/>
    <n v="2"/>
    <n v="2024"/>
    <s v="INVALID"/>
  </r>
  <r>
    <s v="ORD-2024-10077"/>
    <d v="2024-11-03T00:00:00"/>
    <d v="2024-11-11T00:00:00"/>
    <n v="8"/>
    <s v="OK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s v="OK"/>
    <n v="10218.81"/>
    <n v="7616.97"/>
    <n v="2601.84"/>
    <s v="Paid"/>
    <s v="Completed"/>
    <s v="OK"/>
    <n v="0"/>
    <x v="46"/>
    <n v="2601.84"/>
    <n v="0.25459999999999999"/>
    <n v="11"/>
    <n v="2024"/>
    <s v="CLEAN"/>
  </r>
  <r>
    <s v="ORD-2024-10081"/>
    <d v="2024-08-10T00:00:00"/>
    <d v="2024-08-14T00:00:00"/>
    <n v="4"/>
    <s v="OK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s v="OK"/>
    <n v="4256.3500000000004"/>
    <n v="2495.33"/>
    <n v="1761.02"/>
    <s v="Pending"/>
    <s v="Returned"/>
    <s v="OK"/>
    <n v="0.1"/>
    <x v="47"/>
    <n v="1761.02"/>
    <n v="0.41370000000000001"/>
    <n v="8"/>
    <n v="2024"/>
    <s v="CLEAN"/>
  </r>
  <r>
    <s v="ORD-2024-10083"/>
    <d v="2024-08-03T00:00:00"/>
    <d v="2024-04-08T00:00:00"/>
    <n v="-117"/>
    <s v="INVALID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s v="OK"/>
    <n v="6010.38"/>
    <n v="3762.85"/>
    <n v="2247.5300000000002"/>
    <s v="Failed"/>
    <s v="Returned"/>
    <s v="OK"/>
    <n v="0"/>
    <x v="48"/>
    <n v="2247.5300000000002"/>
    <n v="0.37390000000000001"/>
    <n v="8"/>
    <n v="2024"/>
    <s v="INVALID"/>
  </r>
  <r>
    <s v="ORD-2024-10084"/>
    <d v="2024-10-26T00:00:00"/>
    <d v="2024-10-29T00:00:00"/>
    <n v="3"/>
    <s v="OK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s v="OK"/>
    <n v="948.53"/>
    <n v="674.62"/>
    <n v="273.91000000000003"/>
    <s v="Paid"/>
    <s v="Completed"/>
    <s v="OK"/>
    <n v="0.2"/>
    <x v="49"/>
    <n v="273.91000000000003"/>
    <n v="0.2888"/>
    <n v="10"/>
    <n v="2024"/>
    <s v="CLEAN"/>
  </r>
  <r>
    <s v="ORD-2024-10085"/>
    <d v="2024-10-01T00:00:00"/>
    <d v="2024-10-03T00:00:00"/>
    <n v="2"/>
    <s v="OK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s v="OK"/>
    <n v="2737.34"/>
    <n v="2085.44"/>
    <n v="651.9"/>
    <s v="Paid"/>
    <s v="Completed"/>
    <s v="OK"/>
    <n v="0.2"/>
    <x v="50"/>
    <n v="651.9"/>
    <n v="0.2382"/>
    <n v="10"/>
    <n v="2024"/>
    <s v="CLEAN"/>
  </r>
  <r>
    <s v="ORD-2024-10086"/>
    <d v="2024-07-30T00:00:00"/>
    <d v="2024-08-05T00:00:00"/>
    <n v="6"/>
    <s v="OK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s v="OK"/>
    <n v="608.64"/>
    <n v="343.99"/>
    <n v="264.64999999999998"/>
    <s v="Paid"/>
    <s v="Cancelled"/>
    <s v="OK"/>
    <n v="0"/>
    <x v="51"/>
    <n v="264.64999999999998"/>
    <n v="0.43480000000000002"/>
    <n v="7"/>
    <n v="2024"/>
    <s v="CLEAN"/>
  </r>
  <r>
    <s v="ORD-2024-10087"/>
    <d v="2024-07-01T00:00:00"/>
    <d v="2024-07-01T00:00:00"/>
    <n v="0"/>
    <s v="OK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s v="OK"/>
    <n v="2390.2600000000002"/>
    <n v="1495.94"/>
    <n v="894.32"/>
    <s v="Refunded"/>
    <s v="Cancelled"/>
    <s v="OK"/>
    <n v="0.1"/>
    <x v="52"/>
    <n v="894.32"/>
    <n v="0.37419999999999998"/>
    <n v="7"/>
    <n v="2024"/>
    <s v="CLEAN"/>
  </r>
  <r>
    <s v="ORD-2024-10088"/>
    <d v="2024-02-08T00:00:00"/>
    <d v="2024-08-03T00:00:00"/>
    <n v="177"/>
    <s v="OK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s v="OK"/>
    <n v="23416.54"/>
    <n v="15490.89"/>
    <n v="7925.65"/>
    <s v="Paid"/>
    <s v="Completed"/>
    <s v="OK"/>
    <n v="0"/>
    <x v="53"/>
    <n v="7925.65"/>
    <n v="0.33850000000000002"/>
    <n v="2"/>
    <n v="2024"/>
    <s v="CLEAN"/>
  </r>
  <r>
    <s v="ORD-2024-10089"/>
    <d v="2024-03-24T00:00:00"/>
    <d v="2024-03-27T00:00:00"/>
    <n v="3"/>
    <s v="OK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s v="OK"/>
    <n v="6241.02"/>
    <n v="5345.88"/>
    <n v="895.14"/>
    <s v="Paid"/>
    <s v="Completed"/>
    <s v="OK"/>
    <n v="0.05"/>
    <x v="54"/>
    <n v="895.15"/>
    <n v="0.1434"/>
    <n v="3"/>
    <n v="2024"/>
    <s v="CLEAN"/>
  </r>
  <r>
    <s v="ORD-2024-10090"/>
    <d v="2024-09-05T00:00:00"/>
    <d v="2024-09-05T00:00:00"/>
    <n v="0"/>
    <s v="OK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s v="OK"/>
    <n v="21062.1"/>
    <n v="12057.13"/>
    <n v="9004.9699999999993"/>
    <s v="Pending"/>
    <s v="Cancelled"/>
    <s v="OK"/>
    <n v="0.2"/>
    <x v="55"/>
    <n v="9004.9699999999993"/>
    <n v="0.42749999999999999"/>
    <n v="9"/>
    <n v="2024"/>
    <s v="CLEAN"/>
  </r>
  <r>
    <s v="ORD-2024-10094"/>
    <d v="2024-01-07T00:00:00"/>
    <d v="2024-01-13T00:00:00"/>
    <n v="6"/>
    <s v="OK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s v="INVALID-NEGATIVE"/>
    <n v="19522.79"/>
    <n v="12455.78"/>
    <n v="7067.01"/>
    <s v="Paid"/>
    <s v="Completed"/>
    <s v="OK"/>
    <n v="0"/>
    <x v="56"/>
    <n v="7067.01"/>
    <n v="0.36199999999999999"/>
    <n v="1"/>
    <n v="2024"/>
    <s v="INVALID"/>
  </r>
  <r>
    <s v="ORD-2024-10095"/>
    <d v="2024-09-06T00:00:00"/>
    <d v="2024-09-09T00:00:00"/>
    <n v="3"/>
    <s v="OK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s v="OK"/>
    <n v="26470.71"/>
    <n v="21367.599999999999"/>
    <n v="5103.1099999999997"/>
    <s v="Pending"/>
    <s v="Cancelled"/>
    <s v="OK"/>
    <n v="0"/>
    <x v="57"/>
    <n v="5103.1099999999997"/>
    <n v="0.1928"/>
    <n v="9"/>
    <n v="2024"/>
    <s v="CLEAN"/>
  </r>
  <r>
    <s v="ORD-2024-10097"/>
    <d v="2024-06-05T00:00:00"/>
    <d v="2024-07-06T00:00:00"/>
    <n v="31"/>
    <s v="OK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s v="OK"/>
    <n v="3840.71"/>
    <n v="2516.29"/>
    <n v="1324.42"/>
    <s v="Paid"/>
    <s v="Completed"/>
    <s v="OK"/>
    <n v="0.15"/>
    <x v="58"/>
    <n v="1324.42"/>
    <n v="0.3448"/>
    <n v="6"/>
    <n v="2024"/>
    <s v="CLEAN"/>
  </r>
  <r>
    <s v="ORD-2024-10099"/>
    <d v="2024-01-26T00:00:00"/>
    <d v="2024-02-01T00:00:00"/>
    <n v="6"/>
    <s v="OK"/>
    <s v="CUST-5434"/>
    <s v="Rohan Mehta"/>
    <s v="Home Office"/>
    <x v="2"/>
    <s v="Kerala"/>
    <s v="Kochi"/>
    <s v="Technology"/>
    <s v="Copiers"/>
    <s v="Elite Copiers 785"/>
    <s v="Unknown"/>
    <n v="8"/>
    <n v="2108.9299999999998"/>
    <n v="0.1"/>
    <s v="OK"/>
    <n v="15184.3"/>
    <n v="11270.74"/>
    <n v="3913.56"/>
    <s v="Paid"/>
    <s v="Completed"/>
    <s v="OK"/>
    <n v="0.1"/>
    <x v="59"/>
    <n v="3913.56"/>
    <n v="0.25769999999999998"/>
    <n v="1"/>
    <n v="2024"/>
    <s v="WARNING"/>
  </r>
  <r>
    <s v="ORD-2024-10102"/>
    <d v="2024-06-22T00:00:00"/>
    <d v="2024-06-26T00:00:00"/>
    <n v="4"/>
    <s v="OK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s v="OK"/>
    <n v="16486.95"/>
    <n v="12054.14"/>
    <n v="4432.8100000000004"/>
    <s v="Paid"/>
    <s v="Completed"/>
    <s v="OK"/>
    <n v="0.25"/>
    <x v="60"/>
    <n v="4432.8100000000004"/>
    <n v="0.26889999999999997"/>
    <n v="6"/>
    <n v="2024"/>
    <s v="CLEAN"/>
  </r>
  <r>
    <s v="ORD-2024-10106"/>
    <d v="2024-06-24T00:00:00"/>
    <d v="2024-06-29T00:00:00"/>
    <n v="5"/>
    <s v="OK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s v="OK"/>
    <n v="1233"/>
    <n v="1006.9"/>
    <n v="226.1"/>
    <s v="Paid"/>
    <s v="Completed"/>
    <s v="OK"/>
    <n v="0.1"/>
    <x v="61"/>
    <n v="226.1"/>
    <n v="0.18340000000000001"/>
    <n v="6"/>
    <n v="2024"/>
    <s v="CLEAN"/>
  </r>
  <r>
    <s v="ORD-2024-10107"/>
    <d v="2024-02-20T00:00:00"/>
    <d v="2024-02-28T00:00:00"/>
    <n v="8"/>
    <s v="OK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n v="0"/>
    <s v="OK"/>
    <n v="7207.27"/>
    <n v="5709.39"/>
    <n v="1497.88"/>
    <s v="Paid"/>
    <s v="Cancelled"/>
    <s v="OK"/>
    <n v="0"/>
    <x v="62"/>
    <n v="2298.69"/>
    <n v="0.28699999999999998"/>
    <n v="2"/>
    <n v="2024"/>
    <s v="CLEAN"/>
  </r>
  <r>
    <s v="ORD-2024-10108"/>
    <d v="2024-10-29T00:00:00"/>
    <d v="2024-11-04T00:00:00"/>
    <n v="6"/>
    <s v="OK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s v="OK"/>
    <n v="12263.24"/>
    <n v="8925.57"/>
    <n v="3337.67"/>
    <s v="Paid"/>
    <s v="Completed"/>
    <s v="OK"/>
    <n v="0.05"/>
    <x v="63"/>
    <n v="3337.67"/>
    <n v="0.2722"/>
    <n v="10"/>
    <n v="2024"/>
    <s v="CLEAN"/>
  </r>
  <r>
    <s v="ORD-2024-10109"/>
    <d v="2024-08-15T00:00:00"/>
    <d v="2024-08-23T00:00:00"/>
    <n v="8"/>
    <s v="OK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s v="OK"/>
    <n v="806.31"/>
    <n v="498.5"/>
    <n v="307.81"/>
    <s v="Paid"/>
    <s v="Completed"/>
    <s v="OK"/>
    <n v="0.25"/>
    <x v="64"/>
    <n v="307.81"/>
    <n v="0.38179999999999997"/>
    <n v="8"/>
    <n v="2024"/>
    <s v="CLEAN"/>
  </r>
  <r>
    <s v="ORD-2024-10111"/>
    <d v="2024-10-18T00:00:00"/>
    <d v="2024-10-24T00:00:00"/>
    <n v="6"/>
    <s v="OK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s v="OK"/>
    <n v="4500.9399999999996"/>
    <n v="2607.73"/>
    <n v="1893.21"/>
    <s v="Refunded"/>
    <s v="Cancelled"/>
    <s v="OK"/>
    <n v="0"/>
    <x v="65"/>
    <n v="1893.21"/>
    <n v="0.42059999999999997"/>
    <n v="10"/>
    <n v="2024"/>
    <s v="CLEAN"/>
  </r>
  <r>
    <s v="ORD-2024-10113"/>
    <d v="2024-01-10T00:00:00"/>
    <d v="2024-01-14T00:00:00"/>
    <n v="4"/>
    <s v="OK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s v="OK"/>
    <n v="10914.02"/>
    <n v="6548.74"/>
    <n v="4365.28"/>
    <s v="Paid"/>
    <s v="Completed"/>
    <s v="OK"/>
    <n v="0.05"/>
    <x v="66"/>
    <n v="4365.28"/>
    <n v="0.4"/>
    <n v="1"/>
    <n v="2024"/>
    <s v="WARNING"/>
  </r>
  <r>
    <s v="ORD-2024-10114"/>
    <d v="2024-12-02T00:00:00"/>
    <d v="2024-12-02T00:00:00"/>
    <n v="0"/>
    <s v="OK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s v="OK"/>
    <n v="2450.59"/>
    <n v="1639.89"/>
    <n v="810.7"/>
    <s v="Paid"/>
    <s v="Completed"/>
    <s v="OK"/>
    <n v="0.25"/>
    <x v="67"/>
    <n v="810.7"/>
    <n v="0.33079999999999998"/>
    <n v="12"/>
    <n v="2024"/>
    <s v="CLEAN"/>
  </r>
  <r>
    <s v="ORD-2024-10115"/>
    <d v="2024-09-25T00:00:00"/>
    <d v="2024-09-30T00:00:00"/>
    <n v="5"/>
    <s v="OK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s v="OK"/>
    <n v="3949.56"/>
    <n v="3186.73"/>
    <n v="762.83"/>
    <s v="Pending"/>
    <s v="Cancelled"/>
    <s v="OK"/>
    <n v="0.1"/>
    <x v="68"/>
    <n v="762.83"/>
    <n v="0.19309999999999999"/>
    <n v="9"/>
    <n v="2024"/>
    <s v="CLEAN"/>
  </r>
  <r>
    <s v="ORD-2024-10116"/>
    <d v="2024-12-27T00:00:00"/>
    <d v="2025-01-01T00:00:00"/>
    <n v="5"/>
    <s v="OK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s v="OK"/>
    <n v="758.78"/>
    <n v="490.74"/>
    <n v="268.04000000000002"/>
    <s v="Paid"/>
    <s v="Cancelled"/>
    <s v="OK"/>
    <n v="0.15"/>
    <x v="69"/>
    <n v="268.04000000000002"/>
    <n v="0.3533"/>
    <n v="12"/>
    <n v="2024"/>
    <s v="CLEAN"/>
  </r>
  <r>
    <s v="ORD-2024-10118"/>
    <d v="2024-02-15T00:00:00"/>
    <d v="2024-02-17T00:00:00"/>
    <n v="2"/>
    <s v="OK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70%"/>
    <s v="INVALID-ABOVE"/>
    <n v="25432.81"/>
    <n v="20370.16"/>
    <n v="5062.6499999999996"/>
    <s v="Paid"/>
    <s v="Completed"/>
    <s v="OK"/>
    <n v="0.7"/>
    <x v="70"/>
    <n v="-11393.87"/>
    <n v="-1.2693000000000001"/>
    <n v="2"/>
    <n v="2024"/>
    <s v="INVALID"/>
  </r>
  <r>
    <s v="ORD-2024-10119"/>
    <d v="2024-06-10T00:00:00"/>
    <d v="2024-06-18T00:00:00"/>
    <n v="8"/>
    <s v="OK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s v="OK"/>
    <n v="6321.08"/>
    <n v="4407.22"/>
    <n v="1913.86"/>
    <s v="Paid"/>
    <s v="Completed"/>
    <s v="OK"/>
    <n v="0.2"/>
    <x v="71"/>
    <n v="1913.86"/>
    <n v="0.30280000000000001"/>
    <n v="6"/>
    <n v="2024"/>
    <s v="CLEAN"/>
  </r>
  <r>
    <s v="ORD-2024-10120"/>
    <d v="2024-06-12T00:00:00"/>
    <d v="2024-06-19T00:00:00"/>
    <n v="7"/>
    <s v="OK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s v="OK"/>
    <n v="1884.3"/>
    <n v="1517.69"/>
    <n v="366.61"/>
    <s v="Refunded"/>
    <s v="Returned"/>
    <s v="OK"/>
    <n v="0.25"/>
    <x v="72"/>
    <n v="366.61"/>
    <n v="0.1946"/>
    <n v="6"/>
    <n v="2024"/>
    <s v="CLEAN"/>
  </r>
  <r>
    <s v="ORD-2024-10121"/>
    <d v="2024-08-10T00:00:00"/>
    <d v="2024-08-18T00:00:00"/>
    <n v="8"/>
    <s v="OK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s v="OK"/>
    <n v="1458.94"/>
    <n v="893.2"/>
    <n v="565.74"/>
    <s v="Paid"/>
    <s v="Returned"/>
    <s v="OK"/>
    <n v="0.2"/>
    <x v="73"/>
    <n v="565.74"/>
    <n v="0.38779999999999998"/>
    <n v="8"/>
    <n v="2024"/>
    <s v="CLEAN"/>
  </r>
  <r>
    <s v="ORD-2024-10123"/>
    <d v="2024-11-30T00:00:00"/>
    <d v="2024-04-12T00:00:00"/>
    <n v="-232"/>
    <s v="INVALID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s v="OK"/>
    <n v="511.05"/>
    <n v="367.18"/>
    <n v="143.87"/>
    <s v="Paid"/>
    <s v="Completed"/>
    <s v="OK"/>
    <n v="0"/>
    <x v="74"/>
    <n v="143.87"/>
    <n v="0.28149999999999997"/>
    <n v="11"/>
    <n v="2024"/>
    <s v="INVALID"/>
  </r>
  <r>
    <s v="ORD-2024-10124"/>
    <d v="2024-05-24T00:00:00"/>
    <d v="2024-05-25T00:00:00"/>
    <n v="1"/>
    <s v="OK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s v="OK"/>
    <n v="634.13"/>
    <n v="453.35"/>
    <n v="180.78"/>
    <s v="Refunded"/>
    <s v="Cancelled"/>
    <s v=" ORIGINAL"/>
    <n v="0"/>
    <x v="75"/>
    <n v="180.78"/>
    <n v="0.28510000000000002"/>
    <n v="5"/>
    <n v="2024"/>
    <s v="CLEAN"/>
  </r>
  <r>
    <s v="ORD-2024-10124"/>
    <d v="2024-05-24T00:00:00"/>
    <d v="2024-05-25T00:00:00"/>
    <n v="1"/>
    <s v="OK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s v="OK"/>
    <n v="808.67"/>
    <n v="453.35"/>
    <n v="180.78"/>
    <s v="Refunded"/>
    <s v="Returned"/>
    <s v="CONFLICTING DUPLICATE - REVIEW"/>
    <n v="0"/>
    <x v="75"/>
    <n v="180.78"/>
    <n v="0.28510000000000002"/>
    <n v="5"/>
    <n v="2024"/>
    <s v="CLEAN"/>
  </r>
  <r>
    <s v="ORD-2024-10125"/>
    <d v="2024-07-21T00:00:00"/>
    <d v="2024-07-24T00:00:00"/>
    <n v="3"/>
    <s v="OK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-0.15"/>
    <s v="INVALID-NEGATIVE"/>
    <n v="4185.54"/>
    <n v="3443.74"/>
    <n v="741.8"/>
    <s v="Paid"/>
    <s v="Completed"/>
    <s v="OK"/>
    <n v="0"/>
    <x v="76"/>
    <n v="741.8"/>
    <n v="0.1772"/>
    <n v="7"/>
    <n v="2024"/>
    <s v="INVALID"/>
  </r>
  <r>
    <s v="ORD-2024-10129"/>
    <d v="2024-12-13T00:00:00"/>
    <d v="2024-12-16T00:00:00"/>
    <n v="3"/>
    <s v="OK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s v="OK"/>
    <n v="4386.3900000000003"/>
    <n v="3366.88"/>
    <n v="1019.51"/>
    <s v="Paid"/>
    <s v="Returned"/>
    <s v="OK"/>
    <n v="0.05"/>
    <x v="77"/>
    <n v="1019.51"/>
    <n v="0.2324"/>
    <n v="12"/>
    <n v="2024"/>
    <s v="CLEAN"/>
  </r>
  <r>
    <s v="ORD-2024-10130"/>
    <d v="2024-07-19T00:00:00"/>
    <d v="2024-07-25T00:00:00"/>
    <n v="6"/>
    <s v="OK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s v="OK"/>
    <n v="18229.580000000002"/>
    <n v="15139.15"/>
    <n v="3090.43"/>
    <s v="Paid"/>
    <s v="Completed"/>
    <s v="OK"/>
    <n v="0.05"/>
    <x v="78"/>
    <n v="3090.43"/>
    <n v="0.16950000000000001"/>
    <n v="7"/>
    <n v="2024"/>
    <s v="CLEAN"/>
  </r>
  <r>
    <s v="ORD-2024-10131"/>
    <d v="2024-01-27T00:00:00"/>
    <d v="2024-02-02T00:00:00"/>
    <n v="6"/>
    <s v="OK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s v="OK"/>
    <n v="873.68"/>
    <n v="661.72"/>
    <n v="211.96"/>
    <s v="Pending"/>
    <s v="Cancelled"/>
    <s v="OK"/>
    <n v="0.2"/>
    <x v="79"/>
    <n v="211.96"/>
    <n v="0.24260000000000001"/>
    <n v="1"/>
    <n v="2024"/>
    <s v="CLEAN"/>
  </r>
  <r>
    <s v="ORD-2024-10133"/>
    <d v="2024-11-04T00:00:00"/>
    <d v="2024-11-04T00:00:00"/>
    <n v="0"/>
    <s v="OK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s v="OK"/>
    <n v="1066.1600000000001"/>
    <n v="656.3"/>
    <n v="409.86"/>
    <s v="Failed"/>
    <s v="Cancelled"/>
    <s v="OK"/>
    <n v="0"/>
    <x v="80"/>
    <n v="409.86"/>
    <n v="0.38440000000000002"/>
    <n v="11"/>
    <n v="2024"/>
    <s v="INVALID"/>
  </r>
  <r>
    <s v="ORD-2024-10134"/>
    <d v="2024-12-13T00:00:00"/>
    <d v="2024-12-18T00:00:00"/>
    <n v="5"/>
    <s v="OK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s v="OK"/>
    <n v="22930.62"/>
    <n v="16875.55"/>
    <n v="6055.07"/>
    <s v="Paid"/>
    <s v="Completed"/>
    <s v="OK"/>
    <n v="0.15"/>
    <x v="81"/>
    <n v="6055.07"/>
    <n v="0.2641"/>
    <n v="12"/>
    <n v="2024"/>
    <s v="CLEAN"/>
  </r>
  <r>
    <s v="ORD-2024-10139"/>
    <d v="2024-01-20T00:00:00"/>
    <d v="2024-01-26T00:00:00"/>
    <n v="6"/>
    <s v="OK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s v="OK"/>
    <n v="24018.3"/>
    <n v="14070.78"/>
    <n v="9947.52"/>
    <s v="Paid"/>
    <s v="Completed"/>
    <s v="OK"/>
    <n v="0.25"/>
    <x v="82"/>
    <n v="9947.52"/>
    <n v="0.41420000000000001"/>
    <n v="1"/>
    <n v="2024"/>
    <s v="CLEAN"/>
  </r>
  <r>
    <s v="ORD-2024-10141"/>
    <d v="2024-05-31T00:00:00"/>
    <d v="2024-06-01T00:00:00"/>
    <n v="1"/>
    <s v="OK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s v="OK"/>
    <n v="8743.65"/>
    <n v="6603.76"/>
    <n v="2139.89"/>
    <s v="Paid"/>
    <s v="Completed"/>
    <s v="OK"/>
    <n v="0"/>
    <x v="83"/>
    <n v="2139.89"/>
    <n v="0.2447"/>
    <n v="5"/>
    <n v="2024"/>
    <s v="CLEAN"/>
  </r>
  <r>
    <s v="ORD-2024-10142"/>
    <d v="2024-03-23T00:00:00"/>
    <d v="2024-03-29T00:00:00"/>
    <n v="6"/>
    <s v="OK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s v="OK"/>
    <n v="3996.03"/>
    <n v="2859.51"/>
    <n v="1136.52"/>
    <s v="Paid"/>
    <s v="Returned"/>
    <s v="OK"/>
    <n v="0.1"/>
    <x v="84"/>
    <n v="1136.52"/>
    <n v="0.28439999999999999"/>
    <n v="3"/>
    <n v="2024"/>
    <s v="CLEAN"/>
  </r>
  <r>
    <s v="ORD-2024-10143"/>
    <d v="2024-03-30T00:00:00"/>
    <d v="2024-03-26T00:00:00"/>
    <n v="-4"/>
    <s v="INVALID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s v="OK"/>
    <n v="3857.04"/>
    <n v="2769.26"/>
    <n v="1087.78"/>
    <s v="Paid"/>
    <s v="Completed"/>
    <s v=" ORIGINAL"/>
    <n v="0.15"/>
    <x v="85"/>
    <n v="1087.79"/>
    <n v="0.28199999999999997"/>
    <n v="3"/>
    <n v="2024"/>
    <s v="INVALID"/>
  </r>
  <r>
    <s v="ORD-2024-10143"/>
    <d v="2024-03-30T00:00:00"/>
    <d v="2024-03-26T00:00:00"/>
    <n v="-4"/>
    <s v="INVALID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s v="OK"/>
    <n v="4099.6899999999996"/>
    <n v="2769.26"/>
    <n v="1087.78"/>
    <s v="Paid"/>
    <s v="Returned"/>
    <s v="CONFLICTING DUPLICATE - REVIEW"/>
    <n v="0.15"/>
    <x v="85"/>
    <n v="1087.79"/>
    <n v="0.28199999999999997"/>
    <n v="3"/>
    <n v="2024"/>
    <s v="INVALID"/>
  </r>
  <r>
    <s v="ORD-2024-10144"/>
    <d v="2024-03-24T00:00:00"/>
    <d v="2024-03-26T00:00:00"/>
    <n v="2"/>
    <s v="OK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s v="OK"/>
    <n v="3068.55"/>
    <n v="1916.16"/>
    <n v="1152.3900000000001"/>
    <s v="Paid"/>
    <s v="Returned"/>
    <s v="OK"/>
    <n v="0.1"/>
    <x v="86"/>
    <n v="1152.3900000000001"/>
    <n v="0.3755"/>
    <n v="3"/>
    <n v="2024"/>
    <s v="CLEAN"/>
  </r>
  <r>
    <s v="ORD-2024-10145"/>
    <d v="2024-07-06T00:00:00"/>
    <d v="2024-06-15T00:00:00"/>
    <n v="-21"/>
    <s v="INVALID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s v="OK"/>
    <n v="11276.95"/>
    <n v="6908.76"/>
    <n v="4368.1899999999996"/>
    <s v="Refunded"/>
    <s v="Returned"/>
    <s v="OK"/>
    <n v="0.25"/>
    <x v="87"/>
    <n v="4368.1899999999996"/>
    <n v="0.38740000000000002"/>
    <n v="7"/>
    <n v="2024"/>
    <s v="INVALID"/>
  </r>
  <r>
    <s v="ORD-2024-10148"/>
    <d v="2024-12-23T00:00:00"/>
    <d v="2024-12-30T00:00:00"/>
    <n v="7"/>
    <s v="OK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s v="OK"/>
    <n v="2779.92"/>
    <n v="1744.05"/>
    <n v="1035.8699999999999"/>
    <s v="Paid"/>
    <s v="Completed"/>
    <s v="OK"/>
    <n v="0.1"/>
    <x v="88"/>
    <n v="1035.8699999999999"/>
    <n v="0.37259999999999999"/>
    <n v="12"/>
    <n v="2024"/>
    <s v="CLEAN"/>
  </r>
  <r>
    <s v="ORD-2024-10150"/>
    <d v="2024-01-30T00:00:00"/>
    <d v="2024-01-30T00:00:00"/>
    <n v="0"/>
    <s v="OK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s v="OK"/>
    <n v="13269.95"/>
    <n v="8977.1"/>
    <n v="4292.8500000000004"/>
    <s v="Paid"/>
    <s v="Completed"/>
    <s v="OK"/>
    <n v="0.25"/>
    <x v="89"/>
    <n v="4292.8500000000004"/>
    <n v="0.32350000000000001"/>
    <n v="1"/>
    <n v="2024"/>
    <s v="CLEAN"/>
  </r>
  <r>
    <s v="ORD-2024-10151"/>
    <d v="2024-04-03T00:00:00"/>
    <d v="2024-03-12T00:00:00"/>
    <n v="-22"/>
    <s v="INVALID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s v="OK"/>
    <n v="1398.71"/>
    <n v="1056.92"/>
    <n v="341.79"/>
    <s v="Paid"/>
    <s v="Completed"/>
    <s v="OK"/>
    <n v="0.1"/>
    <x v="90"/>
    <n v="341.79"/>
    <n v="0.24440000000000001"/>
    <n v="4"/>
    <n v="2024"/>
    <s v="INVALID"/>
  </r>
  <r>
    <s v="ORD-2024-10152"/>
    <d v="2024-06-27T00:00:00"/>
    <d v="2024-06-27T00:00:00"/>
    <n v="0"/>
    <s v="OK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s v="OK"/>
    <n v="7718.22"/>
    <n v="5355.93"/>
    <n v="2362.29"/>
    <s v="Pending"/>
    <s v="Returned"/>
    <s v="OK"/>
    <n v="0"/>
    <x v="91"/>
    <n v="2362.29"/>
    <n v="0.30609999999999998"/>
    <n v="6"/>
    <n v="2024"/>
    <s v="WARNING"/>
  </r>
  <r>
    <s v="ORD-2024-10153"/>
    <d v="2024-06-14T00:00:00"/>
    <d v="2024-06-17T00:00:00"/>
    <n v="3"/>
    <s v="OK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s v="OK"/>
    <n v="5875.42"/>
    <n v="4380.55"/>
    <n v="1494.87"/>
    <s v="Pending"/>
    <s v="Returned"/>
    <s v="OK"/>
    <n v="0.1"/>
    <x v="92"/>
    <n v="1494.87"/>
    <n v="0.25440000000000002"/>
    <n v="6"/>
    <n v="2024"/>
    <s v="CLEAN"/>
  </r>
  <r>
    <s v="ORD-2024-10155"/>
    <d v="2024-02-12T00:00:00"/>
    <d v="2024-02-11T00:00:00"/>
    <n v="-1"/>
    <s v="INVALID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s v="OK"/>
    <n v="2209.25"/>
    <n v="1523.78"/>
    <n v="685.47"/>
    <s v="Paid"/>
    <s v="Completed"/>
    <s v="OK"/>
    <n v="0.15"/>
    <x v="93"/>
    <n v="685.47"/>
    <n v="0.31030000000000002"/>
    <n v="2"/>
    <n v="2024"/>
    <s v="INVALID"/>
  </r>
  <r>
    <s v="ORD-2024-10158"/>
    <d v="2024-10-22T00:00:00"/>
    <d v="2024-10-24T00:00:00"/>
    <n v="2"/>
    <s v="OK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s v="OK"/>
    <n v="2335.39"/>
    <n v="1466.15"/>
    <n v="869.24"/>
    <s v="Paid"/>
    <s v="Completed"/>
    <s v="OK"/>
    <n v="0.15"/>
    <x v="94"/>
    <n v="869.24"/>
    <n v="0.37219999999999998"/>
    <n v="10"/>
    <n v="2024"/>
    <s v="CLEAN"/>
  </r>
  <r>
    <s v="ORD-2024-10159"/>
    <d v="2024-09-09T00:00:00"/>
    <d v="2024-09-11T00:00:00"/>
    <n v="2"/>
    <s v="OK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s v="OK"/>
    <n v="3989.56"/>
    <n v="2381.38"/>
    <n v="1608.18"/>
    <s v="Paid"/>
    <s v="Completed"/>
    <s v="OK"/>
    <n v="0.05"/>
    <x v="95"/>
    <n v="1608.18"/>
    <n v="0.40310000000000001"/>
    <n v="9"/>
    <n v="2024"/>
    <s v="CLEAN"/>
  </r>
  <r>
    <s v="ORD-2024-10163"/>
    <d v="2024-03-09T00:00:00"/>
    <d v="2024-03-14T00:00:00"/>
    <n v="5"/>
    <s v="OK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s v="OK"/>
    <n v="35997.620000000003"/>
    <n v="26424.41"/>
    <n v="9358.31"/>
    <s v="Pending"/>
    <s v="Returned"/>
    <s v="OK"/>
    <n v="0"/>
    <x v="96"/>
    <n v="9358.31"/>
    <n v="0.26150000000000001"/>
    <n v="3"/>
    <n v="2024"/>
    <s v="CLEAN"/>
  </r>
  <r>
    <s v="ORD-2024-10166"/>
    <d v="2024-11-22T00:00:00"/>
    <d v="2024-11-29T00:00:00"/>
    <n v="7"/>
    <s v="OK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s v="OK"/>
    <n v="10268.969999999999"/>
    <n v="6470.92"/>
    <n v="3798.05"/>
    <s v="Paid"/>
    <s v="Completed"/>
    <s v="OK"/>
    <n v="0.25"/>
    <x v="97"/>
    <n v="3798.05"/>
    <n v="0.36990000000000001"/>
    <n v="11"/>
    <n v="2024"/>
    <s v="CLEAN"/>
  </r>
  <r>
    <s v="ORD-2024-10174"/>
    <d v="2024-02-05T00:00:00"/>
    <d v="2024-05-08T00:00:00"/>
    <n v="93"/>
    <s v="OK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s v="OK"/>
    <n v="1734.19"/>
    <n v="1386.07"/>
    <n v="348.12"/>
    <s v="Paid"/>
    <s v="Completed"/>
    <s v="OK"/>
    <n v="0.25"/>
    <x v="98"/>
    <n v="348.12"/>
    <n v="0.20069999999999999"/>
    <n v="2"/>
    <n v="2024"/>
    <s v="CLEAN"/>
  </r>
  <r>
    <s v="ORD-2024-10176"/>
    <d v="2024-01-27T00:00:00"/>
    <d v="2024-02-03T00:00:00"/>
    <n v="7"/>
    <s v="OK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s v="OK"/>
    <n v="15906.85"/>
    <n v="11014.46"/>
    <n v="4892.3900000000003"/>
    <s v="Paid"/>
    <s v="Returned"/>
    <s v="OK"/>
    <n v="0.15"/>
    <x v="99"/>
    <n v="4892.3900000000003"/>
    <n v="0.30759999999999998"/>
    <n v="1"/>
    <n v="2024"/>
    <s v="CLEAN"/>
  </r>
  <r>
    <s v="ORD-2024-10178"/>
    <d v="2024-01-06T00:00:00"/>
    <d v="2024-06-03T00:00:00"/>
    <n v="149"/>
    <s v="OK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s v="OK"/>
    <n v="31039.599999999999"/>
    <n v="20866.72"/>
    <n v="10172.879999999999"/>
    <s v="Paid"/>
    <s v="Completed"/>
    <s v="OK"/>
    <n v="0"/>
    <x v="100"/>
    <n v="10172.879999999999"/>
    <n v="0.32769999999999999"/>
    <n v="1"/>
    <n v="2024"/>
    <s v="WARNING"/>
  </r>
  <r>
    <s v="ORD-2024-10179"/>
    <d v="2024-09-30T00:00:00"/>
    <d v="2024-09-30T00:00:00"/>
    <n v="0"/>
    <s v="OK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s v="OK"/>
    <n v="13126.96"/>
    <n v="10732.44"/>
    <n v="2394.52"/>
    <s v="Paid"/>
    <s v="Completed"/>
    <s v="OK"/>
    <n v="0"/>
    <x v="101"/>
    <n v="2394.52"/>
    <n v="0.18240000000000001"/>
    <n v="9"/>
    <n v="2024"/>
    <s v="CLEAN"/>
  </r>
  <r>
    <s v="ORD-2024-10180"/>
    <d v="2024-03-15T00:00:00"/>
    <d v="2024-03-19T00:00:00"/>
    <n v="4"/>
    <s v="OK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s v="OK"/>
    <n v="9558.9"/>
    <n v="5516.76"/>
    <n v="4042.14"/>
    <s v="Refunded"/>
    <s v="Returned"/>
    <s v="OK"/>
    <n v="0.25"/>
    <x v="102"/>
    <n v="4042.14"/>
    <n v="0.4229"/>
    <n v="3"/>
    <n v="2024"/>
    <s v="CLEAN"/>
  </r>
  <r>
    <s v="ORD-2024-10181"/>
    <d v="2024-08-26T00:00:00"/>
    <d v="2024-08-26T00:00:00"/>
    <n v="0"/>
    <s v="OK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s v="OK"/>
    <n v="5320.92"/>
    <n v="3041.5"/>
    <n v="2279.42"/>
    <s v="Paid"/>
    <s v="Completed"/>
    <s v="OK"/>
    <n v="0.1"/>
    <x v="103"/>
    <n v="2279.42"/>
    <n v="0.4284"/>
    <n v="8"/>
    <n v="2024"/>
    <s v="CLEAN"/>
  </r>
  <r>
    <s v="ORD-2024-10183"/>
    <d v="2024-10-16T00:00:00"/>
    <d v="2024-10-16T00:00:00"/>
    <n v="0"/>
    <s v="OK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s v="OK"/>
    <n v="5430.39"/>
    <n v="3707.66"/>
    <n v="1722.73"/>
    <s v="Paid"/>
    <s v="Completed"/>
    <s v="OK"/>
    <n v="0"/>
    <x v="104"/>
    <n v="1722.73"/>
    <n v="0.31719999999999998"/>
    <n v="10"/>
    <n v="2024"/>
    <s v="CLEAN"/>
  </r>
  <r>
    <s v="ORD-2024-10185"/>
    <d v="2024-04-02T00:00:00"/>
    <d v="2024-04-06T00:00:00"/>
    <n v="4"/>
    <s v="OK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s v="OK"/>
    <n v="1777.96"/>
    <n v="1021.16"/>
    <n v="756.8"/>
    <s v="Refunded"/>
    <s v="Returned"/>
    <s v="OK"/>
    <n v="0"/>
    <x v="105"/>
    <n v="756.8"/>
    <n v="0.42570000000000002"/>
    <n v="4"/>
    <n v="2024"/>
    <s v="CLEAN"/>
  </r>
  <r>
    <s v="ORD-2024-10186"/>
    <d v="2024-11-05T00:00:00"/>
    <d v="2024-11-13T00:00:00"/>
    <n v="8"/>
    <s v="OK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s v="OK"/>
    <n v="1605.07"/>
    <n v="1337.28"/>
    <n v="267.79000000000002"/>
    <s v="Paid"/>
    <s v="Completed"/>
    <s v="OK"/>
    <n v="0.2"/>
    <x v="106"/>
    <n v="267.79000000000002"/>
    <n v="0.1668"/>
    <n v="11"/>
    <n v="2024"/>
    <s v="WARNING"/>
  </r>
  <r>
    <s v="ORD-2024-10187"/>
    <d v="2024-07-19T00:00:00"/>
    <d v="2024-07-20T00:00:00"/>
    <n v="1"/>
    <s v="OK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s v="OK"/>
    <n v="23996.06"/>
    <n v="20167.28"/>
    <n v="3828.78"/>
    <s v="Paid"/>
    <s v="Completed"/>
    <s v="OK"/>
    <n v="0.05"/>
    <x v="107"/>
    <n v="3828.78"/>
    <n v="0.15959999999999999"/>
    <n v="7"/>
    <n v="2024"/>
    <s v="CLEAN"/>
  </r>
  <r>
    <s v="ORD-2024-10192"/>
    <d v="2024-10-19T00:00:00"/>
    <d v="2024-10-24T00:00:00"/>
    <n v="5"/>
    <s v="OK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s v="OK"/>
    <n v="25850.400000000001"/>
    <n v="19397.68"/>
    <n v="6452.72"/>
    <s v="Paid"/>
    <s v="Completed"/>
    <s v="OK"/>
    <n v="0.65"/>
    <x v="108"/>
    <n v="-10350.040000000001"/>
    <n v="-1.1438999999999999"/>
    <n v="10"/>
    <n v="2024"/>
    <s v="CLEAN"/>
  </r>
  <r>
    <s v="ORD-2024-10193"/>
    <d v="2024-12-09T00:00:00"/>
    <d v="2024-12-16T00:00:00"/>
    <n v="7"/>
    <s v="OK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s v="OK"/>
    <n v="8764.1200000000008"/>
    <n v="7220.05"/>
    <n v="1544.07"/>
    <s v="Paid"/>
    <s v="Completed"/>
    <s v="OK"/>
    <n v="0"/>
    <x v="109"/>
    <n v="1544.07"/>
    <n v="0.1762"/>
    <n v="12"/>
    <n v="2024"/>
    <s v="CLEAN"/>
  </r>
  <r>
    <s v="ORD-2024-10194"/>
    <d v="2024-06-23T00:00:00"/>
    <d v="2024-06-28T00:00:00"/>
    <n v="5"/>
    <s v="OK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s v="OK"/>
    <n v="9391.82"/>
    <n v="6013.22"/>
    <n v="3378.6"/>
    <s v="Refunded"/>
    <s v="Returned"/>
    <s v="OK"/>
    <n v="0.2"/>
    <x v="110"/>
    <n v="3378.6"/>
    <n v="0.35970000000000002"/>
    <n v="6"/>
    <n v="2024"/>
    <s v="CLEAN"/>
  </r>
  <r>
    <s v="ORD-2024-10197"/>
    <d v="2024-01-22T00:00:00"/>
    <d v="2024-01-25T00:00:00"/>
    <n v="3"/>
    <s v="OK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s v="OK"/>
    <n v="3272.48"/>
    <n v="2517.44"/>
    <n v="755.04"/>
    <s v="Paid"/>
    <s v="Completed"/>
    <s v="OK"/>
    <n v="0.1"/>
    <x v="111"/>
    <n v="755.04"/>
    <n v="0.23069999999999999"/>
    <n v="1"/>
    <n v="2024"/>
    <s v="CLEAN"/>
  </r>
  <r>
    <s v="ORD-2024-10199"/>
    <d v="2024-05-06T00:00:00"/>
    <d v="2024-06-06T00:00:00"/>
    <n v="31"/>
    <s v="OK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s v="OK"/>
    <n v="1125.3499999999999"/>
    <n v="676.97"/>
    <n v="448.38"/>
    <s v="Failed"/>
    <s v="Cancelled"/>
    <s v="OK"/>
    <n v="0.05"/>
    <x v="112"/>
    <n v="448.38"/>
    <n v="0.39839999999999998"/>
    <n v="5"/>
    <n v="2024"/>
    <s v="INVALID"/>
  </r>
  <r>
    <s v="ORD-2024-10200"/>
    <d v="2024-03-12T00:00:00"/>
    <d v="2024-12-03T00:00:00"/>
    <n v="266"/>
    <s v="OK"/>
    <s v="CUST-4536"/>
    <s v="Rahul Verma"/>
    <s v="Home Office"/>
    <x v="1"/>
    <s v="Bihar"/>
    <s v="Patna"/>
    <s v="Technology"/>
    <s v="Machines"/>
    <s v="Prime Machines 806"/>
    <s v="Unknown"/>
    <n v="6"/>
    <n v="2185.58"/>
    <n v="0.25"/>
    <s v="OK"/>
    <n v="9835.11"/>
    <n v="5437.64"/>
    <n v="4397.47"/>
    <s v="Paid"/>
    <s v="Completed"/>
    <s v="OK"/>
    <n v="0.25"/>
    <x v="113"/>
    <n v="4397.47"/>
    <n v="0.4471"/>
    <n v="3"/>
    <n v="2024"/>
    <s v="WARNING"/>
  </r>
  <r>
    <s v="ORD-2024-10204"/>
    <d v="2024-03-28T00:00:00"/>
    <d v="2024-03-30T00:00:00"/>
    <n v="2"/>
    <s v="OK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s v="OK"/>
    <n v="484.79"/>
    <n v="333.54"/>
    <n v="151.25"/>
    <s v="Paid"/>
    <s v="Completed"/>
    <s v="OK"/>
    <n v="0.15"/>
    <x v="114"/>
    <n v="151.25"/>
    <n v="0.312"/>
    <n v="3"/>
    <n v="2024"/>
    <s v="CLEAN"/>
  </r>
  <r>
    <s v="ORD-2024-10208"/>
    <d v="2024-07-10T00:00:00"/>
    <d v="2024-07-16T00:00:00"/>
    <n v="6"/>
    <s v="OK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s v="OK"/>
    <n v="1752.72"/>
    <n v="996.41"/>
    <n v="756.31"/>
    <s v="Paid"/>
    <s v="Completed"/>
    <s v="OK"/>
    <n v="0.2"/>
    <x v="115"/>
    <n v="756.31"/>
    <n v="0.43149999999999999"/>
    <n v="7"/>
    <n v="2024"/>
    <s v="CLEAN"/>
  </r>
  <r>
    <s v="ORD-2024-10211"/>
    <d v="2024-03-15T00:00:00"/>
    <d v="2024-03-18T00:00:00"/>
    <n v="3"/>
    <s v="OK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s v="OK"/>
    <n v="4131.3599999999997"/>
    <n v="2937.07"/>
    <n v="1194.29"/>
    <s v="Failed"/>
    <s v="Returned"/>
    <s v="OK"/>
    <n v="0"/>
    <x v="116"/>
    <n v="1194.29"/>
    <n v="0.28910000000000002"/>
    <n v="3"/>
    <n v="2024"/>
    <s v="INVALID"/>
  </r>
  <r>
    <s v="ORD-2024-10212"/>
    <d v="2024-05-16T00:00:00"/>
    <d v="2024-05-17T00:00:00"/>
    <n v="1"/>
    <s v="OK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s v="OK"/>
    <n v="27020.48"/>
    <n v="22885.24"/>
    <n v="4135.24"/>
    <s v="Paid"/>
    <s v="Completed"/>
    <s v="OK"/>
    <n v="0.2"/>
    <x v="117"/>
    <n v="4135.24"/>
    <n v="0.153"/>
    <n v="5"/>
    <n v="2024"/>
    <s v="CLEAN"/>
  </r>
  <r>
    <s v="ORD-2024-10213"/>
    <d v="2024-09-21T00:00:00"/>
    <d v="2024-09-21T00:00:00"/>
    <n v="0"/>
    <s v="OK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s v="OK"/>
    <n v="364.65"/>
    <n v="280.74"/>
    <n v="83.91"/>
    <s v="Paid"/>
    <s v="Completed"/>
    <s v="OK"/>
    <n v="0.15"/>
    <x v="118"/>
    <n v="83.91"/>
    <n v="0.2301"/>
    <n v="9"/>
    <n v="2024"/>
    <s v="CLEAN"/>
  </r>
  <r>
    <s v="ORD-2024-10214"/>
    <d v="2024-05-15T00:00:00"/>
    <d v="2024-05-21T00:00:00"/>
    <n v="6"/>
    <s v="OK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s v="OK"/>
    <n v="13864.74"/>
    <n v="11294.06"/>
    <n v="2570.6799999999998"/>
    <s v="Paid"/>
    <s v="Completed"/>
    <s v="OK"/>
    <n v="0.2"/>
    <x v="119"/>
    <n v="2570.6799999999998"/>
    <n v="0.18540000000000001"/>
    <n v="5"/>
    <n v="2024"/>
    <s v="CLEAN"/>
  </r>
  <r>
    <s v="ORD-2024-10215"/>
    <d v="2024-03-17T00:00:00"/>
    <d v="2024-03-23T00:00:00"/>
    <n v="6"/>
    <s v="OK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s v="OK"/>
    <n v="707.31"/>
    <n v="569"/>
    <n v="138.31"/>
    <s v="Paid"/>
    <s v="Completed"/>
    <s v="OK"/>
    <n v="0.05"/>
    <x v="120"/>
    <n v="138.31"/>
    <n v="0.19550000000000001"/>
    <n v="3"/>
    <n v="2024"/>
    <s v="CLEAN"/>
  </r>
  <r>
    <s v="ORD-2024-10216"/>
    <d v="2024-01-03T00:00:00"/>
    <d v="2024-03-04T00:00:00"/>
    <n v="61"/>
    <s v="OK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s v="OK"/>
    <n v="19214.400000000001"/>
    <n v="10916.01"/>
    <n v="8298.39"/>
    <s v="Paid"/>
    <s v="Completed"/>
    <s v="OK"/>
    <n v="0.25"/>
    <x v="121"/>
    <n v="8298.39"/>
    <n v="0.43190000000000001"/>
    <n v="1"/>
    <n v="2024"/>
    <s v="CLEAN"/>
  </r>
  <r>
    <s v="ORD-2024-10220"/>
    <d v="2024-06-18T00:00:00"/>
    <d v="2024-06-19T00:00:00"/>
    <n v="1"/>
    <s v="OK"/>
    <s v="CUST-1472"/>
    <s v="Rahul Verma"/>
    <s v="Consumer"/>
    <x v="1"/>
    <s v="Bihar"/>
    <s v="Patna"/>
    <s v="Technology"/>
    <s v="Machines"/>
    <s v="Elite Machines 290"/>
    <s v="First Class"/>
    <n v="2"/>
    <n v="121.49"/>
    <s v="85%"/>
    <s v="INVALID-ABOVE"/>
    <n v="242.98"/>
    <n v="161.41999999999999"/>
    <n v="81.56"/>
    <s v="Paid"/>
    <s v="Completed"/>
    <s v="OK"/>
    <n v="0.85"/>
    <x v="122"/>
    <n v="-124.97"/>
    <n v="-3.4285000000000001"/>
    <n v="6"/>
    <n v="2024"/>
    <s v="INVALID"/>
  </r>
  <r>
    <s v="ORD-2024-10221"/>
    <d v="2024-09-03T00:00:00"/>
    <d v="2024-09-03T00:00:00"/>
    <n v="0"/>
    <s v="OK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s v="OK"/>
    <n v="9554.58"/>
    <n v="6068.47"/>
    <n v="3486.11"/>
    <s v="Refunded"/>
    <s v="Cancelled"/>
    <s v="OK"/>
    <n v="0.15"/>
    <x v="123"/>
    <n v="3486.11"/>
    <n v="0.3649"/>
    <n v="9"/>
    <n v="2024"/>
    <s v="CLEAN"/>
  </r>
  <r>
    <s v="ORD-2024-10226"/>
    <d v="2024-09-02T00:00:00"/>
    <d v="2024-09-10T00:00:00"/>
    <n v="8"/>
    <s v="OK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s v="OK"/>
    <n v="5265.6"/>
    <n v="4293.1099999999997"/>
    <n v="787.57"/>
    <s v="Paid"/>
    <s v="Completed"/>
    <s v="OK"/>
    <n v="0.15"/>
    <x v="124"/>
    <n v="972.49"/>
    <n v="0.1847"/>
    <n v="9"/>
    <n v="2024"/>
    <s v="CLEAN"/>
  </r>
  <r>
    <s v="ORD-2024-10228"/>
    <d v="2024-07-05T00:00:00"/>
    <d v="2024-07-12T00:00:00"/>
    <n v="7"/>
    <s v="OK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s v="OK"/>
    <n v="1473.26"/>
    <n v="899.86"/>
    <n v="573.4"/>
    <s v="Paid"/>
    <s v="Completed"/>
    <s v="OK"/>
    <n v="0.15"/>
    <x v="125"/>
    <n v="573.4"/>
    <n v="0.38919999999999999"/>
    <n v="7"/>
    <n v="2024"/>
    <s v="CLEAN"/>
  </r>
  <r>
    <s v="ORD-2024-10229"/>
    <d v="2024-04-24T00:00:00"/>
    <d v="2024-04-28T00:00:00"/>
    <n v="4"/>
    <s v="OK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s v="OK"/>
    <n v="2715.21"/>
    <n v="1551.55"/>
    <n v="1163.6600000000001"/>
    <s v="Paid"/>
    <s v="Completed"/>
    <s v="OK"/>
    <n v="0.15"/>
    <x v="126"/>
    <n v="1163.6600000000001"/>
    <n v="0.42859999999999998"/>
    <n v="4"/>
    <n v="2024"/>
    <s v="CLEAN"/>
  </r>
  <r>
    <s v="ORD-2024-10231"/>
    <d v="2024-05-28T00:00:00"/>
    <d v="2024-03-06T00:00:00"/>
    <n v="-83"/>
    <s v="INVALID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s v="OK"/>
    <n v="11090.38"/>
    <n v="8840.9500000000007"/>
    <n v="2249.4299999999998"/>
    <s v="Paid"/>
    <s v="Completed"/>
    <s v="OK"/>
    <n v="0.1"/>
    <x v="127"/>
    <n v="2249.4299999999998"/>
    <n v="0.20280000000000001"/>
    <n v="5"/>
    <n v="2024"/>
    <s v="INVALID"/>
  </r>
  <r>
    <s v="ORD-2024-10232"/>
    <d v="2024-05-02T00:00:00"/>
    <d v="2024-05-02T00:00:00"/>
    <n v="0"/>
    <s v="OK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s v="OK"/>
    <n v="11462.74"/>
    <n v="7163.54"/>
    <n v="4299.2"/>
    <s v="Refunded"/>
    <s v="Cancelled"/>
    <s v="OK"/>
    <n v="0.25"/>
    <x v="128"/>
    <n v="4299.21"/>
    <n v="0.37509999999999999"/>
    <n v="5"/>
    <n v="2024"/>
    <s v="CLEAN"/>
  </r>
  <r>
    <s v="ORD-2024-10234"/>
    <d v="2024-10-14T00:00:00"/>
    <d v="2024-10-14T00:00:00"/>
    <n v="0"/>
    <s v="OK"/>
    <s v="CUST-3710"/>
    <s v="Vikram Iyer"/>
    <s v="Corporate"/>
    <x v="2"/>
    <s v="Karnataka"/>
    <s v="Bengaluru"/>
    <s v="Furniture"/>
    <s v="Bookcases"/>
    <s v="Smart Bookcases 328"/>
    <s v="Unknown"/>
    <n v="8"/>
    <n v="3904.59"/>
    <n v="0"/>
    <s v="OK"/>
    <n v="31236.720000000001"/>
    <n v="26377.7"/>
    <n v="4859.0200000000004"/>
    <s v="Paid"/>
    <s v="Completed"/>
    <s v="OK"/>
    <n v="0"/>
    <x v="129"/>
    <n v="4859.0200000000004"/>
    <n v="0.15559999999999999"/>
    <n v="10"/>
    <n v="2024"/>
    <s v="WARNING"/>
  </r>
  <r>
    <s v="ORD-2024-10235"/>
    <d v="2024-09-02T00:00:00"/>
    <d v="2024-09-03T00:00:00"/>
    <n v="1"/>
    <s v="OK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s v="OK"/>
    <n v="10964.24"/>
    <n v="9262.4699999999993"/>
    <n v="1701.77"/>
    <s v="Paid"/>
    <s v="Completed"/>
    <s v="OK"/>
    <n v="0.1"/>
    <x v="130"/>
    <n v="1701.77"/>
    <n v="0.1552"/>
    <n v="9"/>
    <n v="2024"/>
    <s v="CLEAN"/>
  </r>
  <r>
    <s v="ORD-2024-10236"/>
    <d v="2024-11-02T00:00:00"/>
    <d v="2024-11-03T00:00:00"/>
    <n v="1"/>
    <s v="OK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s v="OK"/>
    <n v="15226.35"/>
    <n v="11145.28"/>
    <n v="4081.07"/>
    <s v="Paid"/>
    <s v="Completed"/>
    <s v="OK"/>
    <n v="0.05"/>
    <x v="131"/>
    <n v="4081.07"/>
    <n v="0.26800000000000002"/>
    <n v="11"/>
    <n v="2024"/>
    <s v="CLEAN"/>
  </r>
  <r>
    <s v="ORD-2024-10237"/>
    <d v="2024-10-14T00:00:00"/>
    <d v="2024-10-21T00:00:00"/>
    <n v="7"/>
    <s v="OK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s v="OK"/>
    <n v="24376.68"/>
    <n v="18533.39"/>
    <n v="5843.29"/>
    <s v="Paid"/>
    <s v="Completed"/>
    <s v="OK"/>
    <n v="0"/>
    <x v="132"/>
    <n v="5843.29"/>
    <n v="0.2397"/>
    <n v="10"/>
    <n v="2024"/>
    <s v="CLEAN"/>
  </r>
  <r>
    <s v="ORD-2024-10238"/>
    <d v="2024-08-27T00:00:00"/>
    <d v="2024-08-27T00:00:00"/>
    <n v="0"/>
    <s v="OK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s v="OK"/>
    <n v="20972.7"/>
    <n v="13504.88"/>
    <n v="7467.82"/>
    <s v="Paid"/>
    <s v="Completed"/>
    <s v="OK"/>
    <n v="0"/>
    <x v="133"/>
    <n v="7467.82"/>
    <n v="0.35610000000000003"/>
    <n v="8"/>
    <n v="2024"/>
    <s v="CLEAN"/>
  </r>
  <r>
    <s v="ORD-2024-10239"/>
    <d v="2024-01-12T00:00:00"/>
    <d v="2024-01-17T00:00:00"/>
    <n v="5"/>
    <s v="OK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s v="OK"/>
    <n v="26633.58"/>
    <n v="18838.75"/>
    <n v="7794.83"/>
    <s v="Paid"/>
    <s v="Completed"/>
    <s v="OK"/>
    <n v="0.55000000000000004"/>
    <x v="134"/>
    <n v="-6222.84"/>
    <n v="-0.49330000000000002"/>
    <n v="1"/>
    <n v="2024"/>
    <s v="CLEAN"/>
  </r>
  <r>
    <s v="ORD-2024-10240"/>
    <d v="2024-09-21T00:00:00"/>
    <d v="2024-09-21T00:00:00"/>
    <n v="0"/>
    <s v="OK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s v="OK"/>
    <n v="3136.1"/>
    <n v="2279.4899999999998"/>
    <n v="856.61"/>
    <s v="Paid"/>
    <s v="Completed"/>
    <s v="OK"/>
    <n v="0.2"/>
    <x v="135"/>
    <n v="856.61"/>
    <n v="0.27310000000000001"/>
    <n v="9"/>
    <n v="2024"/>
    <s v="CLEAN"/>
  </r>
  <r>
    <s v="ORD-2024-10241"/>
    <d v="2024-12-17T00:00:00"/>
    <d v="2024-12-23T00:00:00"/>
    <n v="6"/>
    <s v="OK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s v="OK"/>
    <n v="20835.900000000001"/>
    <n v="13928.19"/>
    <n v="6907.71"/>
    <s v="Paid"/>
    <s v="Completed"/>
    <s v="OK"/>
    <n v="0"/>
    <x v="136"/>
    <n v="6907.71"/>
    <n v="0.33150000000000002"/>
    <n v="12"/>
    <n v="2024"/>
    <s v="CLEAN"/>
  </r>
  <r>
    <s v="ORD-2024-10245"/>
    <d v="2024-08-23T00:00:00"/>
    <d v="2024-08-24T00:00:00"/>
    <n v="1"/>
    <s v="OK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s v="OK"/>
    <n v="6131.34"/>
    <n v="4060.88"/>
    <n v="2070.46"/>
    <s v="Paid"/>
    <s v="Completed"/>
    <s v="OK"/>
    <n v="0"/>
    <x v="137"/>
    <n v="2070.46"/>
    <n v="0.3377"/>
    <n v="8"/>
    <n v="2024"/>
    <s v="CLEAN"/>
  </r>
  <r>
    <s v="ORD-2024-10246"/>
    <d v="2024-10-18T00:00:00"/>
    <d v="2024-10-24T00:00:00"/>
    <n v="6"/>
    <s v="OK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s v="OK"/>
    <n v="9827.7900000000009"/>
    <n v="5478.28"/>
    <n v="4349.51"/>
    <s v="Paid"/>
    <s v="Completed"/>
    <s v="OK"/>
    <n v="0"/>
    <x v="138"/>
    <n v="4349.51"/>
    <n v="0.44259999999999999"/>
    <n v="10"/>
    <n v="2024"/>
    <s v="CLEAN"/>
  </r>
  <r>
    <s v="ORD-2024-10247"/>
    <d v="2024-05-04T00:00:00"/>
    <d v="2024-05-09T00:00:00"/>
    <n v="5"/>
    <s v="OK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s v="OK"/>
    <n v="521.89"/>
    <n v="444.52"/>
    <n v="77.37"/>
    <s v="Refunded"/>
    <s v="Cancelled"/>
    <s v="OK"/>
    <n v="0.25"/>
    <x v="139"/>
    <n v="77.37"/>
    <n v="0.1482"/>
    <n v="5"/>
    <n v="2024"/>
    <s v="CLEAN"/>
  </r>
  <r>
    <s v="ORD-2024-10248"/>
    <d v="2024-07-25T00:00:00"/>
    <d v="2024-08-01T00:00:00"/>
    <n v="7"/>
    <s v="OK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s v="OK"/>
    <n v="14960.4"/>
    <n v="12500.84"/>
    <n v="2459.56"/>
    <s v="Paid"/>
    <s v="Completed"/>
    <s v="OK"/>
    <n v="0.25"/>
    <x v="140"/>
    <n v="2459.56"/>
    <n v="0.16439999999999999"/>
    <n v="7"/>
    <n v="2024"/>
    <s v="CLEAN"/>
  </r>
  <r>
    <s v="ORD-2024-10249"/>
    <d v="2024-06-02T00:00:00"/>
    <d v="2024-07-06T00:00:00"/>
    <n v="34"/>
    <s v="OK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s v="OK"/>
    <n v="6027.51"/>
    <n v="4883.82"/>
    <n v="1143.69"/>
    <s v="Paid"/>
    <s v="Completed"/>
    <s v="OK"/>
    <n v="0.15"/>
    <x v="141"/>
    <n v="1143.69"/>
    <n v="0.18970000000000001"/>
    <n v="6"/>
    <n v="2024"/>
    <s v="CLEAN"/>
  </r>
  <r>
    <s v="ORD-2024-10251"/>
    <d v="2024-02-21T00:00:00"/>
    <d v="2024-02-27T00:00:00"/>
    <n v="6"/>
    <s v="OK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s v="OK"/>
    <n v="14338.9"/>
    <n v="11897.65"/>
    <n v="2441.25"/>
    <s v="Pending"/>
    <s v="Returned"/>
    <s v="OK"/>
    <n v="0.15"/>
    <x v="142"/>
    <n v="2441.2600000000002"/>
    <n v="0.17030000000000001"/>
    <n v="2"/>
    <n v="2024"/>
    <s v="CLEAN"/>
  </r>
  <r>
    <s v="ORD-2024-10254"/>
    <d v="2024-09-12T00:00:00"/>
    <d v="2024-09-13T00:00:00"/>
    <n v="1"/>
    <s v="OK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s v="OK"/>
    <n v="4746.8999999999996"/>
    <n v="2825.38"/>
    <n v="1472.89"/>
    <s v="Refunded"/>
    <s v="Cancelled"/>
    <s v="OK"/>
    <n v="0.05"/>
    <x v="143"/>
    <n v="1921.52"/>
    <n v="0.40479999999999999"/>
    <n v="9"/>
    <n v="2024"/>
    <s v="CLEAN"/>
  </r>
  <r>
    <s v="ORD-2024-10257"/>
    <d v="2024-11-05T00:00:00"/>
    <d v="2024-11-03T00:00:00"/>
    <n v="-2"/>
    <s v="INVALID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s v="OK"/>
    <n v="19328.22"/>
    <n v="12039.5"/>
    <n v="7288.72"/>
    <s v="Paid"/>
    <s v="Completed"/>
    <s v="OK"/>
    <n v="0.05"/>
    <x v="144"/>
    <n v="7288.72"/>
    <n v="0.37709999999999999"/>
    <n v="11"/>
    <n v="2024"/>
    <s v="INVALID"/>
  </r>
  <r>
    <s v="ORD-2024-10259"/>
    <d v="2024-12-30T00:00:00"/>
    <d v="2025-01-04T00:00:00"/>
    <n v="5"/>
    <s v="OK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s v="OK"/>
    <n v="5580.11"/>
    <n v="4307.01"/>
    <n v="1273.0999999999999"/>
    <s v="Paid"/>
    <s v="Completed"/>
    <s v="OK"/>
    <n v="0.25"/>
    <x v="145"/>
    <n v="1273.0999999999999"/>
    <n v="0.2281"/>
    <n v="12"/>
    <n v="2024"/>
    <s v="CLEAN"/>
  </r>
  <r>
    <s v="ORD-2024-10260"/>
    <d v="2024-06-21T00:00:00"/>
    <d v="2024-06-29T00:00:00"/>
    <n v="8"/>
    <s v="OK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s v="OK"/>
    <n v="18265.09"/>
    <n v="10437.14"/>
    <n v="7827.95"/>
    <s v="Paid"/>
    <s v="Completed"/>
    <s v="OK"/>
    <n v="0.2"/>
    <x v="146"/>
    <n v="7827.95"/>
    <n v="0.42859999999999998"/>
    <n v="6"/>
    <n v="2024"/>
    <s v="CLEAN"/>
  </r>
  <r>
    <s v="ORD-2024-10265"/>
    <d v="2024-05-16T00:00:00"/>
    <d v="2024-05-21T00:00:00"/>
    <n v="5"/>
    <s v="OK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s v="OK"/>
    <n v="6012.28"/>
    <n v="3927.64"/>
    <n v="2084.64"/>
    <s v="Paid"/>
    <s v="Completed"/>
    <s v="OK"/>
    <n v="0"/>
    <x v="147"/>
    <n v="2084.64"/>
    <n v="0.34670000000000001"/>
    <n v="5"/>
    <n v="2024"/>
    <s v="CLEAN"/>
  </r>
  <r>
    <s v="ORD-2024-10266"/>
    <d v="2024-11-14T00:00:00"/>
    <d v="2024-11-22T00:00:00"/>
    <n v="8"/>
    <s v="OK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s v="OK"/>
    <n v="495.01"/>
    <n v="285.13"/>
    <n v="209.88"/>
    <s v="Refunded"/>
    <s v="Cancelled"/>
    <s v="OK"/>
    <n v="0.15"/>
    <x v="148"/>
    <n v="209.88"/>
    <n v="0.42399999999999999"/>
    <n v="11"/>
    <n v="2024"/>
    <s v="CLEAN"/>
  </r>
  <r>
    <s v="ORD-2024-10271"/>
    <d v="2024-01-12T00:00:00"/>
    <d v="2024-01-13T00:00:00"/>
    <n v="1"/>
    <s v="OK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s v="OK"/>
    <n v="2482.3200000000002"/>
    <n v="1520.21"/>
    <n v="962.11"/>
    <s v="Paid"/>
    <s v="Completed"/>
    <s v="OK"/>
    <n v="0"/>
    <x v="149"/>
    <n v="962.11"/>
    <n v="0.3876"/>
    <n v="1"/>
    <n v="2024"/>
    <s v="CLEAN"/>
  </r>
  <r>
    <s v="ORD-2024-10272"/>
    <d v="2024-12-21T00:00:00"/>
    <d v="2024-12-25T00:00:00"/>
    <n v="4"/>
    <s v="OK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s v="OK"/>
    <n v="11674.25"/>
    <n v="9621.19"/>
    <n v="2053.06"/>
    <s v="Failed"/>
    <s v="Cancelled"/>
    <s v="OK"/>
    <n v="0"/>
    <x v="150"/>
    <n v="2053.06"/>
    <n v="0.1759"/>
    <n v="12"/>
    <n v="2024"/>
    <s v="INVALID"/>
  </r>
  <r>
    <s v="ORD-2024-10273"/>
    <d v="2024-08-18T00:00:00"/>
    <d v="2024-08-24T00:00:00"/>
    <n v="6"/>
    <s v="OK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s v="OK"/>
    <n v="3510.42"/>
    <n v="2191.5"/>
    <n v="1213.48"/>
    <s v="Paid"/>
    <s v="Completed"/>
    <s v=" ORIGINAL"/>
    <n v="0.1"/>
    <x v="151"/>
    <n v="1318.92"/>
    <n v="0.37569999999999998"/>
    <n v="8"/>
    <n v="2024"/>
    <s v="CLEAN"/>
  </r>
  <r>
    <s v="ORD-2024-10273"/>
    <d v="2024-08-18T00:00:00"/>
    <d v="2024-08-24T00:00:00"/>
    <n v="6"/>
    <s v="OK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s v="OK"/>
    <n v="3797.79"/>
    <n v="2191.5"/>
    <n v="1213.48"/>
    <s v="Paid"/>
    <s v="Returned"/>
    <s v="CONFLICTING DUPLICATE - REVIEW"/>
    <n v="0.1"/>
    <x v="151"/>
    <n v="1318.92"/>
    <n v="0.37569999999999998"/>
    <n v="8"/>
    <n v="2024"/>
    <s v="CLEAN"/>
  </r>
  <r>
    <s v="ORD-2024-10275"/>
    <d v="2024-07-04T00:00:00"/>
    <d v="2024-04-14T00:00:00"/>
    <n v="-81"/>
    <s v="INVALID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s v="OK"/>
    <n v="21658.22"/>
    <n v="15490.69"/>
    <n v="6167.53"/>
    <s v="Failed"/>
    <s v="Returned"/>
    <s v="OK"/>
    <n v="0.15"/>
    <x v="152"/>
    <n v="6167.53"/>
    <n v="0.2848"/>
    <n v="7"/>
    <n v="2024"/>
    <s v="INVALID"/>
  </r>
  <r>
    <s v="ORD-2024-10276"/>
    <d v="2024-02-15T00:00:00"/>
    <d v="2024-02-22T00:00:00"/>
    <n v="7"/>
    <s v="OK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s v="OK"/>
    <n v="980.51"/>
    <n v="660.92"/>
    <n v="319.58999999999997"/>
    <s v="Paid"/>
    <s v="Completed"/>
    <s v="OK"/>
    <n v="0"/>
    <x v="153"/>
    <n v="319.58999999999997"/>
    <n v="0.32590000000000002"/>
    <n v="2"/>
    <n v="2024"/>
    <s v="CLEAN"/>
  </r>
  <r>
    <s v="ORD-2024-10277"/>
    <d v="2024-01-22T00:00:00"/>
    <d v="2024-01-23T00:00:00"/>
    <n v="1"/>
    <s v="OK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s v="INVALID-NEGATIVE"/>
    <n v="15261.89"/>
    <n v="8413.5300000000007"/>
    <n v="6848.36"/>
    <s v="Paid"/>
    <s v="Completed"/>
    <s v="OK"/>
    <n v="0"/>
    <x v="154"/>
    <n v="11935.65"/>
    <n v="0.58650000000000002"/>
    <n v="1"/>
    <n v="2024"/>
    <s v="INVALID"/>
  </r>
  <r>
    <s v="ORD-2024-10280"/>
    <d v="2024-04-09T00:00:00"/>
    <d v="2024-04-10T00:00:00"/>
    <n v="1"/>
    <s v="OK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s v="OK"/>
    <n v="4141.16"/>
    <n v="2754.17"/>
    <n v="1386.99"/>
    <s v="Paid"/>
    <s v="Completed"/>
    <s v="OK"/>
    <n v="0.05"/>
    <x v="155"/>
    <n v="1386.99"/>
    <n v="0.33489999999999998"/>
    <n v="4"/>
    <n v="2024"/>
    <s v="CLEAN"/>
  </r>
  <r>
    <s v="ORD-2024-10281"/>
    <d v="2024-12-23T00:00:00"/>
    <d v="2024-12-26T00:00:00"/>
    <n v="3"/>
    <s v="OK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s v="OK"/>
    <n v="8943.0300000000007"/>
    <n v="5165.38"/>
    <n v="3777.65"/>
    <s v="Paid"/>
    <s v="Completed"/>
    <s v="OK"/>
    <n v="0"/>
    <x v="156"/>
    <n v="3777.65"/>
    <n v="0.4224"/>
    <n v="12"/>
    <n v="2024"/>
    <s v="CLEAN"/>
  </r>
  <r>
    <s v="ORD-2024-10283"/>
    <d v="2024-10-01T00:00:00"/>
    <d v="2024-10-02T00:00:00"/>
    <n v="1"/>
    <s v="OK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s v="OK"/>
    <n v="4596"/>
    <n v="3220.33"/>
    <n v="1375.67"/>
    <s v="Paid"/>
    <s v="Completed"/>
    <s v="OK"/>
    <n v="0"/>
    <x v="157"/>
    <n v="1375.67"/>
    <n v="0.29930000000000001"/>
    <n v="10"/>
    <n v="2024"/>
    <s v="CLEAN"/>
  </r>
  <r>
    <s v="ORD-2024-10285"/>
    <d v="2024-12-08T00:00:00"/>
    <d v="2024-12-14T00:00:00"/>
    <n v="6"/>
    <s v="OK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s v="OK"/>
    <n v="4730.76"/>
    <n v="3139.73"/>
    <n v="1591.03"/>
    <s v="Paid"/>
    <s v="Returned"/>
    <s v="OK"/>
    <n v="0"/>
    <x v="158"/>
    <n v="1591.03"/>
    <n v="0.33629999999999999"/>
    <n v="12"/>
    <n v="2024"/>
    <s v="CLEAN"/>
  </r>
  <r>
    <s v="ORD-2024-10287"/>
    <d v="2024-02-28T00:00:00"/>
    <d v="2024-03-02T00:00:00"/>
    <n v="3"/>
    <s v="OK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s v="OK"/>
    <n v="4421.34"/>
    <n v="2489.98"/>
    <n v="1931.36"/>
    <s v="Pending"/>
    <s v="Returned"/>
    <s v="OK"/>
    <n v="0.1"/>
    <x v="159"/>
    <n v="1931.36"/>
    <n v="0.43680000000000002"/>
    <n v="2"/>
    <n v="2024"/>
    <s v="CLEAN"/>
  </r>
  <r>
    <s v="ORD-2024-10288"/>
    <d v="2024-09-05T00:00:00"/>
    <d v="2024-07-09T00:00:00"/>
    <n v="-58"/>
    <s v="INVALID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s v="OK"/>
    <n v="6516.93"/>
    <n v="4511.54"/>
    <n v="2005.39"/>
    <s v="Paid"/>
    <s v="Cancelled"/>
    <s v="OK"/>
    <n v="0.15"/>
    <x v="160"/>
    <n v="2005.39"/>
    <n v="0.30769999999999997"/>
    <n v="9"/>
    <n v="2024"/>
    <s v="INVALID"/>
  </r>
  <r>
    <s v="ORD-2024-10289"/>
    <d v="2024-06-24T00:00:00"/>
    <d v="2024-06-24T00:00:00"/>
    <n v="0"/>
    <s v="OK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s v="OK"/>
    <n v="7411.83"/>
    <n v="4904.63"/>
    <n v="2507.1999999999998"/>
    <s v="Paid"/>
    <s v="Completed"/>
    <s v="OK"/>
    <n v="0.15"/>
    <x v="161"/>
    <n v="2507.1999999999998"/>
    <n v="0.33829999999999999"/>
    <n v="6"/>
    <n v="2024"/>
    <s v="CLEAN"/>
  </r>
  <r>
    <s v="ORD-2024-10292"/>
    <d v="2024-04-05T00:00:00"/>
    <d v="2024-04-10T00:00:00"/>
    <n v="5"/>
    <s v="OK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s v="OK"/>
    <n v="9685.98"/>
    <n v="7730.04"/>
    <n v="1955.94"/>
    <s v="Paid"/>
    <s v="Completed"/>
    <s v="OK"/>
    <n v="0.25"/>
    <x v="162"/>
    <n v="1955.94"/>
    <n v="0.2019"/>
    <n v="4"/>
    <n v="2024"/>
    <s v="CLEAN"/>
  </r>
  <r>
    <s v="ORD-2024-10294"/>
    <d v="2024-03-07T00:00:00"/>
    <d v="2024-11-03T00:00:00"/>
    <n v="241"/>
    <s v="OK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s v="OK"/>
    <n v="8362.8700000000008"/>
    <n v="6541.04"/>
    <n v="1821.83"/>
    <s v="Paid"/>
    <s v="Completed"/>
    <s v="OK"/>
    <n v="0.65"/>
    <x v="163"/>
    <n v="-3459.98"/>
    <n v="-1.123"/>
    <n v="3"/>
    <n v="2024"/>
    <s v="CLEAN"/>
  </r>
  <r>
    <s v="ORD-2024-10298"/>
    <d v="2024-10-29T00:00:00"/>
    <d v="2024-06-11T00:00:00"/>
    <n v="-140"/>
    <s v="INVALID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s v="OK"/>
    <n v="5966.59"/>
    <n v="3994.72"/>
    <n v="1971.87"/>
    <s v="Paid"/>
    <s v="Completed"/>
    <s v="OK"/>
    <n v="0.15"/>
    <x v="164"/>
    <n v="1971.87"/>
    <n v="0.33050000000000002"/>
    <n v="10"/>
    <n v="2024"/>
    <s v="INVALID"/>
  </r>
  <r>
    <s v="ORD-2024-10300"/>
    <d v="2024-06-11T00:00:00"/>
    <d v="2024-11-12T00:00:00"/>
    <n v="154"/>
    <s v="OK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s v="OK"/>
    <n v="10830.02"/>
    <n v="7055.31"/>
    <n v="3774.71"/>
    <s v="Paid"/>
    <s v="Completed"/>
    <s v="OK"/>
    <n v="0.1"/>
    <x v="165"/>
    <n v="3774.71"/>
    <n v="0.34849999999999998"/>
    <n v="6"/>
    <n v="2024"/>
    <s v="CLEAN"/>
  </r>
  <r>
    <s v="ORD-2024-10301"/>
    <d v="2024-04-15T00:00:00"/>
    <d v="2024-04-23T00:00:00"/>
    <n v="8"/>
    <s v="OK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s v="OK"/>
    <n v="31539.29"/>
    <n v="22100.14"/>
    <n v="9439.15"/>
    <s v="Paid"/>
    <s v="Completed"/>
    <s v="OK"/>
    <n v="0.1"/>
    <x v="166"/>
    <n v="9439.15"/>
    <n v="0.29930000000000001"/>
    <n v="4"/>
    <n v="2024"/>
    <s v="CLEAN"/>
  </r>
  <r>
    <s v="ORD-2024-10304"/>
    <d v="2024-06-23T00:00:00"/>
    <d v="2024-06-28T00:00:00"/>
    <n v="5"/>
    <s v="OK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s v="OK"/>
    <n v="2363.65"/>
    <n v="1876.1"/>
    <n v="487.55"/>
    <s v="Pending"/>
    <s v="Returned"/>
    <s v="OK"/>
    <n v="0.1"/>
    <x v="167"/>
    <n v="487.55"/>
    <n v="0.20630000000000001"/>
    <n v="6"/>
    <n v="2024"/>
    <s v="CLEAN"/>
  </r>
  <r>
    <s v="ORD-2024-10305"/>
    <d v="2024-03-06T00:00:00"/>
    <d v="2024-03-13T00:00:00"/>
    <n v="7"/>
    <s v="OK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s v="OK"/>
    <n v="12976.47"/>
    <n v="10019.98"/>
    <n v="2956.49"/>
    <s v="Paid"/>
    <s v="Completed"/>
    <s v="OK"/>
    <n v="0.1"/>
    <x v="168"/>
    <n v="2956.49"/>
    <n v="0.2278"/>
    <n v="3"/>
    <n v="2024"/>
    <s v="CLEAN"/>
  </r>
  <r>
    <s v="ORD-2024-10306"/>
    <d v="2024-05-01T00:00:00"/>
    <d v="2024-05-02T00:00:00"/>
    <n v="1"/>
    <s v="OK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s v="OK"/>
    <n v="13299.39"/>
    <n v="9851.91"/>
    <n v="3447.48"/>
    <s v="Paid"/>
    <s v="Cancelled"/>
    <s v="OK"/>
    <n v="0.55000000000000004"/>
    <x v="169"/>
    <n v="-2371"/>
    <n v="-0.31690000000000002"/>
    <n v="5"/>
    <n v="2024"/>
    <s v="CLEAN"/>
  </r>
  <r>
    <s v="ORD-2024-10310"/>
    <d v="2024-07-20T00:00:00"/>
    <d v="2024-07-22T00:00:00"/>
    <n v="2"/>
    <s v="OK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s v="OK"/>
    <n v="12982.6"/>
    <n v="7246.36"/>
    <n v="5736.24"/>
    <s v="Paid"/>
    <s v="Cancelled"/>
    <s v="OK"/>
    <n v="0.1"/>
    <x v="170"/>
    <n v="5736.24"/>
    <n v="0.44180000000000003"/>
    <n v="7"/>
    <n v="2024"/>
    <s v="CLEAN"/>
  </r>
  <r>
    <s v="ORD-2024-10311"/>
    <d v="2024-04-07T00:00:00"/>
    <d v="2024-08-07T00:00:00"/>
    <n v="122"/>
    <s v="OK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s v="OK"/>
    <n v="16274"/>
    <n v="9424.25"/>
    <n v="6849.75"/>
    <s v="Paid"/>
    <s v="Completed"/>
    <s v="OK"/>
    <n v="0"/>
    <x v="171"/>
    <n v="6849.75"/>
    <n v="0.4209"/>
    <n v="4"/>
    <n v="2024"/>
    <s v="CLEAN"/>
  </r>
  <r>
    <s v="ORD-2024-10312"/>
    <d v="2024-04-27T00:00:00"/>
    <d v="2024-02-05T00:00:00"/>
    <n v="-82"/>
    <s v="INVALID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s v="OK"/>
    <n v="2493.1799999999998"/>
    <n v="1764"/>
    <n v="729.18"/>
    <s v="Paid"/>
    <s v="Completed"/>
    <s v="OK"/>
    <n v="0.1"/>
    <x v="172"/>
    <n v="729.18"/>
    <n v="0.29249999999999998"/>
    <n v="4"/>
    <n v="2024"/>
    <s v="INVALID"/>
  </r>
  <r>
    <s v="ORD-2024-10313"/>
    <d v="2024-07-31T00:00:00"/>
    <d v="2024-04-08T00:00:00"/>
    <n v="-114"/>
    <s v="INVALID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n v="0"/>
    <s v="OK"/>
    <n v="15688.44"/>
    <n v="10047.33"/>
    <n v="5641.11"/>
    <s v="Paid"/>
    <s v="Cancelled"/>
    <s v="OK"/>
    <n v="0"/>
    <x v="173"/>
    <n v="10870.59"/>
    <n v="0.51970000000000005"/>
    <n v="7"/>
    <n v="2024"/>
    <s v="INVALID"/>
  </r>
  <r>
    <s v="ORD-2024-10316"/>
    <d v="2024-07-02T00:00:00"/>
    <d v="2024-07-08T00:00:00"/>
    <n v="6"/>
    <s v="OK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s v="OK"/>
    <n v="29500.92"/>
    <n v="17989.68"/>
    <n v="11511.24"/>
    <s v="Pending"/>
    <s v="Returned"/>
    <s v="OK"/>
    <n v="0.05"/>
    <x v="174"/>
    <n v="11511.24"/>
    <n v="0.39019999999999999"/>
    <n v="7"/>
    <n v="2024"/>
    <s v="CLEAN"/>
  </r>
  <r>
    <s v="ORD-2024-10317"/>
    <d v="2024-02-16T00:00:00"/>
    <d v="2024-02-18T00:00:00"/>
    <n v="2"/>
    <s v="OK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s v="OK"/>
    <n v="3116.05"/>
    <n v="1956.63"/>
    <n v="1159.42"/>
    <s v="Paid"/>
    <s v="Cancelled"/>
    <s v="OK"/>
    <n v="0.2"/>
    <x v="175"/>
    <n v="1159.42"/>
    <n v="0.37209999999999999"/>
    <n v="2"/>
    <n v="2024"/>
    <s v="CLEAN"/>
  </r>
  <r>
    <s v="ORD-2024-10319"/>
    <d v="2024-04-25T00:00:00"/>
    <d v="2024-04-30T00:00:00"/>
    <n v="5"/>
    <s v="OK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s v="OK"/>
    <n v="11203.54"/>
    <n v="8452.93"/>
    <n v="2750.61"/>
    <s v="Paid"/>
    <s v="Completed"/>
    <s v="OK"/>
    <n v="0.1"/>
    <x v="176"/>
    <n v="2750.61"/>
    <n v="0.2455"/>
    <n v="4"/>
    <n v="2024"/>
    <s v="CLEAN"/>
  </r>
  <r>
    <s v="ORD-2024-10320"/>
    <d v="2024-08-21T00:00:00"/>
    <d v="2024-08-25T00:00:00"/>
    <n v="4"/>
    <s v="OK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s v="OK"/>
    <n v="270.27999999999997"/>
    <n v="156.34"/>
    <n v="113.94"/>
    <s v="Paid"/>
    <s v="Completed"/>
    <s v="OK"/>
    <n v="0"/>
    <x v="177"/>
    <n v="113.94"/>
    <n v="0.42159999999999997"/>
    <n v="8"/>
    <n v="2024"/>
    <s v="CLEAN"/>
  </r>
  <r>
    <s v="ORD-2024-10321"/>
    <d v="2024-12-04T00:00:00"/>
    <d v="2024-12-06T00:00:00"/>
    <n v="2"/>
    <s v="OK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70%"/>
    <s v="INVALID-ABOVE"/>
    <n v="2628.42"/>
    <n v="1541.54"/>
    <n v="1086.8800000000001"/>
    <s v="Pending"/>
    <s v="Returned"/>
    <s v="OK"/>
    <n v="0.7"/>
    <x v="178"/>
    <n v="-753.01"/>
    <n v="-0.95499999999999996"/>
    <n v="12"/>
    <n v="2024"/>
    <s v="INVALID"/>
  </r>
  <r>
    <s v="ORD-2024-10322"/>
    <d v="2024-06-23T00:00:00"/>
    <d v="2024-06-30T00:00:00"/>
    <n v="7"/>
    <s v="OK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s v="OK"/>
    <n v="2699.28"/>
    <n v="1759.76"/>
    <n v="939.52"/>
    <s v="Failed"/>
    <s v="Cancelled"/>
    <s v="OK"/>
    <n v="0"/>
    <x v="179"/>
    <n v="939.52"/>
    <n v="0.34810000000000002"/>
    <n v="6"/>
    <n v="2024"/>
    <s v="INVALID"/>
  </r>
  <r>
    <s v="ORD-2024-10323"/>
    <d v="2024-11-12T00:00:00"/>
    <d v="2024-12-11T00:00:00"/>
    <n v="29"/>
    <s v="OK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s v="OK"/>
    <n v="6984.35"/>
    <n v="4023.63"/>
    <n v="2960.72"/>
    <s v="Paid"/>
    <s v="Completed"/>
    <s v="OK"/>
    <n v="0.15"/>
    <x v="180"/>
    <n v="2960.72"/>
    <n v="0.4239"/>
    <n v="11"/>
    <n v="2024"/>
    <s v="CLEAN"/>
  </r>
  <r>
    <s v="ORD-2024-10324"/>
    <d v="2024-02-25T00:00:00"/>
    <d v="2024-02-29T00:00:00"/>
    <n v="4"/>
    <s v="OK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s v="OK"/>
    <n v="10185.67"/>
    <n v="6479.31"/>
    <n v="3706.36"/>
    <s v="Paid"/>
    <s v="Completed"/>
    <s v="OK"/>
    <n v="0.15"/>
    <x v="181"/>
    <n v="3706.36"/>
    <n v="0.3639"/>
    <n v="2"/>
    <n v="2024"/>
    <s v="CLEAN"/>
  </r>
  <r>
    <s v="ORD-2024-10328"/>
    <d v="2024-07-24T00:00:00"/>
    <d v="2024-07-27T00:00:00"/>
    <n v="3"/>
    <s v="OK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s v="OK"/>
    <n v="4402.92"/>
    <n v="2993.94"/>
    <n v="1408.98"/>
    <s v="Pending"/>
    <s v="Cancelled"/>
    <s v="OK"/>
    <n v="0.2"/>
    <x v="182"/>
    <n v="1408.98"/>
    <n v="0.32"/>
    <n v="7"/>
    <n v="2024"/>
    <s v="CLEAN"/>
  </r>
  <r>
    <s v="ORD-2024-10331"/>
    <d v="2024-05-16T00:00:00"/>
    <d v="2024-05-24T00:00:00"/>
    <n v="8"/>
    <s v="OK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s v="OK"/>
    <n v="783.09"/>
    <n v="503.89"/>
    <n v="279.2"/>
    <s v="Failed"/>
    <s v="Cancelled"/>
    <s v="OK"/>
    <n v="0"/>
    <x v="183"/>
    <n v="279.2"/>
    <n v="0.35649999999999998"/>
    <n v="5"/>
    <n v="2024"/>
    <s v="INVALID"/>
  </r>
  <r>
    <s v="ORD-2024-10332"/>
    <d v="2024-04-12T00:00:00"/>
    <d v="2024-12-06T00:00:00"/>
    <n v="238"/>
    <s v="OK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s v="OK"/>
    <n v="10742.64"/>
    <n v="6477.37"/>
    <n v="4265.2700000000004"/>
    <s v="Paid"/>
    <s v="Returned"/>
    <s v=" ORIGINAL"/>
    <n v="0"/>
    <x v="184"/>
    <n v="4265.2700000000004"/>
    <n v="0.39700000000000002"/>
    <n v="4"/>
    <n v="2024"/>
    <s v="CLEAN"/>
  </r>
  <r>
    <s v="ORD-2024-10332"/>
    <d v="2024-04-12T00:00:00"/>
    <d v="2024-12-06T00:00:00"/>
    <n v="238"/>
    <s v="OK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s v="OK"/>
    <n v="10989.89"/>
    <n v="6477.37"/>
    <n v="4265.2700000000004"/>
    <s v="Paid"/>
    <s v="Completed"/>
    <s v="CONFLICTING DUPLICATE - REVIEW"/>
    <n v="0"/>
    <x v="184"/>
    <n v="4265.2700000000004"/>
    <n v="0.39700000000000002"/>
    <n v="4"/>
    <n v="2024"/>
    <s v="CLEAN"/>
  </r>
  <r>
    <s v="ORD-2024-10335"/>
    <d v="2024-09-12T00:00:00"/>
    <d v="2024-09-17T00:00:00"/>
    <n v="5"/>
    <s v="OK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s v="OK"/>
    <n v="12969.92"/>
    <n v="9398.4599999999991"/>
    <n v="3571.46"/>
    <s v="Paid"/>
    <s v="Completed"/>
    <s v="OK"/>
    <n v="0.25"/>
    <x v="185"/>
    <n v="3571.46"/>
    <n v="0.27539999999999998"/>
    <n v="9"/>
    <n v="2024"/>
    <s v="CLEAN"/>
  </r>
  <r>
    <s v="ORD-2024-10337"/>
    <d v="2024-03-17T00:00:00"/>
    <d v="2024-03-21T00:00:00"/>
    <n v="4"/>
    <s v="OK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s v="OK"/>
    <n v="15940.56"/>
    <n v="12347.15"/>
    <n v="3593.41"/>
    <s v="Paid"/>
    <s v="Completed"/>
    <s v="OK"/>
    <n v="0"/>
    <x v="186"/>
    <n v="3593.41"/>
    <n v="0.22539999999999999"/>
    <n v="3"/>
    <n v="2024"/>
    <s v="CLEAN"/>
  </r>
  <r>
    <s v="ORD-2024-10338"/>
    <d v="2024-08-12T00:00:00"/>
    <d v="2024-08-18T00:00:00"/>
    <n v="6"/>
    <s v="OK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s v="OK"/>
    <n v="7090.44"/>
    <n v="5672.27"/>
    <n v="1262.8699999999999"/>
    <s v="Paid"/>
    <s v="Completed"/>
    <s v="OK"/>
    <n v="0"/>
    <x v="187"/>
    <n v="1418.17"/>
    <n v="0.2"/>
    <n v="8"/>
    <n v="2024"/>
    <s v="CLEAN"/>
  </r>
  <r>
    <s v="ORD-2024-10339"/>
    <d v="2024-08-12T00:00:00"/>
    <d v="2024-12-08T00:00:00"/>
    <n v="118"/>
    <s v="OK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s v="OK"/>
    <n v="26414.16"/>
    <n v="21822.53"/>
    <n v="4591.63"/>
    <s v="Paid"/>
    <s v="Completed"/>
    <s v="OK"/>
    <n v="0.25"/>
    <x v="188"/>
    <n v="4591.63"/>
    <n v="0.17380000000000001"/>
    <n v="8"/>
    <n v="2024"/>
    <s v="CLEAN"/>
  </r>
  <r>
    <s v="ORD-2024-10341"/>
    <d v="2024-01-21T00:00:00"/>
    <d v="2024-01-29T00:00:00"/>
    <n v="8"/>
    <s v="OK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s v="OK"/>
    <n v="18261.36"/>
    <n v="11399.94"/>
    <n v="6861.42"/>
    <s v="Paid"/>
    <s v="Completed"/>
    <s v="OK"/>
    <n v="0.1"/>
    <x v="189"/>
    <n v="6861.42"/>
    <n v="0.37569999999999998"/>
    <n v="1"/>
    <n v="2024"/>
    <s v="CLEAN"/>
  </r>
  <r>
    <s v="ORD-2024-10345"/>
    <d v="2024-11-03T00:00:00"/>
    <d v="2024-11-03T00:00:00"/>
    <n v="0"/>
    <s v="OK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s v="OK"/>
    <n v="31107.42"/>
    <n v="20146.66"/>
    <n v="10960.76"/>
    <s v="Pending"/>
    <s v="Returned"/>
    <s v="OK"/>
    <n v="0"/>
    <x v="190"/>
    <n v="10960.76"/>
    <n v="0.35239999999999999"/>
    <n v="11"/>
    <n v="2024"/>
    <s v="CLEAN"/>
  </r>
  <r>
    <s v="ORD-2024-10346"/>
    <d v="2024-09-14T00:00:00"/>
    <d v="2024-09-22T00:00:00"/>
    <n v="8"/>
    <s v="OK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s v="OK"/>
    <n v="5530.6"/>
    <n v="4453.1099999999997"/>
    <n v="1077.49"/>
    <s v="Paid"/>
    <s v="Completed"/>
    <s v="OK"/>
    <n v="0"/>
    <x v="191"/>
    <n v="1077.49"/>
    <n v="0.1948"/>
    <n v="9"/>
    <n v="2024"/>
    <s v="CLEAN"/>
  </r>
  <r>
    <s v="ORD-2024-10348"/>
    <d v="2024-01-12T00:00:00"/>
    <d v="2024-12-08T00:00:00"/>
    <n v="331"/>
    <s v="OK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s v="OK"/>
    <n v="11925.96"/>
    <n v="10103.51"/>
    <n v="1822.45"/>
    <s v="Refunded"/>
    <s v="Returned"/>
    <s v="OK"/>
    <n v="0.2"/>
    <x v="192"/>
    <n v="1822.45"/>
    <n v="0.15279999999999999"/>
    <n v="1"/>
    <n v="2024"/>
    <s v="CLEAN"/>
  </r>
  <r>
    <s v="ORD-2024-10349"/>
    <d v="2024-06-02T00:00:00"/>
    <d v="2024-06-07T00:00:00"/>
    <n v="5"/>
    <s v="OK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s v="OK"/>
    <n v="19306.759999999998"/>
    <n v="14442.38"/>
    <n v="4864.38"/>
    <s v="Paid"/>
    <s v="Completed"/>
    <s v="OK"/>
    <n v="0.25"/>
    <x v="193"/>
    <n v="4864.38"/>
    <n v="0.252"/>
    <n v="6"/>
    <n v="2024"/>
    <s v="CLEAN"/>
  </r>
  <r>
    <s v="ORD-2024-10351"/>
    <d v="2024-07-01T00:00:00"/>
    <d v="2024-01-14T00:00:00"/>
    <n v="-169"/>
    <s v="INVALID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s v="OK"/>
    <n v="11914.34"/>
    <n v="9771.24"/>
    <n v="2143.1"/>
    <s v="Refunded"/>
    <s v="Returned"/>
    <s v="OK"/>
    <n v="0.1"/>
    <x v="194"/>
    <n v="2143.1"/>
    <n v="0.1799"/>
    <n v="7"/>
    <n v="2024"/>
    <s v="INVALID"/>
  </r>
  <r>
    <s v="ORD-2024-10355"/>
    <d v="2024-12-27T00:00:00"/>
    <d v="2024-12-31T00:00:00"/>
    <n v="4"/>
    <s v="OK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s v="INVALID-NEGATIVE"/>
    <n v="20080.68"/>
    <n v="12908.84"/>
    <n v="7171.84"/>
    <s v="Pending"/>
    <s v="Cancelled"/>
    <s v="OK"/>
    <n v="0"/>
    <x v="195"/>
    <n v="7171.84"/>
    <n v="0.35720000000000002"/>
    <n v="12"/>
    <n v="2024"/>
    <s v="INVALID"/>
  </r>
  <r>
    <s v="ORD-2024-10356"/>
    <d v="2024-12-05T00:00:00"/>
    <d v="2024-05-09T00:00:00"/>
    <n v="-210"/>
    <s v="INVALID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s v="OK"/>
    <n v="16017.4"/>
    <n v="9557.7999999999993"/>
    <n v="6459.6"/>
    <s v="Pending"/>
    <s v="Cancelled"/>
    <s v="OK"/>
    <n v="0"/>
    <x v="196"/>
    <n v="6459.6"/>
    <n v="0.40329999999999999"/>
    <n v="12"/>
    <n v="2024"/>
    <s v="INVALID"/>
  </r>
  <r>
    <s v="ORD-2024-10360"/>
    <d v="2024-08-21T00:00:00"/>
    <d v="2024-08-22T00:00:00"/>
    <n v="1"/>
    <s v="OK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s v="OK"/>
    <n v="4997.38"/>
    <n v="2971.39"/>
    <n v="2025.99"/>
    <s v="Paid"/>
    <s v="Completed"/>
    <s v="OK"/>
    <n v="0.1"/>
    <x v="197"/>
    <n v="2025.99"/>
    <n v="0.40539999999999998"/>
    <n v="8"/>
    <n v="2024"/>
    <s v="CLEAN"/>
  </r>
  <r>
    <s v="ORD-2024-10361"/>
    <d v="2024-06-17T00:00:00"/>
    <d v="2024-06-20T00:00:00"/>
    <n v="3"/>
    <s v="OK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s v="OK"/>
    <n v="17669.400000000001"/>
    <n v="13718.77"/>
    <n v="3950.63"/>
    <s v="Refunded"/>
    <s v="Cancelled"/>
    <s v="OK"/>
    <n v="0.2"/>
    <x v="198"/>
    <n v="3950.63"/>
    <n v="0.22359999999999999"/>
    <n v="6"/>
    <n v="2024"/>
    <s v="CLEAN"/>
  </r>
  <r>
    <s v="ORD-2024-10363"/>
    <d v="2024-08-23T00:00:00"/>
    <d v="2024-08-25T00:00:00"/>
    <n v="2"/>
    <s v="OK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s v="OK"/>
    <n v="1866.41"/>
    <n v="1576.49"/>
    <n v="289.92"/>
    <s v="Paid"/>
    <s v="Completed"/>
    <s v="OK"/>
    <n v="0.05"/>
    <x v="199"/>
    <n v="289.92"/>
    <n v="0.15529999999999999"/>
    <n v="8"/>
    <n v="2024"/>
    <s v="CLEAN"/>
  </r>
  <r>
    <s v="ORD-2024-10366"/>
    <d v="2024-06-15T00:00:00"/>
    <d v="2024-06-21T00:00:00"/>
    <n v="6"/>
    <s v="OK"/>
    <s v="CUST-2203"/>
    <s v="Aditi Sen"/>
    <s v="Corporate"/>
    <x v="3"/>
    <s v="Goa"/>
    <s v="Panaji"/>
    <s v="Technology"/>
    <s v="Accessories"/>
    <s v="Basic Accessories 774"/>
    <s v="First Class"/>
    <n v="8"/>
    <n v="1706.4"/>
    <n v="0"/>
    <s v="OK"/>
    <n v="12968.64"/>
    <n v="10119.61"/>
    <n v="2849.03"/>
    <s v="Paid"/>
    <s v="Completed"/>
    <s v="OK"/>
    <n v="0"/>
    <x v="200"/>
    <n v="3531.59"/>
    <n v="0.25869999999999999"/>
    <n v="6"/>
    <n v="2024"/>
    <s v="CLEAN"/>
  </r>
  <r>
    <s v="ORD-2024-10368"/>
    <d v="2024-03-15T00:00:00"/>
    <d v="2024-03-16T00:00:00"/>
    <n v="1"/>
    <s v="OK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s v="OK"/>
    <n v="19456.96"/>
    <n v="14520.06"/>
    <n v="4936.8999999999996"/>
    <s v="Failed"/>
    <s v="Cancelled"/>
    <s v="OK"/>
    <n v="0.15"/>
    <x v="201"/>
    <n v="4936.8999999999996"/>
    <n v="0.25369999999999998"/>
    <n v="3"/>
    <n v="2024"/>
    <s v="INVALID"/>
  </r>
  <r>
    <s v="ORD-2024-10371"/>
    <d v="2024-08-15T00:00:00"/>
    <d v="2024-08-21T00:00:00"/>
    <n v="6"/>
    <s v="OK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s v="OK"/>
    <n v="13069.34"/>
    <n v="8768.59"/>
    <n v="4300.75"/>
    <s v="Paid"/>
    <s v="Completed"/>
    <s v="OK"/>
    <n v="0.2"/>
    <x v="202"/>
    <n v="4300.75"/>
    <n v="0.3291"/>
    <n v="8"/>
    <n v="2024"/>
    <s v="CLEAN"/>
  </r>
  <r>
    <s v="ORD-2024-10372"/>
    <d v="2024-01-22T00:00:00"/>
    <d v="2024-01-24T00:00:00"/>
    <n v="2"/>
    <s v="OK"/>
    <s v="CUST-2204"/>
    <s v="Diya Patel"/>
    <s v="Home Office"/>
    <x v="3"/>
    <s v="Maharashtra"/>
    <s v="Mumbai"/>
    <s v="Office Supplies"/>
    <s v="Art"/>
    <s v="Pro Art 906"/>
    <s v="Standard Class"/>
    <n v="6"/>
    <n v="1026.06"/>
    <n v="0"/>
    <s v="OK"/>
    <n v="4617.2700000000004"/>
    <n v="2981.94"/>
    <n v="1635.33"/>
    <s v="Refunded"/>
    <s v="Cancelled"/>
    <s v="OK"/>
    <n v="0"/>
    <x v="203"/>
    <n v="3174.42"/>
    <n v="0.51559999999999995"/>
    <n v="1"/>
    <n v="2024"/>
    <s v="CLEAN"/>
  </r>
  <r>
    <s v="ORD-2024-10376"/>
    <d v="2024-12-31T00:00:00"/>
    <d v="2025-01-04T00:00:00"/>
    <n v="4"/>
    <s v="OK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s v="OK"/>
    <n v="2624.87"/>
    <n v="2253.88"/>
    <n v="370.99"/>
    <s v="Paid"/>
    <s v="Completed"/>
    <s v="OK"/>
    <n v="0.25"/>
    <x v="204"/>
    <n v="370.99"/>
    <n v="0.14130000000000001"/>
    <n v="12"/>
    <n v="2024"/>
    <s v="CLEAN"/>
  </r>
  <r>
    <s v="ORD-2024-10377"/>
    <d v="2024-12-29T00:00:00"/>
    <d v="2024-12-31T00:00:00"/>
    <n v="2"/>
    <s v="OK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s v="OK"/>
    <n v="8854.94"/>
    <n v="7433.95"/>
    <n v="1420.99"/>
    <s v="Paid"/>
    <s v="Completed"/>
    <s v="OK"/>
    <n v="0.2"/>
    <x v="205"/>
    <n v="1420.99"/>
    <n v="0.1605"/>
    <n v="12"/>
    <n v="2024"/>
    <s v="CLEAN"/>
  </r>
  <r>
    <s v="ORD-2024-10380"/>
    <d v="2024-09-19T00:00:00"/>
    <d v="2024-09-23T00:00:00"/>
    <n v="4"/>
    <s v="OK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s v="OK"/>
    <n v="7956.76"/>
    <n v="4799.54"/>
    <n v="3157.22"/>
    <s v="Paid"/>
    <s v="Completed"/>
    <s v="OK"/>
    <n v="0"/>
    <x v="206"/>
    <n v="3157.22"/>
    <n v="0.39679999999999999"/>
    <n v="9"/>
    <n v="2024"/>
    <s v="CLEAN"/>
  </r>
  <r>
    <s v="ORD-2024-10381"/>
    <d v="2024-04-07T00:00:00"/>
    <d v="2024-04-14T00:00:00"/>
    <n v="7"/>
    <s v="OK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s v="OK"/>
    <n v="8384.44"/>
    <n v="4765.96"/>
    <n v="3618.48"/>
    <s v="Paid"/>
    <s v="Returned"/>
    <s v="OK"/>
    <n v="0.25"/>
    <x v="207"/>
    <n v="3618.48"/>
    <n v="0.43159999999999998"/>
    <n v="4"/>
    <n v="2024"/>
    <s v="CLEAN"/>
  </r>
  <r>
    <s v="ORD-2024-10385"/>
    <d v="2024-03-15T00:00:00"/>
    <d v="2024-03-20T00:00:00"/>
    <n v="5"/>
    <s v="OK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s v="OK"/>
    <n v="2822.1"/>
    <n v="1624.57"/>
    <n v="1197.53"/>
    <s v="Paid"/>
    <s v="Returned"/>
    <s v="OK"/>
    <n v="0.25"/>
    <x v="208"/>
    <n v="1197.53"/>
    <n v="0.42430000000000001"/>
    <n v="3"/>
    <n v="2024"/>
    <s v="CLEAN"/>
  </r>
  <r>
    <s v="ORD-2024-10389"/>
    <d v="2024-05-13T00:00:00"/>
    <d v="2024-05-18T00:00:00"/>
    <n v="5"/>
    <s v="OK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s v="OK"/>
    <n v="9385.77"/>
    <n v="6872.44"/>
    <n v="2783.66"/>
    <s v="Paid"/>
    <s v="Completed"/>
    <s v="OK"/>
    <n v="0"/>
    <x v="209"/>
    <n v="2513.33"/>
    <n v="0.26779999999999998"/>
    <n v="5"/>
    <n v="2024"/>
    <s v="CLEAN"/>
  </r>
  <r>
    <s v="ORD-2024-10390"/>
    <d v="2024-04-05T00:00:00"/>
    <d v="2024-04-13T00:00:00"/>
    <n v="8"/>
    <s v="OK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s v="OK"/>
    <n v="7750.16"/>
    <n v="5434.3"/>
    <n v="2315.86"/>
    <s v="Pending"/>
    <s v="Cancelled"/>
    <s v="OK"/>
    <n v="0.2"/>
    <x v="210"/>
    <n v="2315.86"/>
    <n v="0.29880000000000001"/>
    <n v="4"/>
    <n v="2024"/>
    <s v="CLEAN"/>
  </r>
  <r>
    <s v="ORD-2024-10391"/>
    <d v="2024-11-06T00:00:00"/>
    <d v="2024-11-11T00:00:00"/>
    <n v="5"/>
    <s v="OK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s v="OK"/>
    <n v="6135.23"/>
    <n v="3439.79"/>
    <n v="2695.44"/>
    <s v="Paid"/>
    <s v="Completed"/>
    <s v="OK"/>
    <n v="0.2"/>
    <x v="211"/>
    <n v="2695.44"/>
    <n v="0.43930000000000002"/>
    <n v="11"/>
    <n v="2024"/>
    <s v="CLEAN"/>
  </r>
  <r>
    <s v="ORD-2024-10393"/>
    <d v="2024-02-19T00:00:00"/>
    <d v="2024-02-22T00:00:00"/>
    <n v="3"/>
    <s v="OK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s v="OK"/>
    <n v="36477.089999999997"/>
    <n v="24525.48"/>
    <n v="11951.61"/>
    <s v="Paid"/>
    <s v="Completed"/>
    <s v="OK"/>
    <n v="0"/>
    <x v="212"/>
    <n v="11951.61"/>
    <n v="0.3276"/>
    <n v="2"/>
    <n v="2024"/>
    <s v="CLEAN"/>
  </r>
  <r>
    <s v="ORD-2024-10394"/>
    <d v="2024-08-23T00:00:00"/>
    <d v="2024-08-29T00:00:00"/>
    <n v="6"/>
    <s v="OK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s v="OK"/>
    <n v="3680.13"/>
    <n v="2967.46"/>
    <n v="712.67"/>
    <s v="Paid"/>
    <s v="Completed"/>
    <s v="OK"/>
    <n v="0.05"/>
    <x v="213"/>
    <n v="712.67"/>
    <n v="0.19370000000000001"/>
    <n v="8"/>
    <n v="2024"/>
    <s v="CLEAN"/>
  </r>
  <r>
    <s v="ORD-2024-10395"/>
    <d v="2024-03-04T00:00:00"/>
    <d v="2024-04-04T00:00:00"/>
    <n v="31"/>
    <s v="OK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s v="OK"/>
    <n v="27616.47"/>
    <n v="21225.26"/>
    <n v="6391.21"/>
    <s v="Paid"/>
    <s v="Completed"/>
    <s v="OK"/>
    <n v="0"/>
    <x v="214"/>
    <n v="6391.21"/>
    <n v="0.23139999999999999"/>
    <n v="3"/>
    <n v="2024"/>
    <s v="CLEAN"/>
  </r>
  <r>
    <s v="ORD-2024-10396"/>
    <d v="2024-06-06T00:00:00"/>
    <d v="2024-06-07T00:00:00"/>
    <n v="1"/>
    <s v="OK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s v="OK"/>
    <n v="5731.7"/>
    <n v="4115.5600000000004"/>
    <n v="1616.14"/>
    <s v="Paid"/>
    <s v="Completed"/>
    <s v="OK"/>
    <n v="0.05"/>
    <x v="215"/>
    <n v="1616.14"/>
    <n v="0.28199999999999997"/>
    <n v="6"/>
    <n v="2024"/>
    <s v="CLEAN"/>
  </r>
  <r>
    <s v="ORD-2024-10399"/>
    <d v="2024-07-19T00:00:00"/>
    <d v="2024-07-26T00:00:00"/>
    <n v="7"/>
    <s v="OK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s v="OK"/>
    <n v="2021.84"/>
    <n v="1355.22"/>
    <n v="666.62"/>
    <s v="Paid"/>
    <s v="Completed"/>
    <s v="OK"/>
    <n v="0.2"/>
    <x v="216"/>
    <n v="666.62"/>
    <n v="0.32969999999999999"/>
    <n v="7"/>
    <n v="2024"/>
    <s v="CLEAN"/>
  </r>
  <r>
    <s v="ORD-2024-10403"/>
    <d v="2024-03-22T00:00:00"/>
    <d v="2024-03-22T00:00:00"/>
    <n v="0"/>
    <s v="OK"/>
    <s v="CUST-7680"/>
    <s v="Priya Menon"/>
    <s v="Small Business"/>
    <x v="2"/>
    <s v="Karnataka"/>
    <s v="Bengaluru"/>
    <s v="Furniture"/>
    <s v="Tables"/>
    <s v="Smart Tables 829"/>
    <s v="Unknown"/>
    <n v="3"/>
    <n v="1365.26"/>
    <n v="0"/>
    <s v="OK"/>
    <n v="4095.78"/>
    <n v="2807.77"/>
    <n v="1288.01"/>
    <s v="Paid"/>
    <s v="Completed"/>
    <s v="OK"/>
    <n v="0"/>
    <x v="217"/>
    <n v="1288.01"/>
    <n v="0.3145"/>
    <n v="3"/>
    <n v="2024"/>
    <s v="WARNING"/>
  </r>
  <r>
    <s v="ORD-2024-10404"/>
    <d v="2024-09-30T00:00:00"/>
    <d v="2024-04-10T00:00:00"/>
    <n v="-173"/>
    <s v="INVALID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s v="OK"/>
    <n v="16683.189999999999"/>
    <n v="10301.16"/>
    <n v="6382.03"/>
    <s v="Paid"/>
    <s v="Returned"/>
    <s v="OK"/>
    <n v="0.05"/>
    <x v="218"/>
    <n v="6382.03"/>
    <n v="0.38250000000000001"/>
    <n v="9"/>
    <n v="2024"/>
    <s v="INVALID"/>
  </r>
  <r>
    <s v="ORD-2024-10405"/>
    <d v="2024-01-27T00:00:00"/>
    <d v="2024-02-03T00:00:00"/>
    <n v="7"/>
    <s v="OK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s v="OK"/>
    <n v="1078.83"/>
    <n v="926.35"/>
    <n v="152.47999999999999"/>
    <s v="Paid"/>
    <s v="Completed"/>
    <s v="OK"/>
    <n v="0"/>
    <x v="219"/>
    <n v="152.47999999999999"/>
    <n v="0.14130000000000001"/>
    <n v="1"/>
    <n v="2024"/>
    <s v="CLEAN"/>
  </r>
  <r>
    <s v="ORD-2024-10406"/>
    <d v="2024-09-23T00:00:00"/>
    <d v="2024-09-24T00:00:00"/>
    <n v="1"/>
    <s v="OK"/>
    <s v="CUST-9961"/>
    <s v="Aditi Sen"/>
    <s v="Home Office"/>
    <x v="3"/>
    <s v="Gujarat"/>
    <s v="Ahmedabad"/>
    <s v="Furniture"/>
    <s v="Bookcases"/>
    <s v="Max Bookcases 812"/>
    <s v="Unknown"/>
    <n v="7"/>
    <n v="3878.01"/>
    <n v="0.1"/>
    <s v="OK"/>
    <n v="24431.46"/>
    <n v="18202.36"/>
    <n v="6229.1"/>
    <s v="Paid"/>
    <s v="Completed"/>
    <s v="OK"/>
    <n v="0.1"/>
    <x v="220"/>
    <n v="6229.1"/>
    <n v="0.255"/>
    <n v="9"/>
    <n v="2024"/>
    <s v="WARNING"/>
  </r>
  <r>
    <s v="ORD-2024-10408"/>
    <d v="2024-05-12T00:00:00"/>
    <d v="2024-05-13T00:00:00"/>
    <n v="1"/>
    <s v="OK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s v="OK"/>
    <n v="7933.65"/>
    <n v="5698.42"/>
    <n v="2235.23"/>
    <s v="Paid"/>
    <s v="Completed"/>
    <s v="OK"/>
    <n v="0"/>
    <x v="221"/>
    <n v="2235.23"/>
    <n v="0.28170000000000001"/>
    <n v="5"/>
    <n v="2024"/>
    <s v="CLEAN"/>
  </r>
  <r>
    <s v="ORD-2024-10411"/>
    <d v="2024-04-12T00:00:00"/>
    <d v="2024-04-20T00:00:00"/>
    <n v="8"/>
    <s v="OK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s v="OK"/>
    <n v="9378.7900000000009"/>
    <n v="6774.48"/>
    <n v="2604.31"/>
    <s v="Paid"/>
    <s v="Completed"/>
    <s v="OK"/>
    <n v="0.2"/>
    <x v="222"/>
    <n v="2604.31"/>
    <n v="0.2777"/>
    <n v="4"/>
    <n v="2024"/>
    <s v="CLEAN"/>
  </r>
  <r>
    <s v="ORD-2024-10413"/>
    <d v="2024-01-22T00:00:00"/>
    <d v="2024-01-30T00:00:00"/>
    <n v="8"/>
    <s v="OK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s v="OK"/>
    <n v="1583.54"/>
    <n v="1014.19"/>
    <n v="569.35"/>
    <s v="Paid"/>
    <s v="Completed"/>
    <s v="OK"/>
    <n v="0.25"/>
    <x v="223"/>
    <n v="569.35"/>
    <n v="0.35949999999999999"/>
    <n v="1"/>
    <n v="2024"/>
    <s v="CLEAN"/>
  </r>
  <r>
    <s v="ORD-2024-10415"/>
    <d v="2024-08-29T00:00:00"/>
    <d v="2024-08-30T00:00:00"/>
    <n v="1"/>
    <s v="OK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s v="OK"/>
    <n v="9439.5"/>
    <n v="5519.39"/>
    <n v="3920.11"/>
    <s v="Paid"/>
    <s v="Completed"/>
    <s v="OK"/>
    <n v="0.05"/>
    <x v="224"/>
    <n v="3920.11"/>
    <n v="0.4153"/>
    <n v="8"/>
    <n v="2024"/>
    <s v="CLEAN"/>
  </r>
  <r>
    <s v="ORD-2024-10416"/>
    <d v="2024-01-25T00:00:00"/>
    <d v="2024-01-27T00:00:00"/>
    <n v="2"/>
    <s v="OK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s v="OK"/>
    <n v="10277.200000000001"/>
    <n v="7906.5"/>
    <n v="2370.6999999999998"/>
    <s v="Paid"/>
    <s v="Returned"/>
    <s v="OK"/>
    <n v="0.15"/>
    <x v="225"/>
    <n v="2370.6999999999998"/>
    <n v="0.23069999999999999"/>
    <n v="1"/>
    <n v="2024"/>
    <s v="CLEAN"/>
  </r>
  <r>
    <s v="ORD-2024-10419"/>
    <d v="2024-11-09T00:00:00"/>
    <d v="2024-11-17T00:00:00"/>
    <n v="8"/>
    <s v="OK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s v="OK"/>
    <n v="21962.400000000001"/>
    <n v="15331.99"/>
    <n v="6630.41"/>
    <s v="Failed"/>
    <s v="Cancelled"/>
    <s v="OK"/>
    <n v="0"/>
    <x v="226"/>
    <n v="6630.41"/>
    <n v="0.3019"/>
    <n v="11"/>
    <n v="2024"/>
    <s v="INVALID"/>
  </r>
  <r>
    <s v="ORD-2024-10424"/>
    <d v="2024-02-20T00:00:00"/>
    <d v="2024-02-27T00:00:00"/>
    <n v="7"/>
    <s v="OK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s v="OK"/>
    <n v="27211.03"/>
    <n v="17940.43"/>
    <n v="9270.6"/>
    <s v="Paid"/>
    <s v="Completed"/>
    <s v=" ORIGINAL"/>
    <n v="0.2"/>
    <x v="227"/>
    <n v="9270.6"/>
    <n v="0.3407"/>
    <n v="2"/>
    <n v="2024"/>
    <s v="CLEAN"/>
  </r>
  <r>
    <s v="ORD-2024-10424"/>
    <d v="2024-02-20T00:00:00"/>
    <d v="2024-02-27T00:00:00"/>
    <n v="7"/>
    <s v="OK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s v="OK"/>
    <n v="27322.9"/>
    <n v="17940.43"/>
    <n v="9270.6"/>
    <s v="Paid"/>
    <s v="Returned"/>
    <s v="CONFLICTING DUPLICATE - REVIEW"/>
    <n v="0.2"/>
    <x v="227"/>
    <n v="9270.6"/>
    <n v="0.3407"/>
    <n v="2"/>
    <n v="2024"/>
    <s v="CLEAN"/>
  </r>
  <r>
    <s v="ORD-2024-10425"/>
    <d v="2024-06-26T00:00:00"/>
    <d v="2024-06-29T00:00:00"/>
    <n v="3"/>
    <s v="OK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s v="OK"/>
    <n v="6436.16"/>
    <n v="4263.83"/>
    <n v="2172.33"/>
    <s v="Paid"/>
    <s v="Completed"/>
    <s v="OK"/>
    <n v="0"/>
    <x v="228"/>
    <n v="2172.33"/>
    <n v="0.33750000000000002"/>
    <n v="6"/>
    <n v="2024"/>
    <s v="CLEAN"/>
  </r>
  <r>
    <s v="ORD-2024-10426"/>
    <d v="2024-09-26T00:00:00"/>
    <d v="2024-09-27T00:00:00"/>
    <n v="1"/>
    <s v="OK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s v="OK"/>
    <n v="1918.24"/>
    <n v="1373.52"/>
    <n v="544.72"/>
    <s v="Refunded"/>
    <s v="Cancelled"/>
    <s v="OK"/>
    <n v="0.1"/>
    <x v="229"/>
    <n v="544.72"/>
    <n v="0.28399999999999997"/>
    <n v="9"/>
    <n v="2024"/>
    <s v="CLEAN"/>
  </r>
  <r>
    <s v="ORD-2024-10427"/>
    <d v="2024-06-30T00:00:00"/>
    <d v="2024-01-07T00:00:00"/>
    <n v="-175"/>
    <s v="INVALID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s v="OK"/>
    <n v="27047.95"/>
    <n v="18431.330000000002"/>
    <n v="8616.6200000000008"/>
    <s v="Paid"/>
    <s v="Completed"/>
    <s v="OK"/>
    <n v="0.1"/>
    <x v="230"/>
    <n v="8616.6200000000008"/>
    <n v="0.31859999999999999"/>
    <n v="6"/>
    <n v="2024"/>
    <s v="INVALID"/>
  </r>
  <r>
    <s v="ORD-2024-10431"/>
    <d v="2024-08-30T00:00:00"/>
    <d v="2024-02-09T00:00:00"/>
    <n v="-203"/>
    <s v="INVALID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s v="OK"/>
    <n v="3672.71"/>
    <n v="2714.23"/>
    <n v="763.38"/>
    <s v="Paid"/>
    <s v="Completed"/>
    <s v="OK"/>
    <n v="0.15"/>
    <x v="231"/>
    <n v="958.48"/>
    <n v="0.26100000000000001"/>
    <n v="8"/>
    <n v="2024"/>
    <s v="INVALID"/>
  </r>
  <r>
    <s v="ORD-2024-10432"/>
    <d v="2024-02-10T00:00:00"/>
    <d v="2024-02-13T00:00:00"/>
    <n v="3"/>
    <s v="OK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s v="OK"/>
    <n v="6177.67"/>
    <n v="4520.75"/>
    <n v="1656.92"/>
    <s v="Paid"/>
    <s v="Completed"/>
    <s v="OK"/>
    <n v="0.25"/>
    <x v="232"/>
    <n v="1656.93"/>
    <n v="0.26819999999999999"/>
    <n v="2"/>
    <n v="2024"/>
    <s v="CLEAN"/>
  </r>
  <r>
    <s v="ORD-2024-10433"/>
    <d v="2024-08-29T00:00:00"/>
    <d v="2024-02-09T00:00:00"/>
    <n v="-202"/>
    <s v="INVALID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s v="OK"/>
    <n v="985.07"/>
    <n v="844.48"/>
    <n v="140.59"/>
    <s v="Paid"/>
    <s v="Completed"/>
    <s v="OK"/>
    <n v="0.05"/>
    <x v="233"/>
    <n v="140.59"/>
    <n v="0.14269999999999999"/>
    <n v="8"/>
    <n v="2024"/>
    <s v="INVALID"/>
  </r>
  <r>
    <s v="ORD-2024-10434"/>
    <d v="2024-04-19T00:00:00"/>
    <d v="2024-04-20T00:00:00"/>
    <n v="1"/>
    <s v="OK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s v="OK"/>
    <n v="6160.88"/>
    <n v="4938.7"/>
    <n v="1222.18"/>
    <s v="Refunded"/>
    <s v="Returned"/>
    <s v="OK"/>
    <n v="0"/>
    <x v="234"/>
    <n v="1222.18"/>
    <n v="0.19839999999999999"/>
    <n v="4"/>
    <n v="2024"/>
    <s v="CLEAN"/>
  </r>
  <r>
    <s v="ORD-2024-10437"/>
    <d v="2024-06-16T00:00:00"/>
    <d v="2024-06-21T00:00:00"/>
    <n v="5"/>
    <s v="OK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s v="OK"/>
    <n v="6593.65"/>
    <n v="4359.3900000000003"/>
    <n v="2234.2600000000002"/>
    <s v="Paid"/>
    <s v="Returned"/>
    <s v="OK"/>
    <n v="0.05"/>
    <x v="235"/>
    <n v="2234.2600000000002"/>
    <n v="0.33889999999999998"/>
    <n v="6"/>
    <n v="2024"/>
    <s v="CLEAN"/>
  </r>
  <r>
    <s v="ORD-2024-10438"/>
    <d v="2024-02-15T00:00:00"/>
    <d v="2024-02-18T00:00:00"/>
    <n v="3"/>
    <s v="OK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s v="OK"/>
    <n v="2886.63"/>
    <n v="1588.23"/>
    <n v="1298.4000000000001"/>
    <s v="Failed"/>
    <s v="Returned"/>
    <s v="OK"/>
    <n v="0.05"/>
    <x v="236"/>
    <n v="1298.4000000000001"/>
    <n v="0.44979999999999998"/>
    <n v="2"/>
    <n v="2024"/>
    <s v="INVALID"/>
  </r>
  <r>
    <s v="ORD-2024-10441"/>
    <d v="2024-04-02T00:00:00"/>
    <d v="2024-04-08T00:00:00"/>
    <n v="6"/>
    <s v="OK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s v="OK"/>
    <n v="17869.63"/>
    <n v="12163.8"/>
    <n v="5705.83"/>
    <s v="Paid"/>
    <s v="Completed"/>
    <s v="OK"/>
    <n v="0.2"/>
    <x v="237"/>
    <n v="5705.83"/>
    <n v="0.31929999999999997"/>
    <n v="4"/>
    <n v="2024"/>
    <s v="CLEAN"/>
  </r>
  <r>
    <s v="ORD-2024-10442"/>
    <d v="2024-03-10T00:00:00"/>
    <d v="2024-10-03T00:00:00"/>
    <n v="207"/>
    <s v="OK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s v="OK"/>
    <n v="25304.94"/>
    <n v="20771.95"/>
    <n v="4532.99"/>
    <s v="Paid"/>
    <s v="Cancelled"/>
    <s v="OK"/>
    <n v="0"/>
    <x v="238"/>
    <n v="4532.99"/>
    <n v="0.17910000000000001"/>
    <n v="3"/>
    <n v="2024"/>
    <s v="CLEAN"/>
  </r>
  <r>
    <s v="ORD-2024-10444"/>
    <d v="2024-04-04T00:00:00"/>
    <d v="2024-04-07T00:00:00"/>
    <n v="3"/>
    <s v="OK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s v="OK"/>
    <n v="3315.38"/>
    <n v="2347.6799999999998"/>
    <n v="967.7"/>
    <s v="Paid"/>
    <s v="Completed"/>
    <s v="OK"/>
    <n v="0.1"/>
    <x v="239"/>
    <n v="967.7"/>
    <n v="0.29189999999999999"/>
    <n v="4"/>
    <n v="2024"/>
    <s v="CLEAN"/>
  </r>
  <r>
    <s v="ORD-2024-10446"/>
    <d v="2024-05-09T00:00:00"/>
    <d v="2024-05-05T00:00:00"/>
    <n v="-4"/>
    <s v="INVALID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s v="OK"/>
    <n v="3377.97"/>
    <n v="2496.29"/>
    <n v="881.68"/>
    <s v="Paid"/>
    <s v="Completed"/>
    <s v="OK"/>
    <n v="0.2"/>
    <x v="240"/>
    <n v="881.68"/>
    <n v="0.26100000000000001"/>
    <n v="5"/>
    <n v="2024"/>
    <s v="INVALID"/>
  </r>
  <r>
    <s v="ORD-2024-10449"/>
    <d v="2024-01-15T00:00:00"/>
    <d v="2024-01-18T00:00:00"/>
    <n v="3"/>
    <s v="OK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s v="OK"/>
    <n v="342.06"/>
    <n v="244.57"/>
    <n v="97.49"/>
    <s v="Paid"/>
    <s v="Completed"/>
    <s v="OK"/>
    <n v="0.15"/>
    <x v="241"/>
    <n v="97.49"/>
    <n v="0.28499999999999998"/>
    <n v="1"/>
    <n v="2024"/>
    <s v="CLEAN"/>
  </r>
  <r>
    <s v="ORD-2024-10450"/>
    <d v="2024-06-06T00:00:00"/>
    <d v="2024-06-13T00:00:00"/>
    <n v="7"/>
    <s v="OK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s v="OK"/>
    <n v="19622.16"/>
    <n v="14271.27"/>
    <n v="5350.89"/>
    <s v="Paid"/>
    <s v="Completed"/>
    <s v="OK"/>
    <n v="0"/>
    <x v="242"/>
    <n v="5350.89"/>
    <n v="0.2727"/>
    <n v="6"/>
    <n v="2024"/>
    <s v="CLEAN"/>
  </r>
  <r>
    <s v="ORD-2024-10452"/>
    <d v="2024-03-24T00:00:00"/>
    <d v="2024-03-26T00:00:00"/>
    <n v="2"/>
    <s v="OK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s v="OK"/>
    <n v="13039.95"/>
    <n v="11127.82"/>
    <n v="1912.13"/>
    <s v="Paid"/>
    <s v="Cancelled"/>
    <s v="OK"/>
    <n v="0.15"/>
    <x v="243"/>
    <n v="1912.13"/>
    <n v="0.14660000000000001"/>
    <n v="3"/>
    <n v="2024"/>
    <s v="CLEAN"/>
  </r>
  <r>
    <s v="ORD-2024-10453"/>
    <d v="2024-10-05T00:00:00"/>
    <d v="2024-05-16T00:00:00"/>
    <n v="-142"/>
    <s v="INVALID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s v="OK"/>
    <n v="9663.98"/>
    <n v="5628.93"/>
    <n v="4035.05"/>
    <s v="Paid"/>
    <s v="Completed"/>
    <s v="OK"/>
    <n v="0.2"/>
    <x v="244"/>
    <n v="4035.05"/>
    <n v="0.41749999999999998"/>
    <n v="10"/>
    <n v="2024"/>
    <s v="INVALID"/>
  </r>
  <r>
    <s v="ORD-2024-10456"/>
    <d v="2024-07-18T00:00:00"/>
    <d v="2024-07-22T00:00:00"/>
    <n v="4"/>
    <s v="OK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s v="OK"/>
    <n v="3235.08"/>
    <n v="1848.6"/>
    <n v="1386.48"/>
    <s v="Paid"/>
    <s v="Completed"/>
    <s v="OK"/>
    <n v="0"/>
    <x v="245"/>
    <n v="1386.48"/>
    <n v="0.42859999999999998"/>
    <n v="7"/>
    <n v="2024"/>
    <s v="CLEAN"/>
  </r>
  <r>
    <s v="ORD-2024-10457"/>
    <d v="2024-02-20T00:00:00"/>
    <d v="2024-02-20T00:00:00"/>
    <n v="0"/>
    <s v="OK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s v="OK"/>
    <n v="11070.87"/>
    <n v="6623.61"/>
    <n v="4447.26"/>
    <s v="Paid"/>
    <s v="Returned"/>
    <s v="OK"/>
    <n v="0.15"/>
    <x v="246"/>
    <n v="4447.26"/>
    <n v="0.4017"/>
    <n v="2"/>
    <n v="2024"/>
    <s v="CLEAN"/>
  </r>
  <r>
    <s v="ORD-2024-10458"/>
    <d v="2024-05-04T00:00:00"/>
    <d v="2024-05-04T00:00:00"/>
    <n v="0"/>
    <s v="OK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s v="OK"/>
    <n v="19960.57"/>
    <n v="16603.599999999999"/>
    <n v="3356.97"/>
    <s v="Paid"/>
    <s v="Completed"/>
    <s v="OK"/>
    <n v="0"/>
    <x v="247"/>
    <n v="3356.97"/>
    <n v="0.16819999999999999"/>
    <n v="5"/>
    <n v="2024"/>
    <s v="CLEAN"/>
  </r>
  <r>
    <s v="ORD-2024-10459"/>
    <d v="2024-02-10T00:00:00"/>
    <d v="2024-02-11T00:00:00"/>
    <n v="1"/>
    <s v="OK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s v="OK"/>
    <n v="8596.0400000000009"/>
    <n v="5378.16"/>
    <n v="3217.88"/>
    <s v="Paid"/>
    <s v="Completed"/>
    <s v="OK"/>
    <n v="0.1"/>
    <x v="248"/>
    <n v="3217.88"/>
    <n v="0.37430000000000002"/>
    <n v="2"/>
    <n v="2024"/>
    <s v="CLEAN"/>
  </r>
  <r>
    <s v="ORD-2024-10460"/>
    <d v="2024-03-28T00:00:00"/>
    <d v="2024-04-04T00:00:00"/>
    <n v="7"/>
    <s v="OK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s v="OK"/>
    <n v="3452.76"/>
    <n v="2077.96"/>
    <n v="1374.8"/>
    <s v="Paid"/>
    <s v="Completed"/>
    <s v="OK"/>
    <n v="0"/>
    <x v="249"/>
    <n v="1374.8"/>
    <n v="0.3982"/>
    <n v="3"/>
    <n v="2024"/>
    <s v="CLEAN"/>
  </r>
  <r>
    <s v="ORD-2024-10463"/>
    <d v="2024-09-23T00:00:00"/>
    <d v="2024-09-25T00:00:00"/>
    <n v="2"/>
    <s v="OK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s v="OK"/>
    <n v="2040.22"/>
    <n v="1395.71"/>
    <n v="644.51"/>
    <s v="Paid"/>
    <s v="Completed"/>
    <s v="OK"/>
    <n v="0.2"/>
    <x v="250"/>
    <n v="644.51"/>
    <n v="0.31590000000000001"/>
    <n v="9"/>
    <n v="2024"/>
    <s v="CLEAN"/>
  </r>
  <r>
    <s v="ORD-2024-10466"/>
    <d v="2024-01-29T00:00:00"/>
    <d v="2024-02-06T00:00:00"/>
    <n v="8"/>
    <s v="OK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s v="OK"/>
    <n v="2517.8000000000002"/>
    <n v="1478.54"/>
    <n v="1039.26"/>
    <s v="Paid"/>
    <s v="Completed"/>
    <s v="OK"/>
    <n v="0"/>
    <x v="251"/>
    <n v="1039.26"/>
    <n v="0.4128"/>
    <n v="1"/>
    <n v="2024"/>
    <s v="CLEAN"/>
  </r>
  <r>
    <s v="ORD-2024-10467"/>
    <d v="2024-04-01T00:00:00"/>
    <d v="2024-01-08T00:00:00"/>
    <n v="-84"/>
    <s v="INVALID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s v="OK"/>
    <n v="11462.11"/>
    <n v="7105.48"/>
    <n v="4356.63"/>
    <s v="Paid"/>
    <s v="Completed"/>
    <s v="OK"/>
    <n v="0.2"/>
    <x v="252"/>
    <n v="4356.63"/>
    <n v="0.38009999999999999"/>
    <n v="4"/>
    <n v="2024"/>
    <s v="INVALID"/>
  </r>
  <r>
    <s v="ORD-2024-10468"/>
    <d v="2024-08-20T00:00:00"/>
    <d v="2024-08-21T00:00:00"/>
    <n v="1"/>
    <s v="OK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s v="OK"/>
    <n v="19297.490000000002"/>
    <n v="15451.66"/>
    <n v="3845.83"/>
    <s v="Refunded"/>
    <s v="Cancelled"/>
    <s v="OK"/>
    <n v="0.1"/>
    <x v="253"/>
    <n v="3845.83"/>
    <n v="0.1993"/>
    <n v="8"/>
    <n v="2024"/>
    <s v="CLEAN"/>
  </r>
  <r>
    <s v="ORD-2024-10470"/>
    <d v="2024-01-19T00:00:00"/>
    <d v="2024-01-25T00:00:00"/>
    <n v="6"/>
    <s v="OK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s v="OK"/>
    <n v="2812.48"/>
    <n v="2282.12"/>
    <n v="530.36"/>
    <s v="Paid"/>
    <s v="Completed"/>
    <s v="OK"/>
    <n v="0.1"/>
    <x v="254"/>
    <n v="530.36"/>
    <n v="0.18859999999999999"/>
    <n v="1"/>
    <n v="2024"/>
    <s v="CLEAN"/>
  </r>
  <r>
    <s v="ORD-2024-10471"/>
    <d v="2024-07-28T00:00:00"/>
    <d v="2024-07-31T00:00:00"/>
    <n v="3"/>
    <s v="OK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s v="OK"/>
    <n v="7079.65"/>
    <n v="4465.91"/>
    <n v="2613.7399999999998"/>
    <s v="Paid"/>
    <s v="Completed"/>
    <s v="OK"/>
    <n v="0.2"/>
    <x v="255"/>
    <n v="2613.7399999999998"/>
    <n v="0.36919999999999997"/>
    <n v="7"/>
    <n v="2024"/>
    <s v="CLEAN"/>
  </r>
  <r>
    <s v="ORD-2024-10472"/>
    <d v="2024-11-02T00:00:00"/>
    <d v="2024-02-15T00:00:00"/>
    <n v="-261"/>
    <s v="INVALID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s v="OK"/>
    <n v="6793.07"/>
    <n v="4985.22"/>
    <n v="1807.85"/>
    <s v="Paid"/>
    <s v="Completed"/>
    <s v="OK"/>
    <n v="0.25"/>
    <x v="256"/>
    <n v="1807.85"/>
    <n v="0.2661"/>
    <n v="11"/>
    <n v="2024"/>
    <s v="INVALID"/>
  </r>
  <r>
    <s v="ORD-2024-10473"/>
    <d v="2024-02-03T00:00:00"/>
    <d v="2024-03-07T00:00:00"/>
    <n v="33"/>
    <s v="OK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s v="OK"/>
    <n v="1844.22"/>
    <n v="1094.21"/>
    <n v="750.01"/>
    <s v="Paid"/>
    <s v="Completed"/>
    <s v="OK"/>
    <n v="0"/>
    <x v="257"/>
    <n v="750.01"/>
    <n v="0.40670000000000001"/>
    <n v="2"/>
    <n v="2024"/>
    <s v="CLEAN"/>
  </r>
  <r>
    <s v="ORD-2024-10474"/>
    <d v="2024-11-13T00:00:00"/>
    <d v="2024-11-13T00:00:00"/>
    <n v="0"/>
    <s v="OK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s v="OK"/>
    <n v="918.96"/>
    <n v="554.17999999999995"/>
    <n v="364.78"/>
    <s v="Paid"/>
    <s v="Completed"/>
    <s v="OK"/>
    <n v="0.2"/>
    <x v="258"/>
    <n v="364.78"/>
    <n v="0.39689999999999998"/>
    <n v="11"/>
    <n v="2024"/>
    <s v="CLEAN"/>
  </r>
  <r>
    <s v="ORD-2024-10475"/>
    <d v="2024-03-06T00:00:00"/>
    <d v="2024-06-10T00:00:00"/>
    <n v="96"/>
    <s v="OK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s v="OK"/>
    <n v="4900.71"/>
    <n v="2713.9"/>
    <n v="2186.81"/>
    <s v="Paid"/>
    <s v="Completed"/>
    <s v="OK"/>
    <n v="0"/>
    <x v="259"/>
    <n v="2186.81"/>
    <n v="0.44619999999999999"/>
    <n v="3"/>
    <n v="2024"/>
    <s v="CLEAN"/>
  </r>
  <r>
    <s v="ORD-2024-10477"/>
    <d v="2024-05-07T00:00:00"/>
    <d v="2024-05-14T00:00:00"/>
    <n v="7"/>
    <s v="OK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s v="OK"/>
    <n v="1035.67"/>
    <n v="595.41999999999996"/>
    <n v="440.25"/>
    <s v="Paid"/>
    <s v="Completed"/>
    <s v="OK"/>
    <n v="0.1"/>
    <x v="260"/>
    <n v="440.25"/>
    <n v="0.42509999999999998"/>
    <n v="5"/>
    <n v="2024"/>
    <s v="CLEAN"/>
  </r>
  <r>
    <s v="ORD-2024-10479"/>
    <d v="2024-06-09T00:00:00"/>
    <d v="2024-06-13T00:00:00"/>
    <n v="4"/>
    <s v="OK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s v="OK"/>
    <n v="25702.17"/>
    <n v="14571.48"/>
    <n v="11130.69"/>
    <s v="Refunded"/>
    <s v="Returned"/>
    <s v="OK"/>
    <n v="0.1"/>
    <x v="261"/>
    <n v="11130.69"/>
    <n v="0.43309999999999998"/>
    <n v="6"/>
    <n v="2024"/>
    <s v="WARNING"/>
  </r>
  <r>
    <s v="ORD-2024-10480"/>
    <d v="2024-02-23T00:00:00"/>
    <d v="2024-02-20T00:00:00"/>
    <n v="-3"/>
    <s v="INVALID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n v="0"/>
    <s v="OK"/>
    <n v="1651.91"/>
    <n v="1034.57"/>
    <n v="617.34"/>
    <s v="Paid"/>
    <s v="Completed"/>
    <s v="OK"/>
    <n v="0"/>
    <x v="262"/>
    <n v="1167.98"/>
    <n v="0.53029999999999999"/>
    <n v="2"/>
    <n v="2024"/>
    <s v="INVALID"/>
  </r>
  <r>
    <s v="ORD-2024-10483"/>
    <d v="2024-07-22T00:00:00"/>
    <d v="2024-07-22T00:00:00"/>
    <n v="0"/>
    <s v="OK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s v="OK"/>
    <n v="2893.99"/>
    <n v="1856.03"/>
    <n v="1037.96"/>
    <s v="Paid"/>
    <s v="Completed"/>
    <s v="OK"/>
    <n v="0.25"/>
    <x v="263"/>
    <n v="1037.97"/>
    <n v="0.35870000000000002"/>
    <n v="7"/>
    <n v="2024"/>
    <s v="CLEAN"/>
  </r>
  <r>
    <s v="ORD-2024-10484"/>
    <d v="2024-12-25T00:00:00"/>
    <d v="2024-12-25T00:00:00"/>
    <n v="0"/>
    <s v="OK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s v="OK"/>
    <n v="705.21"/>
    <n v="438.32"/>
    <n v="266.89"/>
    <s v="Paid"/>
    <s v="Completed"/>
    <s v="OK"/>
    <n v="0.15"/>
    <x v="264"/>
    <n v="266.89"/>
    <n v="0.3785"/>
    <n v="12"/>
    <n v="2024"/>
    <s v="CLEAN"/>
  </r>
  <r>
    <s v="ORD-2024-10485"/>
    <d v="2024-12-28T00:00:00"/>
    <d v="2024-12-31T00:00:00"/>
    <n v="3"/>
    <s v="OK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s v="OK"/>
    <n v="16385.490000000002"/>
    <n v="13679.24"/>
    <n v="2706.25"/>
    <s v="Paid"/>
    <s v="Completed"/>
    <s v="OK"/>
    <n v="0.25"/>
    <x v="265"/>
    <n v="2706.25"/>
    <n v="0.16520000000000001"/>
    <n v="12"/>
    <n v="2024"/>
    <s v="CLEAN"/>
  </r>
  <r>
    <s v="ORD-2024-10489"/>
    <d v="2024-10-14T00:00:00"/>
    <d v="2024-10-20T00:00:00"/>
    <n v="6"/>
    <s v="OK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s v="OK"/>
    <n v="8666.56"/>
    <n v="5967.44"/>
    <n v="2699.12"/>
    <s v="Paid"/>
    <s v="Completed"/>
    <s v="OK"/>
    <n v="0.2"/>
    <x v="266"/>
    <n v="2699.12"/>
    <n v="0.31140000000000001"/>
    <n v="10"/>
    <n v="2024"/>
    <s v="CLEAN"/>
  </r>
  <r>
    <s v="ORD-2024-10490"/>
    <d v="2024-02-07T00:00:00"/>
    <d v="2024-02-12T00:00:00"/>
    <n v="5"/>
    <s v="OK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s v="OK"/>
    <n v="361.75"/>
    <n v="262.52999999999997"/>
    <n v="99.22"/>
    <s v="Paid"/>
    <s v="Completed"/>
    <s v="OK"/>
    <n v="0.2"/>
    <x v="267"/>
    <n v="99.22"/>
    <n v="0.27429999999999999"/>
    <n v="2"/>
    <n v="2024"/>
    <s v="CLEAN"/>
  </r>
  <r>
    <s v="ORD-2024-10491"/>
    <d v="2024-09-16T00:00:00"/>
    <d v="2024-09-19T00:00:00"/>
    <n v="3"/>
    <s v="OK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s v="OK"/>
    <n v="2418.1999999999998"/>
    <n v="1613.82"/>
    <n v="804.38"/>
    <s v="Paid"/>
    <s v="Completed"/>
    <s v="OK"/>
    <n v="0.15"/>
    <x v="268"/>
    <n v="804.38"/>
    <n v="0.33260000000000001"/>
    <n v="9"/>
    <n v="2024"/>
    <s v="CLEAN"/>
  </r>
  <r>
    <s v="ORD-2024-10495"/>
    <d v="2024-11-14T00:00:00"/>
    <d v="2024-11-22T00:00:00"/>
    <n v="8"/>
    <s v="OK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-0.13"/>
    <s v="INVALID-NEGATIVE"/>
    <n v="1712.78"/>
    <n v="1569.38"/>
    <n v="360.66"/>
    <s v="Failed"/>
    <s v="Cancelled"/>
    <s v="OK"/>
    <n v="0"/>
    <x v="269"/>
    <n v="445.66"/>
    <n v="0.22120000000000001"/>
    <n v="11"/>
    <n v="2024"/>
    <s v="INVALID"/>
  </r>
  <r>
    <s v="ORD-2024-10496"/>
    <d v="2024-05-09T00:00:00"/>
    <d v="2024-05-15T00:00:00"/>
    <n v="6"/>
    <s v="OK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s v="OK"/>
    <n v="3784.72"/>
    <n v="2419.2399999999998"/>
    <n v="1365.48"/>
    <s v="Refunded"/>
    <s v="Returned"/>
    <s v="OK"/>
    <n v="0.05"/>
    <x v="270"/>
    <n v="1365.48"/>
    <n v="0.36080000000000001"/>
    <n v="5"/>
    <n v="2024"/>
    <s v="CLEAN"/>
  </r>
  <r>
    <s v="ORD-2024-10498"/>
    <d v="2024-08-29T00:00:00"/>
    <d v="2024-08-29T00:00:00"/>
    <n v="0"/>
    <s v="OK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s v="OK"/>
    <n v="2485.5"/>
    <n v="2028.43"/>
    <n v="457.07"/>
    <s v="Paid"/>
    <s v="Cancelled"/>
    <s v="OK"/>
    <n v="0.2"/>
    <x v="271"/>
    <n v="457.07"/>
    <n v="0.18390000000000001"/>
    <n v="8"/>
    <n v="2024"/>
    <s v="CLEAN"/>
  </r>
  <r>
    <s v="ORD-2024-10500"/>
    <d v="2024-12-22T00:00:00"/>
    <d v="2024-12-26T00:00:00"/>
    <n v="4"/>
    <s v="OK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n v="0"/>
    <s v="OK"/>
    <n v="7498.37"/>
    <n v="6059.07"/>
    <n v="1439.3"/>
    <s v="Paid"/>
    <s v="Cancelled"/>
    <s v="OK"/>
    <n v="0"/>
    <x v="272"/>
    <n v="3938.76"/>
    <n v="0.39400000000000002"/>
    <n v="12"/>
    <n v="2024"/>
    <s v="CLEAN"/>
  </r>
  <r>
    <s v="ORD-2024-10501"/>
    <d v="2024-05-17T00:00:00"/>
    <d v="2024-05-22T00:00:00"/>
    <n v="5"/>
    <s v="OK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s v="INVALID-ABOVE"/>
    <n v="34163.910000000003"/>
    <n v="28577.15"/>
    <n v="5586.76"/>
    <s v="Paid"/>
    <s v="Completed"/>
    <s v="OK"/>
    <n v="0.85"/>
    <x v="273"/>
    <n v="-23452.560000000001"/>
    <n v="-4.5765000000000002"/>
    <n v="5"/>
    <n v="2024"/>
    <s v="INVALID"/>
  </r>
  <r>
    <s v="ORD-2024-10502"/>
    <d v="2024-08-11T00:00:00"/>
    <d v="2024-08-17T00:00:00"/>
    <n v="6"/>
    <s v="OK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s v="OK"/>
    <n v="17837.45"/>
    <n v="13627.02"/>
    <n v="4210.43"/>
    <s v="Paid"/>
    <s v="Completed"/>
    <s v="OK"/>
    <n v="0.15"/>
    <x v="274"/>
    <n v="4210.43"/>
    <n v="0.23599999999999999"/>
    <n v="8"/>
    <n v="2024"/>
    <s v="CLEAN"/>
  </r>
  <r>
    <s v="ORD-2024-10503"/>
    <d v="2024-04-01T00:00:00"/>
    <d v="2024-04-09T00:00:00"/>
    <n v="8"/>
    <s v="OK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s v="OK"/>
    <n v="4465.42"/>
    <n v="3377.1"/>
    <n v="1088.32"/>
    <s v="Paid"/>
    <s v="Completed"/>
    <s v="OK"/>
    <n v="0.1"/>
    <x v="275"/>
    <n v="1088.32"/>
    <n v="0.2437"/>
    <n v="4"/>
    <n v="2024"/>
    <s v="CLEAN"/>
  </r>
  <r>
    <s v="ORD-2024-10504"/>
    <d v="2024-09-28T00:00:00"/>
    <d v="2024-10-05T00:00:00"/>
    <n v="7"/>
    <s v="OK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s v="OK"/>
    <n v="10594.08"/>
    <n v="7160.31"/>
    <n v="3433.77"/>
    <s v="Paid"/>
    <s v="Completed"/>
    <s v="OK"/>
    <n v="0.1"/>
    <x v="276"/>
    <n v="3433.77"/>
    <n v="0.3241"/>
    <n v="9"/>
    <n v="2024"/>
    <s v="CLEAN"/>
  </r>
  <r>
    <s v="ORD-2024-10506"/>
    <d v="2024-11-09T00:00:00"/>
    <d v="2024-11-14T00:00:00"/>
    <n v="5"/>
    <s v="OK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s v="OK"/>
    <n v="17555.689999999999"/>
    <n v="13293.2"/>
    <n v="4262.49"/>
    <s v="Paid"/>
    <s v="Cancelled"/>
    <s v="OK"/>
    <n v="0.2"/>
    <x v="277"/>
    <n v="4262.49"/>
    <n v="0.24279999999999999"/>
    <n v="11"/>
    <n v="2024"/>
    <s v="CLEAN"/>
  </r>
  <r>
    <s v="ORD-2024-10507"/>
    <d v="2024-12-15T00:00:00"/>
    <d v="2024-12-15T00:00:00"/>
    <n v="0"/>
    <s v="OK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s v="OK"/>
    <n v="1205.6400000000001"/>
    <n v="842.07"/>
    <n v="363.57"/>
    <s v="Refunded"/>
    <s v="Returned"/>
    <s v="OK"/>
    <n v="0.1"/>
    <x v="278"/>
    <n v="363.57"/>
    <n v="0.30159999999999998"/>
    <n v="12"/>
    <n v="2024"/>
    <s v="CLEAN"/>
  </r>
  <r>
    <s v="ORD-2024-10509"/>
    <d v="2024-03-31T00:00:00"/>
    <d v="2024-07-04T00:00:00"/>
    <n v="95"/>
    <s v="OK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s v="OK"/>
    <n v="7324"/>
    <n v="4179.63"/>
    <n v="3144.37"/>
    <s v="Paid"/>
    <s v="Completed"/>
    <s v="OK"/>
    <n v="0"/>
    <x v="279"/>
    <n v="3144.37"/>
    <n v="0.42930000000000001"/>
    <n v="3"/>
    <n v="2024"/>
    <s v="CLEAN"/>
  </r>
  <r>
    <s v="ORD-2024-10511"/>
    <d v="2024-10-18T00:00:00"/>
    <d v="2024-10-21T00:00:00"/>
    <n v="3"/>
    <s v="OK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s v="OK"/>
    <n v="8477.02"/>
    <n v="6884.96"/>
    <n v="1592.06"/>
    <s v="Paid"/>
    <s v="Completed"/>
    <s v="OK"/>
    <n v="0"/>
    <x v="280"/>
    <n v="1592.06"/>
    <n v="0.18779999999999999"/>
    <n v="10"/>
    <n v="2024"/>
    <s v="CLEAN"/>
  </r>
  <r>
    <s v="ORD-2024-10512"/>
    <d v="2024-10-23T00:00:00"/>
    <d v="2024-10-26T00:00:00"/>
    <n v="3"/>
    <s v="OK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s v="OK"/>
    <n v="3673.82"/>
    <n v="2088.15"/>
    <n v="1585.67"/>
    <s v="Paid"/>
    <s v="Completed"/>
    <s v="OK"/>
    <n v="0.25"/>
    <x v="281"/>
    <n v="1585.67"/>
    <n v="0.43159999999999998"/>
    <n v="10"/>
    <n v="2024"/>
    <s v="CLEAN"/>
  </r>
  <r>
    <s v="ORD-2024-10515"/>
    <d v="2024-11-18T00:00:00"/>
    <d v="2024-11-22T00:00:00"/>
    <n v="4"/>
    <s v="OK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s v="OK"/>
    <n v="20913.88"/>
    <n v="11684.68"/>
    <n v="9229.2000000000007"/>
    <s v="Paid"/>
    <s v="Completed"/>
    <s v="OK"/>
    <n v="0.1"/>
    <x v="282"/>
    <n v="9229.2000000000007"/>
    <n v="0.44130000000000003"/>
    <n v="11"/>
    <n v="2024"/>
    <s v="CLEAN"/>
  </r>
  <r>
    <s v="ORD-2024-10517"/>
    <d v="2024-09-28T00:00:00"/>
    <d v="2024-10-04T00:00:00"/>
    <n v="6"/>
    <s v="OK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s v="OK"/>
    <n v="2233.1799999999998"/>
    <n v="1585.82"/>
    <n v="647.36"/>
    <s v="Failed"/>
    <s v="Returned"/>
    <s v="OK"/>
    <n v="0"/>
    <x v="283"/>
    <n v="647.36"/>
    <n v="0.28989999999999999"/>
    <n v="9"/>
    <n v="2024"/>
    <s v="INVALID"/>
  </r>
  <r>
    <s v="ORD-2024-10521"/>
    <d v="2024-07-16T00:00:00"/>
    <d v="2024-07-23T00:00:00"/>
    <n v="7"/>
    <s v="OK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s v="OK"/>
    <n v="1611.11"/>
    <n v="895.15"/>
    <n v="715.96"/>
    <s v="Paid"/>
    <s v="Completed"/>
    <s v="OK"/>
    <n v="0.05"/>
    <x v="284"/>
    <n v="715.96"/>
    <n v="0.44440000000000002"/>
    <n v="7"/>
    <n v="2024"/>
    <s v="CLEAN"/>
  </r>
  <r>
    <s v="ORD-2024-10524"/>
    <d v="2024-02-04T00:00:00"/>
    <d v="2024-04-03T00:00:00"/>
    <n v="59"/>
    <s v="OK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s v="OK"/>
    <n v="5805.26"/>
    <n v="4654.3599999999997"/>
    <n v="1150.9000000000001"/>
    <s v="Paid"/>
    <s v="Returned"/>
    <s v="OK"/>
    <n v="0"/>
    <x v="285"/>
    <n v="1150.9000000000001"/>
    <n v="0.1983"/>
    <n v="2"/>
    <n v="2024"/>
    <s v="CLEAN"/>
  </r>
  <r>
    <s v="ORD-2024-10525"/>
    <d v="2024-11-30T00:00:00"/>
    <d v="2024-12-01T00:00:00"/>
    <n v="1"/>
    <s v="OK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s v="OK"/>
    <n v="34079.620000000003"/>
    <n v="21871.39"/>
    <n v="12208.23"/>
    <s v="Paid"/>
    <s v="Completed"/>
    <s v="OK"/>
    <n v="0.1"/>
    <x v="286"/>
    <n v="12208.23"/>
    <n v="0.35820000000000002"/>
    <n v="11"/>
    <n v="2024"/>
    <s v="CLEAN"/>
  </r>
  <r>
    <s v="ORD-2024-10526"/>
    <d v="2024-10-17T00:00:00"/>
    <d v="2024-10-17T00:00:00"/>
    <n v="0"/>
    <s v="OK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s v="OK"/>
    <n v="11359.8"/>
    <n v="7062.44"/>
    <n v="4297.3599999999997"/>
    <s v="Paid"/>
    <s v="Completed"/>
    <s v="OK"/>
    <n v="0.1"/>
    <x v="287"/>
    <n v="4297.3599999999997"/>
    <n v="0.37830000000000003"/>
    <n v="10"/>
    <n v="2024"/>
    <s v="CLEAN"/>
  </r>
  <r>
    <s v="ORD-2024-10529"/>
    <d v="2024-10-07T00:00:00"/>
    <d v="2024-09-10T00:00:00"/>
    <n v="-27"/>
    <s v="INVALID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s v="OK"/>
    <n v="29558.12"/>
    <n v="21302.13"/>
    <n v="8255.99"/>
    <s v="Pending"/>
    <s v="Returned"/>
    <s v="OK"/>
    <n v="0.05"/>
    <x v="288"/>
    <n v="8255.99"/>
    <n v="0.27929999999999999"/>
    <n v="10"/>
    <n v="2024"/>
    <s v="INVALID"/>
  </r>
  <r>
    <s v="ORD-2024-10530"/>
    <d v="2024-02-06T00:00:00"/>
    <d v="2024-02-08T00:00:00"/>
    <n v="2"/>
    <s v="OK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s v="OK"/>
    <n v="16400.25"/>
    <n v="12146.96"/>
    <n v="4253.29"/>
    <s v="Paid"/>
    <s v="Completed"/>
    <s v="OK"/>
    <n v="0"/>
    <x v="289"/>
    <n v="4253.29"/>
    <n v="0.25929999999999997"/>
    <n v="2"/>
    <n v="2024"/>
    <s v="CLEAN"/>
  </r>
  <r>
    <s v="ORD-2024-10532"/>
    <d v="2024-08-01T00:00:00"/>
    <d v="2024-08-08T00:00:00"/>
    <n v="7"/>
    <s v="OK"/>
    <s v="CUST-6357"/>
    <s v="Diya Patel"/>
    <s v="Small Business"/>
    <x v="3"/>
    <s v="Maharashtra"/>
    <s v="Mumbai"/>
    <s v="Office Supplies"/>
    <s v="Storage"/>
    <s v="Pro Storage 364"/>
    <s v="Unknown"/>
    <n v="1"/>
    <n v="442.97"/>
    <n v="0.1"/>
    <s v="OK"/>
    <n v="398.67"/>
    <n v="311.66000000000003"/>
    <n v="87.01"/>
    <s v="Paid"/>
    <s v="Completed"/>
    <s v="OK"/>
    <n v="0.1"/>
    <x v="290"/>
    <n v="87.01"/>
    <n v="0.21829999999999999"/>
    <n v="8"/>
    <n v="2024"/>
    <s v="WARNING"/>
  </r>
  <r>
    <s v="ORD-2024-10534"/>
    <d v="2024-08-25T00:00:00"/>
    <d v="2024-09-01T00:00:00"/>
    <n v="7"/>
    <s v="OK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s v="OK"/>
    <n v="2165.85"/>
    <n v="2124.48"/>
    <n v="430.45"/>
    <s v="Paid"/>
    <s v="Completed"/>
    <s v="OK"/>
    <n v="0.25"/>
    <x v="291"/>
    <n v="41.37"/>
    <n v="1.9099999999999999E-2"/>
    <n v="8"/>
    <n v="2024"/>
    <s v="CLEAN"/>
  </r>
  <r>
    <s v="ORD-2024-10536"/>
    <d v="2024-05-19T00:00:00"/>
    <d v="2024-05-21T00:00:00"/>
    <n v="2"/>
    <s v="OK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s v="OK"/>
    <n v="9602.35"/>
    <n v="7387.57"/>
    <n v="2214.7800000000002"/>
    <s v="Paid"/>
    <s v="Completed"/>
    <s v="OK"/>
    <n v="0.2"/>
    <x v="292"/>
    <n v="2214.7800000000002"/>
    <n v="0.2306"/>
    <n v="5"/>
    <n v="2024"/>
    <s v="CLEAN"/>
  </r>
  <r>
    <s v="ORD-2024-10538"/>
    <d v="2024-01-22T00:00:00"/>
    <d v="2024-01-30T00:00:00"/>
    <n v="8"/>
    <s v="OK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s v="OK"/>
    <n v="1927.65"/>
    <n v="1460.6"/>
    <n v="467.05"/>
    <s v="Failed"/>
    <s v="Cancelled"/>
    <s v="OK"/>
    <n v="0.05"/>
    <x v="293"/>
    <n v="467.05"/>
    <n v="0.24229999999999999"/>
    <n v="1"/>
    <n v="2024"/>
    <s v="INVALID"/>
  </r>
  <r>
    <s v="ORD-2024-10539"/>
    <d v="2024-09-25T00:00:00"/>
    <d v="2024-01-10T00:00:00"/>
    <n v="-259"/>
    <s v="INVALID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s v="OK"/>
    <n v="29900.79"/>
    <n v="24650.67"/>
    <n v="5250.12"/>
    <s v="Paid"/>
    <s v="Completed"/>
    <s v="OK"/>
    <n v="0.15"/>
    <x v="294"/>
    <n v="5250.12"/>
    <n v="0.17560000000000001"/>
    <n v="9"/>
    <n v="2024"/>
    <s v="INVALID"/>
  </r>
  <r>
    <s v="ORD-2024-10541"/>
    <d v="2024-02-26T00:00:00"/>
    <d v="2024-02-23T00:00:00"/>
    <n v="-3"/>
    <s v="INVALID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s v="OK"/>
    <n v="21571.59"/>
    <n v="17118.07"/>
    <n v="4453.5200000000004"/>
    <s v="Paid"/>
    <s v="Completed"/>
    <s v="OK"/>
    <n v="0.2"/>
    <x v="295"/>
    <n v="4453.5200000000004"/>
    <n v="0.20649999999999999"/>
    <n v="2"/>
    <n v="2024"/>
    <s v="INVALID"/>
  </r>
  <r>
    <s v="ORD-2024-10543"/>
    <d v="2024-09-17T00:00:00"/>
    <d v="2024-09-23T00:00:00"/>
    <n v="6"/>
    <s v="OK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s v="OK"/>
    <n v="9988.5300000000007"/>
    <n v="8368.24"/>
    <n v="1394.05"/>
    <s v="Paid"/>
    <s v="Cancelled"/>
    <s v="OK"/>
    <n v="0.2"/>
    <x v="296"/>
    <n v="1394.05"/>
    <n v="0.14280000000000001"/>
    <n v="9"/>
    <n v="2024"/>
    <s v="CLEAN"/>
  </r>
  <r>
    <s v="ORD-2024-10544"/>
    <d v="2024-07-14T00:00:00"/>
    <d v="2024-07-20T00:00:00"/>
    <n v="6"/>
    <s v="OK"/>
    <s v="CUST-9094"/>
    <s v="Mira Das"/>
    <s v="Consumer"/>
    <x v="1"/>
    <s v="Bihar"/>
    <s v="Patna"/>
    <s v="Technology"/>
    <s v="Copiers"/>
    <s v="Max Copiers 440"/>
    <s v="Same Day"/>
    <n v="1"/>
    <n v="492.67"/>
    <n v="0.15"/>
    <s v="OK"/>
    <n v="418.77"/>
    <n v="313.72000000000003"/>
    <n v="105.05"/>
    <s v="Paid"/>
    <s v="Completed"/>
    <s v="OK"/>
    <n v="0.15"/>
    <x v="297"/>
    <n v="105.05"/>
    <n v="0.25090000000000001"/>
    <n v="7"/>
    <n v="2024"/>
    <s v="CLEAN"/>
  </r>
  <r>
    <s v="ORD-2024-10546"/>
    <d v="2024-05-27T00:00:00"/>
    <d v="2024-05-30T00:00:00"/>
    <n v="3"/>
    <s v="OK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s v="OK"/>
    <n v="17260.12"/>
    <n v="13513.51"/>
    <n v="3746.61"/>
    <s v="Paid"/>
    <s v="Completed"/>
    <s v="OK"/>
    <n v="0.15"/>
    <x v="298"/>
    <n v="3746.61"/>
    <n v="0.21709999999999999"/>
    <n v="5"/>
    <n v="2024"/>
    <s v="CLEAN"/>
  </r>
  <r>
    <s v="ORD-2024-10548"/>
    <d v="2024-05-16T00:00:00"/>
    <d v="2024-05-23T00:00:00"/>
    <n v="7"/>
    <s v="OK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s v="OK"/>
    <n v="30148.93"/>
    <n v="25155.07"/>
    <n v="4993.8599999999997"/>
    <s v="Paid"/>
    <s v="Completed"/>
    <s v="OK"/>
    <n v="0.1"/>
    <x v="299"/>
    <n v="4993.8599999999997"/>
    <n v="0.1656"/>
    <n v="5"/>
    <n v="2024"/>
    <s v="CLEAN"/>
  </r>
  <r>
    <s v="ORD-2024-10549"/>
    <d v="2024-05-29T00:00:00"/>
    <d v="2024-05-29T00:00:00"/>
    <n v="0"/>
    <s v="OK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s v="OK"/>
    <n v="1072.01"/>
    <n v="852.62"/>
    <n v="219.39"/>
    <s v="Pending"/>
    <s v="Cancelled"/>
    <s v="OK"/>
    <n v="0"/>
    <x v="300"/>
    <n v="219.39"/>
    <n v="0.20469999999999999"/>
    <n v="5"/>
    <n v="2024"/>
    <s v="CLEAN"/>
  </r>
  <r>
    <s v="ORD-2024-10551"/>
    <d v="2024-02-08T00:00:00"/>
    <d v="2024-08-10T00:00:00"/>
    <n v="184"/>
    <s v="OK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s v="OK"/>
    <n v="10206.91"/>
    <n v="6764.53"/>
    <n v="3442.38"/>
    <s v="Paid"/>
    <s v="Completed"/>
    <s v="OK"/>
    <n v="0.2"/>
    <x v="301"/>
    <n v="3442.38"/>
    <n v="0.33729999999999999"/>
    <n v="2"/>
    <n v="2024"/>
    <s v="CLEAN"/>
  </r>
  <r>
    <s v="ORD-2024-10552"/>
    <d v="2024-02-27T00:00:00"/>
    <d v="2024-02-27T00:00:00"/>
    <n v="0"/>
    <s v="OK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s v="OK"/>
    <n v="8027.63"/>
    <n v="5496.09"/>
    <n v="2531.54"/>
    <s v="Paid"/>
    <s v="Completed"/>
    <s v="OK"/>
    <n v="0.15"/>
    <x v="302"/>
    <n v="2531.54"/>
    <n v="0.31540000000000001"/>
    <n v="2"/>
    <n v="2024"/>
    <s v="CLEAN"/>
  </r>
  <r>
    <s v="ORD-2024-10555"/>
    <d v="2024-10-12T00:00:00"/>
    <d v="2024-10-17T00:00:00"/>
    <n v="5"/>
    <s v="OK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s v="OK"/>
    <n v="4070.64"/>
    <n v="2831.62"/>
    <n v="1239.02"/>
    <s v="Paid"/>
    <s v="Completed"/>
    <s v="OK"/>
    <n v="0.05"/>
    <x v="303"/>
    <n v="1239.02"/>
    <n v="0.3044"/>
    <n v="10"/>
    <n v="2024"/>
    <s v="WARNING"/>
  </r>
  <r>
    <s v="ORD-2024-10557"/>
    <d v="2024-06-23T00:00:00"/>
    <d v="2024-06-29T00:00:00"/>
    <n v="6"/>
    <s v="OK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s v="OK"/>
    <n v="4426.66"/>
    <n v="3035.2"/>
    <n v="1816.23"/>
    <s v="Paid"/>
    <s v="Returned"/>
    <s v="OK"/>
    <n v="0"/>
    <x v="304"/>
    <n v="1391.46"/>
    <n v="0.31430000000000002"/>
    <n v="6"/>
    <n v="2024"/>
    <s v="CLEAN"/>
  </r>
  <r>
    <s v="ORD-2024-10558"/>
    <d v="2024-05-08T00:00:00"/>
    <d v="2024-05-14T00:00:00"/>
    <n v="6"/>
    <s v="OK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s v="OK"/>
    <n v="32228.880000000001"/>
    <n v="24971.360000000001"/>
    <n v="7257.52"/>
    <s v="Paid"/>
    <s v="Cancelled"/>
    <s v="OK"/>
    <n v="0.05"/>
    <x v="305"/>
    <n v="7257.52"/>
    <n v="0.22520000000000001"/>
    <n v="5"/>
    <n v="2024"/>
    <s v="CLEAN"/>
  </r>
  <r>
    <s v="ORD-2024-10561"/>
    <d v="2024-01-16T00:00:00"/>
    <d v="2024-01-22T00:00:00"/>
    <n v="6"/>
    <s v="OK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s v="OK"/>
    <n v="1130.1199999999999"/>
    <n v="848.62"/>
    <n v="281.5"/>
    <s v="Paid"/>
    <s v="Cancelled"/>
    <s v="OK"/>
    <n v="0"/>
    <x v="306"/>
    <n v="281.5"/>
    <n v="0.24909999999999999"/>
    <n v="1"/>
    <n v="2024"/>
    <s v="CLEAN"/>
  </r>
  <r>
    <s v="ORD-2024-10563"/>
    <d v="2024-05-10T00:00:00"/>
    <d v="2024-05-16T00:00:00"/>
    <n v="6"/>
    <s v="OK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s v="OK"/>
    <n v="680.62"/>
    <n v="463.49"/>
    <n v="217.13"/>
    <s v="Failed"/>
    <s v="Returned"/>
    <s v="OK"/>
    <n v="0.2"/>
    <x v="307"/>
    <n v="217.13"/>
    <n v="0.31900000000000001"/>
    <n v="5"/>
    <n v="2024"/>
    <s v="INVALID"/>
  </r>
  <r>
    <s v="ORD-2024-10564"/>
    <d v="2024-05-06T00:00:00"/>
    <d v="2024-12-05T00:00:00"/>
    <n v="213"/>
    <s v="OK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s v="OK"/>
    <n v="5694.98"/>
    <n v="4618.33"/>
    <n v="1076.6500000000001"/>
    <s v="Pending"/>
    <s v="Cancelled"/>
    <s v="OK"/>
    <n v="0.2"/>
    <x v="308"/>
    <n v="1076.6500000000001"/>
    <n v="0.18909999999999999"/>
    <n v="5"/>
    <n v="2024"/>
    <s v="CLEAN"/>
  </r>
  <r>
    <s v="ORD-2024-10565"/>
    <d v="2024-11-10T00:00:00"/>
    <d v="2024-11-14T00:00:00"/>
    <n v="4"/>
    <s v="OK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s v="OK"/>
    <n v="1474.14"/>
    <n v="968.46"/>
    <n v="505.68"/>
    <s v="Paid"/>
    <s v="Completed"/>
    <s v="OK"/>
    <n v="0.2"/>
    <x v="309"/>
    <n v="505.68"/>
    <n v="0.34300000000000003"/>
    <n v="11"/>
    <n v="2024"/>
    <s v="CLEAN"/>
  </r>
  <r>
    <s v="ORD-2024-10567"/>
    <d v="2024-08-11T00:00:00"/>
    <d v="2024-08-19T00:00:00"/>
    <n v="8"/>
    <s v="OK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s v="OK"/>
    <n v="4712.2"/>
    <n v="3851.91"/>
    <n v="860.29"/>
    <s v="Failed"/>
    <s v="Returned"/>
    <s v="OK"/>
    <n v="0.1"/>
    <x v="310"/>
    <n v="860.29"/>
    <n v="0.18260000000000001"/>
    <n v="8"/>
    <n v="2024"/>
    <s v="INVALID"/>
  </r>
  <r>
    <s v="ORD-2024-10568"/>
    <d v="2024-02-06T00:00:00"/>
    <d v="2024-10-02T00:00:00"/>
    <n v="239"/>
    <s v="OK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s v="OK"/>
    <n v="1305.3599999999999"/>
    <n v="731.89"/>
    <n v="573.47"/>
    <s v="Paid"/>
    <s v="Completed"/>
    <s v="OK"/>
    <n v="0.05"/>
    <x v="311"/>
    <n v="573.47"/>
    <n v="0.43930000000000002"/>
    <n v="2"/>
    <n v="2024"/>
    <s v="CLEAN"/>
  </r>
  <r>
    <s v="ORD-2024-10569"/>
    <d v="2024-01-21T00:00:00"/>
    <d v="2024-01-24T00:00:00"/>
    <n v="3"/>
    <s v="OK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s v="OK"/>
    <n v="2854.73"/>
    <n v="1968.12"/>
    <n v="886.61"/>
    <s v="Paid"/>
    <s v="Completed"/>
    <s v="OK"/>
    <n v="0.25"/>
    <x v="312"/>
    <n v="886.61"/>
    <n v="0.31059999999999999"/>
    <n v="1"/>
    <n v="2024"/>
    <s v="CLEAN"/>
  </r>
  <r>
    <s v="ORD-2024-10573"/>
    <d v="2024-01-02T00:00:00"/>
    <d v="2024-09-01T00:00:00"/>
    <n v="243"/>
    <s v="OK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s v="OK"/>
    <n v="1774.94"/>
    <n v="1007.4"/>
    <n v="767.54"/>
    <s v="Paid"/>
    <s v="Completed"/>
    <s v="OK"/>
    <n v="0.2"/>
    <x v="313"/>
    <n v="767.54"/>
    <n v="0.43240000000000001"/>
    <n v="1"/>
    <n v="2024"/>
    <s v="CLEAN"/>
  </r>
  <r>
    <s v="ORD-2024-10575"/>
    <d v="2024-02-20T00:00:00"/>
    <d v="2024-02-25T00:00:00"/>
    <n v="5"/>
    <s v="OK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s v="OK"/>
    <n v="5423.2"/>
    <n v="4072.44"/>
    <n v="1350.76"/>
    <s v="Paid"/>
    <s v="Completed"/>
    <s v="OK"/>
    <n v="0"/>
    <x v="314"/>
    <n v="1350.76"/>
    <n v="0.24909999999999999"/>
    <n v="2"/>
    <n v="2024"/>
    <s v="CLEAN"/>
  </r>
  <r>
    <s v="ORD-2024-10577"/>
    <d v="2024-02-17T00:00:00"/>
    <d v="2024-02-23T00:00:00"/>
    <n v="6"/>
    <s v="OK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s v="OK"/>
    <n v="23530.14"/>
    <n v="19537.79"/>
    <n v="3992.35"/>
    <s v="Refunded"/>
    <s v="Returned"/>
    <s v="OK"/>
    <n v="0"/>
    <x v="315"/>
    <n v="3992.35"/>
    <n v="0.16969999999999999"/>
    <n v="2"/>
    <n v="2024"/>
    <s v="WARNING"/>
  </r>
  <r>
    <s v="ORD-2024-10579"/>
    <d v="2024-02-21T00:00:00"/>
    <d v="2024-02-23T00:00:00"/>
    <n v="2"/>
    <s v="OK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s v="OK"/>
    <n v="15011.81"/>
    <n v="9660.36"/>
    <n v="5351.45"/>
    <s v="Paid"/>
    <s v="Completed"/>
    <s v="OK"/>
    <n v="0.05"/>
    <x v="316"/>
    <n v="5351.45"/>
    <n v="0.35649999999999998"/>
    <n v="2"/>
    <n v="2024"/>
    <s v="CLEAN"/>
  </r>
  <r>
    <s v="ORD-2024-10580"/>
    <d v="2024-06-19T00:00:00"/>
    <d v="2024-06-24T00:00:00"/>
    <n v="5"/>
    <s v="OK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s v="OK"/>
    <n v="3202.41"/>
    <n v="2608.44"/>
    <n v="593.97"/>
    <s v="Paid"/>
    <s v="Completed"/>
    <s v="OK"/>
    <n v="0"/>
    <x v="317"/>
    <n v="593.97"/>
    <n v="0.1855"/>
    <n v="6"/>
    <n v="2024"/>
    <s v="CLEAN"/>
  </r>
  <r>
    <s v="ORD-2024-10583"/>
    <d v="2024-10-15T00:00:00"/>
    <d v="2024-10-20T00:00:00"/>
    <n v="5"/>
    <s v="OK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s v="OK"/>
    <n v="3356.2"/>
    <n v="2205.7199999999998"/>
    <n v="1150.48"/>
    <s v="Pending"/>
    <s v="Returned"/>
    <s v="OK"/>
    <n v="0"/>
    <x v="318"/>
    <n v="1150.48"/>
    <n v="0.34279999999999999"/>
    <n v="10"/>
    <n v="2024"/>
    <s v="CLEAN"/>
  </r>
  <r>
    <s v="ORD-2024-10584"/>
    <d v="2024-02-28T00:00:00"/>
    <d v="2024-02-28T00:00:00"/>
    <n v="0"/>
    <s v="OK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s v="OK"/>
    <n v="2101.4699999999998"/>
    <n v="1217.83"/>
    <n v="883.64"/>
    <s v="Failed"/>
    <s v="Returned"/>
    <s v="OK"/>
    <n v="0.2"/>
    <x v="319"/>
    <n v="883.64"/>
    <n v="0.42049999999999998"/>
    <n v="2"/>
    <n v="2024"/>
    <s v="INVALID"/>
  </r>
  <r>
    <s v="ORD-2024-10585"/>
    <d v="2024-08-04T00:00:00"/>
    <d v="2024-10-08T00:00:00"/>
    <n v="65"/>
    <s v="OK"/>
    <s v="CUST-4894"/>
    <s v="Vikram Iyer"/>
    <s v="Consumer"/>
    <x v="1"/>
    <s v="Bihar"/>
    <s v="Patna"/>
    <s v="Office Supplies"/>
    <s v="Art"/>
    <s v="Pro Art 172"/>
    <s v="Same Day"/>
    <n v="1"/>
    <n v="984.93"/>
    <n v="0.15"/>
    <s v="OK"/>
    <n v="837.19"/>
    <n v="583.79"/>
    <n v="253.4"/>
    <s v="Pending"/>
    <s v="Returned"/>
    <s v="OK"/>
    <n v="0.15"/>
    <x v="320"/>
    <n v="253.4"/>
    <n v="0.30270000000000002"/>
    <n v="8"/>
    <n v="2024"/>
    <s v="CLEAN"/>
  </r>
  <r>
    <s v="ORD-2024-10590"/>
    <d v="2024-12-06T00:00:00"/>
    <d v="2024-12-12T00:00:00"/>
    <n v="6"/>
    <s v="OK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s v="OK"/>
    <n v="1574.25"/>
    <n v="1326.12"/>
    <n v="248.13"/>
    <s v="Paid"/>
    <s v="Completed"/>
    <s v="OK"/>
    <n v="0"/>
    <x v="321"/>
    <n v="248.13"/>
    <n v="0.15759999999999999"/>
    <n v="12"/>
    <n v="2024"/>
    <s v="CLEAN"/>
  </r>
  <r>
    <s v="ORD-2024-10591"/>
    <d v="2024-05-29T00:00:00"/>
    <d v="2024-05-29T00:00:00"/>
    <n v="0"/>
    <s v="OK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s v="OK"/>
    <n v="20582.099999999999"/>
    <n v="15897.65"/>
    <n v="4684.45"/>
    <s v="Pending"/>
    <s v="Cancelled"/>
    <s v="OK"/>
    <n v="0"/>
    <x v="322"/>
    <n v="4684.45"/>
    <n v="0.2276"/>
    <n v="5"/>
    <n v="2024"/>
    <s v="CLEAN"/>
  </r>
  <r>
    <s v="ORD-2024-10592"/>
    <d v="2024-02-22T00:00:00"/>
    <d v="2024-02-24T00:00:00"/>
    <n v="2"/>
    <s v="OK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s v="OK"/>
    <n v="10635.24"/>
    <n v="6031.88"/>
    <n v="4603.3599999999997"/>
    <s v="Failed"/>
    <s v="Returned"/>
    <s v="OK"/>
    <n v="0"/>
    <x v="323"/>
    <n v="4603.3599999999997"/>
    <n v="0.43280000000000002"/>
    <n v="2"/>
    <n v="2024"/>
    <s v="INVALID"/>
  </r>
  <r>
    <s v="ORD-2024-10593"/>
    <d v="2024-04-03T00:00:00"/>
    <d v="2024-03-09T00:00:00"/>
    <n v="-25"/>
    <s v="INVALID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s v="OK"/>
    <n v="29929.59"/>
    <n v="22436.03"/>
    <n v="7493.56"/>
    <s v="Paid"/>
    <s v="Completed"/>
    <s v="OK"/>
    <n v="0.15"/>
    <x v="324"/>
    <n v="7493.56"/>
    <n v="0.25040000000000001"/>
    <n v="4"/>
    <n v="2024"/>
    <s v="INVALID"/>
  </r>
  <r>
    <s v="ORD-2024-10595"/>
    <d v="2024-09-19T00:00:00"/>
    <d v="2024-09-21T00:00:00"/>
    <n v="2"/>
    <s v="OK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s v="OK"/>
    <n v="11945.28"/>
    <n v="9700.31"/>
    <n v="2244.9699999999998"/>
    <s v="Paid"/>
    <s v="Completed"/>
    <s v="OK"/>
    <n v="0"/>
    <x v="325"/>
    <n v="2244.9699999999998"/>
    <n v="0.18790000000000001"/>
    <n v="9"/>
    <n v="2024"/>
    <s v="CLEAN"/>
  </r>
  <r>
    <s v="ORD-2024-10597"/>
    <d v="2024-04-10T00:00:00"/>
    <d v="2024-04-16T00:00:00"/>
    <n v="6"/>
    <s v="OK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s v="OK"/>
    <n v="18382.009999999998"/>
    <n v="13108.2"/>
    <n v="5273.81"/>
    <s v="Paid"/>
    <s v="Completed"/>
    <s v="OK"/>
    <n v="0.25"/>
    <x v="326"/>
    <n v="5273.81"/>
    <n v="0.28689999999999999"/>
    <n v="4"/>
    <n v="2024"/>
    <s v="CLEAN"/>
  </r>
  <r>
    <s v="ORD-2024-10599"/>
    <d v="2024-08-17T00:00:00"/>
    <d v="2024-08-24T00:00:00"/>
    <n v="7"/>
    <s v="OK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s v="OK"/>
    <n v="3354.05"/>
    <n v="2672.67"/>
    <n v="681.38"/>
    <s v="Paid"/>
    <s v="Completed"/>
    <s v="OK"/>
    <n v="0.25"/>
    <x v="327"/>
    <n v="681.38"/>
    <n v="0.20319999999999999"/>
    <n v="8"/>
    <n v="2024"/>
    <s v="CLEAN"/>
  </r>
  <r>
    <s v="ORD-2024-10600"/>
    <d v="2024-08-19T00:00:00"/>
    <d v="2024-08-21T00:00:00"/>
    <n v="2"/>
    <s v="OK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s v="OK"/>
    <n v="2482.9699999999998"/>
    <n v="1621.72"/>
    <n v="861.25"/>
    <s v="Paid"/>
    <s v="Completed"/>
    <s v="OK"/>
    <n v="0.25"/>
    <x v="328"/>
    <n v="861.25"/>
    <n v="0.34689999999999999"/>
    <n v="8"/>
    <n v="2024"/>
    <s v="CLEAN"/>
  </r>
  <r>
    <s v="ORD-2024-10602"/>
    <d v="2024-01-26T00:00:00"/>
    <d v="2024-01-31T00:00:00"/>
    <n v="5"/>
    <s v="OK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s v="OK"/>
    <n v="6460.12"/>
    <n v="3604.03"/>
    <n v="2856.09"/>
    <s v="Paid"/>
    <s v="Completed"/>
    <s v="OK"/>
    <n v="0.2"/>
    <x v="329"/>
    <n v="2856.09"/>
    <n v="0.44209999999999999"/>
    <n v="1"/>
    <n v="2024"/>
    <s v="CLEAN"/>
  </r>
  <r>
    <s v="ORD-2024-10603"/>
    <d v="2024-10-23T00:00:00"/>
    <d v="2024-10-30T00:00:00"/>
    <n v="7"/>
    <s v="OK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s v="OK"/>
    <n v="26192.22"/>
    <n v="20795.55"/>
    <n v="5396.67"/>
    <s v="Paid"/>
    <s v="Completed"/>
    <s v="OK"/>
    <n v="0.15"/>
    <x v="330"/>
    <n v="5396.67"/>
    <n v="0.20599999999999999"/>
    <n v="10"/>
    <n v="2024"/>
    <s v="CLEAN"/>
  </r>
  <r>
    <s v="ORD-2024-10609"/>
    <d v="2024-06-21T00:00:00"/>
    <d v="2024-06-23T00:00:00"/>
    <n v="2"/>
    <s v="OK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s v="OK"/>
    <n v="19383.75"/>
    <n v="11667.43"/>
    <n v="7716.32"/>
    <s v="Paid"/>
    <s v="Completed"/>
    <s v="OK"/>
    <n v="0"/>
    <x v="331"/>
    <n v="7716.32"/>
    <n v="0.39810000000000001"/>
    <n v="6"/>
    <n v="2024"/>
    <s v="CLEAN"/>
  </r>
  <r>
    <s v="ORD-2024-10611"/>
    <d v="2024-05-20T00:00:00"/>
    <d v="2024-05-20T00:00:00"/>
    <n v="0"/>
    <s v="OK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s v="OK"/>
    <n v="2729.65"/>
    <n v="1715.36"/>
    <n v="1014.29"/>
    <s v="Paid"/>
    <s v="Completed"/>
    <s v="OK"/>
    <n v="0.1"/>
    <x v="332"/>
    <n v="1014.3"/>
    <n v="0.37159999999999999"/>
    <n v="5"/>
    <n v="2024"/>
    <s v="CLEAN"/>
  </r>
  <r>
    <s v="ORD-2024-10614"/>
    <d v="2024-10-05T00:00:00"/>
    <d v="2024-10-10T00:00:00"/>
    <n v="5"/>
    <s v="OK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s v="OK"/>
    <n v="22688.78"/>
    <n v="14672.41"/>
    <n v="8016.37"/>
    <s v="Paid"/>
    <s v="Completed"/>
    <s v="OK"/>
    <n v="0.25"/>
    <x v="333"/>
    <n v="8016.37"/>
    <n v="0.3533"/>
    <n v="10"/>
    <n v="2024"/>
    <s v="CLEAN"/>
  </r>
  <r>
    <s v="ORD-2024-10615"/>
    <d v="2024-11-02T00:00:00"/>
    <d v="2024-02-19T00:00:00"/>
    <n v="-257"/>
    <s v="INVALID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s v="OK"/>
    <n v="20389.919999999998"/>
    <n v="16661.080000000002"/>
    <n v="3728.84"/>
    <s v="Refunded"/>
    <s v="Cancelled"/>
    <s v="OK"/>
    <n v="0.25"/>
    <x v="334"/>
    <n v="3728.84"/>
    <n v="0.18290000000000001"/>
    <n v="11"/>
    <n v="2024"/>
    <s v="INVALID"/>
  </r>
  <r>
    <s v="ORD-2024-10616"/>
    <d v="2024-10-04T00:00:00"/>
    <d v="2024-10-07T00:00:00"/>
    <n v="3"/>
    <s v="OK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s v="OK"/>
    <n v="5904.57"/>
    <n v="4337.79"/>
    <n v="1322.09"/>
    <s v="Paid"/>
    <s v="Completed"/>
    <s v="OK"/>
    <n v="0.1"/>
    <x v="335"/>
    <n v="1322.09"/>
    <n v="0.2336"/>
    <n v="10"/>
    <n v="2024"/>
    <s v="CLEAN"/>
  </r>
  <r>
    <s v="ORD-2024-10617"/>
    <d v="2024-08-16T00:00:00"/>
    <d v="2024-08-19T00:00:00"/>
    <n v="3"/>
    <s v="OK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s v="OK"/>
    <n v="18842.64"/>
    <n v="11840.58"/>
    <n v="7002.06"/>
    <s v="Paid"/>
    <s v="Completed"/>
    <s v="OK"/>
    <n v="0.2"/>
    <x v="336"/>
    <n v="7002.06"/>
    <n v="0.37159999999999999"/>
    <n v="8"/>
    <n v="2024"/>
    <s v="CLEAN"/>
  </r>
  <r>
    <s v="ORD-2024-10618"/>
    <d v="2024-09-29T00:00:00"/>
    <d v="2024-09-30T00:00:00"/>
    <n v="1"/>
    <s v="OK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s v="OK"/>
    <n v="24677.19"/>
    <n v="20350.849999999999"/>
    <n v="4326.34"/>
    <s v="Paid"/>
    <s v="Completed"/>
    <s v="OK"/>
    <n v="0"/>
    <x v="337"/>
    <n v="4326.34"/>
    <n v="0.17530000000000001"/>
    <n v="9"/>
    <n v="2024"/>
    <s v="CLEAN"/>
  </r>
  <r>
    <s v="ORD-2024-10619"/>
    <d v="2024-07-23T00:00:00"/>
    <d v="2024-07-30T00:00:00"/>
    <n v="7"/>
    <s v="OK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s v="OK"/>
    <n v="12623.24"/>
    <n v="10540.8"/>
    <n v="2082.44"/>
    <s v="Failed"/>
    <s v="Cancelled"/>
    <s v="OK"/>
    <n v="0.25"/>
    <x v="338"/>
    <n v="2082.44"/>
    <n v="0.16500000000000001"/>
    <n v="7"/>
    <n v="2024"/>
    <s v="INVALID"/>
  </r>
  <r>
    <s v="ORD-2024-10620"/>
    <d v="2024-11-22T00:00:00"/>
    <d v="2024-11-27T00:00:00"/>
    <n v="5"/>
    <s v="OK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s v="OK"/>
    <n v="3401.01"/>
    <n v="2917.54"/>
    <n v="483.47"/>
    <s v="Refunded"/>
    <s v="Returned"/>
    <s v="OK"/>
    <n v="0.2"/>
    <x v="339"/>
    <n v="483.47"/>
    <n v="0.14219999999999999"/>
    <n v="11"/>
    <n v="2024"/>
    <s v="CLEAN"/>
  </r>
  <r>
    <s v="ORD-2024-10621"/>
    <d v="2024-08-18T00:00:00"/>
    <d v="2024-08-21T00:00:00"/>
    <n v="3"/>
    <s v="OK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s v="OK"/>
    <n v="6609.06"/>
    <n v="4946.78"/>
    <n v="1662.28"/>
    <s v="Paid"/>
    <s v="Completed"/>
    <s v="OK"/>
    <n v="0"/>
    <x v="340"/>
    <n v="1662.28"/>
    <n v="0.2515"/>
    <n v="8"/>
    <n v="2024"/>
    <s v="CLEAN"/>
  </r>
  <r>
    <s v="ORD-2024-10622"/>
    <d v="2024-11-28T00:00:00"/>
    <d v="2024-06-12T00:00:00"/>
    <n v="-169"/>
    <s v="INVALID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s v="OK"/>
    <n v="5464.2"/>
    <n v="3318.09"/>
    <n v="2146.11"/>
    <s v="Paid"/>
    <s v="Completed"/>
    <s v="OK"/>
    <n v="0"/>
    <x v="341"/>
    <n v="2146.11"/>
    <n v="0.39279999999999998"/>
    <n v="11"/>
    <n v="2024"/>
    <s v="INVALID"/>
  </r>
  <r>
    <s v="ORD-2024-10624"/>
    <d v="2024-08-08T00:00:00"/>
    <d v="2024-08-14T00:00:00"/>
    <n v="6"/>
    <s v="OK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s v="OK"/>
    <n v="10329.84"/>
    <n v="7512.22"/>
    <n v="2817.62"/>
    <s v="Paid"/>
    <s v="Completed"/>
    <s v="OK"/>
    <n v="0.05"/>
    <x v="342"/>
    <n v="2817.62"/>
    <n v="0.27279999999999999"/>
    <n v="8"/>
    <n v="2024"/>
    <s v="CLEAN"/>
  </r>
  <r>
    <s v="ORD-2024-10625"/>
    <d v="2024-01-30T00:00:00"/>
    <d v="2024-02-01T00:00:00"/>
    <n v="2"/>
    <s v="OK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s v="OK"/>
    <n v="8456.9599999999991"/>
    <n v="5462.85"/>
    <n v="2994.11"/>
    <s v="Paid"/>
    <s v="Completed"/>
    <s v="OK"/>
    <n v="0.05"/>
    <x v="343"/>
    <n v="2994.11"/>
    <n v="0.35399999999999998"/>
    <n v="1"/>
    <n v="2024"/>
    <s v="CLEAN"/>
  </r>
  <r>
    <s v="ORD-2024-10626"/>
    <d v="2024-12-15T00:00:00"/>
    <d v="2024-12-21T00:00:00"/>
    <n v="6"/>
    <s v="OK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s v="OK"/>
    <n v="1266.4100000000001"/>
    <n v="983.92"/>
    <n v="282.49"/>
    <s v="Paid"/>
    <s v="Completed"/>
    <s v="OK"/>
    <n v="0.2"/>
    <x v="344"/>
    <n v="282.49"/>
    <n v="0.22309999999999999"/>
    <n v="12"/>
    <n v="2024"/>
    <s v="CLEAN"/>
  </r>
  <r>
    <s v="ORD-2024-10631"/>
    <d v="2024-04-09T00:00:00"/>
    <d v="2024-04-10T00:00:00"/>
    <n v="1"/>
    <s v="OK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s v="OK"/>
    <n v="10969.38"/>
    <n v="9254.4599999999991"/>
    <n v="1714.92"/>
    <s v="Paid"/>
    <s v="Completed"/>
    <s v="OK"/>
    <n v="0.1"/>
    <x v="345"/>
    <n v="1714.92"/>
    <n v="0.15629999999999999"/>
    <n v="4"/>
    <n v="2024"/>
    <s v="CLEAN"/>
  </r>
  <r>
    <s v="ORD-2024-10632"/>
    <d v="2024-04-10T00:00:00"/>
    <d v="2024-04-15T00:00:00"/>
    <n v="5"/>
    <s v="OK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s v="OK"/>
    <n v="31409.86"/>
    <n v="22523.54"/>
    <n v="8886.32"/>
    <s v="Paid"/>
    <s v="Completed"/>
    <s v="OK"/>
    <n v="0.1"/>
    <x v="346"/>
    <n v="8886.32"/>
    <n v="0.28289999999999998"/>
    <n v="4"/>
    <n v="2024"/>
    <s v="CLEAN"/>
  </r>
  <r>
    <s v="ORD-2024-10636"/>
    <d v="2024-05-20T00:00:00"/>
    <d v="2024-05-25T00:00:00"/>
    <n v="5"/>
    <s v="OK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s v="OK"/>
    <n v="16394.96"/>
    <n v="10404.17"/>
    <n v="5990.79"/>
    <s v="Paid"/>
    <s v="Completed"/>
    <s v="OK"/>
    <n v="0.25"/>
    <x v="347"/>
    <n v="5990.79"/>
    <n v="0.3654"/>
    <n v="5"/>
    <n v="2024"/>
    <s v="CLEAN"/>
  </r>
  <r>
    <s v="ORD-2024-10637"/>
    <d v="2024-10-02T00:00:00"/>
    <d v="2024-10-09T00:00:00"/>
    <n v="7"/>
    <s v="OK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s v="OK"/>
    <n v="12990.11"/>
    <n v="10200.799999999999"/>
    <n v="2789.31"/>
    <s v="Paid"/>
    <s v="Completed"/>
    <s v="OK"/>
    <n v="0.15"/>
    <x v="348"/>
    <n v="2789.31"/>
    <n v="0.2147"/>
    <n v="10"/>
    <n v="2024"/>
    <s v="CLEAN"/>
  </r>
  <r>
    <s v="ORD-2024-10638"/>
    <d v="2024-05-26T00:00:00"/>
    <d v="2024-05-26T00:00:00"/>
    <n v="0"/>
    <s v="OK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s v="OK"/>
    <n v="5107.95"/>
    <n v="3133.08"/>
    <n v="1974.87"/>
    <s v="Paid"/>
    <s v="Completed"/>
    <s v="OK"/>
    <n v="0.2"/>
    <x v="349"/>
    <n v="1974.87"/>
    <n v="0.3866"/>
    <n v="5"/>
    <n v="2024"/>
    <s v="CLEAN"/>
  </r>
  <r>
    <s v="ORD-2024-10639"/>
    <d v="2024-01-26T00:00:00"/>
    <d v="2024-01-31T00:00:00"/>
    <n v="5"/>
    <s v="OK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s v="OK"/>
    <n v="7738.37"/>
    <n v="4626.8500000000004"/>
    <n v="3111.52"/>
    <s v="Failed"/>
    <s v="Returned"/>
    <s v="OK"/>
    <n v="0.2"/>
    <x v="350"/>
    <n v="3111.52"/>
    <n v="0.40210000000000001"/>
    <n v="1"/>
    <n v="2024"/>
    <s v="INVALID"/>
  </r>
  <r>
    <s v="ORD-2024-10640"/>
    <d v="2024-12-27T00:00:00"/>
    <d v="2024-12-31T00:00:00"/>
    <n v="4"/>
    <s v="OK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s v="OK"/>
    <n v="1514.96"/>
    <n v="1046.17"/>
    <n v="468.79"/>
    <s v="Paid"/>
    <s v="Completed"/>
    <s v="OK"/>
    <n v="0.05"/>
    <x v="351"/>
    <n v="468.8"/>
    <n v="0.30940000000000001"/>
    <n v="12"/>
    <n v="2024"/>
    <s v="CLEAN"/>
  </r>
  <r>
    <s v="ORD-2024-10643"/>
    <d v="2024-08-29T00:00:00"/>
    <d v="2024-08-31T00:00:00"/>
    <n v="2"/>
    <s v="OK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s v="OK"/>
    <n v="8607.67"/>
    <n v="5337.64"/>
    <n v="3270.03"/>
    <s v="Failed"/>
    <s v="Returned"/>
    <s v="OK"/>
    <n v="0.25"/>
    <x v="352"/>
    <n v="3270.03"/>
    <n v="0.37990000000000002"/>
    <n v="8"/>
    <n v="2024"/>
    <s v="INVALID"/>
  </r>
  <r>
    <s v="ORD-2024-10644"/>
    <d v="2024-05-02T00:00:00"/>
    <d v="2024-02-13T00:00:00"/>
    <n v="-79"/>
    <s v="INVALID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s v="OK"/>
    <n v="26324.02"/>
    <n v="16277.96"/>
    <n v="10046.06"/>
    <s v="Failed"/>
    <s v="Returned"/>
    <s v="OK"/>
    <n v="0.15"/>
    <x v="353"/>
    <n v="10046.06"/>
    <n v="0.38159999999999999"/>
    <n v="5"/>
    <n v="2024"/>
    <s v="INVALID"/>
  </r>
  <r>
    <s v="ORD-2024-10646"/>
    <d v="2024-01-04T00:00:00"/>
    <d v="2024-09-01T00:00:00"/>
    <n v="241"/>
    <s v="OK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s v="OK"/>
    <n v="13087.49"/>
    <n v="7608.89"/>
    <n v="5133.22"/>
    <s v="Paid"/>
    <s v="Completed"/>
    <s v="OK"/>
    <n v="0.1"/>
    <x v="354"/>
    <n v="5478.6"/>
    <n v="0.41860000000000003"/>
    <n v="1"/>
    <n v="2024"/>
    <s v="CLEAN"/>
  </r>
  <r>
    <s v="ORD-2024-10647"/>
    <d v="2024-09-18T00:00:00"/>
    <d v="2024-09-24T00:00:00"/>
    <n v="6"/>
    <s v="OK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s v="OK"/>
    <n v="1640.57"/>
    <n v="1136.98"/>
    <n v="503.59"/>
    <s v="Paid"/>
    <s v="Completed"/>
    <s v="OK"/>
    <n v="0.25"/>
    <x v="355"/>
    <n v="503.59"/>
    <n v="0.307"/>
    <n v="9"/>
    <n v="2024"/>
    <s v="CLEAN"/>
  </r>
  <r>
    <s v="ORD-2024-10649"/>
    <d v="2024-04-21T00:00:00"/>
    <d v="2024-04-24T00:00:00"/>
    <n v="3"/>
    <s v="OK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s v="OK"/>
    <n v="5065.8500000000004"/>
    <n v="3517.23"/>
    <n v="1548.62"/>
    <s v="Failed"/>
    <s v="Returned"/>
    <s v="OK"/>
    <n v="0.2"/>
    <x v="356"/>
    <n v="1548.62"/>
    <n v="0.30570000000000003"/>
    <n v="4"/>
    <n v="2024"/>
    <s v="INVALID"/>
  </r>
  <r>
    <s v="ORD-2024-10651"/>
    <d v="2024-04-13T00:00:00"/>
    <d v="2024-04-21T00:00:00"/>
    <n v="8"/>
    <s v="OK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s v="OK"/>
    <n v="15760.12"/>
    <n v="9931.5300000000007"/>
    <n v="5828.59"/>
    <s v="Failed"/>
    <s v="Returned"/>
    <s v="OK"/>
    <n v="0.15"/>
    <x v="357"/>
    <n v="5828.59"/>
    <n v="0.36980000000000002"/>
    <n v="4"/>
    <n v="2024"/>
    <s v="INVALID"/>
  </r>
  <r>
    <s v="ORD-2024-10657"/>
    <d v="2024-07-05T00:00:00"/>
    <d v="2024-05-14T00:00:00"/>
    <n v="-52"/>
    <s v="INVALID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s v="INVALID-NEGATIVE"/>
    <n v="9903.9599999999991"/>
    <n v="7696.28"/>
    <n v="2207.6799999999998"/>
    <s v="Paid"/>
    <s v="Completed"/>
    <s v="OK"/>
    <n v="0"/>
    <x v="358"/>
    <n v="3308.12"/>
    <n v="0.30059999999999998"/>
    <n v="7"/>
    <n v="2024"/>
    <s v="INVALID"/>
  </r>
  <r>
    <s v="ORD-2024-10662"/>
    <d v="2024-05-17T00:00:00"/>
    <d v="2024-05-22T00:00:00"/>
    <n v="5"/>
    <s v="OK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s v="OK"/>
    <n v="1627.5"/>
    <n v="939.9"/>
    <n v="687.6"/>
    <s v="Paid"/>
    <s v="Completed"/>
    <s v="OK"/>
    <n v="0"/>
    <x v="359"/>
    <n v="687.6"/>
    <n v="0.42249999999999999"/>
    <n v="5"/>
    <n v="2024"/>
    <s v="CLEAN"/>
  </r>
  <r>
    <s v="ORD-2024-10663"/>
    <d v="2024-01-14T00:00:00"/>
    <d v="2024-01-18T00:00:00"/>
    <n v="4"/>
    <s v="OK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s v="OK"/>
    <n v="9637.92"/>
    <n v="7329.29"/>
    <n v="2308.63"/>
    <s v="Paid"/>
    <s v="Completed"/>
    <s v="OK"/>
    <n v="0.1"/>
    <x v="360"/>
    <n v="2308.63"/>
    <n v="0.23949999999999999"/>
    <n v="1"/>
    <n v="2024"/>
    <s v="CLEAN"/>
  </r>
  <r>
    <s v="ORD-2024-10664"/>
    <d v="2024-05-02T00:00:00"/>
    <d v="2024-05-08T00:00:00"/>
    <n v="6"/>
    <s v="OK"/>
    <s v="CUST-1015"/>
    <s v="Rahul Verma"/>
    <s v="Home Office"/>
    <x v="1"/>
    <s v="Jharkhand"/>
    <s v="Ranchi"/>
    <s v="Technology"/>
    <s v="Copiers"/>
    <s v="Basic Copiers 787"/>
    <s v="Second Class"/>
    <n v="2"/>
    <n v="3185.01"/>
    <n v="-0.24"/>
    <s v="INVALID-NEGATIVE"/>
    <n v="4777.5200000000004"/>
    <n v="3152.98"/>
    <n v="1624.54"/>
    <s v="Paid"/>
    <s v="Completed"/>
    <s v="OK"/>
    <n v="0"/>
    <x v="361"/>
    <n v="3217.04"/>
    <n v="0.505"/>
    <n v="5"/>
    <n v="2024"/>
    <s v="INVALID"/>
  </r>
  <r>
    <s v="ORD-2024-10665"/>
    <d v="2024-12-07T00:00:00"/>
    <d v="2024-12-10T00:00:00"/>
    <n v="3"/>
    <s v="OK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s v="OK"/>
    <n v="1527.06"/>
    <n v="1055.8900000000001"/>
    <n v="471.17"/>
    <s v="Paid"/>
    <s v="Completed"/>
    <s v="OK"/>
    <n v="0.2"/>
    <x v="362"/>
    <n v="471.17"/>
    <n v="0.3085"/>
    <n v="12"/>
    <n v="2024"/>
    <s v="CLEAN"/>
  </r>
  <r>
    <s v="ORD-2024-10667"/>
    <d v="2024-06-21T00:00:00"/>
    <d v="2024-06-26T00:00:00"/>
    <n v="5"/>
    <s v="OK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s v="OK"/>
    <n v="265.83999999999997"/>
    <n v="223.49"/>
    <n v="42.35"/>
    <s v="Paid"/>
    <s v="Completed"/>
    <s v="OK"/>
    <n v="0.05"/>
    <x v="363"/>
    <n v="42.35"/>
    <n v="0.1593"/>
    <n v="6"/>
    <n v="2024"/>
    <s v="CLEAN"/>
  </r>
  <r>
    <s v="ORD-2024-10669"/>
    <d v="2024-11-21T00:00:00"/>
    <d v="2024-11-23T00:00:00"/>
    <n v="2"/>
    <s v="OK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s v="OK"/>
    <n v="2401.84"/>
    <n v="1873.11"/>
    <n v="528.73"/>
    <s v="Paid"/>
    <s v="Completed"/>
    <s v="OK"/>
    <n v="0.2"/>
    <x v="364"/>
    <n v="528.73"/>
    <n v="0.22009999999999999"/>
    <n v="11"/>
    <n v="2024"/>
    <s v="CLEAN"/>
  </r>
  <r>
    <s v="ORD-2024-10670"/>
    <d v="2024-03-24T00:00:00"/>
    <d v="2024-04-01T00:00:00"/>
    <n v="8"/>
    <s v="OK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s v="OK"/>
    <n v="5102.16"/>
    <n v="3226.45"/>
    <n v="1875.71"/>
    <s v="Paid"/>
    <s v="Completed"/>
    <s v="OK"/>
    <n v="0.25"/>
    <x v="365"/>
    <n v="1875.71"/>
    <n v="0.36759999999999998"/>
    <n v="3"/>
    <n v="2024"/>
    <s v="CLEAN"/>
  </r>
  <r>
    <s v="ORD-2024-10672"/>
    <d v="2024-03-22T00:00:00"/>
    <d v="2024-03-27T00:00:00"/>
    <n v="5"/>
    <s v="OK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s v="OK"/>
    <n v="31203.31"/>
    <n v="17738.13"/>
    <n v="13465.18"/>
    <s v="Paid"/>
    <s v="Completed"/>
    <s v="OK"/>
    <n v="0.05"/>
    <x v="366"/>
    <n v="13465.18"/>
    <n v="0.43149999999999999"/>
    <n v="3"/>
    <n v="2024"/>
    <s v="CLEAN"/>
  </r>
  <r>
    <s v="ORD-2024-10673"/>
    <d v="2024-09-04T00:00:00"/>
    <d v="2024-09-05T00:00:00"/>
    <n v="1"/>
    <s v="OK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s v="OK"/>
    <n v="12010.52"/>
    <n v="7864.61"/>
    <n v="4145.91"/>
    <s v="Paid"/>
    <s v="Returned"/>
    <s v="OK"/>
    <n v="0.05"/>
    <x v="367"/>
    <n v="4145.91"/>
    <n v="0.34520000000000001"/>
    <n v="9"/>
    <n v="2024"/>
    <s v="CLEAN"/>
  </r>
  <r>
    <s v="ORD-2024-10675"/>
    <d v="2024-05-18T00:00:00"/>
    <d v="2024-05-21T00:00:00"/>
    <n v="3"/>
    <s v="OK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s v="OK"/>
    <n v="1033.71"/>
    <n v="630.82000000000005"/>
    <n v="402.89"/>
    <s v="Pending"/>
    <s v="Returned"/>
    <s v="OK"/>
    <n v="0"/>
    <x v="368"/>
    <n v="402.89"/>
    <n v="0.38979999999999998"/>
    <n v="5"/>
    <n v="2024"/>
    <s v="CLEAN"/>
  </r>
  <r>
    <s v="ORD-2024-10678"/>
    <d v="2024-06-22T00:00:00"/>
    <d v="2024-06-27T00:00:00"/>
    <n v="5"/>
    <s v="OK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s v="OK"/>
    <n v="18364.36"/>
    <n v="15445.81"/>
    <n v="2918.55"/>
    <s v="Paid"/>
    <s v="Completed"/>
    <s v="OK"/>
    <n v="0"/>
    <x v="369"/>
    <n v="2918.55"/>
    <n v="0.15890000000000001"/>
    <n v="6"/>
    <n v="2024"/>
    <s v="CLEAN"/>
  </r>
  <r>
    <s v="ORD-2024-10679"/>
    <d v="2024-11-24T00:00:00"/>
    <d v="2024-12-01T00:00:00"/>
    <n v="7"/>
    <s v="OK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s v="OK"/>
    <n v="21141.62"/>
    <n v="11676.33"/>
    <n v="9465.2900000000009"/>
    <s v="Paid"/>
    <s v="Completed"/>
    <s v="OK"/>
    <n v="0.15"/>
    <x v="370"/>
    <n v="9465.2900000000009"/>
    <n v="0.44769999999999999"/>
    <n v="11"/>
    <n v="2024"/>
    <s v="CLEAN"/>
  </r>
  <r>
    <s v="ORD-2024-10681"/>
    <d v="2024-05-29T00:00:00"/>
    <d v="2024-06-05T00:00:00"/>
    <n v="7"/>
    <s v="OK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s v="OK"/>
    <n v="14800.96"/>
    <n v="12048.39"/>
    <n v="2752.57"/>
    <s v="Paid"/>
    <s v="Completed"/>
    <s v="OK"/>
    <n v="0"/>
    <x v="371"/>
    <n v="2752.57"/>
    <n v="0.186"/>
    <n v="5"/>
    <n v="2024"/>
    <s v="CLEAN"/>
  </r>
  <r>
    <s v="ORD-2024-10682"/>
    <d v="2024-07-04T00:00:00"/>
    <d v="2024-07-10T00:00:00"/>
    <n v="6"/>
    <s v="OK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s v="OK"/>
    <n v="6001.35"/>
    <n v="4182.99"/>
    <n v="1818.36"/>
    <s v="Paid"/>
    <s v="Cancelled"/>
    <s v="OK"/>
    <n v="0"/>
    <x v="372"/>
    <n v="1818.36"/>
    <n v="0.30299999999999999"/>
    <n v="7"/>
    <n v="2024"/>
    <s v="CLEAN"/>
  </r>
  <r>
    <s v="ORD-2024-10687"/>
    <d v="2024-03-25T00:00:00"/>
    <d v="2024-04-02T00:00:00"/>
    <n v="8"/>
    <s v="OK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s v="OK"/>
    <n v="4698.26"/>
    <n v="2654.92"/>
    <n v="2043.34"/>
    <s v="Paid"/>
    <s v="Completed"/>
    <s v="OK"/>
    <n v="0"/>
    <x v="373"/>
    <n v="2043.34"/>
    <n v="0.43490000000000001"/>
    <n v="3"/>
    <n v="2024"/>
    <s v="CLEAN"/>
  </r>
  <r>
    <s v="ORD-2024-10690"/>
    <d v="2024-05-10T00:00:00"/>
    <d v="2024-10-06T00:00:00"/>
    <n v="149"/>
    <s v="OK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s v="OK"/>
    <n v="3745.29"/>
    <n v="2302.65"/>
    <n v="1442.64"/>
    <s v="Failed"/>
    <s v="Cancelled"/>
    <s v="OK"/>
    <n v="0.15"/>
    <x v="374"/>
    <n v="1442.64"/>
    <n v="0.38519999999999999"/>
    <n v="5"/>
    <n v="2024"/>
    <s v="INVALID"/>
  </r>
  <r>
    <s v="ORD-2024-10691"/>
    <d v="2024-09-11T00:00:00"/>
    <d v="2024-09-15T00:00:00"/>
    <n v="4"/>
    <s v="OK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s v="OK"/>
    <n v="3462.52"/>
    <n v="2797.29"/>
    <n v="665.23"/>
    <s v="Failed"/>
    <s v="Returned"/>
    <s v="OK"/>
    <n v="0"/>
    <x v="375"/>
    <n v="665.23"/>
    <n v="0.19209999999999999"/>
    <n v="9"/>
    <n v="2024"/>
    <s v="INVALID"/>
  </r>
  <r>
    <s v="ORD-2024-10692"/>
    <d v="2024-12-15T00:00:00"/>
    <d v="2024-12-16T00:00:00"/>
    <n v="1"/>
    <s v="OK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s v="OK"/>
    <n v="8767.17"/>
    <n v="5098.2"/>
    <n v="3668.97"/>
    <s v="Paid"/>
    <s v="Completed"/>
    <s v="OK"/>
    <n v="0.05"/>
    <x v="376"/>
    <n v="3668.97"/>
    <n v="0.41849999999999998"/>
    <n v="12"/>
    <n v="2024"/>
    <s v="CLEAN"/>
  </r>
  <r>
    <s v="ORD-2024-10696"/>
    <d v="2024-07-01T00:00:00"/>
    <d v="2024-01-07T00:00:00"/>
    <n v="-176"/>
    <s v="INVALID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s v="OK"/>
    <n v="1029.56"/>
    <n v="626.33000000000004"/>
    <n v="403.23"/>
    <s v="Paid"/>
    <s v="Completed"/>
    <s v="OK"/>
    <n v="0"/>
    <x v="377"/>
    <n v="403.23"/>
    <n v="0.39169999999999999"/>
    <n v="7"/>
    <n v="2024"/>
    <s v="INVALID"/>
  </r>
  <r>
    <s v="ORD-2024-10699"/>
    <d v="2024-09-14T00:00:00"/>
    <d v="2024-09-14T00:00:00"/>
    <n v="0"/>
    <s v="OK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s v="OK"/>
    <n v="28208.1"/>
    <n v="23751.91"/>
    <n v="4003.38"/>
    <s v="Paid"/>
    <s v="Returned"/>
    <s v="OK"/>
    <n v="0.15"/>
    <x v="378"/>
    <n v="4003.38"/>
    <n v="0.14419999999999999"/>
    <n v="9"/>
    <n v="2024"/>
    <s v="CLEAN"/>
  </r>
  <r>
    <s v="ORD-2024-10700"/>
    <d v="2024-06-11T00:00:00"/>
    <d v="2024-06-11T00:00:00"/>
    <n v="0"/>
    <s v="OK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s v="OK"/>
    <n v="9450.74"/>
    <n v="7798.56"/>
    <n v="1652.18"/>
    <s v="Paid"/>
    <s v="Completed"/>
    <s v="OK"/>
    <n v="0.25"/>
    <x v="379"/>
    <n v="1652.18"/>
    <n v="0.17480000000000001"/>
    <n v="6"/>
    <n v="2024"/>
    <s v="CLEAN"/>
  </r>
  <r>
    <s v="ORD-2024-10701"/>
    <d v="2024-09-18T00:00:00"/>
    <d v="2024-09-21T00:00:00"/>
    <n v="3"/>
    <s v="OK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s v="OK"/>
    <n v="7792.55"/>
    <n v="4691.7299999999996"/>
    <n v="3100.82"/>
    <s v="Paid"/>
    <s v="Completed"/>
    <s v="OK"/>
    <n v="0.15"/>
    <x v="380"/>
    <n v="3100.82"/>
    <n v="0.39789999999999998"/>
    <n v="9"/>
    <n v="2024"/>
    <s v="CLEAN"/>
  </r>
  <r>
    <s v="ORD-2024-10702"/>
    <d v="2024-04-30T00:00:00"/>
    <d v="2024-05-04T00:00:00"/>
    <n v="4"/>
    <s v="OK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s v="OK"/>
    <n v="8574.58"/>
    <n v="6685.81"/>
    <n v="1888.77"/>
    <s v="Paid"/>
    <s v="Returned"/>
    <s v="OK"/>
    <n v="0"/>
    <x v="381"/>
    <n v="1888.77"/>
    <n v="0.2203"/>
    <n v="4"/>
    <n v="2024"/>
    <s v="CLEAN"/>
  </r>
  <r>
    <s v="ORD-2024-10704"/>
    <d v="2024-10-19T00:00:00"/>
    <d v="2024-10-20T00:00:00"/>
    <n v="1"/>
    <s v="OK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s v="OK"/>
    <n v="1035.03"/>
    <n v="854.35"/>
    <n v="180.68"/>
    <s v="Paid"/>
    <s v="Completed"/>
    <s v="OK"/>
    <n v="0.1"/>
    <x v="382"/>
    <n v="180.68"/>
    <n v="0.17460000000000001"/>
    <n v="10"/>
    <n v="2024"/>
    <s v="CLEAN"/>
  </r>
  <r>
    <s v="ORD-2024-10705"/>
    <d v="2024-03-13T00:00:00"/>
    <d v="2024-03-20T00:00:00"/>
    <n v="7"/>
    <s v="OK"/>
    <s v="CUST-4916"/>
    <s v="Priya Menon"/>
    <s v="Home Office"/>
    <x v="2"/>
    <s v="Tamil Nadu"/>
    <s v="Chennai"/>
    <s v="Furniture"/>
    <s v="Bookcases"/>
    <s v="Max Bookcases 738"/>
    <s v="Unknown"/>
    <n v="1"/>
    <n v="2825.63"/>
    <n v="0.15"/>
    <s v="OK"/>
    <n v="2401.79"/>
    <n v="1820.34"/>
    <n v="581.45000000000005"/>
    <s v="Paid"/>
    <s v="Completed"/>
    <s v="OK"/>
    <n v="0.15"/>
    <x v="383"/>
    <n v="581.45000000000005"/>
    <n v="0.24210000000000001"/>
    <n v="3"/>
    <n v="2024"/>
    <s v="WARNING"/>
  </r>
  <r>
    <s v="ORD-2024-10706"/>
    <d v="2024-09-08T00:00:00"/>
    <d v="2024-09-14T00:00:00"/>
    <n v="6"/>
    <s v="OK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s v="OK"/>
    <n v="16015.81"/>
    <n v="11352.38"/>
    <n v="4663.43"/>
    <s v="Paid"/>
    <s v="Completed"/>
    <s v="OK"/>
    <n v="0.05"/>
    <x v="384"/>
    <n v="4663.43"/>
    <n v="0.29120000000000001"/>
    <n v="9"/>
    <n v="2024"/>
    <s v="CLEAN"/>
  </r>
  <r>
    <s v="ORD-2024-10707"/>
    <d v="2024-06-24T00:00:00"/>
    <d v="2024-06-28T00:00:00"/>
    <n v="4"/>
    <s v="OK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s v="OK"/>
    <n v="1901.48"/>
    <n v="1354.28"/>
    <n v="547.20000000000005"/>
    <s v="Paid"/>
    <s v="Completed"/>
    <s v="OK"/>
    <n v="0.1"/>
    <x v="385"/>
    <n v="547.20000000000005"/>
    <n v="0.2878"/>
    <n v="6"/>
    <n v="2024"/>
    <s v="CLEAN"/>
  </r>
  <r>
    <s v="ORD-2024-10711"/>
    <d v="2024-07-12T00:00:00"/>
    <d v="2024-07-19T00:00:00"/>
    <n v="7"/>
    <s v="OK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s v="OK"/>
    <n v="7406.01"/>
    <n v="5941.74"/>
    <n v="1464.27"/>
    <s v="Paid"/>
    <s v="Completed"/>
    <s v="OK"/>
    <n v="0.05"/>
    <x v="386"/>
    <n v="1464.27"/>
    <n v="0.19769999999999999"/>
    <n v="7"/>
    <n v="2024"/>
    <s v="CLEAN"/>
  </r>
  <r>
    <s v="ORD-2024-10713"/>
    <d v="2024-02-10T00:00:00"/>
    <d v="2024-02-18T00:00:00"/>
    <n v="8"/>
    <s v="OK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s v="OK"/>
    <n v="9680.02"/>
    <n v="6876.66"/>
    <n v="2803.36"/>
    <s v="Paid"/>
    <s v="Completed"/>
    <s v="OK"/>
    <n v="0"/>
    <x v="387"/>
    <n v="2803.36"/>
    <n v="0.28960000000000002"/>
    <n v="2"/>
    <n v="2024"/>
    <s v="CLEAN"/>
  </r>
  <r>
    <s v="ORD-2024-10719"/>
    <d v="2024-09-06T00:00:00"/>
    <d v="2024-09-09T00:00:00"/>
    <n v="3"/>
    <s v="OK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s v="OK"/>
    <n v="4733.45"/>
    <n v="3672.32"/>
    <n v="1061.1300000000001"/>
    <s v="Paid"/>
    <s v="Completed"/>
    <s v="OK"/>
    <n v="0.2"/>
    <x v="388"/>
    <n v="1061.1300000000001"/>
    <n v="0.22420000000000001"/>
    <n v="9"/>
    <n v="2024"/>
    <s v="CLEAN"/>
  </r>
  <r>
    <s v="ORD-2024-10721"/>
    <d v="2024-07-16T00:00:00"/>
    <d v="2024-07-16T00:00:00"/>
    <n v="0"/>
    <s v="OK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s v="OK"/>
    <n v="15231.73"/>
    <n v="12451.46"/>
    <n v="2780.27"/>
    <s v="Paid"/>
    <s v="Completed"/>
    <s v="OK"/>
    <n v="0.15"/>
    <x v="389"/>
    <n v="2780.27"/>
    <n v="0.1825"/>
    <n v="7"/>
    <n v="2024"/>
    <s v="CLEAN"/>
  </r>
  <r>
    <s v="ORD-2024-10723"/>
    <d v="2024-10-07T00:00:00"/>
    <d v="2024-10-10T00:00:00"/>
    <n v="3"/>
    <s v="OK"/>
    <s v="CUST-8844"/>
    <s v="Vikram Iyer"/>
    <s v="Consumer"/>
    <x v="1"/>
    <s v="West Bengal"/>
    <s v="Kolkata"/>
    <s v="Furniture"/>
    <s v="Chairs"/>
    <s v="Eco Chairs 442"/>
    <s v="Second Class"/>
    <n v="9"/>
    <n v="481.51"/>
    <n v="0"/>
    <s v="OK"/>
    <n v="4333.59"/>
    <n v="2533.59"/>
    <n v="1800"/>
    <s v="Refunded"/>
    <s v="Cancelled"/>
    <s v="OK"/>
    <n v="0"/>
    <x v="390"/>
    <n v="1800"/>
    <n v="0.41539999999999999"/>
    <n v="10"/>
    <n v="2024"/>
    <s v="CLEAN"/>
  </r>
  <r>
    <s v="ORD-2024-10725"/>
    <d v="2024-02-10T00:00:00"/>
    <d v="2024-02-16T00:00:00"/>
    <n v="6"/>
    <s v="OK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s v="OK"/>
    <n v="760.29"/>
    <n v="497.77"/>
    <n v="262.52"/>
    <s v="Paid"/>
    <s v="Completed"/>
    <s v="OK"/>
    <n v="0"/>
    <x v="391"/>
    <n v="262.52"/>
    <n v="0.3453"/>
    <n v="2"/>
    <n v="2024"/>
    <s v="CLEAN"/>
  </r>
  <r>
    <s v="ORD-2024-10727"/>
    <d v="2024-01-17T00:00:00"/>
    <d v="2024-01-23T00:00:00"/>
    <n v="6"/>
    <s v="OK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s v="OK"/>
    <n v="8072"/>
    <n v="5379.22"/>
    <n v="2692.78"/>
    <s v="Pending"/>
    <s v="Returned"/>
    <s v="OK"/>
    <n v="0.2"/>
    <x v="392"/>
    <n v="2692.78"/>
    <n v="0.33360000000000001"/>
    <n v="1"/>
    <n v="2024"/>
    <s v="CLEAN"/>
  </r>
  <r>
    <s v="ORD-2024-10728"/>
    <d v="2024-10-13T00:00:00"/>
    <d v="2024-10-13T00:00:00"/>
    <n v="0"/>
    <s v="OK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s v="OK"/>
    <n v="28353.02"/>
    <n v="19257.849999999999"/>
    <n v="9095.17"/>
    <s v="Paid"/>
    <s v="Completed"/>
    <s v="OK"/>
    <n v="0.05"/>
    <x v="393"/>
    <n v="9095.17"/>
    <n v="0.32079999999999997"/>
    <n v="10"/>
    <n v="2024"/>
    <s v="CLEAN"/>
  </r>
  <r>
    <s v="ORD-2024-10729"/>
    <d v="2024-01-04T00:00:00"/>
    <d v="2024-07-01T00:00:00"/>
    <n v="179"/>
    <s v="OK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s v="OK"/>
    <n v="2008.57"/>
    <n v="1194.83"/>
    <n v="813.74"/>
    <s v="Paid"/>
    <s v="Completed"/>
    <s v="OK"/>
    <n v="0.15"/>
    <x v="394"/>
    <n v="813.74"/>
    <n v="0.40510000000000002"/>
    <n v="1"/>
    <n v="2024"/>
    <s v="CLEAN"/>
  </r>
  <r>
    <s v="ORD-2024-10732"/>
    <d v="2024-03-17T00:00:00"/>
    <d v="2024-03-19T00:00:00"/>
    <n v="2"/>
    <s v="OK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s v="OK"/>
    <n v="15756.05"/>
    <n v="10245.44"/>
    <n v="5510.61"/>
    <s v="Paid"/>
    <s v="Completed"/>
    <s v="OK"/>
    <n v="0.1"/>
    <x v="395"/>
    <n v="5510.61"/>
    <n v="0.34970000000000001"/>
    <n v="3"/>
    <n v="2024"/>
    <s v="CLEAN"/>
  </r>
  <r>
    <s v="ORD-2024-10733"/>
    <d v="2024-11-28T00:00:00"/>
    <d v="2024-12-06T00:00:00"/>
    <n v="8"/>
    <s v="OK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s v="OK"/>
    <n v="14787.78"/>
    <n v="8596.65"/>
    <n v="6191.13"/>
    <s v="Paid"/>
    <s v="Completed"/>
    <s v="OK"/>
    <n v="0"/>
    <x v="396"/>
    <n v="6191.13"/>
    <n v="0.41870000000000002"/>
    <n v="11"/>
    <n v="2024"/>
    <s v="CLEAN"/>
  </r>
  <r>
    <s v="ORD-2024-10734"/>
    <d v="2024-06-21T00:00:00"/>
    <d v="2024-06-28T00:00:00"/>
    <n v="7"/>
    <s v="OK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s v="OK"/>
    <n v="25181.64"/>
    <n v="15337.9"/>
    <n v="9843.74"/>
    <s v="Paid"/>
    <s v="Completed"/>
    <s v="OK"/>
    <n v="0"/>
    <x v="397"/>
    <n v="9843.74"/>
    <n v="0.39090000000000003"/>
    <n v="6"/>
    <n v="2024"/>
    <s v="CLEAN"/>
  </r>
  <r>
    <s v="ORD-2024-10735"/>
    <d v="2024-08-24T00:00:00"/>
    <d v="2024-08-24T00:00:00"/>
    <n v="0"/>
    <s v="OK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s v="OK"/>
    <n v="8837.9500000000007"/>
    <n v="6157.27"/>
    <n v="2680.68"/>
    <s v="Paid"/>
    <s v="Completed"/>
    <s v="OK"/>
    <n v="0.2"/>
    <x v="398"/>
    <n v="2680.68"/>
    <n v="0.30330000000000001"/>
    <n v="8"/>
    <n v="2024"/>
    <s v="CLEAN"/>
  </r>
  <r>
    <s v="ORD-2024-10736"/>
    <d v="2024-08-11T00:00:00"/>
    <d v="2024-08-19T00:00:00"/>
    <n v="8"/>
    <s v="OK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s v="OK"/>
    <n v="7275.79"/>
    <n v="6152.87"/>
    <n v="1122.92"/>
    <s v="Paid"/>
    <s v="Completed"/>
    <s v="OK"/>
    <n v="0.2"/>
    <x v="399"/>
    <n v="1122.92"/>
    <n v="0.15429999999999999"/>
    <n v="8"/>
    <n v="2024"/>
    <s v="CLEAN"/>
  </r>
  <r>
    <s v="ORD-2024-10737"/>
    <d v="2024-12-06T00:00:00"/>
    <d v="2024-09-12T00:00:00"/>
    <n v="-85"/>
    <s v="INVALID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s v="OK"/>
    <n v="2355.08"/>
    <n v="1350.03"/>
    <n v="1005.05"/>
    <s v="Paid"/>
    <s v="Completed"/>
    <s v="OK"/>
    <n v="0.1"/>
    <x v="400"/>
    <n v="1005.05"/>
    <n v="0.42680000000000001"/>
    <n v="12"/>
    <n v="2024"/>
    <s v="INVALID"/>
  </r>
  <r>
    <s v="ORD-2024-10738"/>
    <d v="2024-02-10T00:00:00"/>
    <d v="2024-02-10T00:00:00"/>
    <n v="0"/>
    <s v="OK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s v="OK"/>
    <n v="3609.12"/>
    <n v="2645.5"/>
    <n v="963.62"/>
    <s v="Paid"/>
    <s v="Completed"/>
    <s v="OK"/>
    <n v="0"/>
    <x v="401"/>
    <n v="963.62"/>
    <n v="0.26700000000000002"/>
    <n v="2"/>
    <n v="2024"/>
    <s v="CLEAN"/>
  </r>
  <r>
    <s v="ORD-2024-10740"/>
    <d v="2024-12-03T00:00:00"/>
    <d v="2024-12-10T00:00:00"/>
    <n v="7"/>
    <s v="OK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s v="OK"/>
    <n v="11370.84"/>
    <n v="7469.58"/>
    <n v="3901.26"/>
    <s v="Paid"/>
    <s v="Completed"/>
    <s v="OK"/>
    <n v="0.05"/>
    <x v="402"/>
    <n v="3901.26"/>
    <n v="0.34310000000000002"/>
    <n v="12"/>
    <n v="2024"/>
    <s v="CLEAN"/>
  </r>
  <r>
    <s v="ORD-2024-10741"/>
    <d v="2024-04-02T00:00:00"/>
    <d v="2024-04-02T00:00:00"/>
    <n v="0"/>
    <s v="OK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s v="OK"/>
    <n v="9298.7999999999993"/>
    <n v="6548.5"/>
    <n v="2750.3"/>
    <s v="Paid"/>
    <s v="Completed"/>
    <s v="OK"/>
    <n v="0.1"/>
    <x v="403"/>
    <n v="2750.3"/>
    <n v="0.29580000000000001"/>
    <n v="4"/>
    <n v="2024"/>
    <s v="CLEAN"/>
  </r>
  <r>
    <s v="ORD-2024-10743"/>
    <d v="2024-10-15T00:00:00"/>
    <d v="2024-10-22T00:00:00"/>
    <n v="7"/>
    <s v="OK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s v="OK"/>
    <n v="9043.7999999999993"/>
    <n v="5913.38"/>
    <n v="3130.42"/>
    <s v="Paid"/>
    <s v="Completed"/>
    <s v="OK"/>
    <n v="0"/>
    <x v="404"/>
    <n v="3130.42"/>
    <n v="0.34610000000000002"/>
    <n v="10"/>
    <n v="2024"/>
    <s v="CLEAN"/>
  </r>
  <r>
    <s v="ORD-2024-10746"/>
    <d v="2024-10-24T00:00:00"/>
    <d v="2024-10-28T00:00:00"/>
    <n v="4"/>
    <s v="OK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s v="OK"/>
    <n v="1736.62"/>
    <n v="1059.52"/>
    <n v="677.1"/>
    <s v="Paid"/>
    <s v="Completed"/>
    <s v="OK"/>
    <n v="0.2"/>
    <x v="405"/>
    <n v="677.1"/>
    <n v="0.38990000000000002"/>
    <n v="10"/>
    <n v="2024"/>
    <s v="CLEAN"/>
  </r>
  <r>
    <s v="ORD-2024-10748"/>
    <d v="2024-05-01T00:00:00"/>
    <d v="2024-05-07T00:00:00"/>
    <n v="6"/>
    <s v="OK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s v="OK"/>
    <n v="10022.040000000001"/>
    <n v="5576.98"/>
    <n v="4445.0600000000004"/>
    <s v="Paid"/>
    <s v="Completed"/>
    <s v="OK"/>
    <n v="0.15"/>
    <x v="406"/>
    <n v="4445.0600000000004"/>
    <n v="0.44350000000000001"/>
    <n v="5"/>
    <n v="2024"/>
    <s v="CLEAN"/>
  </r>
  <r>
    <s v="ORD-2024-10749"/>
    <d v="2024-05-30T00:00:00"/>
    <d v="2024-05-30T00:00:00"/>
    <n v="0"/>
    <s v="OK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s v="OK"/>
    <n v="2886.03"/>
    <n v="2064.83"/>
    <n v="821.2"/>
    <s v="Paid"/>
    <s v="Completed"/>
    <s v="OK"/>
    <n v="0.25"/>
    <x v="407"/>
    <n v="821.2"/>
    <n v="0.28449999999999998"/>
    <n v="5"/>
    <n v="2024"/>
    <s v="CLEAN"/>
  </r>
  <r>
    <s v="ORD-2024-10750"/>
    <d v="2024-03-21T00:00:00"/>
    <d v="2024-03-25T00:00:00"/>
    <n v="4"/>
    <s v="OK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s v="OK"/>
    <n v="1459.19"/>
    <n v="1055.79"/>
    <n v="403.4"/>
    <s v="Paid"/>
    <s v="Completed"/>
    <s v="OK"/>
    <n v="0.15"/>
    <x v="408"/>
    <n v="403.41"/>
    <n v="0.27650000000000002"/>
    <n v="3"/>
    <n v="2024"/>
    <s v="CLEAN"/>
  </r>
  <r>
    <s v="ORD-2024-10753"/>
    <d v="2024-03-24T00:00:00"/>
    <d v="2024-03-27T00:00:00"/>
    <n v="3"/>
    <s v="OK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s v="OK"/>
    <n v="11709.79"/>
    <n v="8372.2900000000009"/>
    <n v="3337.5"/>
    <s v="Paid"/>
    <s v="Completed"/>
    <s v="OK"/>
    <n v="0.05"/>
    <x v="409"/>
    <n v="3337.51"/>
    <n v="0.28499999999999998"/>
    <n v="3"/>
    <n v="2024"/>
    <s v="CLEAN"/>
  </r>
  <r>
    <s v="ORD-2024-10754"/>
    <d v="2024-08-11T00:00:00"/>
    <d v="2024-10-08T00:00:00"/>
    <n v="58"/>
    <s v="OK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s v="OK"/>
    <n v="2593.91"/>
    <n v="1848.48"/>
    <n v="745.43"/>
    <s v="Failed"/>
    <s v="Returned"/>
    <s v="OK"/>
    <n v="0.15"/>
    <x v="410"/>
    <n v="745.43"/>
    <n v="0.28739999999999999"/>
    <n v="8"/>
    <n v="2024"/>
    <s v="INVALID"/>
  </r>
  <r>
    <s v="ORD-2024-10757"/>
    <d v="2024-10-27T00:00:00"/>
    <d v="2024-11-01T00:00:00"/>
    <n v="5"/>
    <s v="OK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s v="OK"/>
    <n v="12191.76"/>
    <n v="10457.49"/>
    <n v="1734.27"/>
    <s v="Paid"/>
    <s v="Returned"/>
    <s v="OK"/>
    <n v="0.2"/>
    <x v="411"/>
    <n v="1734.27"/>
    <n v="0.14219999999999999"/>
    <n v="10"/>
    <n v="2024"/>
    <s v="CLEAN"/>
  </r>
  <r>
    <s v="ORD-2024-10759"/>
    <d v="2024-05-02T00:00:00"/>
    <d v="2024-05-10T00:00:00"/>
    <n v="8"/>
    <s v="OK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s v="OK"/>
    <n v="4166.91"/>
    <n v="3412.63"/>
    <n v="754.28"/>
    <s v="Paid"/>
    <s v="Completed"/>
    <s v="OK"/>
    <n v="0"/>
    <x v="412"/>
    <n v="754.28"/>
    <n v="0.18099999999999999"/>
    <n v="5"/>
    <n v="2024"/>
    <s v="CLEAN"/>
  </r>
  <r>
    <s v="ORD-2024-10760"/>
    <d v="2024-07-19T00:00:00"/>
    <d v="2024-07-26T00:00:00"/>
    <n v="7"/>
    <s v="OK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s v="OK"/>
    <n v="14947.54"/>
    <n v="9438.4599999999991"/>
    <n v="5509.08"/>
    <s v="Paid"/>
    <s v="Completed"/>
    <s v="OK"/>
    <n v="0.25"/>
    <x v="413"/>
    <n v="5509.08"/>
    <n v="0.36859999999999998"/>
    <n v="7"/>
    <n v="2024"/>
    <s v="CLEAN"/>
  </r>
  <r>
    <s v="ORD-2024-10761"/>
    <d v="2024-08-28T00:00:00"/>
    <d v="2024-09-02T00:00:00"/>
    <n v="5"/>
    <s v="OK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s v="OK"/>
    <n v="13462.12"/>
    <n v="7600.63"/>
    <n v="5861.49"/>
    <s v="Pending"/>
    <s v="Returned"/>
    <s v="OK"/>
    <n v="0"/>
    <x v="414"/>
    <n v="5861.49"/>
    <n v="0.43540000000000001"/>
    <n v="8"/>
    <n v="2024"/>
    <s v="CLEAN"/>
  </r>
  <r>
    <s v="ORD-2024-10763"/>
    <d v="2024-01-01T00:00:00"/>
    <d v="2024-01-05T00:00:00"/>
    <n v="4"/>
    <s v="OK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s v="OK"/>
    <n v="5910.59"/>
    <n v="4775.4399999999996"/>
    <n v="1135.1500000000001"/>
    <s v="Refunded"/>
    <s v="Returned"/>
    <s v="OK"/>
    <n v="0.2"/>
    <x v="415"/>
    <n v="1135.1500000000001"/>
    <n v="0.19209999999999999"/>
    <n v="1"/>
    <n v="2024"/>
    <s v="CLEAN"/>
  </r>
  <r>
    <s v="ORD-2024-10767"/>
    <d v="2024-09-17T00:00:00"/>
    <d v="2024-09-24T00:00:00"/>
    <n v="7"/>
    <s v="OK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s v="OK"/>
    <n v="16617.310000000001"/>
    <n v="9195.73"/>
    <n v="7421.58"/>
    <s v="Paid"/>
    <s v="Cancelled"/>
    <s v="OK"/>
    <n v="0.2"/>
    <x v="416"/>
    <n v="7421.58"/>
    <n v="0.4466"/>
    <n v="9"/>
    <n v="2024"/>
    <s v="CLEAN"/>
  </r>
  <r>
    <s v="ORD-2024-10768"/>
    <d v="2024-05-03T00:00:00"/>
    <d v="2024-05-06T00:00:00"/>
    <n v="3"/>
    <s v="OK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s v="OK"/>
    <n v="933.43"/>
    <n v="583.09"/>
    <n v="350.34"/>
    <s v="Paid"/>
    <s v="Completed"/>
    <s v="OK"/>
    <n v="0.25"/>
    <x v="417"/>
    <n v="350.35"/>
    <n v="0.37530000000000002"/>
    <n v="5"/>
    <n v="2024"/>
    <s v="CLEAN"/>
  </r>
  <r>
    <s v="ORD-2024-10770"/>
    <d v="2024-05-11T00:00:00"/>
    <d v="2024-05-13T00:00:00"/>
    <n v="2"/>
    <s v="OK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s v="OK"/>
    <n v="8128.69"/>
    <n v="5071.66"/>
    <n v="3057.03"/>
    <s v="Paid"/>
    <s v="Completed"/>
    <s v="OK"/>
    <n v="0.25"/>
    <x v="418"/>
    <n v="3057.03"/>
    <n v="0.37609999999999999"/>
    <n v="5"/>
    <n v="2024"/>
    <s v="CLEAN"/>
  </r>
  <r>
    <s v="ORD-2024-10771"/>
    <d v="2024-02-15T00:00:00"/>
    <d v="2024-02-17T00:00:00"/>
    <n v="2"/>
    <s v="OK"/>
    <s v="CUST-8384"/>
    <s v="Neha Gupta"/>
    <s v="Consumer"/>
    <x v="0"/>
    <s v="Uttar Pradesh"/>
    <s v="Noida"/>
    <s v="Technology"/>
    <s v="Copiers"/>
    <s v="Eco Copiers 396"/>
    <s v="First Class"/>
    <n v="4"/>
    <n v="863"/>
    <n v="0"/>
    <s v="OK"/>
    <n v="3106.8"/>
    <n v="2376.62"/>
    <n v="730.18"/>
    <s v="Paid"/>
    <s v="Completed"/>
    <s v="OK"/>
    <n v="0"/>
    <x v="419"/>
    <n v="1075.3800000000001"/>
    <n v="0.3115"/>
    <n v="2"/>
    <n v="2024"/>
    <s v="CLEAN"/>
  </r>
  <r>
    <s v="ORD-2024-10772"/>
    <d v="2024-07-12T00:00:00"/>
    <d v="2024-07-14T00:00:00"/>
    <n v="2"/>
    <s v="OK"/>
    <s v="CUST-7861"/>
    <s v="Ananya Rao"/>
    <s v="Consumer"/>
    <x v="0"/>
    <s v="Haryana"/>
    <s v="Gurugram"/>
    <s v="Technology"/>
    <s v="Machines"/>
    <s v="Basic Machines 401"/>
    <s v="Second Class"/>
    <n v="4"/>
    <n v="2131.41"/>
    <n v="0"/>
    <s v="OK"/>
    <n v="6394.23"/>
    <n v="3520.69"/>
    <n v="2873.54"/>
    <s v="Paid"/>
    <s v="Completed"/>
    <s v="OK"/>
    <n v="0"/>
    <x v="420"/>
    <n v="5004.95"/>
    <n v="0.58699999999999997"/>
    <n v="7"/>
    <n v="2024"/>
    <s v="CLEAN"/>
  </r>
  <r>
    <s v="ORD-2024-10776"/>
    <d v="2024-04-14T00:00:00"/>
    <d v="2024-04-22T00:00:00"/>
    <n v="8"/>
    <s v="OK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s v="OK"/>
    <n v="23736.720000000001"/>
    <n v="13890.9"/>
    <n v="9845.82"/>
    <s v="Paid"/>
    <s v="Completed"/>
    <s v="OK"/>
    <n v="0.25"/>
    <x v="421"/>
    <n v="9845.82"/>
    <n v="0.4148"/>
    <n v="4"/>
    <n v="2024"/>
    <s v="CLEAN"/>
  </r>
  <r>
    <s v="ORD-2024-10778"/>
    <d v="2024-04-02T00:00:00"/>
    <d v="2024-02-06T00:00:00"/>
    <n v="-56"/>
    <s v="INVALID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s v="OK"/>
    <n v="5065.12"/>
    <n v="3530.12"/>
    <n v="1535"/>
    <s v="Failed"/>
    <s v="Cancelled"/>
    <s v="OK"/>
    <n v="0.15"/>
    <x v="422"/>
    <n v="1535"/>
    <n v="0.30309999999999998"/>
    <n v="4"/>
    <n v="2024"/>
    <s v="INVALID"/>
  </r>
  <r>
    <s v="ORD-2024-10779"/>
    <d v="2024-07-24T00:00:00"/>
    <d v="2024-07-24T00:00:00"/>
    <n v="0"/>
    <s v="OK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s v="OK"/>
    <n v="6707.52"/>
    <n v="5672.57"/>
    <n v="1034.95"/>
    <s v="Paid"/>
    <s v="Completed"/>
    <s v="OK"/>
    <n v="0"/>
    <x v="423"/>
    <n v="1034.95"/>
    <n v="0.15429999999999999"/>
    <n v="7"/>
    <n v="2024"/>
    <s v="CLEAN"/>
  </r>
  <r>
    <s v="ORD-2024-10780"/>
    <d v="2024-01-15T00:00:00"/>
    <d v="2024-01-20T00:00:00"/>
    <n v="5"/>
    <s v="OK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s v="OK"/>
    <n v="11983.45"/>
    <n v="8572.9"/>
    <n v="3410.55"/>
    <s v="Paid"/>
    <s v="Completed"/>
    <s v="OK"/>
    <n v="0.05"/>
    <x v="424"/>
    <n v="3410.55"/>
    <n v="0.28460000000000002"/>
    <n v="1"/>
    <n v="2024"/>
    <s v="CLEAN"/>
  </r>
  <r>
    <s v="ORD-2024-10781"/>
    <d v="2024-08-04T00:00:00"/>
    <d v="2024-08-10T00:00:00"/>
    <n v="6"/>
    <s v="OK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s v="OK"/>
    <n v="1364.58"/>
    <n v="978.16"/>
    <n v="386.42"/>
    <s v="Paid"/>
    <s v="Completed"/>
    <s v="OK"/>
    <n v="0.2"/>
    <x v="425"/>
    <n v="386.42"/>
    <n v="0.28320000000000001"/>
    <n v="8"/>
    <n v="2024"/>
    <s v="CLEAN"/>
  </r>
  <r>
    <s v="ORD-2024-10782"/>
    <d v="2024-02-02T00:00:00"/>
    <d v="2024-02-10T00:00:00"/>
    <n v="8"/>
    <s v="OK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s v="OK"/>
    <n v="862.65"/>
    <n v="603.73"/>
    <n v="258.92"/>
    <s v="Pending"/>
    <s v="Returned"/>
    <s v="OK"/>
    <n v="0.25"/>
    <x v="426"/>
    <n v="258.92"/>
    <n v="0.30009999999999998"/>
    <n v="2"/>
    <n v="2024"/>
    <s v="CLEAN"/>
  </r>
  <r>
    <s v="ORD-2024-10784"/>
    <d v="2024-06-07T00:00:00"/>
    <d v="2024-06-07T00:00:00"/>
    <n v="0"/>
    <s v="OK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s v="OK"/>
    <n v="2452.83"/>
    <n v="1906.7"/>
    <n v="546.13"/>
    <s v="Paid"/>
    <s v="Completed"/>
    <s v="OK"/>
    <n v="0.05"/>
    <x v="427"/>
    <n v="546.13"/>
    <n v="0.22270000000000001"/>
    <n v="6"/>
    <n v="2024"/>
    <s v="CLEAN"/>
  </r>
  <r>
    <s v="ORD-2024-10786"/>
    <d v="2024-05-23T00:00:00"/>
    <d v="2024-05-29T00:00:00"/>
    <n v="6"/>
    <s v="OK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s v="OK"/>
    <n v="4519.41"/>
    <n v="3504.16"/>
    <n v="1275.55"/>
    <s v="Failed"/>
    <s v="Cancelled"/>
    <s v="OK"/>
    <n v="0.25"/>
    <x v="428"/>
    <n v="1015.25"/>
    <n v="0.22459999999999999"/>
    <n v="5"/>
    <n v="2024"/>
    <s v="INVALID"/>
  </r>
  <r>
    <s v="ORD-2024-10788"/>
    <d v="2024-09-12T00:00:00"/>
    <d v="2024-09-18T00:00:00"/>
    <n v="6"/>
    <s v="OK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s v="OK"/>
    <n v="7065.66"/>
    <n v="4915.2700000000004"/>
    <n v="2150.39"/>
    <s v="Paid"/>
    <s v="Completed"/>
    <s v="OK"/>
    <n v="0.05"/>
    <x v="429"/>
    <n v="2150.39"/>
    <n v="0.30430000000000001"/>
    <n v="9"/>
    <n v="2024"/>
    <s v="CLEAN"/>
  </r>
  <r>
    <s v="ORD-2024-10789"/>
    <d v="2024-08-01T00:00:00"/>
    <d v="2024-02-08T00:00:00"/>
    <n v="-175"/>
    <s v="INVALID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s v="OK"/>
    <n v="17911.009999999998"/>
    <n v="11546.05"/>
    <n v="6364.96"/>
    <s v="Failed"/>
    <s v="Returned"/>
    <s v="OK"/>
    <n v="0.1"/>
    <x v="430"/>
    <n v="6364.96"/>
    <n v="0.35539999999999999"/>
    <n v="8"/>
    <n v="2024"/>
    <s v="INVALID"/>
  </r>
  <r>
    <s v="ORD-2024-10791"/>
    <d v="2024-05-31T00:00:00"/>
    <d v="2024-06-02T00:00:00"/>
    <n v="2"/>
    <s v="OK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s v="OK"/>
    <n v="4272.58"/>
    <n v="3328.92"/>
    <n v="943.66"/>
    <s v="Paid"/>
    <s v="Completed"/>
    <s v="OK"/>
    <n v="0.2"/>
    <x v="431"/>
    <n v="943.66"/>
    <n v="0.22090000000000001"/>
    <n v="5"/>
    <n v="2024"/>
    <s v="CLEAN"/>
  </r>
  <r>
    <s v="ORD-2024-10792"/>
    <d v="2024-10-02T00:00:00"/>
    <d v="2024-10-06T00:00:00"/>
    <n v="4"/>
    <s v="OK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s v="OK"/>
    <n v="9352.6200000000008"/>
    <n v="5269.41"/>
    <n v="4083.21"/>
    <s v="Paid"/>
    <s v="Completed"/>
    <s v="OK"/>
    <n v="0.25"/>
    <x v="432"/>
    <n v="4083.21"/>
    <n v="0.43659999999999999"/>
    <n v="10"/>
    <n v="2024"/>
    <s v="CLEAN"/>
  </r>
  <r>
    <s v="ORD-2024-10794"/>
    <d v="2024-05-28T00:00:00"/>
    <d v="2024-06-03T00:00:00"/>
    <n v="6"/>
    <s v="OK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s v="OK"/>
    <n v="21511.599999999999"/>
    <n v="15408.47"/>
    <n v="6103.13"/>
    <s v="Paid"/>
    <s v="Completed"/>
    <s v="OK"/>
    <n v="0"/>
    <x v="433"/>
    <n v="6103.13"/>
    <n v="0.28370000000000001"/>
    <n v="5"/>
    <n v="2024"/>
    <s v="CLEAN"/>
  </r>
  <r>
    <s v="ORD-2024-10796"/>
    <d v="2024-07-30T00:00:00"/>
    <d v="2024-07-30T00:00:00"/>
    <n v="0"/>
    <s v="OK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s v="OK"/>
    <n v="26051.94"/>
    <n v="16883.59"/>
    <n v="9168.35"/>
    <s v="Refunded"/>
    <s v="Cancelled"/>
    <s v="OK"/>
    <n v="0"/>
    <x v="434"/>
    <n v="9168.35"/>
    <n v="0.35189999999999999"/>
    <n v="7"/>
    <n v="2024"/>
    <s v="CLEAN"/>
  </r>
  <r>
    <s v="ORD-2024-10797"/>
    <d v="2024-03-23T00:00:00"/>
    <d v="2024-03-30T00:00:00"/>
    <n v="7"/>
    <s v="OK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s v="OK"/>
    <n v="9661.64"/>
    <n v="6303.77"/>
    <n v="3357.87"/>
    <s v="Paid"/>
    <s v="Completed"/>
    <s v="OK"/>
    <n v="0.15"/>
    <x v="435"/>
    <n v="3357.87"/>
    <n v="0.34749999999999998"/>
    <n v="3"/>
    <n v="2024"/>
    <s v="CLEAN"/>
  </r>
  <r>
    <s v="ORD-2024-10798"/>
    <d v="2024-04-18T00:00:00"/>
    <d v="2024-04-22T00:00:00"/>
    <n v="4"/>
    <s v="OK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s v="OK"/>
    <n v="13714.96"/>
    <n v="10550.47"/>
    <n v="3164.49"/>
    <s v="Failed"/>
    <s v="Cancelled"/>
    <s v="OK"/>
    <n v="0"/>
    <x v="436"/>
    <n v="3164.49"/>
    <n v="0.23069999999999999"/>
    <n v="4"/>
    <n v="2024"/>
    <s v="INVALID"/>
  </r>
  <r>
    <s v="ORD-2024-10800"/>
    <d v="2024-10-10T00:00:00"/>
    <d v="2024-10-17T00:00:00"/>
    <n v="7"/>
    <s v="OK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s v="OK"/>
    <n v="4595.2"/>
    <n v="3887.41"/>
    <n v="707.79"/>
    <s v="Paid"/>
    <s v="Returned"/>
    <s v="OK"/>
    <n v="0.05"/>
    <x v="437"/>
    <n v="707.79"/>
    <n v="0.154"/>
    <n v="10"/>
    <n v="2024"/>
    <s v="WARNING"/>
  </r>
  <r>
    <s v="ORD-2024-10801"/>
    <d v="2024-03-01T00:00:00"/>
    <d v="2024-03-07T00:00:00"/>
    <n v="6"/>
    <s v="OK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s v="OK"/>
    <n v="21234.97"/>
    <n v="16736.09"/>
    <n v="4498.88"/>
    <s v="Paid"/>
    <s v="Completed"/>
    <s v="OK"/>
    <n v="0.15"/>
    <x v="438"/>
    <n v="4498.88"/>
    <n v="0.21190000000000001"/>
    <n v="3"/>
    <n v="2024"/>
    <s v="CLEAN"/>
  </r>
  <r>
    <s v="ORD-2024-10804"/>
    <d v="2024-12-09T00:00:00"/>
    <d v="2024-12-13T00:00:00"/>
    <n v="4"/>
    <s v="OK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s v="OK"/>
    <n v="4306.6499999999996"/>
    <n v="2568.8200000000002"/>
    <n v="1737.83"/>
    <s v="Paid"/>
    <s v="Completed"/>
    <s v="OK"/>
    <n v="0"/>
    <x v="439"/>
    <n v="1737.83"/>
    <n v="0.40350000000000003"/>
    <n v="12"/>
    <n v="2024"/>
    <s v="WARNING"/>
  </r>
  <r>
    <s v="ORD-2024-10807"/>
    <d v="2024-09-11T00:00:00"/>
    <d v="2024-11-15T00:00:00"/>
    <n v="65"/>
    <s v="OK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s v="OK"/>
    <n v="2932.78"/>
    <n v="1900.35"/>
    <n v="1032.43"/>
    <s v="Failed"/>
    <s v="Cancelled"/>
    <s v="OK"/>
    <n v="0.2"/>
    <x v="440"/>
    <n v="1032.43"/>
    <n v="0.35199999999999998"/>
    <n v="9"/>
    <n v="2024"/>
    <s v="INVALID"/>
  </r>
  <r>
    <s v="ORD-2024-10811"/>
    <d v="2024-04-03T00:00:00"/>
    <d v="2024-08-04T00:00:00"/>
    <n v="123"/>
    <s v="OK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s v="OK"/>
    <n v="2363.89"/>
    <n v="1471.51"/>
    <n v="892.38"/>
    <s v="Paid"/>
    <s v="Completed"/>
    <s v="OK"/>
    <n v="0.25"/>
    <x v="441"/>
    <n v="892.38"/>
    <n v="0.3775"/>
    <n v="4"/>
    <n v="2024"/>
    <s v="CLEAN"/>
  </r>
  <r>
    <s v="ORD-2024-10812"/>
    <d v="2024-12-12T00:00:00"/>
    <d v="2024-12-19T00:00:00"/>
    <n v="7"/>
    <s v="OK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s v="OK"/>
    <n v="2577.1999999999998"/>
    <n v="1475.87"/>
    <n v="1101.33"/>
    <s v="Paid"/>
    <s v="Completed"/>
    <s v="OK"/>
    <n v="0.2"/>
    <x v="442"/>
    <n v="1101.33"/>
    <n v="0.42730000000000001"/>
    <n v="12"/>
    <n v="2024"/>
    <s v="CLEAN"/>
  </r>
  <r>
    <s v="ORD-2024-10813"/>
    <d v="2024-06-15T00:00:00"/>
    <d v="2024-06-20T00:00:00"/>
    <n v="5"/>
    <s v="OK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s v="OK"/>
    <n v="17827.759999999998"/>
    <n v="14122.13"/>
    <n v="3705.63"/>
    <s v="Paid"/>
    <s v="Completed"/>
    <s v="OK"/>
    <n v="0"/>
    <x v="443"/>
    <n v="3705.63"/>
    <n v="0.2079"/>
    <n v="6"/>
    <n v="2024"/>
    <s v="CLEAN"/>
  </r>
  <r>
    <s v="ORD-2024-10816"/>
    <d v="2024-04-01T00:00:00"/>
    <d v="2024-04-08T00:00:00"/>
    <n v="7"/>
    <s v="OK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s v="OK"/>
    <n v="4259.07"/>
    <n v="3130.32"/>
    <n v="1128.75"/>
    <s v="Pending"/>
    <s v="Cancelled"/>
    <s v="OK"/>
    <n v="0.15"/>
    <x v="444"/>
    <n v="1128.75"/>
    <n v="0.26500000000000001"/>
    <n v="4"/>
    <n v="2024"/>
    <s v="CLEAN"/>
  </r>
  <r>
    <s v="ORD-2024-10817"/>
    <d v="2024-11-27T00:00:00"/>
    <d v="2024-11-30T00:00:00"/>
    <n v="3"/>
    <s v="OK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s v="OK"/>
    <n v="786.87"/>
    <n v="498.5"/>
    <n v="288.37"/>
    <s v="Paid"/>
    <s v="Completed"/>
    <s v="OK"/>
    <n v="0.1"/>
    <x v="445"/>
    <n v="288.37"/>
    <n v="0.36649999999999999"/>
    <n v="11"/>
    <n v="2024"/>
    <s v="CLEAN"/>
  </r>
  <r>
    <s v="ORD-2024-10819"/>
    <d v="2024-09-29T00:00:00"/>
    <d v="2024-05-10T00:00:00"/>
    <n v="-142"/>
    <s v="INVALID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-0.14000000000000001"/>
    <s v="INVALID-NEGATIVE"/>
    <n v="12678.66"/>
    <n v="10088.65"/>
    <n v="2590.0100000000002"/>
    <s v="Paid"/>
    <s v="Completed"/>
    <s v="OK"/>
    <n v="0"/>
    <x v="446"/>
    <n v="5759.67"/>
    <n v="0.3634"/>
    <n v="9"/>
    <n v="2024"/>
    <s v="INVALID"/>
  </r>
  <r>
    <s v="ORD-2024-10820"/>
    <d v="2024-07-31T00:00:00"/>
    <d v="2024-07-31T00:00:00"/>
    <n v="0"/>
    <s v="OK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s v="OK"/>
    <n v="33968.080000000002"/>
    <n v="26902.44"/>
    <n v="7065.64"/>
    <s v="Failed"/>
    <s v="Cancelled"/>
    <s v="OK"/>
    <n v="0"/>
    <x v="447"/>
    <n v="7065.64"/>
    <n v="0.20799999999999999"/>
    <n v="7"/>
    <n v="2024"/>
    <s v="INVALID"/>
  </r>
  <r>
    <s v="ORD-2024-10822"/>
    <d v="2024-07-03T00:00:00"/>
    <d v="2024-06-07T00:00:00"/>
    <n v="-26"/>
    <s v="INVALID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s v="OK"/>
    <n v="10877.94"/>
    <n v="9110.14"/>
    <n v="1767.8"/>
    <s v="Paid"/>
    <s v="Completed"/>
    <s v="OK"/>
    <n v="0.2"/>
    <x v="448"/>
    <n v="1767.8"/>
    <n v="0.16250000000000001"/>
    <n v="7"/>
    <n v="2024"/>
    <s v="INVALID"/>
  </r>
  <r>
    <s v="ORD-2024-10823"/>
    <d v="2024-10-12T00:00:00"/>
    <d v="2024-10-08T00:00:00"/>
    <n v="-4"/>
    <s v="INVALID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s v="OK"/>
    <n v="10246.530000000001"/>
    <n v="8634.42"/>
    <n v="1612.11"/>
    <s v="Pending"/>
    <s v="Returned"/>
    <s v="OK"/>
    <n v="0.2"/>
    <x v="449"/>
    <n v="1612.11"/>
    <n v="0.1573"/>
    <n v="10"/>
    <n v="2024"/>
    <s v="INVALID"/>
  </r>
  <r>
    <s v="ORD-2024-10828"/>
    <d v="2024-11-24T00:00:00"/>
    <d v="2024-01-12T00:00:00"/>
    <n v="-317"/>
    <s v="INVALID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s v="OK"/>
    <n v="633.66999999999996"/>
    <n v="520.47"/>
    <n v="113.2"/>
    <s v="Paid"/>
    <s v="Cancelled"/>
    <s v="OK"/>
    <n v="0.25"/>
    <x v="450"/>
    <n v="113.2"/>
    <n v="0.17860000000000001"/>
    <n v="11"/>
    <n v="2024"/>
    <s v="INVALID"/>
  </r>
  <r>
    <s v="ORD-2024-10830"/>
    <d v="2024-02-26T00:00:00"/>
    <d v="2024-02-28T00:00:00"/>
    <n v="2"/>
    <s v="OK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s v="OK"/>
    <n v="6521.38"/>
    <n v="4511.1000000000004"/>
    <n v="2010.28"/>
    <s v="Paid"/>
    <s v="Completed"/>
    <s v="OK"/>
    <n v="0.1"/>
    <x v="451"/>
    <n v="2010.28"/>
    <n v="0.30830000000000002"/>
    <n v="2"/>
    <n v="2024"/>
    <s v="CLEAN"/>
  </r>
  <r>
    <s v="ORD-2024-10834"/>
    <d v="2024-06-04T00:00:00"/>
    <d v="2024-06-04T00:00:00"/>
    <n v="0"/>
    <s v="OK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s v="OK"/>
    <n v="23696.400000000001"/>
    <n v="18109.77"/>
    <n v="5586.63"/>
    <s v="Paid"/>
    <s v="Completed"/>
    <s v="OK"/>
    <n v="0"/>
    <x v="452"/>
    <n v="5586.63"/>
    <n v="0.23580000000000001"/>
    <n v="6"/>
    <n v="2024"/>
    <s v="CLEAN"/>
  </r>
  <r>
    <s v="ORD-2024-10835"/>
    <d v="2024-10-18T00:00:00"/>
    <d v="2024-10-22T00:00:00"/>
    <n v="4"/>
    <s v="OK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s v="OK"/>
    <n v="4047.66"/>
    <n v="3078.93"/>
    <n v="1279.79"/>
    <s v="Paid"/>
    <s v="Completed"/>
    <s v="OK"/>
    <n v="0"/>
    <x v="453"/>
    <n v="968.73"/>
    <n v="0.23930000000000001"/>
    <n v="10"/>
    <n v="2024"/>
    <s v="CLEAN"/>
  </r>
  <r>
    <s v="ORD-2024-10837"/>
    <d v="2024-12-15T00:00:00"/>
    <d v="2024-12-18T00:00:00"/>
    <n v="3"/>
    <s v="OK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s v="OK"/>
    <n v="1074.22"/>
    <n v="850.86"/>
    <n v="223.36"/>
    <s v="Paid"/>
    <s v="Completed"/>
    <s v="OK"/>
    <n v="0"/>
    <x v="454"/>
    <n v="223.36"/>
    <n v="0.2079"/>
    <n v="12"/>
    <n v="2024"/>
    <s v="CLEAN"/>
  </r>
  <r>
    <s v="ORD-2024-10840"/>
    <d v="2024-09-20T00:00:00"/>
    <d v="2024-09-22T00:00:00"/>
    <n v="2"/>
    <s v="OK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s v="OK"/>
    <n v="3826.3"/>
    <n v="2194.12"/>
    <n v="1632.18"/>
    <s v="Paid"/>
    <s v="Completed"/>
    <s v="OK"/>
    <n v="0.1"/>
    <x v="455"/>
    <n v="1632.18"/>
    <n v="0.42659999999999998"/>
    <n v="9"/>
    <n v="2024"/>
    <s v="CLEAN"/>
  </r>
  <r>
    <s v="ORD-2024-10843"/>
    <d v="2024-03-31T00:00:00"/>
    <d v="2024-03-30T00:00:00"/>
    <n v="-1"/>
    <s v="INVALID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s v="OK"/>
    <n v="7453.07"/>
    <n v="5133.78"/>
    <n v="2319.29"/>
    <s v="Paid"/>
    <s v="Returned"/>
    <s v="OK"/>
    <n v="0.15"/>
    <x v="456"/>
    <n v="2319.29"/>
    <n v="0.31119999999999998"/>
    <n v="3"/>
    <n v="2024"/>
    <s v="INVALID"/>
  </r>
  <r>
    <s v="ORD-2024-10846"/>
    <d v="2024-02-23T00:00:00"/>
    <d v="2024-02-27T00:00:00"/>
    <n v="4"/>
    <s v="OK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s v="OK"/>
    <n v="24409.55"/>
    <n v="17157.580000000002"/>
    <n v="7251.97"/>
    <s v="Pending"/>
    <s v="Returned"/>
    <s v="OK"/>
    <n v="0.25"/>
    <x v="457"/>
    <n v="7251.97"/>
    <n v="0.29709999999999998"/>
    <n v="2"/>
    <n v="2024"/>
    <s v="CLEAN"/>
  </r>
  <r>
    <s v="ORD-2024-10847"/>
    <d v="2024-04-14T00:00:00"/>
    <d v="2024-04-22T00:00:00"/>
    <n v="8"/>
    <s v="OK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s v="OK"/>
    <n v="7955.04"/>
    <n v="5580.68"/>
    <n v="2374.36"/>
    <s v="Pending"/>
    <s v="Returned"/>
    <s v="OK"/>
    <n v="0"/>
    <x v="458"/>
    <n v="2374.36"/>
    <n v="0.29849999999999999"/>
    <n v="4"/>
    <n v="2024"/>
    <s v="CLEAN"/>
  </r>
  <r>
    <s v="ORD-2024-10850"/>
    <d v="2024-03-06T00:00:00"/>
    <d v="2024-12-03T00:00:00"/>
    <n v="272"/>
    <s v="OK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s v="OK"/>
    <n v="1631.11"/>
    <n v="898.73"/>
    <n v="396.58"/>
    <s v="Paid"/>
    <s v="Completed"/>
    <s v="OK"/>
    <n v="0.2"/>
    <x v="459"/>
    <n v="732.38"/>
    <n v="0.44900000000000001"/>
    <n v="3"/>
    <n v="2024"/>
    <s v="CLEAN"/>
  </r>
  <r>
    <s v="ORD-2024-10851"/>
    <d v="2024-06-30T00:00:00"/>
    <d v="2024-07-03T00:00:00"/>
    <n v="3"/>
    <s v="OK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s v="OK"/>
    <n v="7266.06"/>
    <n v="6216.89"/>
    <n v="1049.17"/>
    <s v="Paid"/>
    <s v="Completed"/>
    <s v="OK"/>
    <n v="0"/>
    <x v="460"/>
    <n v="1049.17"/>
    <n v="0.1444"/>
    <n v="6"/>
    <n v="2024"/>
    <s v="CLEAN"/>
  </r>
  <r>
    <s v="ORD-2024-10852"/>
    <d v="2024-03-26T00:00:00"/>
    <d v="2024-04-01T00:00:00"/>
    <n v="6"/>
    <s v="OK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s v="OK"/>
    <n v="1858.08"/>
    <n v="1590.75"/>
    <n v="267.33"/>
    <s v="Paid"/>
    <s v="Completed"/>
    <s v="OK"/>
    <n v="0.2"/>
    <x v="461"/>
    <n v="267.33"/>
    <n v="0.1439"/>
    <n v="3"/>
    <n v="2024"/>
    <s v="CLEAN"/>
  </r>
  <r>
    <s v="ORD-2024-10853"/>
    <d v="2024-01-04T00:00:00"/>
    <d v="2024-08-04T00:00:00"/>
    <n v="213"/>
    <s v="OK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s v="OK"/>
    <n v="25021.83"/>
    <n v="15544.44"/>
    <n v="9477.39"/>
    <s v="Pending"/>
    <s v="Cancelled"/>
    <s v="OK"/>
    <n v="0.15"/>
    <x v="462"/>
    <n v="9477.39"/>
    <n v="0.37880000000000003"/>
    <n v="1"/>
    <n v="2024"/>
    <s v="CLEAN"/>
  </r>
  <r>
    <s v="ORD-2024-10856"/>
    <d v="2024-07-25T00:00:00"/>
    <d v="2024-08-02T00:00:00"/>
    <n v="8"/>
    <s v="OK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s v="OK"/>
    <n v="3110.3"/>
    <n v="2101.0300000000002"/>
    <n v="1009.27"/>
    <s v="Paid"/>
    <s v="Completed"/>
    <s v="OK"/>
    <n v="0.25"/>
    <x v="463"/>
    <n v="1009.27"/>
    <n v="0.32450000000000001"/>
    <n v="7"/>
    <n v="2024"/>
    <s v="CLEAN"/>
  </r>
  <r>
    <s v="ORD-2024-10857"/>
    <d v="2024-06-12T00:00:00"/>
    <d v="2024-06-19T00:00:00"/>
    <n v="7"/>
    <s v="OK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-0.16"/>
    <s v="INVALID-NEGATIVE"/>
    <n v="1185.3"/>
    <n v="966.55"/>
    <n v="218.75"/>
    <s v="Failed"/>
    <s v="Cancelled"/>
    <s v="OK"/>
    <n v="0"/>
    <x v="464"/>
    <n v="613.85"/>
    <n v="0.38840000000000002"/>
    <n v="6"/>
    <n v="2024"/>
    <s v="INVALID"/>
  </r>
  <r>
    <s v="ORD-2024-10858"/>
    <d v="2024-06-04T00:00:00"/>
    <d v="2024-04-06T00:00:00"/>
    <n v="-59"/>
    <s v="INVALID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s v="OK"/>
    <n v="12190.36"/>
    <n v="10176.99"/>
    <n v="2013.37"/>
    <s v="Paid"/>
    <s v="Completed"/>
    <s v="OK"/>
    <n v="0.25"/>
    <x v="465"/>
    <n v="2013.38"/>
    <n v="0.16520000000000001"/>
    <n v="6"/>
    <n v="2024"/>
    <s v="INVALID"/>
  </r>
  <r>
    <s v="ORD-2024-10859"/>
    <d v="2024-05-02T00:00:00"/>
    <d v="2024-05-09T00:00:00"/>
    <n v="7"/>
    <s v="OK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s v="OK"/>
    <n v="11619.44"/>
    <n v="7184.32"/>
    <n v="4494.6400000000003"/>
    <s v="Paid"/>
    <s v="Completed"/>
    <s v="OK"/>
    <n v="0"/>
    <x v="466"/>
    <n v="4435.12"/>
    <n v="0.38169999999999998"/>
    <n v="5"/>
    <n v="2024"/>
    <s v="CLEAN"/>
  </r>
  <r>
    <s v="ORD-2024-10860"/>
    <d v="2024-10-27T00:00:00"/>
    <d v="2024-11-01T00:00:00"/>
    <n v="5"/>
    <s v="OK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s v="OK"/>
    <n v="25075.439999999999"/>
    <n v="16282.74"/>
    <n v="8792.7000000000007"/>
    <s v="Paid"/>
    <s v="Completed"/>
    <s v="OK"/>
    <n v="0.05"/>
    <x v="467"/>
    <n v="8792.7000000000007"/>
    <n v="0.35060000000000002"/>
    <n v="10"/>
    <n v="2024"/>
    <s v="CLEAN"/>
  </r>
  <r>
    <s v="ORD-2024-10861"/>
    <d v="2024-02-02T00:00:00"/>
    <d v="2024-02-04T00:00:00"/>
    <n v="2"/>
    <s v="OK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s v="OK"/>
    <n v="4177.45"/>
    <n v="2299.5"/>
    <n v="1877.95"/>
    <s v="Paid"/>
    <s v="Completed"/>
    <s v="OK"/>
    <n v="0.05"/>
    <x v="468"/>
    <n v="1877.95"/>
    <n v="0.44950000000000001"/>
    <n v="2"/>
    <n v="2024"/>
    <s v="CLEAN"/>
  </r>
  <r>
    <s v="ORD-2024-10868"/>
    <d v="2024-11-21T00:00:00"/>
    <d v="2024-11-22T00:00:00"/>
    <n v="1"/>
    <s v="OK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s v="OK"/>
    <n v="4695.7"/>
    <n v="3871.69"/>
    <n v="824.01"/>
    <s v="Failed"/>
    <s v="Cancelled"/>
    <s v="OK"/>
    <n v="0.25"/>
    <x v="469"/>
    <n v="824.02"/>
    <n v="0.17549999999999999"/>
    <n v="11"/>
    <n v="2024"/>
    <s v="INVALID"/>
  </r>
  <r>
    <s v="ORD-2024-10872"/>
    <d v="2024-02-20T00:00:00"/>
    <d v="2024-02-22T00:00:00"/>
    <n v="2"/>
    <s v="OK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s v="OK"/>
    <n v="19676.07"/>
    <n v="12458.62"/>
    <n v="7217.45"/>
    <s v="Refunded"/>
    <s v="Cancelled"/>
    <s v="OK"/>
    <n v="0"/>
    <x v="470"/>
    <n v="7217.45"/>
    <n v="0.36680000000000001"/>
    <n v="2"/>
    <n v="2024"/>
    <s v="CLEAN"/>
  </r>
  <r>
    <s v="ORD-2024-10873"/>
    <d v="2024-11-01T00:00:00"/>
    <d v="2024-11-02T00:00:00"/>
    <n v="1"/>
    <s v="OK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s v="OK"/>
    <n v="8848.08"/>
    <n v="5691.56"/>
    <n v="3156.52"/>
    <s v="Paid"/>
    <s v="Completed"/>
    <s v="OK"/>
    <n v="0.2"/>
    <x v="471"/>
    <n v="3156.52"/>
    <n v="0.35670000000000002"/>
    <n v="11"/>
    <n v="2024"/>
    <s v="CLEAN"/>
  </r>
  <r>
    <s v="ORD-2024-10876"/>
    <d v="2024-08-10T00:00:00"/>
    <d v="2024-08-11T00:00:00"/>
    <n v="1"/>
    <s v="OK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s v="OK"/>
    <n v="21574.67"/>
    <n v="14672.83"/>
    <n v="6901.84"/>
    <s v="Paid"/>
    <s v="Completed"/>
    <s v="OK"/>
    <n v="0.2"/>
    <x v="472"/>
    <n v="6901.84"/>
    <n v="0.31990000000000002"/>
    <n v="8"/>
    <n v="2024"/>
    <s v="CLEAN"/>
  </r>
  <r>
    <s v="ORD-2024-10877"/>
    <d v="2024-11-18T00:00:00"/>
    <d v="2024-11-20T00:00:00"/>
    <n v="2"/>
    <s v="OK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s v="OK"/>
    <n v="22741.32"/>
    <n v="16388.57"/>
    <n v="6352.75"/>
    <s v="Paid"/>
    <s v="Completed"/>
    <s v="OK"/>
    <n v="0"/>
    <x v="473"/>
    <n v="6352.75"/>
    <n v="0.27929999999999999"/>
    <n v="11"/>
    <n v="2024"/>
    <s v="CLEAN"/>
  </r>
  <r>
    <s v="ORD-2024-10879"/>
    <d v="2024-01-22T00:00:00"/>
    <d v="2024-01-22T00:00:00"/>
    <n v="0"/>
    <s v="OK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s v="OK"/>
    <n v="11834.8"/>
    <n v="9322.36"/>
    <n v="2512.44"/>
    <s v="Paid"/>
    <s v="Completed"/>
    <s v="OK"/>
    <n v="0.05"/>
    <x v="474"/>
    <n v="2512.44"/>
    <n v="0.21229999999999999"/>
    <n v="1"/>
    <n v="2024"/>
    <s v="CLEAN"/>
  </r>
  <r>
    <s v="ORD-2024-10881"/>
    <d v="2024-08-03T00:00:00"/>
    <d v="2024-03-15T00:00:00"/>
    <n v="-141"/>
    <s v="INVALID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s v="OK"/>
    <n v="16173.85"/>
    <n v="13636.34"/>
    <n v="2537.5100000000002"/>
    <s v="Paid"/>
    <s v="Completed"/>
    <s v="OK"/>
    <n v="0"/>
    <x v="475"/>
    <n v="2537.5100000000002"/>
    <n v="0.15690000000000001"/>
    <n v="8"/>
    <n v="2024"/>
    <s v="INVALID"/>
  </r>
  <r>
    <s v="ORD-2024-10882"/>
    <d v="2024-12-01T00:00:00"/>
    <d v="2024-05-12T00:00:00"/>
    <n v="-203"/>
    <s v="INVALID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s v="OK"/>
    <n v="25155.56"/>
    <n v="17592.689999999999"/>
    <n v="7562.87"/>
    <s v="Paid"/>
    <s v="Completed"/>
    <s v="OK"/>
    <n v="0.25"/>
    <x v="476"/>
    <n v="7562.87"/>
    <n v="0.30059999999999998"/>
    <n v="12"/>
    <n v="2024"/>
    <s v="INVALID"/>
  </r>
  <r>
    <s v="ORD-2024-10886"/>
    <d v="2024-01-05T00:00:00"/>
    <d v="2024-01-05T00:00:00"/>
    <n v="0"/>
    <s v="OK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s v="OK"/>
    <n v="1625.31"/>
    <n v="1157.8900000000001"/>
    <n v="467.42"/>
    <s v="Paid"/>
    <s v="Completed"/>
    <s v="OK"/>
    <n v="0.25"/>
    <x v="477"/>
    <n v="467.42"/>
    <n v="0.28760000000000002"/>
    <n v="1"/>
    <n v="2024"/>
    <s v="CLEAN"/>
  </r>
  <r>
    <s v="ORD-2024-10888"/>
    <d v="2024-06-12T00:00:00"/>
    <d v="2024-06-18T00:00:00"/>
    <n v="6"/>
    <s v="OK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s v="OK"/>
    <n v="16704.52"/>
    <n v="10158.280000000001"/>
    <n v="6546.24"/>
    <s v="Paid"/>
    <s v="Completed"/>
    <s v="OK"/>
    <n v="0"/>
    <x v="478"/>
    <n v="6546.24"/>
    <n v="0.39190000000000003"/>
    <n v="6"/>
    <n v="2024"/>
    <s v="CLEAN"/>
  </r>
  <r>
    <s v="ORD-2024-10891"/>
    <d v="2024-05-15T00:00:00"/>
    <d v="2024-05-21T00:00:00"/>
    <n v="6"/>
    <s v="OK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s v="OK"/>
    <n v="13965.89"/>
    <n v="11646.12"/>
    <n v="2319.77"/>
    <s v="Paid"/>
    <s v="Completed"/>
    <s v="OK"/>
    <n v="0.2"/>
    <x v="479"/>
    <n v="2319.77"/>
    <n v="0.1661"/>
    <n v="5"/>
    <n v="2024"/>
    <s v="CLEAN"/>
  </r>
  <r>
    <s v="ORD-2024-10892"/>
    <d v="2024-10-08T00:00:00"/>
    <d v="2024-09-10T00:00:00"/>
    <n v="-28"/>
    <s v="INVALID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s v="OK"/>
    <n v="10835.86"/>
    <n v="6419.92"/>
    <n v="4415.9399999999996"/>
    <s v="Failed"/>
    <s v="Cancelled"/>
    <s v="OK"/>
    <n v="0.1"/>
    <x v="480"/>
    <n v="4415.95"/>
    <n v="0.40749999999999997"/>
    <n v="10"/>
    <n v="2024"/>
    <s v="INVALID"/>
  </r>
  <r>
    <s v="ORD-2024-10894"/>
    <d v="2024-06-06T00:00:00"/>
    <d v="2024-06-08T00:00:00"/>
    <n v="2"/>
    <s v="OK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s v="OK"/>
    <n v="1127.1500000000001"/>
    <n v="845.62"/>
    <n v="281.52999999999997"/>
    <s v="Paid"/>
    <s v="Returned"/>
    <s v="OK"/>
    <n v="0.05"/>
    <x v="481"/>
    <n v="281.52999999999997"/>
    <n v="0.24979999999999999"/>
    <n v="6"/>
    <n v="2024"/>
    <s v="CLEAN"/>
  </r>
  <r>
    <s v="ORD-2024-10895"/>
    <d v="2024-02-22T00:00:00"/>
    <d v="2024-02-29T00:00:00"/>
    <n v="7"/>
    <s v="OK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s v="OK"/>
    <n v="25524.3"/>
    <n v="16711.93"/>
    <n v="8812.3700000000008"/>
    <s v="Paid"/>
    <s v="Completed"/>
    <s v="OK"/>
    <n v="0"/>
    <x v="482"/>
    <n v="8812.3700000000008"/>
    <n v="0.3453"/>
    <n v="2"/>
    <n v="2024"/>
    <s v="CLEAN"/>
  </r>
  <r>
    <s v="ORD-2024-10896"/>
    <d v="2024-11-05T00:00:00"/>
    <d v="2024-11-10T00:00:00"/>
    <n v="5"/>
    <s v="OK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s v="OK"/>
    <n v="2418.0100000000002"/>
    <n v="1441.89"/>
    <n v="976.12"/>
    <s v="Pending"/>
    <s v="Returned"/>
    <s v="OK"/>
    <n v="0.15"/>
    <x v="483"/>
    <n v="976.12"/>
    <n v="0.4037"/>
    <n v="11"/>
    <n v="2024"/>
    <s v="CLEAN"/>
  </r>
  <r>
    <s v="ORD-2024-10897"/>
    <d v="2024-12-24T00:00:00"/>
    <d v="2024-12-25T00:00:00"/>
    <n v="1"/>
    <s v="OK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s v="OK"/>
    <n v="3508.38"/>
    <n v="2828.06"/>
    <n v="680.32"/>
    <s v="Failed"/>
    <s v="Returned"/>
    <s v="OK"/>
    <n v="0.05"/>
    <x v="484"/>
    <n v="680.32"/>
    <n v="0.19389999999999999"/>
    <n v="12"/>
    <n v="2024"/>
    <s v="INVALID"/>
  </r>
  <r>
    <s v="ORD-2024-10899"/>
    <d v="2024-06-02T00:00:00"/>
    <d v="2024-06-08T00:00:00"/>
    <n v="6"/>
    <s v="OK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s v="OK"/>
    <n v="4917.4399999999996"/>
    <n v="3846.77"/>
    <n v="1070.67"/>
    <s v="Paid"/>
    <s v="Completed"/>
    <s v="OK"/>
    <n v="0.2"/>
    <x v="485"/>
    <n v="1070.67"/>
    <n v="0.2177"/>
    <n v="6"/>
    <n v="2024"/>
    <s v="CLEAN"/>
  </r>
  <r>
    <s v="ORD-2025-10005"/>
    <d v="2025-08-29T00:00:00"/>
    <d v="2025-09-01T00:00:00"/>
    <n v="3"/>
    <s v="OK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s v="OK"/>
    <n v="20816.32"/>
    <n v="17705.37"/>
    <n v="3110.95"/>
    <s v="Paid"/>
    <s v="Cancelled"/>
    <s v="OK"/>
    <n v="0"/>
    <x v="486"/>
    <n v="3110.95"/>
    <n v="0.14940000000000001"/>
    <n v="8"/>
    <n v="2025"/>
    <s v="CLEAN"/>
  </r>
  <r>
    <s v="ORD-2025-10007"/>
    <d v="2025-04-10T00:00:00"/>
    <d v="2025-04-16T00:00:00"/>
    <n v="6"/>
    <s v="OK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s v="OK"/>
    <n v="5847.56"/>
    <n v="4727.25"/>
    <n v="1120.31"/>
    <s v="Paid"/>
    <s v="Completed"/>
    <s v="OK"/>
    <n v="0.15"/>
    <x v="487"/>
    <n v="1120.31"/>
    <n v="0.19159999999999999"/>
    <n v="4"/>
    <n v="2025"/>
    <s v="CLEAN"/>
  </r>
  <r>
    <s v="ORD-2025-10008"/>
    <d v="2025-02-23T00:00:00"/>
    <d v="2025-02-26T00:00:00"/>
    <n v="3"/>
    <s v="OK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s v="OK"/>
    <n v="2980.71"/>
    <n v="2357.2199999999998"/>
    <n v="623.49"/>
    <s v="Paid"/>
    <s v="Completed"/>
    <s v="OK"/>
    <n v="0"/>
    <x v="488"/>
    <n v="623.49"/>
    <n v="0.2092"/>
    <n v="2"/>
    <n v="2025"/>
    <s v="CLEAN"/>
  </r>
  <r>
    <s v="ORD-2025-10010"/>
    <d v="2025-07-09T00:00:00"/>
    <d v="2025-09-12T00:00:00"/>
    <n v="65"/>
    <s v="OK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s v="OK"/>
    <n v="6134.69"/>
    <n v="3800.19"/>
    <n v="2334.5"/>
    <s v="Paid"/>
    <s v="Completed"/>
    <s v="OK"/>
    <n v="0.2"/>
    <x v="489"/>
    <n v="2334.5"/>
    <n v="0.3805"/>
    <n v="7"/>
    <n v="2025"/>
    <s v="CLEAN"/>
  </r>
  <r>
    <s v="ORD-2025-10011"/>
    <d v="2025-05-20T00:00:00"/>
    <d v="2025-05-20T00:00:00"/>
    <n v="0"/>
    <s v="OK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s v="OK"/>
    <n v="10074.27"/>
    <n v="6048.27"/>
    <n v="4026"/>
    <s v="Refunded"/>
    <s v="Returned"/>
    <s v="OK"/>
    <n v="0.05"/>
    <x v="490"/>
    <n v="4026"/>
    <n v="0.39960000000000001"/>
    <n v="5"/>
    <n v="2025"/>
    <s v="CLEAN"/>
  </r>
  <r>
    <s v="ORD-2025-10014"/>
    <d v="2025-10-12T00:00:00"/>
    <d v="2025-10-16T00:00:00"/>
    <n v="4"/>
    <s v="OK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s v="OK"/>
    <n v="26365.39"/>
    <n v="22306.240000000002"/>
    <n v="4059.15"/>
    <s v="Paid"/>
    <s v="Completed"/>
    <s v="OK"/>
    <n v="0.05"/>
    <x v="491"/>
    <n v="4059.15"/>
    <n v="0.154"/>
    <n v="10"/>
    <n v="2025"/>
    <s v="CLEAN"/>
  </r>
  <r>
    <s v="ORD-2025-10019"/>
    <d v="2025-07-15T00:00:00"/>
    <d v="2025-07-17T00:00:00"/>
    <n v="2"/>
    <s v="OK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s v="OK"/>
    <n v="3995.98"/>
    <n v="2633.2"/>
    <n v="1362.78"/>
    <s v="Refunded"/>
    <s v="Cancelled"/>
    <s v="OK"/>
    <n v="0"/>
    <x v="492"/>
    <n v="1362.78"/>
    <n v="0.34100000000000003"/>
    <n v="7"/>
    <n v="2025"/>
    <s v="CLEAN"/>
  </r>
  <r>
    <s v="ORD-2025-10021"/>
    <d v="2025-01-21T00:00:00"/>
    <d v="2025-01-23T00:00:00"/>
    <n v="2"/>
    <s v="OK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s v="OK"/>
    <n v="16398.98"/>
    <n v="9556.52"/>
    <n v="6842.46"/>
    <s v="Paid"/>
    <s v="Completed"/>
    <s v="OK"/>
    <n v="0.25"/>
    <x v="493"/>
    <n v="6842.46"/>
    <n v="0.41720000000000002"/>
    <n v="1"/>
    <n v="2025"/>
    <s v="CLEAN"/>
  </r>
  <r>
    <s v="ORD-2025-10022"/>
    <d v="2025-01-24T00:00:00"/>
    <d v="2025-01-30T00:00:00"/>
    <n v="6"/>
    <s v="OK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-0.23"/>
    <s v="INVALID-NEGATIVE"/>
    <n v="2790.76"/>
    <n v="2037.71"/>
    <n v="753.05"/>
    <s v="Paid"/>
    <s v="Completed"/>
    <s v="OK"/>
    <n v="0"/>
    <x v="494"/>
    <n v="753.05"/>
    <n v="0.26979999999999998"/>
    <n v="1"/>
    <n v="2025"/>
    <s v="INVALID"/>
  </r>
  <r>
    <s v="ORD-2025-10023"/>
    <d v="2025-01-19T00:00:00"/>
    <d v="2025-01-21T00:00:00"/>
    <n v="2"/>
    <s v="OK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s v="OK"/>
    <n v="8291.51"/>
    <n v="6685.03"/>
    <n v="1606.48"/>
    <s v="Failed"/>
    <s v="Returned"/>
    <s v="OK"/>
    <n v="0.15"/>
    <x v="495"/>
    <n v="1606.48"/>
    <n v="0.19370000000000001"/>
    <n v="1"/>
    <n v="2025"/>
    <s v="INVALID"/>
  </r>
  <r>
    <s v="ORD-2025-10024"/>
    <d v="2025-08-29T00:00:00"/>
    <d v="2025-08-31T00:00:00"/>
    <n v="2"/>
    <s v="OK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s v="OK"/>
    <n v="6265.63"/>
    <n v="4321.8599999999997"/>
    <n v="1943.77"/>
    <s v="Paid"/>
    <s v="Completed"/>
    <s v="OK"/>
    <n v="0.2"/>
    <x v="496"/>
    <n v="1943.77"/>
    <n v="0.31019999999999998"/>
    <n v="8"/>
    <n v="2025"/>
    <s v="CLEAN"/>
  </r>
  <r>
    <s v="ORD-2025-10028"/>
    <d v="2025-09-29T00:00:00"/>
    <d v="2025-05-10T00:00:00"/>
    <n v="-142"/>
    <s v="INVALID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s v="OK"/>
    <n v="6774.41"/>
    <n v="4710.3599999999997"/>
    <n v="2064.0500000000002"/>
    <s v="Failed"/>
    <s v="Returned"/>
    <s v="OK"/>
    <n v="0.25"/>
    <x v="497"/>
    <n v="2064.0500000000002"/>
    <n v="0.30470000000000003"/>
    <n v="9"/>
    <n v="2025"/>
    <s v="INVALID"/>
  </r>
  <r>
    <s v="ORD-2025-10030"/>
    <d v="2025-08-13T00:00:00"/>
    <d v="2025-08-13T00:00:00"/>
    <n v="0"/>
    <s v="OK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s v="OK"/>
    <n v="217.61"/>
    <n v="119.77"/>
    <n v="97.84"/>
    <s v="Paid"/>
    <s v="Completed"/>
    <s v="OK"/>
    <n v="0.15"/>
    <x v="498"/>
    <n v="97.84"/>
    <n v="0.4496"/>
    <n v="8"/>
    <n v="2025"/>
    <s v="CLEAN"/>
  </r>
  <r>
    <s v="ORD-2025-10032"/>
    <d v="2025-06-15T00:00:00"/>
    <d v="2025-06-19T00:00:00"/>
    <n v="4"/>
    <s v="OK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s v="OK"/>
    <n v="27832.95"/>
    <n v="17769.75"/>
    <n v="10063.200000000001"/>
    <s v="Failed"/>
    <s v="Returned"/>
    <s v="OK"/>
    <n v="0"/>
    <x v="499"/>
    <n v="10063.200000000001"/>
    <n v="0.36159999999999998"/>
    <n v="6"/>
    <n v="2025"/>
    <s v="INVALID"/>
  </r>
  <r>
    <s v="ORD-2025-10035"/>
    <d v="2025-01-31T00:00:00"/>
    <d v="2025-02-05T00:00:00"/>
    <n v="5"/>
    <s v="OK"/>
    <s v="CUST-2392"/>
    <s v="Priya Menon"/>
    <s v="Home Office"/>
    <x v="1"/>
    <s v="West Bengal"/>
    <s v="Kolkata"/>
    <s v="Furniture"/>
    <s v="Chairs"/>
    <s v="Elite Chairs 862"/>
    <s v="Unknown"/>
    <n v="2"/>
    <n v="4159.6899999999996"/>
    <n v="0.2"/>
    <s v="OK"/>
    <n v="6655.5"/>
    <n v="4340.21"/>
    <n v="2607.3200000000002"/>
    <s v="Paid"/>
    <s v="Completed"/>
    <s v="OK"/>
    <n v="0.2"/>
    <x v="500"/>
    <n v="2315.29"/>
    <n v="0.34789999999999999"/>
    <n v="1"/>
    <n v="2025"/>
    <s v="WARNING"/>
  </r>
  <r>
    <s v="ORD-2025-10038"/>
    <d v="2025-07-29T00:00:00"/>
    <d v="2025-07-29T00:00:00"/>
    <n v="0"/>
    <s v="OK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s v="OK"/>
    <n v="4248.13"/>
    <n v="3321.09"/>
    <n v="927.04"/>
    <s v="Paid"/>
    <s v="Completed"/>
    <s v="OK"/>
    <n v="0.2"/>
    <x v="501"/>
    <n v="927.04"/>
    <n v="0.21820000000000001"/>
    <n v="7"/>
    <n v="2025"/>
    <s v="CLEAN"/>
  </r>
  <r>
    <s v="ORD-2025-10043"/>
    <d v="2025-10-10T00:00:00"/>
    <d v="2025-10-15T00:00:00"/>
    <n v="5"/>
    <s v="OK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s v="OK"/>
    <n v="7447.01"/>
    <n v="4496.22"/>
    <n v="2950.79"/>
    <s v="Paid"/>
    <s v="Completed"/>
    <s v="OK"/>
    <n v="0.05"/>
    <x v="502"/>
    <n v="2950.79"/>
    <n v="0.3962"/>
    <n v="10"/>
    <n v="2025"/>
    <s v="CLEAN"/>
  </r>
  <r>
    <s v="ORD-2025-10049"/>
    <d v="2025-01-30T00:00:00"/>
    <d v="2025-02-05T00:00:00"/>
    <n v="6"/>
    <s v="OK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s v="OK"/>
    <n v="28445.62"/>
    <n v="20938.59"/>
    <n v="7507.03"/>
    <s v="Paid"/>
    <s v="Completed"/>
    <s v="OK"/>
    <n v="0"/>
    <x v="503"/>
    <n v="7507.03"/>
    <n v="0.26390000000000002"/>
    <n v="1"/>
    <n v="2025"/>
    <s v="CLEAN"/>
  </r>
  <r>
    <s v="ORD-2025-10051"/>
    <d v="2025-05-11T00:00:00"/>
    <d v="2025-05-19T00:00:00"/>
    <n v="8"/>
    <s v="OK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s v="OK"/>
    <n v="2025.38"/>
    <n v="1140.6500000000001"/>
    <n v="884.73"/>
    <s v="Paid"/>
    <s v="Completed"/>
    <s v="OK"/>
    <n v="0.15"/>
    <x v="504"/>
    <n v="884.73"/>
    <n v="0.43680000000000002"/>
    <n v="5"/>
    <n v="2025"/>
    <s v="CLEAN"/>
  </r>
  <r>
    <s v="ORD-2025-10054"/>
    <d v="2025-03-31T00:00:00"/>
    <d v="2025-03-31T00:00:00"/>
    <n v="0"/>
    <s v="OK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s v="OK"/>
    <n v="5131.75"/>
    <n v="2838.68"/>
    <n v="2293.0700000000002"/>
    <s v="Paid"/>
    <s v="Completed"/>
    <s v="OK"/>
    <n v="0.15"/>
    <x v="505"/>
    <n v="2293.0700000000002"/>
    <n v="0.44679999999999997"/>
    <n v="3"/>
    <n v="2025"/>
    <s v="CLEAN"/>
  </r>
  <r>
    <s v="ORD-2025-10055"/>
    <d v="2025-05-30T00:00:00"/>
    <d v="2025-06-02T00:00:00"/>
    <n v="3"/>
    <s v="OK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s v="OK"/>
    <n v="3415.46"/>
    <n v="1993.23"/>
    <n v="1422.23"/>
    <s v="Failed"/>
    <s v="Cancelled"/>
    <s v="OK"/>
    <n v="0.1"/>
    <x v="506"/>
    <n v="1422.23"/>
    <n v="0.41639999999999999"/>
    <n v="5"/>
    <n v="2025"/>
    <s v="INVALID"/>
  </r>
  <r>
    <s v="ORD-2025-10056"/>
    <d v="2025-01-07T00:00:00"/>
    <d v="2025-03-07T00:00:00"/>
    <n v="59"/>
    <s v="OK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s v="OK"/>
    <n v="3411.54"/>
    <n v="2803.13"/>
    <n v="608.41"/>
    <s v="Paid"/>
    <s v="Completed"/>
    <s v="OK"/>
    <n v="0.25"/>
    <x v="507"/>
    <n v="608.41"/>
    <n v="0.17829999999999999"/>
    <n v="1"/>
    <n v="2025"/>
    <s v="CLEAN"/>
  </r>
  <r>
    <s v="ORD-2025-10057"/>
    <d v="2025-01-05T00:00:00"/>
    <d v="2025-06-01T00:00:00"/>
    <n v="147"/>
    <s v="OK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s v="OK"/>
    <n v="9466.83"/>
    <n v="6557.83"/>
    <n v="2909"/>
    <s v="Refunded"/>
    <s v="Cancelled"/>
    <s v="OK"/>
    <n v="0"/>
    <x v="508"/>
    <n v="2909"/>
    <n v="0.30730000000000002"/>
    <n v="1"/>
    <n v="2025"/>
    <s v="CLEAN"/>
  </r>
  <r>
    <s v="ORD-2025-10067"/>
    <d v="2025-08-28T00:00:00"/>
    <d v="2025-09-01T00:00:00"/>
    <n v="4"/>
    <s v="OK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s v="OK"/>
    <n v="7032.11"/>
    <n v="4610.34"/>
    <n v="2421.77"/>
    <s v="Paid"/>
    <s v="Completed"/>
    <s v="OK"/>
    <n v="0.05"/>
    <x v="509"/>
    <n v="2421.77"/>
    <n v="0.34439999999999998"/>
    <n v="8"/>
    <n v="2025"/>
    <s v="CLEAN"/>
  </r>
  <r>
    <s v="ORD-2025-10068"/>
    <d v="2025-02-03T00:00:00"/>
    <d v="2025-07-02T00:00:00"/>
    <n v="149"/>
    <s v="OK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s v="OK"/>
    <n v="24002.11"/>
    <n v="18707.57"/>
    <n v="5294.54"/>
    <s v="Paid"/>
    <s v="Completed"/>
    <s v="OK"/>
    <n v="0.05"/>
    <x v="510"/>
    <n v="5294.54"/>
    <n v="0.22059999999999999"/>
    <n v="2"/>
    <n v="2025"/>
    <s v="CLEAN"/>
  </r>
  <r>
    <s v="ORD-2025-10071"/>
    <d v="2025-08-22T00:00:00"/>
    <d v="2025-08-27T00:00:00"/>
    <n v="5"/>
    <s v="OK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s v="OK"/>
    <n v="1539.98"/>
    <n v="1070.2"/>
    <n v="469.78"/>
    <s v="Paid"/>
    <s v="Completed"/>
    <s v="OK"/>
    <n v="0.15"/>
    <x v="511"/>
    <n v="469.78"/>
    <n v="0.30509999999999998"/>
    <n v="8"/>
    <n v="2025"/>
    <s v="CLEAN"/>
  </r>
  <r>
    <s v="ORD-2025-10072"/>
    <d v="2025-04-16T00:00:00"/>
    <d v="2025-04-23T00:00:00"/>
    <n v="7"/>
    <s v="OK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s v="OK"/>
    <n v="10947.53"/>
    <n v="6447.36"/>
    <n v="4500.17"/>
    <s v="Paid"/>
    <s v="Completed"/>
    <s v="OK"/>
    <n v="0.1"/>
    <x v="512"/>
    <n v="4500.17"/>
    <n v="0.41110000000000002"/>
    <n v="4"/>
    <n v="2025"/>
    <s v="CLEAN"/>
  </r>
  <r>
    <s v="ORD-2025-10074"/>
    <d v="2025-03-29T00:00:00"/>
    <d v="2025-04-03T00:00:00"/>
    <n v="5"/>
    <s v="OK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s v="OK"/>
    <n v="7128.7"/>
    <n v="4382.1499999999996"/>
    <n v="2746.55"/>
    <s v="Paid"/>
    <s v="Completed"/>
    <s v="OK"/>
    <n v="0"/>
    <x v="513"/>
    <n v="2746.55"/>
    <n v="0.38529999999999998"/>
    <n v="3"/>
    <n v="2025"/>
    <s v="CLEAN"/>
  </r>
  <r>
    <s v="ORD-2025-10075"/>
    <d v="2025-02-27T00:00:00"/>
    <d v="2025-03-01T00:00:00"/>
    <n v="2"/>
    <s v="OK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s v="OK"/>
    <n v="3309.84"/>
    <n v="2671.08"/>
    <n v="638.76"/>
    <s v="Paid"/>
    <s v="Completed"/>
    <s v="OK"/>
    <n v="0"/>
    <x v="514"/>
    <n v="638.76"/>
    <n v="0.193"/>
    <n v="2"/>
    <n v="2025"/>
    <s v="CLEAN"/>
  </r>
  <r>
    <s v="ORD-2025-10076"/>
    <d v="2025-08-22T00:00:00"/>
    <d v="2025-08-27T00:00:00"/>
    <n v="5"/>
    <s v="OK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s v="OK"/>
    <n v="7907.57"/>
    <n v="5391.18"/>
    <n v="2516.39"/>
    <s v="Paid"/>
    <s v="Completed"/>
    <s v="OK"/>
    <n v="0.2"/>
    <x v="515"/>
    <n v="2516.39"/>
    <n v="0.31819999999999998"/>
    <n v="8"/>
    <n v="2025"/>
    <s v="CLEAN"/>
  </r>
  <r>
    <s v="ORD-2025-10078"/>
    <d v="2025-07-08T00:00:00"/>
    <d v="2025-12-07T00:00:00"/>
    <n v="152"/>
    <s v="OK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s v="OK"/>
    <n v="2194.87"/>
    <n v="1223.17"/>
    <n v="971.7"/>
    <s v="Refunded"/>
    <s v="Cancelled"/>
    <s v="OK"/>
    <n v="0.15"/>
    <x v="516"/>
    <n v="971.7"/>
    <n v="0.44269999999999998"/>
    <n v="7"/>
    <n v="2025"/>
    <s v="CLEAN"/>
  </r>
  <r>
    <s v="ORD-2025-10079"/>
    <d v="2025-07-16T00:00:00"/>
    <d v="2025-07-21T00:00:00"/>
    <n v="5"/>
    <s v="OK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s v="OK"/>
    <n v="9050.42"/>
    <n v="6778.85"/>
    <n v="2271.5700000000002"/>
    <s v="Paid"/>
    <s v="Completed"/>
    <s v="OK"/>
    <n v="0.15"/>
    <x v="517"/>
    <n v="2271.5700000000002"/>
    <n v="0.251"/>
    <n v="7"/>
    <n v="2025"/>
    <s v="CLEAN"/>
  </r>
  <r>
    <s v="ORD-2025-10080"/>
    <d v="2025-09-27T00:00:00"/>
    <d v="2025-10-03T00:00:00"/>
    <n v="6"/>
    <s v="OK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s v="OK"/>
    <n v="33465.31"/>
    <n v="24781.26"/>
    <n v="8684.0499999999993"/>
    <s v="Paid"/>
    <s v="Completed"/>
    <s v="OK"/>
    <n v="0.1"/>
    <x v="518"/>
    <n v="8684.0499999999993"/>
    <n v="0.25950000000000001"/>
    <n v="9"/>
    <n v="2025"/>
    <s v="CLEAN"/>
  </r>
  <r>
    <s v="ORD-2025-10082"/>
    <d v="2025-03-16T00:00:00"/>
    <d v="2025-03-17T00:00:00"/>
    <n v="1"/>
    <s v="OK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s v="OK"/>
    <n v="5525.73"/>
    <n v="3093.42"/>
    <n v="2432.31"/>
    <s v="Paid"/>
    <s v="Completed"/>
    <s v="OK"/>
    <n v="0"/>
    <x v="519"/>
    <n v="2432.31"/>
    <n v="0.44019999999999998"/>
    <n v="3"/>
    <n v="2025"/>
    <s v="CLEAN"/>
  </r>
  <r>
    <s v="ORD-2025-10091"/>
    <d v="2025-08-24T00:00:00"/>
    <d v="2025-08-29T00:00:00"/>
    <n v="5"/>
    <s v="OK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s v="OK"/>
    <n v="9445.1"/>
    <n v="5586.28"/>
    <n v="3858.82"/>
    <s v="Paid"/>
    <s v="Completed"/>
    <s v=" ORIGINAL"/>
    <n v="0.15"/>
    <x v="520"/>
    <n v="3858.82"/>
    <n v="0.40860000000000002"/>
    <n v="8"/>
    <n v="2025"/>
    <s v="CLEAN"/>
  </r>
  <r>
    <s v="ORD-2025-10091"/>
    <d v="2025-08-24T00:00:00"/>
    <d v="2025-08-29T00:00:00"/>
    <n v="5"/>
    <s v="OK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s v="OK"/>
    <n v="9549.44"/>
    <n v="5586.28"/>
    <n v="3858.82"/>
    <s v="Paid"/>
    <s v="Returned"/>
    <s v="CONFLICTING DUPLICATE - REVIEW"/>
    <n v="0.15"/>
    <x v="520"/>
    <n v="3858.82"/>
    <n v="0.40860000000000002"/>
    <n v="8"/>
    <n v="2025"/>
    <s v="CLEAN"/>
  </r>
  <r>
    <s v="ORD-2025-10092"/>
    <d v="2025-02-03T00:00:00"/>
    <d v="2025-03-08T00:00:00"/>
    <n v="33"/>
    <s v="OK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s v="OK"/>
    <n v="2427.12"/>
    <n v="1538.35"/>
    <n v="804.53"/>
    <s v="Paid"/>
    <s v="Completed"/>
    <s v="OK"/>
    <n v="0"/>
    <x v="521"/>
    <n v="888.77"/>
    <n v="0.36620000000000003"/>
    <n v="2"/>
    <n v="2025"/>
    <s v="CLEAN"/>
  </r>
  <r>
    <s v="ORD-2025-10093"/>
    <d v="2025-01-23T00:00:00"/>
    <d v="2025-01-26T00:00:00"/>
    <n v="3"/>
    <s v="OK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s v="OK"/>
    <n v="36111.910000000003"/>
    <n v="29194.5"/>
    <n v="6917.41"/>
    <s v="Paid"/>
    <s v="Completed"/>
    <s v="OK"/>
    <n v="0.1"/>
    <x v="522"/>
    <n v="6917.41"/>
    <n v="0.19159999999999999"/>
    <n v="1"/>
    <n v="2025"/>
    <s v="CLEAN"/>
  </r>
  <r>
    <s v="ORD-2025-10096"/>
    <d v="2025-05-09T00:00:00"/>
    <d v="2025-09-10T00:00:00"/>
    <n v="124"/>
    <s v="OK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s v="OK"/>
    <n v="10524.78"/>
    <n v="8841.0499999999993"/>
    <n v="1683.73"/>
    <s v="Paid"/>
    <s v="Completed"/>
    <s v="OK"/>
    <n v="0"/>
    <x v="523"/>
    <n v="1683.73"/>
    <n v="0.16"/>
    <n v="5"/>
    <n v="2025"/>
    <s v="CLEAN"/>
  </r>
  <r>
    <s v="ORD-2025-10098"/>
    <d v="2025-08-08T00:00:00"/>
    <d v="2025-08-11T00:00:00"/>
    <n v="3"/>
    <s v="OK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s v="OK"/>
    <n v="14409.44"/>
    <n v="8809.9699999999993"/>
    <n v="5599.47"/>
    <s v="Pending"/>
    <s v="Returned"/>
    <s v="OK"/>
    <n v="0.2"/>
    <x v="524"/>
    <n v="5599.47"/>
    <n v="0.3886"/>
    <n v="8"/>
    <n v="2025"/>
    <s v="CLEAN"/>
  </r>
  <r>
    <s v="ORD-2025-10100"/>
    <d v="2025-11-01T00:00:00"/>
    <d v="2025-11-01T00:00:00"/>
    <n v="0"/>
    <s v="OK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s v="OK"/>
    <n v="6495.87"/>
    <n v="4700.8900000000003"/>
    <n v="1794.98"/>
    <s v="Paid"/>
    <s v="Completed"/>
    <s v="OK"/>
    <n v="0"/>
    <x v="525"/>
    <n v="1794.98"/>
    <n v="0.27629999999999999"/>
    <n v="11"/>
    <n v="2025"/>
    <s v="CLEAN"/>
  </r>
  <r>
    <s v="ORD-2025-10101"/>
    <d v="2025-09-12T00:00:00"/>
    <d v="2025-09-18T00:00:00"/>
    <n v="6"/>
    <s v="OK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s v="OK"/>
    <n v="9540.66"/>
    <n v="5561.49"/>
    <n v="3979.17"/>
    <s v="Paid"/>
    <s v="Completed"/>
    <s v="OK"/>
    <n v="0.05"/>
    <x v="526"/>
    <n v="3979.17"/>
    <n v="0.41710000000000003"/>
    <n v="9"/>
    <n v="2025"/>
    <s v="CLEAN"/>
  </r>
  <r>
    <s v="ORD-2025-10103"/>
    <d v="2025-07-12T00:00:00"/>
    <d v="2025-07-16T00:00:00"/>
    <n v="4"/>
    <s v="OK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s v="OK"/>
    <n v="11462.84"/>
    <n v="8979.7800000000007"/>
    <n v="2483.06"/>
    <s v="Refunded"/>
    <s v="Cancelled"/>
    <s v="OK"/>
    <n v="0"/>
    <x v="527"/>
    <n v="2483.06"/>
    <n v="0.21659999999999999"/>
    <n v="7"/>
    <n v="2025"/>
    <s v="CLEAN"/>
  </r>
  <r>
    <s v="ORD-2025-10104"/>
    <d v="2025-05-02T00:00:00"/>
    <d v="2025-05-10T00:00:00"/>
    <n v="8"/>
    <s v="OK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s v="OK"/>
    <n v="7809.09"/>
    <n v="6657.75"/>
    <n v="1151.3399999999999"/>
    <s v="Paid"/>
    <s v="Completed"/>
    <s v="OK"/>
    <n v="0.2"/>
    <x v="528"/>
    <n v="1151.3399999999999"/>
    <n v="0.1474"/>
    <n v="5"/>
    <n v="2025"/>
    <s v="CLEAN"/>
  </r>
  <r>
    <s v="ORD-2025-10105"/>
    <d v="2025-02-01T00:00:00"/>
    <d v="2025-02-08T00:00:00"/>
    <n v="7"/>
    <s v="OK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s v="OK"/>
    <n v="8260.4599999999991"/>
    <n v="5619.95"/>
    <n v="2302.08"/>
    <s v="Paid"/>
    <s v="Cancelled"/>
    <s v="OK"/>
    <n v="0.25"/>
    <x v="529"/>
    <n v="2302.08"/>
    <n v="0.29060000000000002"/>
    <n v="2"/>
    <n v="2025"/>
    <s v="CLEAN"/>
  </r>
  <r>
    <s v="ORD-2025-10110"/>
    <d v="2025-08-23T00:00:00"/>
    <d v="2025-08-27T00:00:00"/>
    <n v="4"/>
    <s v="OK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s v="OK"/>
    <n v="2091.4699999999998"/>
    <n v="1317.22"/>
    <n v="774.25"/>
    <s v="Paid"/>
    <s v="Completed"/>
    <s v="OK"/>
    <n v="0.25"/>
    <x v="530"/>
    <n v="774.25"/>
    <n v="0.37019999999999997"/>
    <n v="8"/>
    <n v="2025"/>
    <s v="CLEAN"/>
  </r>
  <r>
    <s v="ORD-2025-10112"/>
    <d v="2025-06-27T00:00:00"/>
    <d v="2025-06-30T00:00:00"/>
    <n v="3"/>
    <s v="OK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s v="OK"/>
    <n v="1623.02"/>
    <n v="1077.46"/>
    <n v="545.55999999999995"/>
    <s v="Pending"/>
    <s v="Cancelled"/>
    <s v="OK"/>
    <n v="0.05"/>
    <x v="531"/>
    <n v="545.55999999999995"/>
    <n v="0.33610000000000001"/>
    <n v="6"/>
    <n v="2025"/>
    <s v="CLEAN"/>
  </r>
  <r>
    <s v="ORD-2025-10117"/>
    <d v="2025-02-15T00:00:00"/>
    <d v="2025-02-19T00:00:00"/>
    <n v="4"/>
    <s v="OK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s v="OK"/>
    <n v="3590.93"/>
    <n v="3061.39"/>
    <n v="529.54"/>
    <s v="Failed"/>
    <s v="Cancelled"/>
    <s v="OK"/>
    <n v="0.25"/>
    <x v="532"/>
    <n v="529.54"/>
    <n v="0.14749999999999999"/>
    <n v="2"/>
    <n v="2025"/>
    <s v="INVALID"/>
  </r>
  <r>
    <s v="ORD-2025-10122"/>
    <d v="2025-08-22T00:00:00"/>
    <d v="2025-08-26T00:00:00"/>
    <n v="4"/>
    <s v="OK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s v="OK"/>
    <n v="17414.599999999999"/>
    <n v="11760.91"/>
    <n v="5653.69"/>
    <s v="Refunded"/>
    <s v="Cancelled"/>
    <s v="OK"/>
    <n v="0"/>
    <x v="533"/>
    <n v="5653.69"/>
    <n v="0.32469999999999999"/>
    <n v="8"/>
    <n v="2025"/>
    <s v="CLEAN"/>
  </r>
  <r>
    <s v="ORD-2025-10126"/>
    <d v="2025-07-17T00:00:00"/>
    <d v="2025-07-18T00:00:00"/>
    <n v="1"/>
    <s v="OK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s v="OK"/>
    <n v="14558.72"/>
    <n v="9591.48"/>
    <n v="4967.24"/>
    <s v="Refunded"/>
    <s v="Returned"/>
    <s v="OK"/>
    <n v="0.25"/>
    <x v="534"/>
    <n v="4967.24"/>
    <n v="0.3412"/>
    <n v="7"/>
    <n v="2025"/>
    <s v="CLEAN"/>
  </r>
  <r>
    <s v="ORD-2025-10127"/>
    <d v="2025-09-24T00:00:00"/>
    <d v="2025-09-26T00:00:00"/>
    <n v="2"/>
    <s v="OK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s v="OK"/>
    <n v="4303.42"/>
    <n v="2568.5700000000002"/>
    <n v="1734.85"/>
    <s v="Paid"/>
    <s v="Completed"/>
    <s v="OK"/>
    <n v="0.1"/>
    <x v="535"/>
    <n v="1734.85"/>
    <n v="0.40310000000000001"/>
    <n v="9"/>
    <n v="2025"/>
    <s v="CLEAN"/>
  </r>
  <r>
    <s v="ORD-2025-10128"/>
    <d v="2025-01-30T00:00:00"/>
    <d v="2025-01-26T00:00:00"/>
    <n v="-4"/>
    <s v="INVALID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s v="OK"/>
    <n v="5774.67"/>
    <n v="3518.36"/>
    <n v="2256.31"/>
    <s v="Paid"/>
    <s v="Completed"/>
    <s v="OK"/>
    <n v="0.05"/>
    <x v="536"/>
    <n v="2256.31"/>
    <n v="0.39069999999999999"/>
    <n v="1"/>
    <n v="2025"/>
    <s v="INVALID"/>
  </r>
  <r>
    <s v="ORD-2025-10132"/>
    <d v="2025-09-29T00:00:00"/>
    <d v="2025-10-04T00:00:00"/>
    <n v="5"/>
    <s v="OK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s v="OK"/>
    <n v="2692.15"/>
    <n v="2044.49"/>
    <n v="647.66"/>
    <s v="Paid"/>
    <s v="Completed"/>
    <s v="OK"/>
    <n v="0.2"/>
    <x v="537"/>
    <n v="647.66"/>
    <n v="0.24060000000000001"/>
    <n v="9"/>
    <n v="2025"/>
    <s v="CLEAN"/>
  </r>
  <r>
    <s v="ORD-2025-10135"/>
    <d v="2025-07-14T00:00:00"/>
    <d v="2025-07-14T00:00:00"/>
    <n v="0"/>
    <s v="OK"/>
    <s v="CUST-7361"/>
    <s v="Vikram Iyer"/>
    <s v="Home Office"/>
    <x v="1"/>
    <s v="West Bengal"/>
    <s v="Kolkata"/>
    <s v="Furniture"/>
    <s v="Bookcases"/>
    <s v="Elite Bookcases 266"/>
    <s v="Unknown"/>
    <n v="5"/>
    <n v="383.1"/>
    <n v="0.25"/>
    <s v="OK"/>
    <n v="1436.62"/>
    <n v="912.52"/>
    <n v="524.1"/>
    <s v="Pending"/>
    <s v="Cancelled"/>
    <s v="OK"/>
    <n v="0.25"/>
    <x v="538"/>
    <n v="524.11"/>
    <n v="0.36480000000000001"/>
    <n v="7"/>
    <n v="2025"/>
    <s v="WARNING"/>
  </r>
  <r>
    <s v="ORD-2025-10136"/>
    <d v="2025-08-24T00:00:00"/>
    <d v="2025-08-24T00:00:00"/>
    <n v="0"/>
    <s v="OK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s v="OK"/>
    <n v="3424.78"/>
    <n v="1951.45"/>
    <n v="1473.33"/>
    <s v="Paid"/>
    <s v="Completed"/>
    <s v="OK"/>
    <n v="0"/>
    <x v="539"/>
    <n v="1473.33"/>
    <n v="0.43020000000000003"/>
    <n v="8"/>
    <n v="2025"/>
    <s v="CLEAN"/>
  </r>
  <r>
    <s v="ORD-2025-10137"/>
    <d v="2025-09-02T00:00:00"/>
    <d v="2025-02-15T00:00:00"/>
    <n v="-199"/>
    <s v="INVALID"/>
    <s v="CUST-3350"/>
    <s v="Mira Das"/>
    <s v="Home Office"/>
    <x v="1"/>
    <s v="Jharkhand"/>
    <s v="Ranchi"/>
    <s v="Office Supplies"/>
    <s v="Binders"/>
    <s v="Max Binders 362"/>
    <s v="Standard Class"/>
    <n v="9"/>
    <n v="4330.33"/>
    <n v="0.2"/>
    <s v="OK"/>
    <n v="31178.38"/>
    <n v="21421.09"/>
    <n v="9757.2900000000009"/>
    <s v="Paid"/>
    <s v="Completed"/>
    <s v="OK"/>
    <n v="0.2"/>
    <x v="540"/>
    <n v="9757.2900000000009"/>
    <n v="0.313"/>
    <n v="9"/>
    <n v="2025"/>
    <s v="INVALID"/>
  </r>
  <r>
    <s v="ORD-2025-10138"/>
    <d v="2025-01-09T00:00:00"/>
    <d v="2025-01-09T00:00:00"/>
    <n v="0"/>
    <s v="OK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s v="OK"/>
    <n v="19202.900000000001"/>
    <n v="15526.62"/>
    <n v="3676.28"/>
    <s v="Paid"/>
    <s v="Completed"/>
    <s v="OK"/>
    <n v="0.1"/>
    <x v="541"/>
    <n v="3676.28"/>
    <n v="0.19139999999999999"/>
    <n v="1"/>
    <n v="2025"/>
    <s v="CLEAN"/>
  </r>
  <r>
    <s v="ORD-2025-10140"/>
    <d v="2025-03-02T00:00:00"/>
    <d v="2025-07-03T00:00:00"/>
    <n v="123"/>
    <s v="OK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s v="OK"/>
    <n v="10301.040000000001"/>
    <n v="6564.06"/>
    <n v="3736.98"/>
    <s v="Paid"/>
    <s v="Completed"/>
    <s v="OK"/>
    <n v="0"/>
    <x v="542"/>
    <n v="3736.98"/>
    <n v="0.36280000000000001"/>
    <n v="3"/>
    <n v="2025"/>
    <s v="CLEAN"/>
  </r>
  <r>
    <s v="ORD-2025-10146"/>
    <d v="2025-11-04T00:00:00"/>
    <d v="2025-04-13T00:00:00"/>
    <n v="-205"/>
    <s v="INVALID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s v="OK"/>
    <n v="15055.74"/>
    <n v="9808.83"/>
    <n v="5246.91"/>
    <s v="Paid"/>
    <s v="Completed"/>
    <s v="OK"/>
    <n v="0.1"/>
    <x v="543"/>
    <n v="5246.91"/>
    <n v="0.34849999999999998"/>
    <n v="11"/>
    <n v="2025"/>
    <s v="INVALID"/>
  </r>
  <r>
    <s v="ORD-2025-10147"/>
    <d v="2025-07-30T00:00:00"/>
    <d v="2025-08-01T00:00:00"/>
    <n v="2"/>
    <s v="OK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s v="OK"/>
    <n v="25639.98"/>
    <n v="21635.08"/>
    <n v="4004.9"/>
    <s v="Paid"/>
    <s v="Completed"/>
    <s v="OK"/>
    <n v="0.1"/>
    <x v="544"/>
    <n v="4004.9"/>
    <n v="0.15620000000000001"/>
    <n v="7"/>
    <n v="2025"/>
    <s v="CLEAN"/>
  </r>
  <r>
    <s v="ORD-2025-10149"/>
    <d v="2025-02-09T00:00:00"/>
    <d v="2025-02-13T00:00:00"/>
    <n v="4"/>
    <s v="OK"/>
    <s v="CUST-2822"/>
    <s v="Mira Das"/>
    <s v="Home Office"/>
    <x v="3"/>
    <s v="Madhya Pradesh"/>
    <s v="Indore"/>
    <s v="Technology"/>
    <s v="Phones"/>
    <s v="Smart Phones 336"/>
    <s v="Unknown"/>
    <n v="8"/>
    <n v="1696.07"/>
    <n v="0.25"/>
    <s v="OK"/>
    <n v="10176.42"/>
    <n v="7604.47"/>
    <n v="2571.9499999999998"/>
    <s v="Paid"/>
    <s v="Completed"/>
    <s v="OK"/>
    <n v="0.25"/>
    <x v="545"/>
    <n v="2571.9499999999998"/>
    <n v="0.25269999999999998"/>
    <n v="2"/>
    <n v="2025"/>
    <s v="WARNING"/>
  </r>
  <r>
    <s v="ORD-2025-10154"/>
    <d v="2025-09-23T00:00:00"/>
    <d v="2025-09-25T00:00:00"/>
    <n v="2"/>
    <s v="OK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s v="OK"/>
    <n v="22962.17"/>
    <n v="15716.5"/>
    <n v="7245.67"/>
    <s v="Refunded"/>
    <s v="Returned"/>
    <s v="OK"/>
    <n v="0"/>
    <x v="546"/>
    <n v="7245.67"/>
    <n v="0.3155"/>
    <n v="9"/>
    <n v="2025"/>
    <s v="CLEAN"/>
  </r>
  <r>
    <s v="ORD-2025-10156"/>
    <d v="2025-01-26T00:00:00"/>
    <d v="2025-02-03T00:00:00"/>
    <n v="8"/>
    <s v="OK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s v="OK"/>
    <n v="7720.16"/>
    <n v="5881"/>
    <n v="1839.16"/>
    <s v="Refunded"/>
    <s v="Returned"/>
    <s v="OK"/>
    <n v="0.1"/>
    <x v="547"/>
    <n v="1839.16"/>
    <n v="0.2382"/>
    <n v="1"/>
    <n v="2025"/>
    <s v="CLEAN"/>
  </r>
  <r>
    <s v="ORD-2025-10157"/>
    <d v="2025-03-27T00:00:00"/>
    <d v="2025-03-27T00:00:00"/>
    <n v="0"/>
    <s v="OK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s v="OK"/>
    <n v="12103.19"/>
    <n v="6717.87"/>
    <n v="5385.32"/>
    <s v="Paid"/>
    <s v="Completed"/>
    <s v="OK"/>
    <n v="0.25"/>
    <x v="548"/>
    <n v="5385.32"/>
    <n v="0.44500000000000001"/>
    <n v="3"/>
    <n v="2025"/>
    <s v="CLEAN"/>
  </r>
  <r>
    <s v="ORD-2025-10160"/>
    <d v="2025-01-30T00:00:00"/>
    <d v="2025-04-02T00:00:00"/>
    <n v="62"/>
    <s v="OK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s v="OK"/>
    <n v="33893.32"/>
    <n v="25750.35"/>
    <n v="8142.97"/>
    <s v="Pending"/>
    <s v="Cancelled"/>
    <s v="OK"/>
    <n v="0.15"/>
    <x v="549"/>
    <n v="8142.98"/>
    <n v="0.24030000000000001"/>
    <n v="1"/>
    <n v="2025"/>
    <s v="CLEAN"/>
  </r>
  <r>
    <s v="ORD-2025-10161"/>
    <d v="2025-08-10T00:00:00"/>
    <d v="2025-10-06T00:00:00"/>
    <n v="57"/>
    <s v="OK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s v="OK"/>
    <n v="4789.6000000000004"/>
    <n v="4037.64"/>
    <n v="751.96"/>
    <s v="Pending"/>
    <s v="Cancelled"/>
    <s v="OK"/>
    <n v="0.05"/>
    <x v="550"/>
    <n v="751.96"/>
    <n v="0.157"/>
    <n v="8"/>
    <n v="2025"/>
    <s v="CLEAN"/>
  </r>
  <r>
    <s v="ORD-2025-10162"/>
    <d v="2025-07-24T00:00:00"/>
    <d v="2025-07-30T00:00:00"/>
    <n v="6"/>
    <s v="OK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s v="OK"/>
    <n v="1643.41"/>
    <n v="907.4"/>
    <n v="736.01"/>
    <s v="Pending"/>
    <s v="Cancelled"/>
    <s v="OK"/>
    <n v="0"/>
    <x v="551"/>
    <n v="736.01"/>
    <n v="0.44790000000000002"/>
    <n v="7"/>
    <n v="2025"/>
    <s v="CLEAN"/>
  </r>
  <r>
    <s v="ORD-2025-10164"/>
    <d v="2025-09-21T00:00:00"/>
    <d v="2025-09-26T00:00:00"/>
    <n v="5"/>
    <s v="OK"/>
    <s v="CUST-2548"/>
    <s v="Rohan Mehta"/>
    <s v="Home Office"/>
    <x v="3"/>
    <s v="Gujarat"/>
    <s v="Ahmedabad"/>
    <s v="Furniture"/>
    <s v="Tables"/>
    <s v="Elite Tables 389"/>
    <s v="Unknown"/>
    <n v="6"/>
    <n v="2903.58"/>
    <n v="0.1"/>
    <s v="OK"/>
    <n v="15679.33"/>
    <n v="12477.82"/>
    <n v="3201.51"/>
    <s v="Pending"/>
    <s v="Returned"/>
    <s v="OK"/>
    <n v="0.1"/>
    <x v="552"/>
    <n v="3201.51"/>
    <n v="0.20419999999999999"/>
    <n v="9"/>
    <n v="2025"/>
    <s v="WARNING"/>
  </r>
  <r>
    <s v="ORD-2025-10165"/>
    <d v="2025-09-09T00:00:00"/>
    <d v="2025-09-14T00:00:00"/>
    <n v="5"/>
    <s v="OK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s v="OK"/>
    <n v="2365.8200000000002"/>
    <n v="1547.99"/>
    <n v="817.83"/>
    <s v="Paid"/>
    <s v="Completed"/>
    <s v="OK"/>
    <n v="0.25"/>
    <x v="553"/>
    <n v="817.83"/>
    <n v="0.34570000000000001"/>
    <n v="9"/>
    <n v="2025"/>
    <s v="CLEAN"/>
  </r>
  <r>
    <s v="ORD-2025-10167"/>
    <d v="2025-02-20T00:00:00"/>
    <d v="2025-02-26T00:00:00"/>
    <n v="6"/>
    <s v="OK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s v="OK"/>
    <n v="2046.28"/>
    <n v="1449.54"/>
    <n v="596.74"/>
    <s v="Paid"/>
    <s v="Completed"/>
    <s v="OK"/>
    <n v="0.2"/>
    <x v="554"/>
    <n v="596.74"/>
    <n v="0.29160000000000003"/>
    <n v="2"/>
    <n v="2025"/>
    <s v="CLEAN"/>
  </r>
  <r>
    <s v="ORD-2025-10168"/>
    <d v="2025-08-18T00:00:00"/>
    <d v="2025-08-18T00:00:00"/>
    <n v="0"/>
    <s v="OK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s v="OK"/>
    <n v="23186.61"/>
    <n v="17906.54"/>
    <n v="5280.07"/>
    <s v="Paid"/>
    <s v="Returned"/>
    <s v="OK"/>
    <n v="0.15"/>
    <x v="555"/>
    <n v="5280.07"/>
    <n v="0.22770000000000001"/>
    <n v="8"/>
    <n v="2025"/>
    <s v="CLEAN"/>
  </r>
  <r>
    <s v="ORD-2025-10169"/>
    <d v="2025-01-20T00:00:00"/>
    <d v="2025-01-23T00:00:00"/>
    <n v="3"/>
    <s v="OK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s v="OK"/>
    <n v="2557.08"/>
    <n v="2025.69"/>
    <n v="531.39"/>
    <s v="Paid"/>
    <s v="Cancelled"/>
    <s v="OK"/>
    <n v="0.2"/>
    <x v="556"/>
    <n v="531.39"/>
    <n v="0.20780000000000001"/>
    <n v="1"/>
    <n v="2025"/>
    <s v="CLEAN"/>
  </r>
  <r>
    <s v="ORD-2025-10170"/>
    <d v="2025-09-13T00:00:00"/>
    <d v="2025-09-13T00:00:00"/>
    <n v="0"/>
    <s v="OK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s v="OK"/>
    <n v="5577.64"/>
    <n v="3541.29"/>
    <n v="2036.35"/>
    <s v="Pending"/>
    <s v="Returned"/>
    <s v="OK"/>
    <n v="0.05"/>
    <x v="557"/>
    <n v="2036.35"/>
    <n v="0.36509999999999998"/>
    <n v="9"/>
    <n v="2025"/>
    <s v="CLEAN"/>
  </r>
  <r>
    <s v="ORD-2025-10171"/>
    <d v="2025-07-09T00:00:00"/>
    <d v="2025-09-15T00:00:00"/>
    <n v="68"/>
    <s v="OK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s v="OK"/>
    <n v="5133.96"/>
    <n v="3930"/>
    <n v="1203.96"/>
    <s v="Paid"/>
    <s v="Completed"/>
    <s v=" ORIGINAL"/>
    <n v="0"/>
    <x v="558"/>
    <n v="1203.96"/>
    <n v="0.23449999999999999"/>
    <n v="7"/>
    <n v="2025"/>
    <s v="CLEAN"/>
  </r>
  <r>
    <s v="ORD-2025-10171"/>
    <d v="2025-07-09T00:00:00"/>
    <d v="2025-09-15T00:00:00"/>
    <n v="68"/>
    <s v="OK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s v="OK"/>
    <n v="5206.53"/>
    <n v="3930"/>
    <n v="1203.96"/>
    <s v="Paid"/>
    <s v="Returned"/>
    <s v="CONFLICTING DUPLICATE - REVIEW"/>
    <n v="0"/>
    <x v="558"/>
    <n v="1203.96"/>
    <n v="0.23449999999999999"/>
    <n v="7"/>
    <n v="2025"/>
    <s v="CLEAN"/>
  </r>
  <r>
    <s v="ORD-2025-10172"/>
    <d v="2025-02-23T00:00:00"/>
    <d v="2025-02-25T00:00:00"/>
    <n v="2"/>
    <s v="OK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s v="OK"/>
    <n v="15923.51"/>
    <n v="11291.8"/>
    <n v="4631.71"/>
    <s v="Paid"/>
    <s v="Completed"/>
    <s v="OK"/>
    <n v="0.25"/>
    <x v="559"/>
    <n v="4631.71"/>
    <n v="0.29089999999999999"/>
    <n v="2"/>
    <n v="2025"/>
    <s v="CLEAN"/>
  </r>
  <r>
    <s v="ORD-2025-10173"/>
    <d v="2025-02-08T00:00:00"/>
    <d v="2025-10-08T00:00:00"/>
    <n v="242"/>
    <s v="OK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s v="OK"/>
    <n v="23997.22"/>
    <n v="16134.63"/>
    <n v="7862.59"/>
    <s v="Refunded"/>
    <s v="Returned"/>
    <s v="OK"/>
    <n v="0.1"/>
    <x v="560"/>
    <n v="7862.59"/>
    <n v="0.3276"/>
    <n v="2"/>
    <n v="2025"/>
    <s v="CLEAN"/>
  </r>
  <r>
    <s v="ORD-2025-10175"/>
    <d v="2025-09-28T00:00:00"/>
    <d v="2025-04-10T00:00:00"/>
    <n v="-171"/>
    <s v="INVALID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s v="OK"/>
    <n v="8264.7000000000007"/>
    <n v="4768.75"/>
    <n v="3495.95"/>
    <s v="Pending"/>
    <s v="Returned"/>
    <s v="OK"/>
    <n v="0.15"/>
    <x v="561"/>
    <n v="3495.95"/>
    <n v="0.42299999999999999"/>
    <n v="9"/>
    <n v="2025"/>
    <s v="INVALID"/>
  </r>
  <r>
    <s v="ORD-2025-10177"/>
    <d v="2025-03-18T00:00:00"/>
    <d v="2025-03-26T00:00:00"/>
    <n v="8"/>
    <s v="OK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s v="OK"/>
    <n v="24229.01"/>
    <n v="13910.64"/>
    <n v="10318.370000000001"/>
    <s v="Paid"/>
    <s v="Completed"/>
    <s v="OK"/>
    <n v="0.15"/>
    <x v="562"/>
    <n v="10318.370000000001"/>
    <n v="0.4259"/>
    <n v="3"/>
    <n v="2025"/>
    <s v="CLEAN"/>
  </r>
  <r>
    <s v="ORD-2025-10182"/>
    <d v="2025-09-09T00:00:00"/>
    <d v="2025-10-09T00:00:00"/>
    <n v="30"/>
    <s v="OK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s v="OK"/>
    <n v="10205.799999999999"/>
    <n v="5986.31"/>
    <n v="4219.49"/>
    <s v="Paid"/>
    <s v="Completed"/>
    <s v="OK"/>
    <n v="0"/>
    <x v="563"/>
    <n v="4219.49"/>
    <n v="0.41339999999999999"/>
    <n v="9"/>
    <n v="2025"/>
    <s v="CLEAN"/>
  </r>
  <r>
    <s v="ORD-2025-10184"/>
    <d v="2025-06-24T00:00:00"/>
    <d v="2025-06-27T00:00:00"/>
    <n v="3"/>
    <s v="OK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s v="OK"/>
    <n v="12907.22"/>
    <n v="8327.89"/>
    <n v="4579.33"/>
    <s v="Paid"/>
    <s v="Returned"/>
    <s v="OK"/>
    <n v="0.2"/>
    <x v="564"/>
    <n v="4579.33"/>
    <n v="0.3548"/>
    <n v="6"/>
    <n v="2025"/>
    <s v="CLEAN"/>
  </r>
  <r>
    <s v="ORD-2025-10188"/>
    <d v="2025-05-01T00:00:00"/>
    <d v="2025-05-02T00:00:00"/>
    <n v="1"/>
    <s v="OK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s v="OK"/>
    <n v="8717.2199999999993"/>
    <n v="6215.96"/>
    <n v="2501.2600000000002"/>
    <s v="Paid"/>
    <s v="Returned"/>
    <s v="OK"/>
    <n v="0"/>
    <x v="565"/>
    <n v="2501.2600000000002"/>
    <n v="0.28689999999999999"/>
    <n v="5"/>
    <n v="2025"/>
    <s v="CLEAN"/>
  </r>
  <r>
    <s v="ORD-2025-10189"/>
    <d v="2025-05-21T00:00:00"/>
    <d v="2025-05-28T00:00:00"/>
    <n v="7"/>
    <s v="OK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s v="OK"/>
    <n v="6553.95"/>
    <n v="4923.09"/>
    <n v="1484.14"/>
    <s v="Paid"/>
    <s v="Completed"/>
    <s v="OK"/>
    <n v="0.1"/>
    <x v="566"/>
    <n v="1484.14"/>
    <n v="0.2316"/>
    <n v="5"/>
    <n v="2025"/>
    <s v="CLEAN"/>
  </r>
  <r>
    <s v="ORD-2025-10190"/>
    <d v="2025-05-06T00:00:00"/>
    <d v="2025-05-07T00:00:00"/>
    <n v="1"/>
    <s v="OK"/>
    <s v="CUST-3375"/>
    <s v="Arjun Bose"/>
    <s v="Consumer"/>
    <x v="3"/>
    <s v="Rajasthan"/>
    <s v="Udaipur"/>
    <s v="Furniture"/>
    <s v="Bookcases"/>
    <s v="Basic Bookcases 754"/>
    <s v="First Class"/>
    <n v="9"/>
    <n v="3318.24"/>
    <n v="0"/>
    <s v="OK"/>
    <n v="25384.54"/>
    <n v="16872.39"/>
    <n v="8512.15"/>
    <s v="Paid"/>
    <s v="Completed"/>
    <s v="OK"/>
    <n v="0"/>
    <x v="567"/>
    <n v="12991.77"/>
    <n v="0.435"/>
    <n v="5"/>
    <n v="2025"/>
    <s v="CLEAN"/>
  </r>
  <r>
    <s v="ORD-2025-10191"/>
    <d v="2025-04-20T00:00:00"/>
    <d v="2025-04-21T00:00:00"/>
    <n v="1"/>
    <s v="OK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s v="OK"/>
    <n v="1458.24"/>
    <n v="943.32"/>
    <n v="514.91999999999996"/>
    <s v="Paid"/>
    <s v="Completed"/>
    <s v="OK"/>
    <n v="0.1"/>
    <x v="568"/>
    <n v="514.91999999999996"/>
    <n v="0.35310000000000002"/>
    <n v="4"/>
    <n v="2025"/>
    <s v="CLEAN"/>
  </r>
  <r>
    <s v="ORD-2025-10195"/>
    <d v="2025-01-28T00:00:00"/>
    <d v="2025-01-31T00:00:00"/>
    <n v="3"/>
    <s v="OK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s v="OK"/>
    <n v="7339.23"/>
    <n v="5434.12"/>
    <n v="1905.11"/>
    <s v="Pending"/>
    <s v="Returned"/>
    <s v="OK"/>
    <n v="0.05"/>
    <x v="569"/>
    <n v="1905.11"/>
    <n v="0.2596"/>
    <n v="1"/>
    <n v="2025"/>
    <s v="CLEAN"/>
  </r>
  <r>
    <s v="ORD-2025-10196"/>
    <d v="2025-07-22T00:00:00"/>
    <d v="2025-07-24T00:00:00"/>
    <n v="2"/>
    <s v="OK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s v="OK"/>
    <n v="9614.15"/>
    <n v="7576.84"/>
    <n v="2037.31"/>
    <s v="Paid"/>
    <s v="Completed"/>
    <s v="OK"/>
    <n v="0"/>
    <x v="570"/>
    <n v="2037.31"/>
    <n v="0.21190000000000001"/>
    <n v="7"/>
    <n v="2025"/>
    <s v="CLEAN"/>
  </r>
  <r>
    <s v="ORD-2025-10198"/>
    <d v="2025-03-31T00:00:00"/>
    <d v="2025-07-04T00:00:00"/>
    <n v="95"/>
    <s v="OK"/>
    <s v="CUST-6106"/>
    <s v="Rahul Verma"/>
    <s v="Small Business"/>
    <x v="1"/>
    <s v="Bihar"/>
    <s v="Patna"/>
    <s v="Office Supplies"/>
    <s v="Storage"/>
    <s v="Basic Storage 961"/>
    <s v="Second Class"/>
    <n v="5"/>
    <n v="4096.4399999999996"/>
    <n v="0.15"/>
    <s v="OK"/>
    <n v="17409.87"/>
    <n v="14076.25"/>
    <n v="3333.62"/>
    <s v="Paid"/>
    <s v="Completed"/>
    <s v="OK"/>
    <n v="0.15"/>
    <x v="571"/>
    <n v="3333.62"/>
    <n v="0.1915"/>
    <n v="3"/>
    <n v="2025"/>
    <s v="CLEAN"/>
  </r>
  <r>
    <s v="ORD-2025-10201"/>
    <d v="2025-06-27T00:00:00"/>
    <d v="2025-07-05T00:00:00"/>
    <n v="8"/>
    <s v="OK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s v="OK"/>
    <n v="12907.98"/>
    <n v="9197.08"/>
    <n v="3710.9"/>
    <s v="Pending"/>
    <s v="Cancelled"/>
    <s v="OK"/>
    <n v="0.1"/>
    <x v="572"/>
    <n v="3710.9"/>
    <n v="0.28749999999999998"/>
    <n v="6"/>
    <n v="2025"/>
    <s v="CLEAN"/>
  </r>
  <r>
    <s v="ORD-2025-10202"/>
    <d v="2025-07-26T00:00:00"/>
    <d v="2025-08-03T00:00:00"/>
    <n v="8"/>
    <s v="OK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-0.16"/>
    <s v="INVALID-NEGATIVE"/>
    <n v="4756.71"/>
    <n v="2954.86"/>
    <n v="1801.85"/>
    <s v="Refunded"/>
    <s v="Cancelled"/>
    <s v="OK"/>
    <n v="0"/>
    <x v="573"/>
    <n v="2052.1999999999998"/>
    <n v="0.40989999999999999"/>
    <n v="7"/>
    <n v="2025"/>
    <s v="INVALID"/>
  </r>
  <r>
    <s v="ORD-2025-10203"/>
    <d v="2025-03-28T00:00:00"/>
    <d v="2025-03-28T00:00:00"/>
    <n v="0"/>
    <s v="OK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s v="OK"/>
    <n v="13231.14"/>
    <n v="11290.06"/>
    <n v="1941.08"/>
    <s v="Paid"/>
    <s v="Completed"/>
    <s v="OK"/>
    <n v="0.05"/>
    <x v="574"/>
    <n v="1941.08"/>
    <n v="0.1467"/>
    <n v="3"/>
    <n v="2025"/>
    <s v="CLEAN"/>
  </r>
  <r>
    <s v="ORD-2025-10205"/>
    <d v="2025-07-20T00:00:00"/>
    <d v="2025-07-23T00:00:00"/>
    <n v="3"/>
    <s v="OK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s v="OK"/>
    <n v="1624.15"/>
    <n v="1217.99"/>
    <n v="406.16"/>
    <s v="Paid"/>
    <s v="Completed"/>
    <s v="OK"/>
    <n v="0.15"/>
    <x v="575"/>
    <n v="406.16"/>
    <n v="0.25009999999999999"/>
    <n v="7"/>
    <n v="2025"/>
    <s v="CLEAN"/>
  </r>
  <r>
    <s v="ORD-2025-10206"/>
    <d v="2025-04-21T00:00:00"/>
    <d v="2025-04-26T00:00:00"/>
    <n v="5"/>
    <s v="OK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s v="OK"/>
    <n v="4193.2299999999996"/>
    <n v="3329.99"/>
    <n v="863.24"/>
    <s v="Paid"/>
    <s v="Completed"/>
    <s v="OK"/>
    <n v="0.2"/>
    <x v="576"/>
    <n v="863.24"/>
    <n v="0.2059"/>
    <n v="4"/>
    <n v="2025"/>
    <s v="CLEAN"/>
  </r>
  <r>
    <s v="ORD-2025-10207"/>
    <d v="2025-05-18T00:00:00"/>
    <d v="2025-05-20T00:00:00"/>
    <n v="2"/>
    <s v="OK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s v="OK"/>
    <n v="430.26"/>
    <n v="286.38"/>
    <n v="143.88"/>
    <s v="Paid"/>
    <s v="Completed"/>
    <s v="OK"/>
    <n v="0"/>
    <x v="577"/>
    <n v="143.88"/>
    <n v="0.33439999999999998"/>
    <n v="5"/>
    <n v="2025"/>
    <s v="CLEAN"/>
  </r>
  <r>
    <s v="ORD-2025-10209"/>
    <d v="2025-06-29T00:00:00"/>
    <d v="2025-05-07T00:00:00"/>
    <n v="-53"/>
    <s v="INVALID"/>
    <s v="CUST-3662"/>
    <s v="Diya Patel"/>
    <s v="Consumer"/>
    <x v="0"/>
    <s v="Punjab"/>
    <s v="Ludhiana"/>
    <s v="Furniture"/>
    <s v="Chairs"/>
    <s v="Max Chairs 151"/>
    <s v="Same Day"/>
    <n v="1"/>
    <n v="999.83"/>
    <n v="0"/>
    <s v="OK"/>
    <n v="999.83"/>
    <n v="634.91"/>
    <n v="364.92"/>
    <s v="Paid"/>
    <s v="Completed"/>
    <s v="OK"/>
    <n v="0"/>
    <x v="578"/>
    <n v="364.92"/>
    <n v="0.36499999999999999"/>
    <n v="6"/>
    <n v="2025"/>
    <s v="INVALID"/>
  </r>
  <r>
    <s v="ORD-2025-10210"/>
    <d v="2025-08-13T00:00:00"/>
    <d v="2025-08-14T00:00:00"/>
    <n v="1"/>
    <s v="OK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s v="OK"/>
    <n v="7006.34"/>
    <n v="4640.88"/>
    <n v="2365.46"/>
    <s v="Paid"/>
    <s v="Completed"/>
    <s v="OK"/>
    <n v="0.1"/>
    <x v="579"/>
    <n v="2365.46"/>
    <n v="0.33760000000000001"/>
    <n v="8"/>
    <n v="2025"/>
    <s v="CLEAN"/>
  </r>
  <r>
    <s v="ORD-2025-10217"/>
    <d v="2025-04-10T00:00:00"/>
    <d v="2025-04-15T00:00:00"/>
    <n v="5"/>
    <s v="OK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s v="OK"/>
    <n v="11039.22"/>
    <n v="7642.91"/>
    <n v="3396.31"/>
    <s v="Failed"/>
    <s v="Returned"/>
    <s v="OK"/>
    <n v="0.25"/>
    <x v="580"/>
    <n v="3396.31"/>
    <n v="0.30769999999999997"/>
    <n v="4"/>
    <n v="2025"/>
    <s v="INVALID"/>
  </r>
  <r>
    <s v="ORD-2025-10218"/>
    <d v="2025-01-04T00:00:00"/>
    <d v="2025-04-08T00:00:00"/>
    <n v="94"/>
    <s v="OK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s v="OK"/>
    <n v="4595.76"/>
    <n v="3396.8"/>
    <n v="1198.96"/>
    <s v="Refunded"/>
    <s v="Cancelled"/>
    <s v="OK"/>
    <n v="0.1"/>
    <x v="581"/>
    <n v="1198.96"/>
    <n v="0.26090000000000002"/>
    <n v="1"/>
    <n v="2025"/>
    <s v="CLEAN"/>
  </r>
  <r>
    <s v="ORD-2025-10219"/>
    <d v="2025-02-26T00:00:00"/>
    <d v="2025-02-27T00:00:00"/>
    <n v="1"/>
    <s v="OK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s v="OK"/>
    <n v="1291.4000000000001"/>
    <n v="756.93"/>
    <n v="534.47"/>
    <s v="Paid"/>
    <s v="Completed"/>
    <s v="OK"/>
    <n v="0"/>
    <x v="582"/>
    <n v="534.47"/>
    <n v="0.41389999999999999"/>
    <n v="2"/>
    <n v="2025"/>
    <s v="CLEAN"/>
  </r>
  <r>
    <s v="ORD-2025-10222"/>
    <d v="2025-12-01T00:00:00"/>
    <d v="2025-01-15T00:00:00"/>
    <n v="-320"/>
    <s v="INVALID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s v="OK"/>
    <n v="4900.8999999999996"/>
    <n v="3552.69"/>
    <n v="1348.21"/>
    <s v="Paid"/>
    <s v="Completed"/>
    <s v="OK"/>
    <n v="0.2"/>
    <x v="583"/>
    <n v="1348.21"/>
    <n v="0.27510000000000001"/>
    <n v="12"/>
    <n v="2025"/>
    <s v="INVALID"/>
  </r>
  <r>
    <s v="ORD-2025-10223"/>
    <d v="2025-04-29T00:00:00"/>
    <d v="2025-05-02T00:00:00"/>
    <n v="3"/>
    <s v="OK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s v="OK"/>
    <n v="25848.54"/>
    <n v="17729.09"/>
    <n v="8119.45"/>
    <s v="Paid"/>
    <s v="Completed"/>
    <s v="OK"/>
    <n v="0"/>
    <x v="584"/>
    <n v="8119.45"/>
    <n v="0.31409999999999999"/>
    <n v="4"/>
    <n v="2025"/>
    <s v="CLEAN"/>
  </r>
  <r>
    <s v="ORD-2025-10224"/>
    <d v="2025-02-19T00:00:00"/>
    <d v="2025-02-26T00:00:00"/>
    <n v="7"/>
    <s v="OK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s v="OK"/>
    <n v="1176.72"/>
    <n v="654.33000000000004"/>
    <n v="522.39"/>
    <s v="Pending"/>
    <s v="Returned"/>
    <s v="OK"/>
    <n v="0.2"/>
    <x v="585"/>
    <n v="522.39"/>
    <n v="0.44390000000000002"/>
    <n v="2"/>
    <n v="2025"/>
    <s v="CLEAN"/>
  </r>
  <r>
    <s v="ORD-2025-10225"/>
    <d v="2025-10-02T00:00:00"/>
    <d v="2025-10-08T00:00:00"/>
    <n v="6"/>
    <s v="OK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s v="OK"/>
    <n v="11833.92"/>
    <n v="6682.92"/>
    <n v="5151"/>
    <s v="Paid"/>
    <s v="Cancelled"/>
    <s v=" ORIGINAL"/>
    <n v="0.25"/>
    <x v="586"/>
    <n v="5151"/>
    <n v="0.43530000000000002"/>
    <n v="10"/>
    <n v="2025"/>
    <s v="CLEAN"/>
  </r>
  <r>
    <s v="ORD-2025-10225"/>
    <d v="2025-10-02T00:00:00"/>
    <d v="2025-10-08T00:00:00"/>
    <n v="6"/>
    <s v="OK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s v="OK"/>
    <n v="12116.89"/>
    <n v="6682.92"/>
    <n v="5151"/>
    <s v="Paid"/>
    <s v="Returned"/>
    <s v="CONFLICTING DUPLICATE - REVIEW"/>
    <n v="0.25"/>
    <x v="586"/>
    <n v="5151"/>
    <n v="0.43530000000000002"/>
    <n v="10"/>
    <n v="2025"/>
    <s v="CLEAN"/>
  </r>
  <r>
    <s v="ORD-2025-10227"/>
    <d v="2025-10-04T00:00:00"/>
    <d v="2025-04-15T00:00:00"/>
    <n v="-172"/>
    <s v="INVALID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s v="OK"/>
    <n v="1987.44"/>
    <n v="1110.23"/>
    <n v="877.21"/>
    <s v="Paid"/>
    <s v="Completed"/>
    <s v="OK"/>
    <n v="0.1"/>
    <x v="587"/>
    <n v="877.21"/>
    <n v="0.44140000000000001"/>
    <n v="10"/>
    <n v="2025"/>
    <s v="INVALID"/>
  </r>
  <r>
    <s v="ORD-2025-10230"/>
    <d v="2025-06-28T00:00:00"/>
    <d v="2025-07-04T00:00:00"/>
    <n v="6"/>
    <s v="OK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s v="OK"/>
    <n v="8658.69"/>
    <n v="5535.94"/>
    <n v="3122.75"/>
    <s v="Refunded"/>
    <s v="Returned"/>
    <s v="OK"/>
    <n v="0"/>
    <x v="588"/>
    <n v="3122.75"/>
    <n v="0.36059999999999998"/>
    <n v="6"/>
    <n v="2025"/>
    <s v="CLEAN"/>
  </r>
  <r>
    <s v="ORD-2025-10233"/>
    <d v="2025-06-04T00:00:00"/>
    <d v="2025-06-10T00:00:00"/>
    <n v="6"/>
    <s v="OK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s v="OK"/>
    <n v="670.11"/>
    <n v="559.57000000000005"/>
    <n v="110.54"/>
    <s v="Paid"/>
    <s v="Completed"/>
    <s v="OK"/>
    <n v="0.25"/>
    <x v="589"/>
    <n v="110.54"/>
    <n v="0.16500000000000001"/>
    <n v="6"/>
    <n v="2025"/>
    <s v="CLEAN"/>
  </r>
  <r>
    <s v="ORD-2025-10242"/>
    <d v="2025-07-06T00:00:00"/>
    <d v="2025-06-07T00:00:00"/>
    <n v="-29"/>
    <s v="INVALID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s v="OK"/>
    <n v="1212.9000000000001"/>
    <n v="690.52"/>
    <n v="522.38"/>
    <s v="Pending"/>
    <s v="Returned"/>
    <s v="OK"/>
    <n v="0.25"/>
    <x v="590"/>
    <n v="522.38"/>
    <n v="0.43070000000000003"/>
    <n v="7"/>
    <n v="2025"/>
    <s v="INVALID"/>
  </r>
  <r>
    <s v="ORD-2025-10243"/>
    <d v="2025-02-07T00:00:00"/>
    <d v="2025-02-07T00:00:00"/>
    <n v="0"/>
    <s v="OK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s v="OK"/>
    <n v="5697.83"/>
    <n v="4251.5"/>
    <n v="1446.33"/>
    <s v="Paid"/>
    <s v="Completed"/>
    <s v="OK"/>
    <n v="0.05"/>
    <x v="591"/>
    <n v="1446.33"/>
    <n v="0.25380000000000003"/>
    <n v="2"/>
    <n v="2025"/>
    <s v="CLEAN"/>
  </r>
  <r>
    <s v="ORD-2025-10244"/>
    <d v="2025-07-29T00:00:00"/>
    <d v="2025-08-02T00:00:00"/>
    <n v="4"/>
    <s v="OK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s v="OK"/>
    <n v="4049.51"/>
    <n v="2509.1999999999998"/>
    <n v="1540.31"/>
    <s v="Paid"/>
    <s v="Completed"/>
    <s v="OK"/>
    <n v="0.1"/>
    <x v="592"/>
    <n v="1540.31"/>
    <n v="0.38040000000000002"/>
    <n v="7"/>
    <n v="2025"/>
    <s v="WARNING"/>
  </r>
  <r>
    <s v="ORD-2025-10250"/>
    <d v="2025-08-01T00:00:00"/>
    <d v="2025-08-02T00:00:00"/>
    <n v="1"/>
    <s v="OK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s v="OK"/>
    <n v="8928.93"/>
    <n v="5634.38"/>
    <n v="3294.55"/>
    <s v="Paid"/>
    <s v="Completed"/>
    <s v="OK"/>
    <n v="0.2"/>
    <x v="593"/>
    <n v="3294.55"/>
    <n v="0.36899999999999999"/>
    <n v="8"/>
    <n v="2025"/>
    <s v="CLEAN"/>
  </r>
  <r>
    <s v="ORD-2025-10252"/>
    <d v="2025-04-06T00:00:00"/>
    <d v="2025-04-10T00:00:00"/>
    <n v="4"/>
    <s v="OK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s v="OK"/>
    <n v="6132.96"/>
    <n v="4881.1000000000004"/>
    <n v="1251.8599999999999"/>
    <s v="Paid"/>
    <s v="Completed"/>
    <s v="OK"/>
    <n v="0"/>
    <x v="594"/>
    <n v="1251.8599999999999"/>
    <n v="0.2041"/>
    <n v="4"/>
    <n v="2025"/>
    <s v="CLEAN"/>
  </r>
  <r>
    <s v="ORD-2025-10253"/>
    <d v="2025-06-25T00:00:00"/>
    <d v="2025-06-28T00:00:00"/>
    <n v="3"/>
    <s v="OK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s v="OK"/>
    <n v="2329.4699999999998"/>
    <n v="1603.62"/>
    <n v="725.85"/>
    <s v="Pending"/>
    <s v="Returned"/>
    <s v="OK"/>
    <n v="0.2"/>
    <x v="595"/>
    <n v="725.85"/>
    <n v="0.31159999999999999"/>
    <n v="6"/>
    <n v="2025"/>
    <s v="CLEAN"/>
  </r>
  <r>
    <s v="ORD-2025-10255"/>
    <d v="2025-01-01T00:00:00"/>
    <d v="2025-03-01T00:00:00"/>
    <n v="59"/>
    <s v="OK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s v="OK"/>
    <n v="5603.08"/>
    <n v="3132.52"/>
    <n v="2470.56"/>
    <s v="Paid"/>
    <s v="Returned"/>
    <s v="OK"/>
    <n v="0.2"/>
    <x v="596"/>
    <n v="2470.56"/>
    <n v="0.44090000000000001"/>
    <n v="1"/>
    <n v="2025"/>
    <s v="CLEAN"/>
  </r>
  <r>
    <s v="ORD-2025-10256"/>
    <d v="2025-02-04T00:00:00"/>
    <d v="2025-02-10T00:00:00"/>
    <n v="6"/>
    <s v="OK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s v="OK"/>
    <n v="12810"/>
    <n v="9334.1200000000008"/>
    <n v="3475.88"/>
    <s v="Paid"/>
    <s v="Completed"/>
    <s v="OK"/>
    <n v="0"/>
    <x v="597"/>
    <n v="3475.88"/>
    <n v="0.27129999999999999"/>
    <n v="2"/>
    <n v="2025"/>
    <s v="CLEAN"/>
  </r>
  <r>
    <s v="ORD-2025-10258"/>
    <d v="2025-08-09T00:00:00"/>
    <d v="2025-08-12T00:00:00"/>
    <n v="3"/>
    <s v="OK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s v="OK"/>
    <n v="6474.54"/>
    <n v="5095.91"/>
    <n v="1378.63"/>
    <s v="Paid"/>
    <s v="Cancelled"/>
    <s v="OK"/>
    <n v="0"/>
    <x v="598"/>
    <n v="1378.63"/>
    <n v="0.21290000000000001"/>
    <n v="8"/>
    <n v="2025"/>
    <s v="CLEAN"/>
  </r>
  <r>
    <s v="ORD-2025-10261"/>
    <d v="2025-09-23T00:00:00"/>
    <d v="2025-09-27T00:00:00"/>
    <n v="4"/>
    <s v="OK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s v="OK"/>
    <n v="15209.88"/>
    <n v="10891.15"/>
    <n v="4318.7299999999996"/>
    <s v="Failed"/>
    <s v="Returned"/>
    <s v="OK"/>
    <n v="0.25"/>
    <x v="599"/>
    <n v="4318.7299999999996"/>
    <n v="0.28389999999999999"/>
    <n v="9"/>
    <n v="2025"/>
    <s v="INVALID"/>
  </r>
  <r>
    <s v="ORD-2025-10262"/>
    <d v="2025-06-18T00:00:00"/>
    <d v="2025-06-24T00:00:00"/>
    <n v="6"/>
    <s v="OK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s v="OK"/>
    <n v="1648.18"/>
    <n v="987.91"/>
    <n v="660.27"/>
    <s v="Failed"/>
    <s v="Cancelled"/>
    <s v="OK"/>
    <n v="0.2"/>
    <x v="600"/>
    <n v="660.27"/>
    <n v="0.40060000000000001"/>
    <n v="6"/>
    <n v="2025"/>
    <s v="INVALID"/>
  </r>
  <r>
    <s v="ORD-2025-10263"/>
    <d v="2025-05-26T00:00:00"/>
    <d v="2025-06-01T00:00:00"/>
    <n v="6"/>
    <s v="OK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s v="OK"/>
    <n v="13399.44"/>
    <n v="8581.35"/>
    <n v="4818.09"/>
    <s v="Pending"/>
    <s v="Returned"/>
    <s v="OK"/>
    <n v="0"/>
    <x v="601"/>
    <n v="4818.09"/>
    <n v="0.35959999999999998"/>
    <n v="5"/>
    <n v="2025"/>
    <s v="CLEAN"/>
  </r>
  <r>
    <s v="ORD-2025-10264"/>
    <d v="2025-08-06T00:00:00"/>
    <d v="2025-10-08T00:00:00"/>
    <n v="63"/>
    <s v="OK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s v="OK"/>
    <n v="32743.84"/>
    <n v="22452.05"/>
    <n v="10291.790000000001"/>
    <s v="Pending"/>
    <s v="Returned"/>
    <s v="OK"/>
    <n v="0.1"/>
    <x v="602"/>
    <n v="10291.799999999999"/>
    <n v="0.31430000000000002"/>
    <n v="8"/>
    <n v="2025"/>
    <s v="CLEAN"/>
  </r>
  <r>
    <s v="ORD-2025-10267"/>
    <d v="2025-05-03T00:00:00"/>
    <d v="2025-05-10T00:00:00"/>
    <n v="7"/>
    <s v="OK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s v="OK"/>
    <n v="13017.72"/>
    <n v="10170.57"/>
    <n v="2847.15"/>
    <s v="Paid"/>
    <s v="Completed"/>
    <s v="OK"/>
    <n v="0"/>
    <x v="603"/>
    <n v="2847.15"/>
    <n v="0.21870000000000001"/>
    <n v="5"/>
    <n v="2025"/>
    <s v="CLEAN"/>
  </r>
  <r>
    <s v="ORD-2025-10268"/>
    <d v="2025-05-28T00:00:00"/>
    <d v="2025-04-06T00:00:00"/>
    <n v="-52"/>
    <s v="INVALID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s v="OK"/>
    <n v="785.4"/>
    <n v="557.22"/>
    <n v="228.18"/>
    <s v="Paid"/>
    <s v="Completed"/>
    <s v="OK"/>
    <n v="0.25"/>
    <x v="604"/>
    <n v="228.18"/>
    <n v="0.29049999999999998"/>
    <n v="5"/>
    <n v="2025"/>
    <s v="INVALID"/>
  </r>
  <r>
    <s v="ORD-2025-10269"/>
    <d v="2025-08-17T00:00:00"/>
    <d v="2025-08-17T00:00:00"/>
    <n v="0"/>
    <s v="OK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s v="OK"/>
    <n v="3319.05"/>
    <n v="2124.6"/>
    <n v="1194.45"/>
    <s v="Paid"/>
    <s v="Completed"/>
    <s v="OK"/>
    <n v="0.25"/>
    <x v="605"/>
    <n v="1194.45"/>
    <n v="0.3599"/>
    <n v="8"/>
    <n v="2025"/>
    <s v="CLEAN"/>
  </r>
  <r>
    <s v="ORD-2025-10270"/>
    <d v="2025-02-10T00:00:00"/>
    <d v="2025-02-12T00:00:00"/>
    <n v="2"/>
    <s v="OK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s v="OK"/>
    <n v="1925.86"/>
    <n v="1321.89"/>
    <n v="603.97"/>
    <s v="Paid"/>
    <s v="Completed"/>
    <s v="OK"/>
    <n v="0"/>
    <x v="606"/>
    <n v="603.97"/>
    <n v="0.31359999999999999"/>
    <n v="2"/>
    <n v="2025"/>
    <s v="CLEAN"/>
  </r>
  <r>
    <s v="ORD-2025-10274"/>
    <d v="2025-02-13T00:00:00"/>
    <d v="2025-02-13T00:00:00"/>
    <n v="0"/>
    <s v="OK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s v="OK"/>
    <n v="22694.67"/>
    <n v="15405.36"/>
    <n v="7289.31"/>
    <s v="Paid"/>
    <s v="Returned"/>
    <s v="OK"/>
    <n v="0"/>
    <x v="607"/>
    <n v="7289.31"/>
    <n v="0.32119999999999999"/>
    <n v="2"/>
    <n v="2025"/>
    <s v="CLEAN"/>
  </r>
  <r>
    <s v="ORD-2025-10278"/>
    <d v="2025-06-04T00:00:00"/>
    <d v="2025-06-04T00:00:00"/>
    <n v="0"/>
    <s v="OK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s v="OK"/>
    <n v="2008.39"/>
    <n v="1002.57"/>
    <n v="811.1"/>
    <s v="Pending"/>
    <s v="Cancelled"/>
    <s v="OK"/>
    <n v="0.15"/>
    <x v="608"/>
    <n v="811.1"/>
    <n v="0.44719999999999999"/>
    <n v="6"/>
    <n v="2025"/>
    <s v="CLEAN"/>
  </r>
  <r>
    <s v="ORD-2025-10279"/>
    <d v="2025-07-03T00:00:00"/>
    <d v="2025-03-14T00:00:00"/>
    <n v="-111"/>
    <s v="INVALID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s v="OK"/>
    <n v="3780.66"/>
    <n v="2148.31"/>
    <n v="1632.35"/>
    <s v="Paid"/>
    <s v="Returned"/>
    <s v="OK"/>
    <n v="0.05"/>
    <x v="609"/>
    <n v="1632.35"/>
    <n v="0.43180000000000002"/>
    <n v="7"/>
    <n v="2025"/>
    <s v="INVALID"/>
  </r>
  <r>
    <s v="ORD-2025-10282"/>
    <d v="2025-07-25T00:00:00"/>
    <d v="2025-07-27T00:00:00"/>
    <n v="2"/>
    <s v="OK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s v="OK"/>
    <n v="16504.22"/>
    <n v="11262.71"/>
    <n v="5241.51"/>
    <s v="Paid"/>
    <s v="Completed"/>
    <s v="OK"/>
    <n v="0.2"/>
    <x v="610"/>
    <n v="5241.51"/>
    <n v="0.31759999999999999"/>
    <n v="7"/>
    <n v="2025"/>
    <s v="CLEAN"/>
  </r>
  <r>
    <s v="ORD-2025-10284"/>
    <d v="2025-03-13T00:00:00"/>
    <d v="2025-03-20T00:00:00"/>
    <n v="7"/>
    <s v="OK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s v="OK"/>
    <n v="1814.01"/>
    <n v="1033.47"/>
    <n v="780.54"/>
    <s v="Paid"/>
    <s v="Completed"/>
    <s v="OK"/>
    <n v="0"/>
    <x v="611"/>
    <n v="780.54"/>
    <n v="0.43030000000000002"/>
    <n v="3"/>
    <n v="2025"/>
    <s v="CLEAN"/>
  </r>
  <r>
    <s v="ORD-2025-10286"/>
    <d v="2025-08-15T00:00:00"/>
    <d v="2025-08-20T00:00:00"/>
    <n v="5"/>
    <s v="OK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s v="OK"/>
    <n v="36735.93"/>
    <n v="30820.84"/>
    <n v="5915.09"/>
    <s v="Paid"/>
    <s v="Completed"/>
    <s v="OK"/>
    <n v="0"/>
    <x v="612"/>
    <n v="5915.09"/>
    <n v="0.161"/>
    <n v="8"/>
    <n v="2025"/>
    <s v="CLEAN"/>
  </r>
  <r>
    <s v="ORD-2025-10290"/>
    <d v="2025-06-19T00:00:00"/>
    <d v="2025-06-27T00:00:00"/>
    <n v="8"/>
    <s v="OK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s v="OK"/>
    <n v="8258.7099999999991"/>
    <n v="7018.97"/>
    <n v="1239.74"/>
    <s v="Paid"/>
    <s v="Completed"/>
    <s v="OK"/>
    <n v="0.05"/>
    <x v="613"/>
    <n v="1239.74"/>
    <n v="0.15010000000000001"/>
    <n v="6"/>
    <n v="2025"/>
    <s v="CLEAN"/>
  </r>
  <r>
    <s v="ORD-2025-10291"/>
    <d v="2025-08-22T00:00:00"/>
    <d v="2025-08-26T00:00:00"/>
    <n v="4"/>
    <s v="OK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s v="OK"/>
    <n v="1658.37"/>
    <n v="971.12"/>
    <n v="687.25"/>
    <s v="Paid"/>
    <s v="Completed"/>
    <s v="OK"/>
    <n v="0.1"/>
    <x v="614"/>
    <n v="687.25"/>
    <n v="0.41439999999999999"/>
    <n v="8"/>
    <n v="2025"/>
    <s v="CLEAN"/>
  </r>
  <r>
    <s v="ORD-2025-10293"/>
    <d v="2025-02-28T00:00:00"/>
    <d v="2025-03-03T00:00:00"/>
    <n v="3"/>
    <s v="OK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s v="OK"/>
    <n v="33740.550000000003"/>
    <n v="24621.89"/>
    <n v="9118.66"/>
    <s v="Pending"/>
    <s v="Cancelled"/>
    <s v="OK"/>
    <n v="0"/>
    <x v="615"/>
    <n v="9118.66"/>
    <n v="0.27029999999999998"/>
    <n v="2"/>
    <n v="2025"/>
    <s v="CLEAN"/>
  </r>
  <r>
    <s v="ORD-2025-10295"/>
    <d v="2025-07-16T00:00:00"/>
    <d v="2025-07-22T00:00:00"/>
    <n v="6"/>
    <s v="OK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s v="OK"/>
    <n v="18716.990000000002"/>
    <n v="12282.43"/>
    <n v="6434.56"/>
    <s v="Paid"/>
    <s v="Returned"/>
    <s v="OK"/>
    <n v="0.25"/>
    <x v="616"/>
    <n v="6434.56"/>
    <n v="0.34379999999999999"/>
    <n v="7"/>
    <n v="2025"/>
    <s v="CLEAN"/>
  </r>
  <r>
    <s v="ORD-2025-10296"/>
    <d v="2025-06-25T00:00:00"/>
    <d v="2025-06-28T00:00:00"/>
    <n v="3"/>
    <s v="OK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s v="OK"/>
    <n v="9385.34"/>
    <n v="5828.54"/>
    <n v="3556.8"/>
    <s v="Paid"/>
    <s v="Completed"/>
    <s v="OK"/>
    <n v="0.1"/>
    <x v="617"/>
    <n v="3556.8"/>
    <n v="0.379"/>
    <n v="6"/>
    <n v="2025"/>
    <s v="CLEAN"/>
  </r>
  <r>
    <s v="ORD-2025-10297"/>
    <d v="2025-05-24T00:00:00"/>
    <d v="2025-05-26T00:00:00"/>
    <n v="2"/>
    <s v="OK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s v="OK"/>
    <n v="17826.59"/>
    <n v="10855.35"/>
    <n v="6971.24"/>
    <s v="Paid"/>
    <s v="Completed"/>
    <s v="OK"/>
    <n v="0.15"/>
    <x v="618"/>
    <n v="6971.24"/>
    <n v="0.3911"/>
    <n v="5"/>
    <n v="2025"/>
    <s v="CLEAN"/>
  </r>
  <r>
    <s v="ORD-2025-10299"/>
    <d v="2025-01-23T00:00:00"/>
    <d v="2025-01-26T00:00:00"/>
    <n v="3"/>
    <s v="OK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s v="OK"/>
    <n v="1951.54"/>
    <n v="1609.95"/>
    <n v="341.59"/>
    <s v="Failed"/>
    <s v="Returned"/>
    <s v="OK"/>
    <n v="0.2"/>
    <x v="619"/>
    <n v="341.59"/>
    <n v="0.17499999999999999"/>
    <n v="1"/>
    <n v="2025"/>
    <s v="INVALID"/>
  </r>
  <r>
    <s v="ORD-2025-10302"/>
    <d v="2025-05-28T00:00:00"/>
    <d v="2025-01-06T00:00:00"/>
    <n v="-142"/>
    <s v="INVALID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s v="OK"/>
    <n v="6285.62"/>
    <n v="3705.38"/>
    <n v="2580.2399999999998"/>
    <s v="Paid"/>
    <s v="Completed"/>
    <s v="OK"/>
    <n v="0.05"/>
    <x v="620"/>
    <n v="2580.2399999999998"/>
    <n v="0.41049999999999998"/>
    <n v="5"/>
    <n v="2025"/>
    <s v="INVALID"/>
  </r>
  <r>
    <s v="ORD-2025-10303"/>
    <d v="2025-04-06T00:00:00"/>
    <d v="2025-06-12T00:00:00"/>
    <n v="67"/>
    <s v="OK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s v="OK"/>
    <n v="4054.92"/>
    <n v="2424.83"/>
    <n v="1630.09"/>
    <s v="Paid"/>
    <s v="Completed"/>
    <s v="OK"/>
    <n v="0.25"/>
    <x v="621"/>
    <n v="1630.09"/>
    <n v="0.40200000000000002"/>
    <n v="4"/>
    <n v="2025"/>
    <s v="CLEAN"/>
  </r>
  <r>
    <s v="ORD-2025-10307"/>
    <d v="2025-02-20T00:00:00"/>
    <d v="2025-02-23T00:00:00"/>
    <n v="3"/>
    <s v="OK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s v="OK"/>
    <n v="14692.44"/>
    <n v="10082.19"/>
    <n v="4610.25"/>
    <s v="Paid"/>
    <s v="Completed"/>
    <s v="OK"/>
    <n v="0"/>
    <x v="622"/>
    <n v="4610.25"/>
    <n v="0.31380000000000002"/>
    <n v="2"/>
    <n v="2025"/>
    <s v="CLEAN"/>
  </r>
  <r>
    <s v="ORD-2025-10308"/>
    <d v="2025-07-12T00:00:00"/>
    <d v="2025-07-19T00:00:00"/>
    <n v="7"/>
    <s v="OK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s v="OK"/>
    <n v="29469.89"/>
    <n v="18935.509999999998"/>
    <n v="10534.38"/>
    <s v="Pending"/>
    <s v="Cancelled"/>
    <s v="OK"/>
    <n v="0.2"/>
    <x v="623"/>
    <n v="10534.38"/>
    <n v="0.35749999999999998"/>
    <n v="7"/>
    <n v="2025"/>
    <s v="CLEAN"/>
  </r>
  <r>
    <s v="ORD-2025-10309"/>
    <d v="2025-06-13T00:00:00"/>
    <d v="2025-06-19T00:00:00"/>
    <n v="6"/>
    <s v="OK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s v="OK"/>
    <n v="2341.02"/>
    <n v="1565.49"/>
    <n v="775.53"/>
    <s v="Paid"/>
    <s v="Completed"/>
    <s v="OK"/>
    <n v="0.2"/>
    <x v="624"/>
    <n v="775.53"/>
    <n v="0.33129999999999998"/>
    <n v="6"/>
    <n v="2025"/>
    <s v="CLEAN"/>
  </r>
  <r>
    <s v="ORD-2025-10314"/>
    <d v="2025-05-30T00:00:00"/>
    <d v="2025-05-31T00:00:00"/>
    <n v="1"/>
    <s v="OK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s v="OK"/>
    <n v="12488.58"/>
    <n v="10717.4"/>
    <n v="1771.18"/>
    <s v="Refunded"/>
    <s v="Cancelled"/>
    <s v="OK"/>
    <n v="0.25"/>
    <x v="625"/>
    <n v="1771.18"/>
    <n v="0.14180000000000001"/>
    <n v="5"/>
    <n v="2025"/>
    <s v="CLEAN"/>
  </r>
  <r>
    <s v="ORD-2025-10315"/>
    <d v="2025-05-18T00:00:00"/>
    <d v="2025-05-20T00:00:00"/>
    <n v="2"/>
    <s v="OK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s v="OK"/>
    <n v="6485.36"/>
    <n v="5376.17"/>
    <n v="1109.19"/>
    <s v="Failed"/>
    <s v="Returned"/>
    <s v=" ORIGINAL"/>
    <n v="0.15"/>
    <x v="626"/>
    <n v="1109.19"/>
    <n v="0.17100000000000001"/>
    <n v="5"/>
    <n v="2025"/>
    <s v="INVALID"/>
  </r>
  <r>
    <s v="ORD-2025-10315"/>
    <d v="2025-05-18T00:00:00"/>
    <d v="2025-05-20T00:00:00"/>
    <n v="2"/>
    <s v="OK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s v="OK"/>
    <n v="6589.37"/>
    <n v="5376.17"/>
    <n v="1109.19"/>
    <s v="Failed"/>
    <s v="Completed"/>
    <s v="CONFLICTING DUPLICATE - REVIEW"/>
    <n v="0.15"/>
    <x v="626"/>
    <n v="1109.19"/>
    <n v="0.17100000000000001"/>
    <n v="5"/>
    <n v="2025"/>
    <s v="INVALID"/>
  </r>
  <r>
    <s v="ORD-2025-10318"/>
    <d v="2025-08-29T00:00:00"/>
    <d v="2025-09-04T00:00:00"/>
    <n v="6"/>
    <s v="OK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s v="OK"/>
    <n v="22926.82"/>
    <n v="14621.59"/>
    <n v="8305.23"/>
    <s v="Paid"/>
    <s v="Completed"/>
    <s v="OK"/>
    <n v="0.15"/>
    <x v="627"/>
    <n v="8305.23"/>
    <n v="0.36220000000000002"/>
    <n v="8"/>
    <n v="2025"/>
    <s v="CLEAN"/>
  </r>
  <r>
    <s v="ORD-2025-10325"/>
    <d v="2025-07-31T00:00:00"/>
    <d v="2025-02-08T00:00:00"/>
    <n v="-173"/>
    <s v="INVALID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s v="OK"/>
    <n v="1655.7"/>
    <n v="1354.8"/>
    <n v="300.89999999999998"/>
    <s v="Paid"/>
    <s v="Returned"/>
    <s v="OK"/>
    <n v="0.15"/>
    <x v="628"/>
    <n v="300.89999999999998"/>
    <n v="0.1817"/>
    <n v="7"/>
    <n v="2025"/>
    <s v="INVALID"/>
  </r>
  <r>
    <s v="ORD-2025-10326"/>
    <d v="2025-09-16T00:00:00"/>
    <d v="2025-09-22T00:00:00"/>
    <n v="6"/>
    <s v="OK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s v="OK"/>
    <n v="15602.6"/>
    <n v="11908.52"/>
    <n v="3694.08"/>
    <s v="Paid"/>
    <s v="Completed"/>
    <s v="OK"/>
    <n v="0.15"/>
    <x v="629"/>
    <n v="3694.08"/>
    <n v="0.23680000000000001"/>
    <n v="9"/>
    <n v="2025"/>
    <s v="CLEAN"/>
  </r>
  <r>
    <s v="ORD-2025-10327"/>
    <d v="2025-07-22T00:00:00"/>
    <d v="2025-07-22T00:00:00"/>
    <n v="0"/>
    <s v="OK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s v="OK"/>
    <n v="15138.49"/>
    <n v="11235.72"/>
    <n v="3902.77"/>
    <s v="Paid"/>
    <s v="Completed"/>
    <s v="OK"/>
    <n v="0.05"/>
    <x v="630"/>
    <n v="3902.77"/>
    <n v="0.25779999999999997"/>
    <n v="7"/>
    <n v="2025"/>
    <s v="CLEAN"/>
  </r>
  <r>
    <s v="ORD-2025-10329"/>
    <d v="2025-05-29T00:00:00"/>
    <d v="2025-06-04T00:00:00"/>
    <n v="6"/>
    <s v="OK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s v="OK"/>
    <n v="18604.080000000002"/>
    <n v="15834.3"/>
    <n v="2769.78"/>
    <s v="Paid"/>
    <s v="Completed"/>
    <s v="OK"/>
    <n v="0"/>
    <x v="631"/>
    <n v="2769.78"/>
    <n v="0.1489"/>
    <n v="5"/>
    <n v="2025"/>
    <s v="CLEAN"/>
  </r>
  <r>
    <s v="ORD-2025-10330"/>
    <d v="2025-05-12T00:00:00"/>
    <d v="2025-05-18T00:00:00"/>
    <n v="6"/>
    <s v="OK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s v="OK"/>
    <n v="15401.51"/>
    <n v="8650.42"/>
    <n v="6751.09"/>
    <s v="Paid"/>
    <s v="Completed"/>
    <s v="OK"/>
    <n v="0.05"/>
    <x v="632"/>
    <n v="6751.09"/>
    <n v="0.43830000000000002"/>
    <n v="5"/>
    <n v="2025"/>
    <s v="CLEAN"/>
  </r>
  <r>
    <s v="ORD-2025-10333"/>
    <d v="2025-05-27T00:00:00"/>
    <d v="2025-05-28T00:00:00"/>
    <n v="1"/>
    <s v="OK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s v="OK"/>
    <n v="7823.92"/>
    <n v="6034.63"/>
    <n v="1789.29"/>
    <s v="Paid"/>
    <s v="Completed"/>
    <s v="OK"/>
    <n v="0"/>
    <x v="633"/>
    <n v="1789.29"/>
    <n v="0.22869999999999999"/>
    <n v="5"/>
    <n v="2025"/>
    <s v="CLEAN"/>
  </r>
  <r>
    <s v="ORD-2025-10334"/>
    <d v="2025-06-22T00:00:00"/>
    <d v="2025-06-27T00:00:00"/>
    <n v="5"/>
    <s v="OK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s v="OK"/>
    <n v="2936.1"/>
    <n v="1923.1"/>
    <n v="1013"/>
    <s v="Paid"/>
    <s v="Completed"/>
    <s v="OK"/>
    <n v="0"/>
    <x v="634"/>
    <n v="1013"/>
    <n v="0.34499999999999997"/>
    <n v="6"/>
    <n v="2025"/>
    <s v="WARNING"/>
  </r>
  <r>
    <s v="ORD-2025-10336"/>
    <d v="2025-06-16T00:00:00"/>
    <d v="2025-06-18T00:00:00"/>
    <n v="2"/>
    <s v="OK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s v="OK"/>
    <n v="11581.3"/>
    <n v="6829.43"/>
    <n v="4751.87"/>
    <s v="Paid"/>
    <s v="Completed"/>
    <s v=" ORIGINAL"/>
    <n v="0.1"/>
    <x v="635"/>
    <n v="4751.87"/>
    <n v="0.4103"/>
    <n v="6"/>
    <n v="2025"/>
    <s v="CLEAN"/>
  </r>
  <r>
    <s v="ORD-2025-10336"/>
    <d v="2025-06-16T00:00:00"/>
    <d v="2025-06-18T00:00:00"/>
    <n v="2"/>
    <s v="OK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s v="OK"/>
    <n v="11778.71"/>
    <n v="6829.43"/>
    <n v="4751.87"/>
    <s v="Paid"/>
    <s v="Returned"/>
    <s v="CONFLICTING DUPLICATE - REVIEW"/>
    <n v="0.1"/>
    <x v="635"/>
    <n v="4751.87"/>
    <n v="0.4103"/>
    <n v="6"/>
    <n v="2025"/>
    <s v="CLEAN"/>
  </r>
  <r>
    <s v="ORD-2025-10340"/>
    <d v="2025-02-20T00:00:00"/>
    <d v="2025-02-22T00:00:00"/>
    <n v="2"/>
    <s v="OK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s v="OK"/>
    <n v="20900.86"/>
    <n v="12513.14"/>
    <n v="8387.7199999999993"/>
    <s v="Paid"/>
    <s v="Completed"/>
    <s v="OK"/>
    <n v="0.2"/>
    <x v="636"/>
    <n v="8387.7199999999993"/>
    <n v="0.40129999999999999"/>
    <n v="2"/>
    <n v="2025"/>
    <s v="CLEAN"/>
  </r>
  <r>
    <s v="ORD-2025-10342"/>
    <d v="2025-09-08T00:00:00"/>
    <d v="2025-09-09T00:00:00"/>
    <n v="1"/>
    <s v="OK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s v="OK"/>
    <n v="7524.63"/>
    <n v="6229.6"/>
    <n v="1295.03"/>
    <s v="Paid"/>
    <s v="Completed"/>
    <s v="OK"/>
    <n v="0.05"/>
    <x v="637"/>
    <n v="1295.03"/>
    <n v="0.1721"/>
    <n v="9"/>
    <n v="2025"/>
    <s v="CLEAN"/>
  </r>
  <r>
    <s v="ORD-2025-10343"/>
    <d v="2025-07-24T00:00:00"/>
    <d v="2025-01-08T00:00:00"/>
    <n v="-197"/>
    <s v="INVALID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s v="OK"/>
    <n v="12231.36"/>
    <n v="8766.9"/>
    <n v="3464.46"/>
    <s v="Paid"/>
    <s v="Completed"/>
    <s v="OK"/>
    <n v="0"/>
    <x v="638"/>
    <n v="3464.46"/>
    <n v="0.28320000000000001"/>
    <n v="7"/>
    <n v="2025"/>
    <s v="INVALID"/>
  </r>
  <r>
    <s v="ORD-2025-10344"/>
    <d v="2025-10-03T00:00:00"/>
    <d v="2025-10-08T00:00:00"/>
    <n v="5"/>
    <s v="OK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s v="OK"/>
    <n v="31079.7"/>
    <n v="17758.25"/>
    <n v="13321.45"/>
    <s v="Paid"/>
    <s v="Completed"/>
    <s v="OK"/>
    <n v="0.1"/>
    <x v="639"/>
    <n v="13321.45"/>
    <n v="0.42859999999999998"/>
    <n v="10"/>
    <n v="2025"/>
    <s v="CLEAN"/>
  </r>
  <r>
    <s v="ORD-2025-10347"/>
    <d v="2025-07-22T00:00:00"/>
    <d v="2025-07-28T00:00:00"/>
    <n v="6"/>
    <s v="OK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s v="OK"/>
    <n v="7715.81"/>
    <n v="4258.42"/>
    <n v="3457.39"/>
    <s v="Paid"/>
    <s v="Completed"/>
    <s v="OK"/>
    <n v="0.2"/>
    <x v="640"/>
    <n v="3457.39"/>
    <n v="0.4481"/>
    <n v="7"/>
    <n v="2025"/>
    <s v="CLEAN"/>
  </r>
  <r>
    <s v="ORD-2025-10350"/>
    <d v="2025-09-27T00:00:00"/>
    <d v="2025-09-29T00:00:00"/>
    <n v="2"/>
    <s v="OK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s v="OK"/>
    <n v="19355.96"/>
    <n v="15012.45"/>
    <n v="4017.4"/>
    <s v="Paid"/>
    <s v="Completed"/>
    <s v="OK"/>
    <n v="0.25"/>
    <x v="641"/>
    <n v="4343.51"/>
    <n v="0.22439999999999999"/>
    <n v="9"/>
    <n v="2025"/>
    <s v="CLEAN"/>
  </r>
  <r>
    <s v="ORD-2025-10352"/>
    <d v="2025-05-23T00:00:00"/>
    <d v="2025-05-27T00:00:00"/>
    <n v="4"/>
    <s v="OK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s v="OK"/>
    <n v="3237.48"/>
    <n v="2118.34"/>
    <n v="1119.1400000000001"/>
    <s v="Pending"/>
    <s v="Cancelled"/>
    <s v="OK"/>
    <n v="0.25"/>
    <x v="642"/>
    <n v="1119.1400000000001"/>
    <n v="0.34570000000000001"/>
    <n v="5"/>
    <n v="2025"/>
    <s v="CLEAN"/>
  </r>
  <r>
    <s v="ORD-2025-10353"/>
    <d v="2025-08-15T00:00:00"/>
    <d v="2025-08-17T00:00:00"/>
    <n v="2"/>
    <s v="OK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s v="OK"/>
    <n v="10734.75"/>
    <n v="6475.73"/>
    <n v="4259.0200000000004"/>
    <s v="Paid"/>
    <s v="Completed"/>
    <s v="OK"/>
    <n v="0.25"/>
    <x v="643"/>
    <n v="4259.0200000000004"/>
    <n v="0.39679999999999999"/>
    <n v="8"/>
    <n v="2025"/>
    <s v="CLEAN"/>
  </r>
  <r>
    <s v="ORD-2025-10354"/>
    <d v="2025-02-21T00:00:00"/>
    <d v="2025-02-27T00:00:00"/>
    <n v="6"/>
    <s v="OK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s v="OK"/>
    <n v="10308.02"/>
    <n v="5822.31"/>
    <n v="4485.71"/>
    <s v="Paid"/>
    <s v="Completed"/>
    <s v="OK"/>
    <n v="0.2"/>
    <x v="644"/>
    <n v="4485.71"/>
    <n v="0.43519999999999998"/>
    <n v="2"/>
    <n v="2025"/>
    <s v="CLEAN"/>
  </r>
  <r>
    <s v="ORD-2025-10357"/>
    <d v="2025-06-27T00:00:00"/>
    <d v="2025-06-29T00:00:00"/>
    <n v="2"/>
    <s v="OK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s v="OK"/>
    <n v="2486.8000000000002"/>
    <n v="2131.73"/>
    <n v="355.07"/>
    <s v="Pending"/>
    <s v="Returned"/>
    <s v="OK"/>
    <n v="0.2"/>
    <x v="645"/>
    <n v="355.07"/>
    <n v="0.14280000000000001"/>
    <n v="6"/>
    <n v="2025"/>
    <s v="CLEAN"/>
  </r>
  <r>
    <s v="ORD-2025-10358"/>
    <d v="2025-01-21T00:00:00"/>
    <d v="2025-01-29T00:00:00"/>
    <n v="8"/>
    <s v="OK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s v="OK"/>
    <n v="4369.04"/>
    <n v="3716.88"/>
    <n v="652.16"/>
    <s v="Paid"/>
    <s v="Cancelled"/>
    <s v="OK"/>
    <n v="0"/>
    <x v="646"/>
    <n v="652.16"/>
    <n v="0.14929999999999999"/>
    <n v="1"/>
    <n v="2025"/>
    <s v="CLEAN"/>
  </r>
  <r>
    <s v="ORD-2025-10359"/>
    <d v="2025-08-09T00:00:00"/>
    <d v="2025-08-07T00:00:00"/>
    <n v="-2"/>
    <s v="INVALID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s v="OK"/>
    <n v="5956.12"/>
    <n v="4379.18"/>
    <n v="1576.94"/>
    <s v="Pending"/>
    <s v="Returned"/>
    <s v="OK"/>
    <n v="0.05"/>
    <x v="647"/>
    <n v="1576.94"/>
    <n v="0.26479999999999998"/>
    <n v="8"/>
    <n v="2025"/>
    <s v="INVALID"/>
  </r>
  <r>
    <s v="ORD-2025-10362"/>
    <d v="2025-01-04T00:00:00"/>
    <d v="2025-04-02T00:00:00"/>
    <n v="88"/>
    <s v="OK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s v="OK"/>
    <n v="35615.71"/>
    <n v="20389.71"/>
    <n v="15226"/>
    <s v="Pending"/>
    <s v="Returned"/>
    <s v="OK"/>
    <n v="0.05"/>
    <x v="648"/>
    <n v="15226"/>
    <n v="0.42749999999999999"/>
    <n v="1"/>
    <n v="2025"/>
    <s v="CLEAN"/>
  </r>
  <r>
    <s v="ORD-2025-10364"/>
    <d v="2025-07-07T00:00:00"/>
    <d v="2025-07-12T00:00:00"/>
    <n v="5"/>
    <s v="OK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s v="OK"/>
    <n v="6867.64"/>
    <n v="5205.3599999999997"/>
    <n v="1662.28"/>
    <s v="Paid"/>
    <s v="Completed"/>
    <s v="OK"/>
    <n v="0.25"/>
    <x v="649"/>
    <n v="1662.28"/>
    <n v="0.24199999999999999"/>
    <n v="7"/>
    <n v="2025"/>
    <s v="CLEAN"/>
  </r>
  <r>
    <s v="ORD-2025-10365"/>
    <d v="2025-03-21T00:00:00"/>
    <d v="2025-03-24T00:00:00"/>
    <n v="3"/>
    <s v="OK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s v="OK"/>
    <n v="6195.75"/>
    <n v="3967.02"/>
    <n v="2228.73"/>
    <s v="Paid"/>
    <s v="Completed"/>
    <s v="OK"/>
    <n v="0"/>
    <x v="650"/>
    <n v="2228.73"/>
    <n v="0.35970000000000002"/>
    <n v="3"/>
    <n v="2025"/>
    <s v="CLEAN"/>
  </r>
  <r>
    <s v="ORD-2025-10367"/>
    <d v="2025-01-16T00:00:00"/>
    <d v="2025-01-22T00:00:00"/>
    <n v="6"/>
    <s v="OK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s v="OK"/>
    <n v="8836.56"/>
    <n v="5867.75"/>
    <n v="2968.81"/>
    <s v="Paid"/>
    <s v="Completed"/>
    <s v="OK"/>
    <n v="0"/>
    <x v="651"/>
    <n v="2968.81"/>
    <n v="0.33600000000000002"/>
    <n v="1"/>
    <n v="2025"/>
    <s v="CLEAN"/>
  </r>
  <r>
    <s v="ORD-2025-10369"/>
    <d v="2025-06-07T00:00:00"/>
    <d v="2025-06-07T00:00:00"/>
    <n v="0"/>
    <s v="OK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s v="OK"/>
    <n v="2079.27"/>
    <n v="1512.17"/>
    <n v="567.1"/>
    <s v="Refunded"/>
    <s v="Returned"/>
    <s v="OK"/>
    <n v="0.05"/>
    <x v="652"/>
    <n v="567.1"/>
    <n v="0.2727"/>
    <n v="6"/>
    <n v="2025"/>
    <s v="CLEAN"/>
  </r>
  <r>
    <s v="ORD-2025-10370"/>
    <d v="2025-01-23T00:00:00"/>
    <d v="2025-01-30T00:00:00"/>
    <n v="7"/>
    <s v="OK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s v="OK"/>
    <n v="8945.68"/>
    <n v="6740.35"/>
    <n v="2205.33"/>
    <s v="Paid"/>
    <s v="Completed"/>
    <s v="OK"/>
    <n v="0.15"/>
    <x v="653"/>
    <n v="2205.33"/>
    <n v="0.2465"/>
    <n v="1"/>
    <n v="2025"/>
    <s v="CLEAN"/>
  </r>
  <r>
    <s v="ORD-2025-10373"/>
    <d v="2025-08-16T00:00:00"/>
    <d v="2025-08-18T00:00:00"/>
    <n v="2"/>
    <s v="OK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s v="OK"/>
    <n v="7651.8"/>
    <n v="5171.78"/>
    <n v="2480.02"/>
    <s v="Paid"/>
    <s v="Completed"/>
    <s v="OK"/>
    <n v="0"/>
    <x v="654"/>
    <n v="2480.02"/>
    <n v="0.3241"/>
    <n v="8"/>
    <n v="2025"/>
    <s v="CLEAN"/>
  </r>
  <r>
    <s v="ORD-2025-10374"/>
    <d v="2025-04-13T00:00:00"/>
    <d v="2025-04-13T00:00:00"/>
    <n v="0"/>
    <s v="OK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s v="OK"/>
    <n v="10068.120000000001"/>
    <n v="8595.3700000000008"/>
    <n v="1472.75"/>
    <s v="Paid"/>
    <s v="Completed"/>
    <s v=" ORIGINAL"/>
    <n v="0"/>
    <x v="655"/>
    <n v="1472.75"/>
    <n v="0.14630000000000001"/>
    <n v="4"/>
    <n v="2025"/>
    <s v="CLEAN"/>
  </r>
  <r>
    <s v="ORD-2025-10374"/>
    <d v="2025-04-13T00:00:00"/>
    <d v="2025-04-13T00:00:00"/>
    <n v="0"/>
    <s v="OK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s v="OK"/>
    <n v="10348.43"/>
    <n v="8595.3700000000008"/>
    <n v="1472.75"/>
    <s v="Paid"/>
    <s v="Returned"/>
    <s v="CONFLICTING DUPLICATE - REVIEW"/>
    <n v="0"/>
    <x v="655"/>
    <n v="1472.75"/>
    <n v="0.14630000000000001"/>
    <n v="4"/>
    <n v="2025"/>
    <s v="CLEAN"/>
  </r>
  <r>
    <s v="ORD-2025-10375"/>
    <d v="2025-02-27T00:00:00"/>
    <d v="2025-02-28T00:00:00"/>
    <n v="1"/>
    <s v="OK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s v="OK"/>
    <n v="14359.5"/>
    <n v="8117.71"/>
    <n v="6241.79"/>
    <s v="Paid"/>
    <s v="Completed"/>
    <s v="OK"/>
    <n v="0"/>
    <x v="656"/>
    <n v="6241.79"/>
    <n v="0.43469999999999998"/>
    <n v="2"/>
    <n v="2025"/>
    <s v="CLEAN"/>
  </r>
  <r>
    <s v="ORD-2025-10378"/>
    <d v="2025-05-24T00:00:00"/>
    <d v="2025-05-30T00:00:00"/>
    <n v="6"/>
    <s v="OK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s v="OK"/>
    <n v="2564.7399999999998"/>
    <n v="1754.58"/>
    <n v="810.16"/>
    <s v="Paid"/>
    <s v="Completed"/>
    <s v="OK"/>
    <n v="0"/>
    <x v="657"/>
    <n v="810.16"/>
    <n v="0.31590000000000001"/>
    <n v="5"/>
    <n v="2025"/>
    <s v="CLEAN"/>
  </r>
  <r>
    <s v="ORD-2025-10379"/>
    <d v="2025-05-22T00:00:00"/>
    <d v="2025-05-22T00:00:00"/>
    <n v="0"/>
    <s v="OK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s v="OK"/>
    <n v="7821.22"/>
    <n v="4994.46"/>
    <n v="2826.76"/>
    <s v="Paid"/>
    <s v="Completed"/>
    <s v="OK"/>
    <n v="0"/>
    <x v="658"/>
    <n v="2826.76"/>
    <n v="0.3614"/>
    <n v="5"/>
    <n v="2025"/>
    <s v="CLEAN"/>
  </r>
  <r>
    <s v="ORD-2025-10382"/>
    <d v="2025-09-19T00:00:00"/>
    <d v="2025-09-23T00:00:00"/>
    <n v="4"/>
    <s v="OK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s v="OK"/>
    <n v="16671.169999999998"/>
    <n v="10833.19"/>
    <n v="5837.98"/>
    <s v="Failed"/>
    <s v="Cancelled"/>
    <s v="OK"/>
    <n v="0.05"/>
    <x v="659"/>
    <n v="5837.98"/>
    <n v="0.35020000000000001"/>
    <n v="9"/>
    <n v="2025"/>
    <s v="INVALID"/>
  </r>
  <r>
    <s v="ORD-2025-10383"/>
    <d v="2025-03-04T00:00:00"/>
    <d v="2025-03-08T00:00:00"/>
    <n v="4"/>
    <s v="OK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s v="OK"/>
    <n v="10468.44"/>
    <n v="8399.8700000000008"/>
    <n v="2068.5700000000002"/>
    <s v="Paid"/>
    <s v="Completed"/>
    <s v="OK"/>
    <n v="0.2"/>
    <x v="660"/>
    <n v="2068.5700000000002"/>
    <n v="0.1976"/>
    <n v="3"/>
    <n v="2025"/>
    <s v="CLEAN"/>
  </r>
  <r>
    <s v="ORD-2025-10384"/>
    <d v="2025-06-28T00:00:00"/>
    <d v="2025-07-05T00:00:00"/>
    <n v="7"/>
    <s v="OK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s v="OK"/>
    <n v="4485.5"/>
    <n v="3131.86"/>
    <n v="1353.64"/>
    <s v="Paid"/>
    <s v="Cancelled"/>
    <s v="OK"/>
    <n v="0"/>
    <x v="661"/>
    <n v="1353.64"/>
    <n v="0.30180000000000001"/>
    <n v="6"/>
    <n v="2025"/>
    <s v="CLEAN"/>
  </r>
  <r>
    <s v="ORD-2025-10386"/>
    <d v="2025-06-24T00:00:00"/>
    <d v="2025-06-30T00:00:00"/>
    <n v="6"/>
    <s v="OK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s v="OK"/>
    <n v="1975.1"/>
    <n v="1115.3499999999999"/>
    <n v="859.75"/>
    <s v="Paid"/>
    <s v="Completed"/>
    <s v="OK"/>
    <n v="0.1"/>
    <x v="662"/>
    <n v="859.75"/>
    <n v="0.43530000000000002"/>
    <n v="6"/>
    <n v="2025"/>
    <s v="CLEAN"/>
  </r>
  <r>
    <s v="ORD-2025-10387"/>
    <d v="2025-02-12T00:00:00"/>
    <d v="2025-02-14T00:00:00"/>
    <n v="2"/>
    <s v="OK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s v="OK"/>
    <n v="20063.95"/>
    <n v="14363.38"/>
    <n v="5700.57"/>
    <s v="Paid"/>
    <s v="Completed"/>
    <s v="OK"/>
    <n v="0.1"/>
    <x v="663"/>
    <n v="5700.57"/>
    <n v="0.28410000000000002"/>
    <n v="2"/>
    <n v="2025"/>
    <s v="CLEAN"/>
  </r>
  <r>
    <s v="ORD-2025-10388"/>
    <d v="2025-10-08T00:00:00"/>
    <d v="2025-08-13T00:00:00"/>
    <n v="-56"/>
    <s v="INVALID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s v="OK"/>
    <n v="1764.3"/>
    <n v="1332.49"/>
    <n v="431.81"/>
    <s v="Pending"/>
    <s v="Cancelled"/>
    <s v="OK"/>
    <n v="0"/>
    <x v="664"/>
    <n v="431.81"/>
    <n v="0.2447"/>
    <n v="10"/>
    <n v="2025"/>
    <s v="INVALID"/>
  </r>
  <r>
    <s v="ORD-2025-10392"/>
    <d v="2025-02-14T00:00:00"/>
    <d v="2025-02-14T00:00:00"/>
    <n v="0"/>
    <s v="OK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s v="OK"/>
    <n v="714.43"/>
    <n v="565.44000000000005"/>
    <n v="148.99"/>
    <s v="Paid"/>
    <s v="Completed"/>
    <s v="OK"/>
    <n v="0"/>
    <x v="665"/>
    <n v="148.99"/>
    <n v="0.20849999999999999"/>
    <n v="2"/>
    <n v="2025"/>
    <s v="CLEAN"/>
  </r>
  <r>
    <s v="ORD-2025-10397"/>
    <d v="2025-04-14T00:00:00"/>
    <d v="2025-04-22T00:00:00"/>
    <n v="8"/>
    <s v="OK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s v="OK"/>
    <n v="1213.5899999999999"/>
    <n v="956.22"/>
    <n v="257.37"/>
    <s v="Paid"/>
    <s v="Completed"/>
    <s v="OK"/>
    <n v="0.05"/>
    <x v="666"/>
    <n v="257.37"/>
    <n v="0.21210000000000001"/>
    <n v="4"/>
    <n v="2025"/>
    <s v="CLEAN"/>
  </r>
  <r>
    <s v="ORD-2025-10398"/>
    <d v="2025-06-09T00:00:00"/>
    <d v="2025-06-10T00:00:00"/>
    <n v="1"/>
    <s v="OK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s v="OK"/>
    <n v="3463.76"/>
    <n v="2143.7399999999998"/>
    <n v="1320.02"/>
    <s v="Paid"/>
    <s v="Completed"/>
    <s v="OK"/>
    <n v="0"/>
    <x v="667"/>
    <n v="1320.02"/>
    <n v="0.38109999999999999"/>
    <n v="6"/>
    <n v="2025"/>
    <s v="CLEAN"/>
  </r>
  <r>
    <s v="ORD-2025-10400"/>
    <d v="2025-04-24T00:00:00"/>
    <d v="2025-04-29T00:00:00"/>
    <n v="5"/>
    <s v="OK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s v="OK"/>
    <n v="3268.88"/>
    <n v="1993.74"/>
    <n v="1275.1400000000001"/>
    <s v="Paid"/>
    <s v="Completed"/>
    <s v="OK"/>
    <n v="0.25"/>
    <x v="668"/>
    <n v="1275.1400000000001"/>
    <n v="0.3901"/>
    <n v="4"/>
    <n v="2025"/>
    <s v="CLEAN"/>
  </r>
  <r>
    <s v="ORD-2025-10401"/>
    <d v="2025-06-06T00:00:00"/>
    <d v="2025-06-11T00:00:00"/>
    <n v="5"/>
    <s v="OK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s v="INVALID-NEGATIVE"/>
    <n v="5839.3"/>
    <n v="4877.38"/>
    <n v="961.92"/>
    <s v="Paid"/>
    <s v="Completed"/>
    <s v="OK"/>
    <n v="0"/>
    <x v="669"/>
    <n v="1269.25"/>
    <n v="0.20649999999999999"/>
    <n v="6"/>
    <n v="2025"/>
    <s v="INVALID"/>
  </r>
  <r>
    <s v="ORD-2025-10402"/>
    <d v="2025-03-09T00:00:00"/>
    <d v="2025-03-16T00:00:00"/>
    <n v="7"/>
    <s v="OK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s v="OK"/>
    <n v="7877.55"/>
    <n v="5562.77"/>
    <n v="2314.7800000000002"/>
    <s v="Paid"/>
    <s v="Completed"/>
    <s v="OK"/>
    <n v="0"/>
    <x v="670"/>
    <n v="2314.7800000000002"/>
    <n v="0.29380000000000001"/>
    <n v="3"/>
    <n v="2025"/>
    <s v="CLEAN"/>
  </r>
  <r>
    <s v="ORD-2025-10407"/>
    <d v="2025-02-25T00:00:00"/>
    <d v="2025-02-25T00:00:00"/>
    <n v="0"/>
    <s v="OK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s v="OK"/>
    <n v="5886.3"/>
    <n v="3621.76"/>
    <n v="2264.54"/>
    <s v="Pending"/>
    <s v="Returned"/>
    <s v="OK"/>
    <n v="0.25"/>
    <x v="671"/>
    <n v="2264.54"/>
    <n v="0.38469999999999999"/>
    <n v="2"/>
    <n v="2025"/>
    <s v="CLEAN"/>
  </r>
  <r>
    <s v="ORD-2025-10409"/>
    <d v="2025-08-01T00:00:00"/>
    <d v="2025-08-03T00:00:00"/>
    <n v="2"/>
    <s v="OK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s v="OK"/>
    <n v="7093.84"/>
    <n v="4587.49"/>
    <n v="2506.35"/>
    <s v="Failed"/>
    <s v="Returned"/>
    <s v="OK"/>
    <n v="0"/>
    <x v="672"/>
    <n v="2506.35"/>
    <n v="0.3533"/>
    <n v="8"/>
    <n v="2025"/>
    <s v="INVALID"/>
  </r>
  <r>
    <s v="ORD-2025-10410"/>
    <d v="2025-02-13T00:00:00"/>
    <d v="2025-02-15T00:00:00"/>
    <n v="2"/>
    <s v="OK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s v="OK"/>
    <n v="2269.1"/>
    <n v="1593.59"/>
    <n v="675.51"/>
    <s v="Refunded"/>
    <s v="Returned"/>
    <s v="OK"/>
    <n v="0.25"/>
    <x v="673"/>
    <n v="675.51"/>
    <n v="0.29770000000000002"/>
    <n v="2"/>
    <n v="2025"/>
    <s v="CLEAN"/>
  </r>
  <r>
    <s v="ORD-2025-10412"/>
    <d v="2025-08-23T00:00:00"/>
    <d v="2025-08-28T00:00:00"/>
    <n v="5"/>
    <s v="OK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s v="OK"/>
    <n v="3334.25"/>
    <n v="2768.77"/>
    <n v="565.48"/>
    <s v="Failed"/>
    <s v="Returned"/>
    <s v="OK"/>
    <n v="0.2"/>
    <x v="674"/>
    <n v="565.48"/>
    <n v="0.1696"/>
    <n v="8"/>
    <n v="2025"/>
    <s v="INVALID"/>
  </r>
  <r>
    <s v="ORD-2025-10414"/>
    <d v="2025-08-13T00:00:00"/>
    <d v="2025-08-17T00:00:00"/>
    <n v="4"/>
    <s v="OK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s v="OK"/>
    <n v="15345.84"/>
    <n v="10735.33"/>
    <n v="4610.51"/>
    <s v="Pending"/>
    <s v="Cancelled"/>
    <s v="OK"/>
    <n v="0"/>
    <x v="675"/>
    <n v="4610.51"/>
    <n v="0.3004"/>
    <n v="8"/>
    <n v="2025"/>
    <s v="CLEAN"/>
  </r>
  <r>
    <s v="ORD-2025-10417"/>
    <d v="2025-01-08T00:00:00"/>
    <d v="2025-01-16T00:00:00"/>
    <n v="8"/>
    <s v="OK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s v="OK"/>
    <n v="3833.7"/>
    <n v="2886.35"/>
    <n v="947.35"/>
    <s v="Paid"/>
    <s v="Completed"/>
    <s v="OK"/>
    <n v="0.25"/>
    <x v="676"/>
    <n v="947.35"/>
    <n v="0.24709999999999999"/>
    <n v="1"/>
    <n v="2025"/>
    <s v="CLEAN"/>
  </r>
  <r>
    <s v="ORD-2025-10418"/>
    <d v="2025-01-29T00:00:00"/>
    <d v="2025-02-05T00:00:00"/>
    <n v="7"/>
    <s v="OK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s v="OK"/>
    <n v="18542.400000000001"/>
    <n v="11193.75"/>
    <n v="7348.65"/>
    <s v="Paid"/>
    <s v="Completed"/>
    <s v="OK"/>
    <n v="0.2"/>
    <x v="677"/>
    <n v="7348.65"/>
    <n v="0.39629999999999999"/>
    <n v="1"/>
    <n v="2025"/>
    <s v="CLEAN"/>
  </r>
  <r>
    <s v="ORD-2025-10420"/>
    <d v="2025-09-26T00:00:00"/>
    <d v="2025-09-30T00:00:00"/>
    <n v="4"/>
    <s v="OK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s v="OK"/>
    <n v="1308.78"/>
    <n v="843"/>
    <n v="465.78"/>
    <s v="Paid"/>
    <s v="Completed"/>
    <s v="OK"/>
    <n v="0.05"/>
    <x v="678"/>
    <n v="465.78"/>
    <n v="0.35589999999999999"/>
    <n v="9"/>
    <n v="2025"/>
    <s v="CLEAN"/>
  </r>
  <r>
    <s v="ORD-2025-10421"/>
    <d v="2025-03-18T00:00:00"/>
    <d v="2025-03-19T00:00:00"/>
    <n v="1"/>
    <s v="OK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s v="OK"/>
    <n v="1814.99"/>
    <n v="1120.06"/>
    <n v="694.93"/>
    <s v="Pending"/>
    <s v="Cancelled"/>
    <s v="OK"/>
    <n v="0.25"/>
    <x v="679"/>
    <n v="694.93"/>
    <n v="0.38290000000000002"/>
    <n v="3"/>
    <n v="2025"/>
    <s v="CLEAN"/>
  </r>
  <r>
    <s v="ORD-2025-10422"/>
    <d v="2025-06-14T00:00:00"/>
    <d v="2025-06-19T00:00:00"/>
    <n v="5"/>
    <s v="OK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s v="OK"/>
    <n v="2489.88"/>
    <n v="1707.52"/>
    <n v="782.36"/>
    <s v="Pending"/>
    <s v="Returned"/>
    <s v="OK"/>
    <n v="0.2"/>
    <x v="680"/>
    <n v="782.36"/>
    <n v="0.31419999999999998"/>
    <n v="6"/>
    <n v="2025"/>
    <s v="CLEAN"/>
  </r>
  <r>
    <s v="ORD-2025-10423"/>
    <d v="2025-09-03T00:00:00"/>
    <d v="2025-09-06T00:00:00"/>
    <n v="3"/>
    <s v="OK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s v="OK"/>
    <n v="4098.66"/>
    <n v="2678.06"/>
    <n v="1420.6"/>
    <s v="Paid"/>
    <s v="Completed"/>
    <s v="OK"/>
    <n v="0.15"/>
    <x v="681"/>
    <n v="1420.6"/>
    <n v="0.34660000000000002"/>
    <n v="9"/>
    <n v="2025"/>
    <s v="CLEAN"/>
  </r>
  <r>
    <s v="ORD-2025-10428"/>
    <d v="2025-04-22T00:00:00"/>
    <d v="2025-04-24T00:00:00"/>
    <n v="2"/>
    <s v="OK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s v="OK"/>
    <n v="26454.959999999999"/>
    <n v="17630.25"/>
    <n v="8824.7099999999991"/>
    <s v="Paid"/>
    <s v="Completed"/>
    <s v="OK"/>
    <n v="0"/>
    <x v="682"/>
    <n v="8824.7099999999991"/>
    <n v="0.33360000000000001"/>
    <n v="4"/>
    <n v="2025"/>
    <s v="WARNING"/>
  </r>
  <r>
    <s v="ORD-2025-10429"/>
    <d v="2025-03-15T00:00:00"/>
    <d v="2025-03-22T00:00:00"/>
    <n v="7"/>
    <s v="OK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s v="OK"/>
    <n v="1853.89"/>
    <n v="1101.23"/>
    <n v="752.66"/>
    <s v="Pending"/>
    <s v="Cancelled"/>
    <s v="OK"/>
    <n v="0.25"/>
    <x v="683"/>
    <n v="752.67"/>
    <n v="0.40600000000000003"/>
    <n v="3"/>
    <n v="2025"/>
    <s v="CLEAN"/>
  </r>
  <r>
    <s v="ORD-2025-10430"/>
    <d v="2025-03-01T00:00:00"/>
    <d v="2025-08-03T00:00:00"/>
    <n v="155"/>
    <s v="OK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s v="OK"/>
    <n v="17658.599999999999"/>
    <n v="13842.48"/>
    <n v="3816.12"/>
    <s v="Paid"/>
    <s v="Completed"/>
    <s v="OK"/>
    <n v="0.25"/>
    <x v="684"/>
    <n v="3816.12"/>
    <n v="0.21609999999999999"/>
    <n v="3"/>
    <n v="2025"/>
    <s v="CLEAN"/>
  </r>
  <r>
    <s v="ORD-2025-10435"/>
    <d v="2025-04-11T00:00:00"/>
    <d v="2025-04-15T00:00:00"/>
    <n v="4"/>
    <s v="OK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s v="OK"/>
    <n v="3263.9"/>
    <n v="2068.44"/>
    <n v="1195.46"/>
    <s v="Paid"/>
    <s v="Completed"/>
    <s v="OK"/>
    <n v="0"/>
    <x v="685"/>
    <n v="1195.46"/>
    <n v="0.36630000000000001"/>
    <n v="4"/>
    <n v="2025"/>
    <s v="CLEAN"/>
  </r>
  <r>
    <s v="ORD-2025-10436"/>
    <d v="2025-04-12T00:00:00"/>
    <d v="2025-04-20T00:00:00"/>
    <n v="8"/>
    <s v="OK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s v="OK"/>
    <n v="2327.0500000000002"/>
    <n v="1919.42"/>
    <n v="407.63"/>
    <s v="Paid"/>
    <s v="Cancelled"/>
    <s v="OK"/>
    <n v="0.15"/>
    <x v="686"/>
    <n v="407.63"/>
    <n v="0.17519999999999999"/>
    <n v="4"/>
    <n v="2025"/>
    <s v="CLEAN"/>
  </r>
  <r>
    <s v="ORD-2025-10439"/>
    <d v="2025-05-07T00:00:00"/>
    <d v="2025-05-05T00:00:00"/>
    <n v="-2"/>
    <s v="INVALID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s v="OK"/>
    <n v="1813.18"/>
    <n v="1363.64"/>
    <n v="449.54"/>
    <s v="Paid"/>
    <s v="Completed"/>
    <s v="OK"/>
    <n v="0.2"/>
    <x v="687"/>
    <n v="449.54"/>
    <n v="0.24790000000000001"/>
    <n v="5"/>
    <n v="2025"/>
    <s v="INVALID"/>
  </r>
  <r>
    <s v="ORD-2025-10440"/>
    <d v="2025-06-30T00:00:00"/>
    <d v="2025-07-03T00:00:00"/>
    <n v="3"/>
    <s v="OK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s v="OK"/>
    <n v="3326.25"/>
    <n v="2689.36"/>
    <n v="636.89"/>
    <s v="Refunded"/>
    <s v="Returned"/>
    <s v="OK"/>
    <n v="0"/>
    <x v="688"/>
    <n v="636.89"/>
    <n v="0.1915"/>
    <n v="6"/>
    <n v="2025"/>
    <s v="CLEAN"/>
  </r>
  <r>
    <s v="ORD-2025-10443"/>
    <d v="2025-01-12T00:00:00"/>
    <d v="2025-01-19T00:00:00"/>
    <n v="7"/>
    <s v="OK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s v="OK"/>
    <n v="1842.31"/>
    <n v="1019.17"/>
    <n v="823.14"/>
    <s v="Paid"/>
    <s v="Completed"/>
    <s v="OK"/>
    <n v="0"/>
    <x v="689"/>
    <n v="823.14"/>
    <n v="0.44679999999999997"/>
    <n v="1"/>
    <n v="2025"/>
    <s v="CLEAN"/>
  </r>
  <r>
    <s v="ORD-2025-10445"/>
    <d v="2025-08-12T00:00:00"/>
    <d v="2025-08-16T00:00:00"/>
    <n v="4"/>
    <s v="OK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s v="OK"/>
    <n v="20342.5"/>
    <n v="12407.51"/>
    <n v="7934.99"/>
    <s v="Paid"/>
    <s v="Completed"/>
    <s v="OK"/>
    <n v="0.05"/>
    <x v="690"/>
    <n v="7934.99"/>
    <n v="0.3901"/>
    <n v="8"/>
    <n v="2025"/>
    <s v="CLEAN"/>
  </r>
  <r>
    <s v="ORD-2025-10447"/>
    <d v="2025-09-18T00:00:00"/>
    <d v="2025-09-19T00:00:00"/>
    <n v="1"/>
    <s v="OK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s v="OK"/>
    <n v="33940.080000000002"/>
    <n v="23754.19"/>
    <n v="10185.89"/>
    <s v="Paid"/>
    <s v="Completed"/>
    <s v="OK"/>
    <n v="0"/>
    <x v="691"/>
    <n v="10185.89"/>
    <n v="0.30009999999999998"/>
    <n v="9"/>
    <n v="2025"/>
    <s v="CLEAN"/>
  </r>
  <r>
    <s v="ORD-2025-10448"/>
    <d v="2025-10-08T00:00:00"/>
    <d v="2025-08-10T00:00:00"/>
    <n v="-59"/>
    <s v="INVALID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s v="OK"/>
    <n v="21872.37"/>
    <n v="13829.5"/>
    <n v="8042.87"/>
    <s v="Pending"/>
    <s v="Returned"/>
    <s v="OK"/>
    <n v="0.15"/>
    <x v="692"/>
    <n v="8042.87"/>
    <n v="0.36770000000000003"/>
    <n v="10"/>
    <n v="2025"/>
    <s v="INVALID"/>
  </r>
  <r>
    <s v="ORD-2025-10451"/>
    <d v="2025-06-12T00:00:00"/>
    <d v="2025-06-19T00:00:00"/>
    <n v="7"/>
    <s v="OK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s v="OK"/>
    <n v="15380.35"/>
    <n v="9907.3700000000008"/>
    <n v="5472.98"/>
    <s v="Paid"/>
    <s v="Completed"/>
    <s v="OK"/>
    <n v="0.25"/>
    <x v="693"/>
    <n v="5472.98"/>
    <n v="0.35580000000000001"/>
    <n v="6"/>
    <n v="2025"/>
    <s v="CLEAN"/>
  </r>
  <r>
    <s v="ORD-2025-10454"/>
    <d v="2025-05-03T00:00:00"/>
    <d v="2025-05-11T00:00:00"/>
    <n v="8"/>
    <s v="OK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s v="OK"/>
    <n v="7417.6"/>
    <n v="4955.8599999999997"/>
    <n v="2461.7399999999998"/>
    <s v="Paid"/>
    <s v="Completed"/>
    <s v="OK"/>
    <n v="0"/>
    <x v="694"/>
    <n v="2461.7399999999998"/>
    <n v="0.33189999999999997"/>
    <n v="5"/>
    <n v="2025"/>
    <s v="CLEAN"/>
  </r>
  <r>
    <s v="ORD-2025-10455"/>
    <d v="2025-03-23T00:00:00"/>
    <d v="2025-03-28T00:00:00"/>
    <n v="5"/>
    <s v="OK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s v="OK"/>
    <n v="25229.7"/>
    <n v="20170.43"/>
    <n v="5059.2700000000004"/>
    <s v="Paid"/>
    <s v="Completed"/>
    <s v="OK"/>
    <n v="0.15"/>
    <x v="695"/>
    <n v="5059.2700000000004"/>
    <n v="0.20050000000000001"/>
    <n v="3"/>
    <n v="2025"/>
    <s v="CLEAN"/>
  </r>
  <r>
    <s v="ORD-2025-10461"/>
    <d v="2025-09-30T00:00:00"/>
    <d v="2025-10-06T00:00:00"/>
    <n v="6"/>
    <s v="OK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s v="OK"/>
    <n v="11626.97"/>
    <n v="7394.07"/>
    <n v="4232.8999999999996"/>
    <s v="Paid"/>
    <s v="Completed"/>
    <s v="OK"/>
    <n v="0.05"/>
    <x v="696"/>
    <n v="4232.8999999999996"/>
    <n v="0.36409999999999998"/>
    <n v="9"/>
    <n v="2025"/>
    <s v="WARNING"/>
  </r>
  <r>
    <s v="ORD-2025-10462"/>
    <d v="2025-05-25T00:00:00"/>
    <d v="2025-05-26T00:00:00"/>
    <n v="1"/>
    <s v="OK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s v="OK"/>
    <n v="8614.2800000000007"/>
    <n v="7052.08"/>
    <n v="1562.2"/>
    <s v="Paid"/>
    <s v="Completed"/>
    <s v="OK"/>
    <n v="0.15"/>
    <x v="697"/>
    <n v="1562.2"/>
    <n v="0.18140000000000001"/>
    <n v="5"/>
    <n v="2025"/>
    <s v="CLEAN"/>
  </r>
  <r>
    <s v="ORD-2025-10464"/>
    <d v="2025-07-02T00:00:00"/>
    <d v="2025-02-08T00:00:00"/>
    <n v="-144"/>
    <s v="INVALID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s v="OK"/>
    <n v="2846.4"/>
    <n v="2132.37"/>
    <n v="714.03"/>
    <s v="Paid"/>
    <s v="Completed"/>
    <s v="OK"/>
    <n v="0.2"/>
    <x v="698"/>
    <n v="714.03"/>
    <n v="0.25090000000000001"/>
    <n v="7"/>
    <n v="2025"/>
    <s v="INVALID"/>
  </r>
  <r>
    <s v="ORD-2025-10465"/>
    <d v="2025-11-03T00:00:00"/>
    <d v="2025-03-15T00:00:00"/>
    <n v="-233"/>
    <s v="INVALID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s v="OK"/>
    <n v="10331.48"/>
    <n v="7131.91"/>
    <n v="3199.57"/>
    <s v="Pending"/>
    <s v="Cancelled"/>
    <s v="OK"/>
    <n v="0.05"/>
    <x v="699"/>
    <n v="3199.57"/>
    <n v="0.30969999999999998"/>
    <n v="11"/>
    <n v="2025"/>
    <s v="INVALID"/>
  </r>
  <r>
    <s v="ORD-2025-10469"/>
    <d v="2025-01-09T00:00:00"/>
    <d v="2025-01-07T00:00:00"/>
    <n v="-2"/>
    <s v="INVALID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s v="OK"/>
    <n v="6564.99"/>
    <n v="5407.24"/>
    <n v="1157.75"/>
    <s v="Paid"/>
    <s v="Completed"/>
    <s v="OK"/>
    <n v="0"/>
    <x v="700"/>
    <n v="1157.75"/>
    <n v="0.1764"/>
    <n v="1"/>
    <n v="2025"/>
    <s v="INVALID"/>
  </r>
  <r>
    <s v="ORD-2025-10476"/>
    <d v="2025-03-01T00:00:00"/>
    <d v="2025-03-08T00:00:00"/>
    <n v="7"/>
    <s v="OK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s v="OK"/>
    <n v="20272.919999999998"/>
    <n v="15873.38"/>
    <n v="4399.54"/>
    <s v="Pending"/>
    <s v="Returned"/>
    <s v="OK"/>
    <n v="0.25"/>
    <x v="701"/>
    <n v="4399.54"/>
    <n v="0.217"/>
    <n v="3"/>
    <n v="2025"/>
    <s v="CLEAN"/>
  </r>
  <r>
    <s v="ORD-2025-10478"/>
    <d v="2025-08-23T00:00:00"/>
    <d v="2025-08-28T00:00:00"/>
    <n v="5"/>
    <s v="OK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s v="OK"/>
    <n v="11843.44"/>
    <n v="9356.8799999999992"/>
    <n v="2486.56"/>
    <s v="Paid"/>
    <s v="Cancelled"/>
    <s v="OK"/>
    <n v="0.1"/>
    <x v="702"/>
    <n v="2486.56"/>
    <n v="0.21"/>
    <n v="8"/>
    <n v="2025"/>
    <s v="CLEAN"/>
  </r>
  <r>
    <s v="ORD-2025-10481"/>
    <d v="2025-01-05T00:00:00"/>
    <d v="2025-01-09T00:00:00"/>
    <n v="4"/>
    <s v="OK"/>
    <s v="CUST-9947"/>
    <s v="Neha Gupta"/>
    <s v="Small Business"/>
    <x v="2"/>
    <s v="Tamil Nadu"/>
    <s v="Chennai"/>
    <s v="Office Supplies"/>
    <s v="Storage"/>
    <s v="Eco Storage 923"/>
    <s v="Unknown"/>
    <n v="5"/>
    <n v="905.16"/>
    <n v="0"/>
    <s v="OK"/>
    <n v="4525.8"/>
    <n v="2714.51"/>
    <n v="1811.29"/>
    <s v="Paid"/>
    <s v="Completed"/>
    <s v="OK"/>
    <n v="0"/>
    <x v="703"/>
    <n v="1811.29"/>
    <n v="0.4002"/>
    <n v="1"/>
    <n v="2025"/>
    <s v="WARNING"/>
  </r>
  <r>
    <s v="ORD-2025-10482"/>
    <d v="2025-06-05T00:00:00"/>
    <d v="2025-06-13T00:00:00"/>
    <n v="8"/>
    <s v="OK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s v="INVALID-ABOVE"/>
    <n v="10616.74"/>
    <n v="6353.59"/>
    <n v="4263.1499999999996"/>
    <s v="Paid"/>
    <s v="Completed"/>
    <s v="OK"/>
    <n v="0.85"/>
    <x v="704"/>
    <n v="-4677.26"/>
    <n v="-2.7902"/>
    <n v="6"/>
    <n v="2025"/>
    <s v="INVALID"/>
  </r>
  <r>
    <s v="ORD-2025-10486"/>
    <d v="2025-01-22T00:00:00"/>
    <d v="2025-01-23T00:00:00"/>
    <n v="1"/>
    <s v="OK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s v="OK"/>
    <n v="7665.57"/>
    <n v="5595.6"/>
    <n v="2069.9699999999998"/>
    <s v="Paid"/>
    <s v="Completed"/>
    <s v="OK"/>
    <n v="0.25"/>
    <x v="705"/>
    <n v="2069.9699999999998"/>
    <n v="0.27"/>
    <n v="1"/>
    <n v="2025"/>
    <s v="CLEAN"/>
  </r>
  <r>
    <s v="ORD-2025-10487"/>
    <d v="2025-06-22T00:00:00"/>
    <d v="2025-06-26T00:00:00"/>
    <n v="4"/>
    <s v="OK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s v="OK"/>
    <n v="4670.83"/>
    <n v="3166.49"/>
    <n v="1504.34"/>
    <s v="Paid"/>
    <s v="Completed"/>
    <s v="OK"/>
    <n v="0.2"/>
    <x v="706"/>
    <n v="1504.34"/>
    <n v="0.3221"/>
    <n v="6"/>
    <n v="2025"/>
    <s v="CLEAN"/>
  </r>
  <r>
    <s v="ORD-2025-10488"/>
    <d v="2025-06-10T00:00:00"/>
    <d v="2025-06-17T00:00:00"/>
    <n v="7"/>
    <s v="OK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s v="OK"/>
    <n v="6155.5"/>
    <n v="4282.09"/>
    <n v="1873.41"/>
    <s v="Refunded"/>
    <s v="Returned"/>
    <s v="OK"/>
    <n v="0"/>
    <x v="707"/>
    <n v="1873.41"/>
    <n v="0.30430000000000001"/>
    <n v="6"/>
    <n v="2025"/>
    <s v="CLEAN"/>
  </r>
  <r>
    <s v="ORD-2025-10492"/>
    <d v="2025-04-29T00:00:00"/>
    <d v="2025-04-30T00:00:00"/>
    <n v="1"/>
    <s v="OK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s v="OK"/>
    <n v="1941.06"/>
    <n v="1207.42"/>
    <n v="733.64"/>
    <s v="Paid"/>
    <s v="Completed"/>
    <s v="OK"/>
    <n v="0.2"/>
    <x v="708"/>
    <n v="733.64"/>
    <n v="0.378"/>
    <n v="4"/>
    <n v="2025"/>
    <s v="CLEAN"/>
  </r>
  <r>
    <s v="ORD-2025-10493"/>
    <d v="2025-06-28T00:00:00"/>
    <d v="2025-07-02T00:00:00"/>
    <n v="4"/>
    <s v="OK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s v="OK"/>
    <n v="4088.16"/>
    <n v="3205.68"/>
    <n v="882.48"/>
    <s v="Paid"/>
    <s v="Completed"/>
    <s v="OK"/>
    <n v="0.25"/>
    <x v="709"/>
    <n v="882.48"/>
    <n v="0.21590000000000001"/>
    <n v="6"/>
    <n v="2025"/>
    <s v="CLEAN"/>
  </r>
  <r>
    <s v="ORD-2025-10494"/>
    <d v="2025-02-13T00:00:00"/>
    <d v="2025-02-13T00:00:00"/>
    <n v="0"/>
    <s v="OK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s v="OK"/>
    <n v="15273.05"/>
    <n v="11088.76"/>
    <n v="4184.29"/>
    <s v="Paid"/>
    <s v="Completed"/>
    <s v="OK"/>
    <n v="0.05"/>
    <x v="710"/>
    <n v="4184.3"/>
    <n v="0.27400000000000002"/>
    <n v="2"/>
    <n v="2025"/>
    <s v="CLEAN"/>
  </r>
  <r>
    <s v="ORD-2025-10497"/>
    <d v="2025-07-04T00:00:00"/>
    <d v="2025-07-06T00:00:00"/>
    <n v="2"/>
    <s v="OK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s v="OK"/>
    <n v="6635.56"/>
    <n v="3652.91"/>
    <n v="2982.65"/>
    <s v="Paid"/>
    <s v="Completed"/>
    <s v="OK"/>
    <n v="0.1"/>
    <x v="711"/>
    <n v="2982.65"/>
    <n v="0.44950000000000001"/>
    <n v="7"/>
    <n v="2025"/>
    <s v="CLEAN"/>
  </r>
  <r>
    <s v="ORD-2025-10499"/>
    <d v="2025-09-07T00:00:00"/>
    <d v="2025-09-10T00:00:00"/>
    <n v="3"/>
    <s v="OK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s v="OK"/>
    <n v="850.35"/>
    <n v="600.98"/>
    <n v="249.37"/>
    <s v="Refunded"/>
    <s v="Cancelled"/>
    <s v="OK"/>
    <n v="0.05"/>
    <x v="712"/>
    <n v="249.37"/>
    <n v="0.29330000000000001"/>
    <n v="9"/>
    <n v="2025"/>
    <s v="CLEAN"/>
  </r>
  <r>
    <s v="ORD-2025-10505"/>
    <d v="2025-02-12T00:00:00"/>
    <d v="2025-02-17T00:00:00"/>
    <n v="5"/>
    <s v="OK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s v="OK"/>
    <n v="17312.48"/>
    <n v="14424.22"/>
    <n v="2888.26"/>
    <s v="Paid"/>
    <s v="Completed"/>
    <s v="OK"/>
    <n v="0"/>
    <x v="713"/>
    <n v="2888.26"/>
    <n v="0.1668"/>
    <n v="2"/>
    <n v="2025"/>
    <s v="CLEAN"/>
  </r>
  <r>
    <s v="ORD-2025-10508"/>
    <d v="2025-04-15T00:00:00"/>
    <d v="2025-04-22T00:00:00"/>
    <n v="7"/>
    <s v="OK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s v="OK"/>
    <n v="8971.26"/>
    <n v="6814.35"/>
    <n v="2156.91"/>
    <s v="Paid"/>
    <s v="Completed"/>
    <s v="OK"/>
    <n v="0.25"/>
    <x v="714"/>
    <n v="2156.91"/>
    <n v="0.2404"/>
    <n v="4"/>
    <n v="2025"/>
    <s v="CLEAN"/>
  </r>
  <r>
    <s v="ORD-2025-10510"/>
    <d v="2025-05-12T00:00:00"/>
    <d v="2025-05-14T00:00:00"/>
    <n v="2"/>
    <s v="OK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s v="OK"/>
    <n v="23241.22"/>
    <n v="17220.900000000001"/>
    <n v="6020.32"/>
    <s v="Paid"/>
    <s v="Completed"/>
    <s v="OK"/>
    <n v="0.2"/>
    <x v="715"/>
    <n v="6020.32"/>
    <n v="0.25900000000000001"/>
    <n v="5"/>
    <n v="2025"/>
    <s v="CLEAN"/>
  </r>
  <r>
    <s v="ORD-2025-10513"/>
    <d v="2025-03-02T00:00:00"/>
    <d v="2025-03-03T00:00:00"/>
    <n v="1"/>
    <s v="OK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s v="OK"/>
    <n v="6047.17"/>
    <n v="3368.79"/>
    <n v="2678.38"/>
    <s v="Paid"/>
    <s v="Completed"/>
    <s v="OK"/>
    <n v="0.25"/>
    <x v="716"/>
    <n v="2678.39"/>
    <n v="0.44290000000000002"/>
    <n v="3"/>
    <n v="2025"/>
    <s v="CLEAN"/>
  </r>
  <r>
    <s v="ORD-2025-10514"/>
    <d v="2025-06-27T00:00:00"/>
    <d v="2025-07-02T00:00:00"/>
    <n v="5"/>
    <s v="OK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s v="OK"/>
    <n v="6212.38"/>
    <n v="4088.46"/>
    <n v="1848.79"/>
    <s v="Paid"/>
    <s v="Completed"/>
    <s v="OK"/>
    <n v="0.1"/>
    <x v="717"/>
    <n v="1848.79"/>
    <n v="0.31140000000000001"/>
    <n v="6"/>
    <n v="2025"/>
    <s v="CLEAN"/>
  </r>
  <r>
    <s v="ORD-2025-10516"/>
    <d v="2025-04-11T00:00:00"/>
    <d v="2025-04-11T00:00:00"/>
    <n v="0"/>
    <s v="OK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s v="INVALID-NEGATIVE"/>
    <n v="3566.79"/>
    <n v="2083.41"/>
    <n v="1483.38"/>
    <s v="Paid"/>
    <s v="Completed"/>
    <s v="OK"/>
    <n v="0"/>
    <x v="718"/>
    <n v="2375.08"/>
    <n v="0.53269999999999995"/>
    <n v="4"/>
    <n v="2025"/>
    <s v="INVALID"/>
  </r>
  <r>
    <s v="ORD-2025-10518"/>
    <d v="2025-05-25T00:00:00"/>
    <d v="2025-05-27T00:00:00"/>
    <n v="2"/>
    <s v="OK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s v="OK"/>
    <n v="11890.37"/>
    <n v="9234.5300000000007"/>
    <n v="2655.84"/>
    <s v="Refunded"/>
    <s v="Returned"/>
    <s v="OK"/>
    <n v="0.2"/>
    <x v="719"/>
    <n v="2655.84"/>
    <n v="0.22339999999999999"/>
    <n v="5"/>
    <n v="2025"/>
    <s v="CLEAN"/>
  </r>
  <r>
    <s v="ORD-2025-10519"/>
    <d v="2025-04-30T00:00:00"/>
    <d v="2025-04-26T00:00:00"/>
    <n v="-4"/>
    <s v="INVALID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s v="OK"/>
    <n v="8421.68"/>
    <n v="6534.47"/>
    <n v="1887.21"/>
    <s v="Paid"/>
    <s v="Cancelled"/>
    <s v="OK"/>
    <n v="0.25"/>
    <x v="720"/>
    <n v="1887.21"/>
    <n v="0.22409999999999999"/>
    <n v="4"/>
    <n v="2025"/>
    <s v="INVALID"/>
  </r>
  <r>
    <s v="ORD-2025-10520"/>
    <d v="2025-03-07T00:00:00"/>
    <d v="2025-07-07T00:00:00"/>
    <n v="122"/>
    <s v="OK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s v="OK"/>
    <n v="13968.67"/>
    <n v="8857.58"/>
    <n v="5111.09"/>
    <s v="Pending"/>
    <s v="Cancelled"/>
    <s v="OK"/>
    <n v="0.2"/>
    <x v="721"/>
    <n v="5111.09"/>
    <n v="0.3659"/>
    <n v="3"/>
    <n v="2025"/>
    <s v="CLEAN"/>
  </r>
  <r>
    <s v="ORD-2025-10522"/>
    <d v="2025-03-25T00:00:00"/>
    <d v="2025-04-01T00:00:00"/>
    <n v="7"/>
    <s v="OK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s v="OK"/>
    <n v="12495.03"/>
    <n v="9184.52"/>
    <n v="3310.51"/>
    <s v="Paid"/>
    <s v="Completed"/>
    <s v="OK"/>
    <n v="0.05"/>
    <x v="722"/>
    <n v="3310.51"/>
    <n v="0.26490000000000002"/>
    <n v="3"/>
    <n v="2025"/>
    <s v="CLEAN"/>
  </r>
  <r>
    <s v="ORD-2025-10523"/>
    <d v="2025-02-28T00:00:00"/>
    <d v="2025-03-08T00:00:00"/>
    <n v="8"/>
    <s v="OK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s v="OK"/>
    <n v="33034.86"/>
    <n v="24539.83"/>
    <n v="8495.0300000000007"/>
    <s v="Paid"/>
    <s v="Completed"/>
    <s v="OK"/>
    <n v="0"/>
    <x v="723"/>
    <n v="8495.0300000000007"/>
    <n v="0.25719999999999998"/>
    <n v="2"/>
    <n v="2025"/>
    <s v="CLEAN"/>
  </r>
  <r>
    <s v="ORD-2025-10527"/>
    <d v="2025-07-18T00:00:00"/>
    <d v="2025-07-21T00:00:00"/>
    <n v="3"/>
    <s v="OK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n v="0"/>
    <s v="OK"/>
    <n v="908.93"/>
    <n v="572.08000000000004"/>
    <n v="336.85"/>
    <s v="Paid"/>
    <s v="Completed"/>
    <s v="OK"/>
    <n v="0"/>
    <x v="724"/>
    <n v="564.08000000000004"/>
    <n v="0.4965"/>
    <n v="7"/>
    <n v="2025"/>
    <s v="CLEAN"/>
  </r>
  <r>
    <s v="ORD-2025-10528"/>
    <d v="2025-01-10T00:00:00"/>
    <d v="2025-10-05T00:00:00"/>
    <n v="268"/>
    <s v="OK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s v="OK"/>
    <n v="13802.13"/>
    <n v="10075.93"/>
    <n v="3726.2"/>
    <s v="Paid"/>
    <s v="Completed"/>
    <s v="OK"/>
    <n v="0.15"/>
    <x v="725"/>
    <n v="3726.2"/>
    <n v="0.27"/>
    <n v="1"/>
    <n v="2025"/>
    <s v="CLEAN"/>
  </r>
  <r>
    <s v="ORD-2025-10531"/>
    <d v="2025-05-30T00:00:00"/>
    <d v="2025-06-01T00:00:00"/>
    <n v="2"/>
    <s v="OK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s v="OK"/>
    <n v="17053.060000000001"/>
    <n v="10742.38"/>
    <n v="6310.68"/>
    <s v="Paid"/>
    <s v="Completed"/>
    <s v="OK"/>
    <n v="0.05"/>
    <x v="726"/>
    <n v="6310.68"/>
    <n v="0.37009999999999998"/>
    <n v="5"/>
    <n v="2025"/>
    <s v="CLEAN"/>
  </r>
  <r>
    <s v="ORD-2025-10533"/>
    <d v="2025-10-05T00:00:00"/>
    <d v="2025-10-10T00:00:00"/>
    <n v="5"/>
    <s v="OK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s v="OK"/>
    <n v="17862.150000000001"/>
    <n v="9892.2099999999991"/>
    <n v="7969.94"/>
    <s v="Failed"/>
    <s v="Cancelled"/>
    <s v="OK"/>
    <n v="0.05"/>
    <x v="727"/>
    <n v="7969.94"/>
    <n v="0.44619999999999999"/>
    <n v="10"/>
    <n v="2025"/>
    <s v="INVALID"/>
  </r>
  <r>
    <s v="ORD-2025-10535"/>
    <d v="2025-04-27T00:00:00"/>
    <d v="2025-05-05T00:00:00"/>
    <n v="8"/>
    <s v="OK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s v="OK"/>
    <n v="14268.2"/>
    <n v="11705.3"/>
    <n v="2562.9"/>
    <s v="Pending"/>
    <s v="Returned"/>
    <s v="OK"/>
    <n v="0.1"/>
    <x v="728"/>
    <n v="2562.9"/>
    <n v="0.17960000000000001"/>
    <n v="4"/>
    <n v="2025"/>
    <s v="CLEAN"/>
  </r>
  <r>
    <s v="ORD-2025-10537"/>
    <d v="2025-04-10T00:00:00"/>
    <d v="2025-04-17T00:00:00"/>
    <n v="7"/>
    <s v="OK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s v="OK"/>
    <n v="19891.72"/>
    <n v="12295.76"/>
    <n v="7595.96"/>
    <s v="Failed"/>
    <s v="Cancelled"/>
    <s v="OK"/>
    <n v="0.25"/>
    <x v="729"/>
    <n v="7595.97"/>
    <n v="0.38190000000000002"/>
    <n v="4"/>
    <n v="2025"/>
    <s v="INVALID"/>
  </r>
  <r>
    <s v="ORD-2025-10540"/>
    <d v="2025-07-04T00:00:00"/>
    <d v="2025-07-04T00:00:00"/>
    <n v="0"/>
    <s v="OK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s v="OK"/>
    <n v="1904.45"/>
    <n v="1316.54"/>
    <n v="587.91"/>
    <s v="Paid"/>
    <s v="Cancelled"/>
    <s v="OK"/>
    <n v="0.1"/>
    <x v="730"/>
    <n v="587.91"/>
    <n v="0.30869999999999997"/>
    <n v="7"/>
    <n v="2025"/>
    <s v="CLEAN"/>
  </r>
  <r>
    <s v="ORD-2025-10542"/>
    <d v="2025-08-07T00:00:00"/>
    <d v="2025-07-09T00:00:00"/>
    <n v="-29"/>
    <s v="INVALID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s v="OK"/>
    <n v="8641.68"/>
    <n v="5747.09"/>
    <n v="2894.59"/>
    <s v="Paid"/>
    <s v="Returned"/>
    <s v="OK"/>
    <n v="0"/>
    <x v="731"/>
    <n v="2894.59"/>
    <n v="0.33500000000000002"/>
    <n v="8"/>
    <n v="2025"/>
    <s v="INVALID"/>
  </r>
  <r>
    <s v="ORD-2025-10545"/>
    <d v="2025-01-29T00:00:00"/>
    <d v="2025-02-05T00:00:00"/>
    <n v="7"/>
    <s v="OK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s v="OK"/>
    <n v="21861.72"/>
    <n v="18464.34"/>
    <n v="3397.38"/>
    <s v="Paid"/>
    <s v="Cancelled"/>
    <s v="OK"/>
    <n v="0.25"/>
    <x v="732"/>
    <n v="3397.38"/>
    <n v="0.15540000000000001"/>
    <n v="1"/>
    <n v="2025"/>
    <s v="CLEAN"/>
  </r>
  <r>
    <s v="ORD-2025-10547"/>
    <d v="2025-08-14T00:00:00"/>
    <d v="2025-08-22T00:00:00"/>
    <n v="8"/>
    <s v="OK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s v="OK"/>
    <n v="10911.32"/>
    <n v="6966.44"/>
    <n v="4395.17"/>
    <s v="Paid"/>
    <s v="Completed"/>
    <s v="OK"/>
    <n v="0.15"/>
    <x v="733"/>
    <n v="3944.88"/>
    <n v="0.36149999999999999"/>
    <n v="8"/>
    <n v="2025"/>
    <s v="CLEAN"/>
  </r>
  <r>
    <s v="ORD-2025-10550"/>
    <d v="2025-10-11T00:00:00"/>
    <d v="2025-10-13T00:00:00"/>
    <n v="2"/>
    <s v="OK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s v="OK"/>
    <n v="10271.530000000001"/>
    <n v="8272.24"/>
    <n v="1999.29"/>
    <s v="Paid"/>
    <s v="Completed"/>
    <s v="OK"/>
    <n v="0.1"/>
    <x v="734"/>
    <n v="1999.29"/>
    <n v="0.1946"/>
    <n v="10"/>
    <n v="2025"/>
    <s v="CLEAN"/>
  </r>
  <r>
    <s v="ORD-2025-10553"/>
    <d v="2025-01-24T00:00:00"/>
    <d v="2025-01-30T00:00:00"/>
    <n v="6"/>
    <s v="OK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s v="70%"/>
    <s v="INVALID-ABOVE"/>
    <n v="1875.18"/>
    <n v="1579.17"/>
    <n v="296.01"/>
    <s v="Paid"/>
    <s v="Completed"/>
    <s v="OK"/>
    <n v="0.7"/>
    <x v="735"/>
    <n v="-829.1"/>
    <n v="-1.1053999999999999"/>
    <n v="1"/>
    <n v="2025"/>
    <s v="INVALID"/>
  </r>
  <r>
    <s v="ORD-2025-10554"/>
    <d v="2025-04-25T00:00:00"/>
    <d v="2025-04-28T00:00:00"/>
    <n v="3"/>
    <s v="OK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s v="OK"/>
    <n v="8735.24"/>
    <n v="6620.07"/>
    <n v="2115.17"/>
    <s v="Paid"/>
    <s v="Completed"/>
    <s v="OK"/>
    <n v="0.25"/>
    <x v="736"/>
    <n v="2115.17"/>
    <n v="0.24210000000000001"/>
    <n v="4"/>
    <n v="2025"/>
    <s v="CLEAN"/>
  </r>
  <r>
    <s v="ORD-2025-10556"/>
    <d v="2025-04-02T00:00:00"/>
    <d v="2025-02-10T00:00:00"/>
    <n v="-51"/>
    <s v="INVALID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s v="OK"/>
    <n v="5943.96"/>
    <n v="3604.14"/>
    <n v="2339.8200000000002"/>
    <s v="Paid"/>
    <s v="Completed"/>
    <s v="OK"/>
    <n v="0.05"/>
    <x v="737"/>
    <n v="2339.8200000000002"/>
    <n v="0.39360000000000001"/>
    <n v="4"/>
    <n v="2025"/>
    <s v="INVALID"/>
  </r>
  <r>
    <s v="ORD-2025-10559"/>
    <d v="2025-09-04T00:00:00"/>
    <d v="2025-09-04T00:00:00"/>
    <n v="0"/>
    <s v="OK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s v="OK"/>
    <n v="19711.68"/>
    <n v="14461.8"/>
    <n v="5249.88"/>
    <s v="Paid"/>
    <s v="Completed"/>
    <s v="OK"/>
    <n v="0.2"/>
    <x v="738"/>
    <n v="5249.88"/>
    <n v="0.26629999999999998"/>
    <n v="9"/>
    <n v="2025"/>
    <s v="CLEAN"/>
  </r>
  <r>
    <s v="ORD-2025-10560"/>
    <d v="2025-09-30T00:00:00"/>
    <d v="2025-10-07T00:00:00"/>
    <n v="7"/>
    <s v="OK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s v="OK"/>
    <n v="14750.19"/>
    <n v="9482.58"/>
    <n v="5267.61"/>
    <s v="Paid"/>
    <s v="Returned"/>
    <s v="OK"/>
    <n v="0.1"/>
    <x v="739"/>
    <n v="5267.61"/>
    <n v="0.35709999999999997"/>
    <n v="9"/>
    <n v="2025"/>
    <s v="CLEAN"/>
  </r>
  <r>
    <s v="ORD-2025-10562"/>
    <d v="2025-07-14T00:00:00"/>
    <d v="2025-07-18T00:00:00"/>
    <n v="4"/>
    <s v="OK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s v="OK"/>
    <n v="2900.88"/>
    <n v="2391.85"/>
    <n v="509.03"/>
    <s v="Pending"/>
    <s v="Returned"/>
    <s v="OK"/>
    <n v="0"/>
    <x v="740"/>
    <n v="509.03"/>
    <n v="0.17549999999999999"/>
    <n v="7"/>
    <n v="2025"/>
    <s v="CLEAN"/>
  </r>
  <r>
    <s v="ORD-2025-10566"/>
    <d v="2025-08-07T00:00:00"/>
    <d v="2025-08-13T00:00:00"/>
    <n v="6"/>
    <s v="OK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s v="OK"/>
    <n v="9224.93"/>
    <n v="7005.2"/>
    <n v="2219.73"/>
    <s v="Refunded"/>
    <s v="Cancelled"/>
    <s v="OK"/>
    <n v="0.2"/>
    <x v="741"/>
    <n v="2219.73"/>
    <n v="0.24060000000000001"/>
    <n v="8"/>
    <n v="2025"/>
    <s v="CLEAN"/>
  </r>
  <r>
    <s v="ORD-2025-10570"/>
    <d v="2025-09-08T00:00:00"/>
    <d v="2025-09-10T00:00:00"/>
    <n v="2"/>
    <s v="OK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s v="OK"/>
    <n v="14630.26"/>
    <n v="11906.36"/>
    <n v="2723.9"/>
    <s v="Refunded"/>
    <s v="Returned"/>
    <s v="OK"/>
    <n v="0.25"/>
    <x v="742"/>
    <n v="2723.91"/>
    <n v="0.1862"/>
    <n v="9"/>
    <n v="2025"/>
    <s v="CLEAN"/>
  </r>
  <r>
    <s v="ORD-2025-10571"/>
    <d v="2025-08-18T00:00:00"/>
    <d v="2025-08-22T00:00:00"/>
    <n v="4"/>
    <s v="OK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s v="OK"/>
    <n v="8879.49"/>
    <n v="6344.57"/>
    <n v="2534.92"/>
    <s v="Failed"/>
    <s v="Returned"/>
    <s v="OK"/>
    <n v="0.25"/>
    <x v="743"/>
    <n v="2534.92"/>
    <n v="0.28549999999999998"/>
    <n v="8"/>
    <n v="2025"/>
    <s v="INVALID"/>
  </r>
  <r>
    <s v="ORD-2025-10572"/>
    <d v="2025-02-10T00:00:00"/>
    <d v="2025-02-14T00:00:00"/>
    <n v="4"/>
    <s v="OK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s v="OK"/>
    <n v="21381.45"/>
    <n v="13240.21"/>
    <n v="8141.24"/>
    <s v="Failed"/>
    <s v="Returned"/>
    <s v=" ORIGINAL"/>
    <n v="0"/>
    <x v="744"/>
    <n v="8141.24"/>
    <n v="0.38080000000000003"/>
    <n v="2"/>
    <n v="2025"/>
    <s v="INVALID"/>
  </r>
  <r>
    <s v="ORD-2025-10572"/>
    <d v="2025-02-10T00:00:00"/>
    <d v="2025-02-14T00:00:00"/>
    <n v="4"/>
    <s v="OK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s v="OK"/>
    <n v="21443.63"/>
    <n v="13240.21"/>
    <n v="8141.24"/>
    <s v="Failed"/>
    <s v="Completed"/>
    <s v="CONFLICTING DUPLICATE - REVIEW"/>
    <n v="0"/>
    <x v="744"/>
    <n v="8141.24"/>
    <n v="0.38080000000000003"/>
    <n v="2"/>
    <n v="2025"/>
    <s v="INVALID"/>
  </r>
  <r>
    <s v="ORD-2025-10574"/>
    <d v="2025-09-22T00:00:00"/>
    <d v="2025-09-26T00:00:00"/>
    <n v="4"/>
    <s v="OK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s v="OK"/>
    <n v="573.65"/>
    <n v="322.67"/>
    <n v="250.98"/>
    <s v="Paid"/>
    <s v="Completed"/>
    <s v="OK"/>
    <n v="0"/>
    <x v="745"/>
    <n v="250.98"/>
    <n v="0.4375"/>
    <n v="9"/>
    <n v="2025"/>
    <s v="CLEAN"/>
  </r>
  <r>
    <s v="ORD-2025-10576"/>
    <d v="2025-03-11T00:00:00"/>
    <d v="2025-03-14T00:00:00"/>
    <n v="3"/>
    <s v="OK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s v="OK"/>
    <n v="3983.42"/>
    <n v="3174.91"/>
    <n v="808.51"/>
    <s v="Failed"/>
    <s v="Returned"/>
    <s v="OK"/>
    <n v="0.2"/>
    <x v="746"/>
    <n v="808.51"/>
    <n v="0.20300000000000001"/>
    <n v="3"/>
    <n v="2025"/>
    <s v="INVALID"/>
  </r>
  <r>
    <s v="ORD-2025-10578"/>
    <d v="2025-08-28T00:00:00"/>
    <d v="2025-09-03T00:00:00"/>
    <n v="6"/>
    <s v="OK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s v="OK"/>
    <n v="1879.15"/>
    <n v="1134.9000000000001"/>
    <n v="744.25"/>
    <s v="Paid"/>
    <s v="Completed"/>
    <s v="OK"/>
    <n v="0"/>
    <x v="747"/>
    <n v="744.25"/>
    <n v="0.39610000000000001"/>
    <n v="8"/>
    <n v="2025"/>
    <s v="CLEAN"/>
  </r>
  <r>
    <s v="ORD-2025-10581"/>
    <d v="2025-06-03T00:00:00"/>
    <d v="2025-03-13T00:00:00"/>
    <n v="-82"/>
    <s v="INVALID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s v="OK"/>
    <n v="417.49"/>
    <n v="261.67"/>
    <n v="155.82"/>
    <s v="Failed"/>
    <s v="Returned"/>
    <s v="OK"/>
    <n v="0.15"/>
    <x v="748"/>
    <n v="155.82"/>
    <n v="0.37319999999999998"/>
    <n v="6"/>
    <n v="2025"/>
    <s v="INVALID"/>
  </r>
  <r>
    <s v="ORD-2025-10582"/>
    <d v="2025-08-09T00:00:00"/>
    <d v="2025-08-10T00:00:00"/>
    <n v="1"/>
    <s v="OK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s v="OK"/>
    <n v="16323.8"/>
    <n v="9965.7900000000009"/>
    <n v="6358.01"/>
    <s v="Refunded"/>
    <s v="Returned"/>
    <s v="OK"/>
    <n v="0"/>
    <x v="749"/>
    <n v="6358.01"/>
    <n v="0.38950000000000001"/>
    <n v="8"/>
    <n v="2025"/>
    <s v="CLEAN"/>
  </r>
  <r>
    <s v="ORD-2025-10586"/>
    <d v="2025-06-22T00:00:00"/>
    <d v="2025-06-25T00:00:00"/>
    <n v="3"/>
    <s v="OK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s v="OK"/>
    <n v="27629.279999999999"/>
    <n v="22026.48"/>
    <n v="5602.8"/>
    <s v="Paid"/>
    <s v="Completed"/>
    <s v="OK"/>
    <n v="0"/>
    <x v="750"/>
    <n v="5602.8"/>
    <n v="0.20280000000000001"/>
    <n v="6"/>
    <n v="2025"/>
    <s v="CLEAN"/>
  </r>
  <r>
    <s v="ORD-2025-10587"/>
    <d v="2025-12-04T00:00:00"/>
    <d v="2025-04-12T00:00:00"/>
    <n v="-236"/>
    <s v="INVALID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s v="OK"/>
    <n v="7471.52"/>
    <n v="6184.32"/>
    <n v="1287.2"/>
    <s v="Paid"/>
    <s v="Completed"/>
    <s v="OK"/>
    <n v="0.2"/>
    <x v="751"/>
    <n v="1287.2"/>
    <n v="0.17230000000000001"/>
    <n v="12"/>
    <n v="2025"/>
    <s v="INVALID"/>
  </r>
  <r>
    <s v="ORD-2025-10588"/>
    <d v="2025-07-23T00:00:00"/>
    <d v="2025-07-31T00:00:00"/>
    <n v="8"/>
    <s v="OK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s v="OK"/>
    <n v="3615.76"/>
    <n v="2951.52"/>
    <n v="664.24"/>
    <s v="Refunded"/>
    <s v="Cancelled"/>
    <s v="OK"/>
    <n v="0.15"/>
    <x v="752"/>
    <n v="664.24"/>
    <n v="0.1837"/>
    <n v="7"/>
    <n v="2025"/>
    <s v="CLEAN"/>
  </r>
  <r>
    <s v="ORD-2025-10589"/>
    <d v="2025-03-11T00:00:00"/>
    <d v="2025-03-15T00:00:00"/>
    <n v="4"/>
    <s v="OK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s v="OK"/>
    <n v="32013.79"/>
    <n v="20896.88"/>
    <n v="11116.91"/>
    <s v="Refunded"/>
    <s v="Cancelled"/>
    <s v="OK"/>
    <n v="0.1"/>
    <x v="753"/>
    <n v="11116.91"/>
    <n v="0.3473"/>
    <n v="3"/>
    <n v="2025"/>
    <s v="CLEAN"/>
  </r>
  <r>
    <s v="ORD-2025-10594"/>
    <d v="2025-09-27T00:00:00"/>
    <d v="2025-09-29T00:00:00"/>
    <n v="2"/>
    <s v="OK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s v="OK"/>
    <n v="27675.74"/>
    <n v="15571.08"/>
    <n v="12104.66"/>
    <s v="Paid"/>
    <s v="Completed"/>
    <s v="OK"/>
    <n v="0.25"/>
    <x v="754"/>
    <n v="12104.66"/>
    <n v="0.43740000000000001"/>
    <n v="9"/>
    <n v="2025"/>
    <s v="CLEAN"/>
  </r>
  <r>
    <s v="ORD-2025-10596"/>
    <d v="2025-02-11T00:00:00"/>
    <d v="2025-02-16T00:00:00"/>
    <n v="5"/>
    <s v="OK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s v="OK"/>
    <n v="13144.03"/>
    <n v="9764"/>
    <n v="3380.03"/>
    <s v="Paid"/>
    <s v="Completed"/>
    <s v="OK"/>
    <n v="0.1"/>
    <x v="755"/>
    <n v="3380.03"/>
    <n v="0.25719999999999998"/>
    <n v="2"/>
    <n v="2025"/>
    <s v="CLEAN"/>
  </r>
  <r>
    <s v="ORD-2025-10598"/>
    <d v="2025-07-08T00:00:00"/>
    <d v="2025-07-08T00:00:00"/>
    <n v="0"/>
    <s v="OK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s v="OK"/>
    <n v="1855.44"/>
    <n v="1262.74"/>
    <n v="592.70000000000005"/>
    <s v="Paid"/>
    <s v="Completed"/>
    <s v="OK"/>
    <n v="0.25"/>
    <x v="756"/>
    <n v="592.70000000000005"/>
    <n v="0.31940000000000002"/>
    <n v="7"/>
    <n v="2025"/>
    <s v="CLEAN"/>
  </r>
  <r>
    <s v="ORD-2025-10601"/>
    <d v="2025-05-03T00:00:00"/>
    <d v="2025-03-12T00:00:00"/>
    <n v="-52"/>
    <s v="INVALID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s v="OK"/>
    <n v="11048.25"/>
    <n v="9062.7199999999993"/>
    <n v="1985.53"/>
    <s v="Paid"/>
    <s v="Completed"/>
    <s v="OK"/>
    <n v="0"/>
    <x v="757"/>
    <n v="1985.53"/>
    <n v="0.1797"/>
    <n v="5"/>
    <n v="2025"/>
    <s v="INVALID"/>
  </r>
  <r>
    <s v="ORD-2025-10604"/>
    <d v="2025-01-03T00:00:00"/>
    <d v="2025-11-01T00:00:00"/>
    <n v="302"/>
    <s v="OK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s v="OK"/>
    <n v="19564.599999999999"/>
    <n v="11154.59"/>
    <n v="8410.01"/>
    <s v="Pending"/>
    <s v="Cancelled"/>
    <s v="OK"/>
    <n v="0.05"/>
    <x v="758"/>
    <n v="8410.01"/>
    <n v="0.4299"/>
    <n v="1"/>
    <n v="2025"/>
    <s v="CLEAN"/>
  </r>
  <r>
    <s v="ORD-2025-10605"/>
    <d v="2025-05-02T00:00:00"/>
    <d v="2025-02-06T00:00:00"/>
    <n v="-85"/>
    <s v="INVALID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s v="OK"/>
    <n v="3228.9"/>
    <n v="1853.23"/>
    <n v="1375.67"/>
    <s v="Paid"/>
    <s v="Completed"/>
    <s v="OK"/>
    <n v="0"/>
    <x v="759"/>
    <n v="1375.67"/>
    <n v="0.42599999999999999"/>
    <n v="5"/>
    <n v="2025"/>
    <s v="INVALID"/>
  </r>
  <r>
    <s v="ORD-2025-10606"/>
    <d v="2025-07-09T00:00:00"/>
    <d v="2025-07-13T00:00:00"/>
    <n v="4"/>
    <s v="OK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85%"/>
    <s v="INVALID-ABOVE"/>
    <n v="7560.04"/>
    <n v="6448.05"/>
    <n v="1111.99"/>
    <s v="Paid"/>
    <s v="Cancelled"/>
    <s v="OK"/>
    <n v="0.85"/>
    <x v="760"/>
    <n v="-5188.04"/>
    <n v="-4.1174999999999997"/>
    <n v="7"/>
    <n v="2025"/>
    <s v="INVALID"/>
  </r>
  <r>
    <s v="ORD-2025-10607"/>
    <d v="2025-02-22T00:00:00"/>
    <d v="2025-02-28T00:00:00"/>
    <n v="6"/>
    <s v="OK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s v="OK"/>
    <n v="8754.32"/>
    <n v="6238.9"/>
    <n v="2515.42"/>
    <s v="Paid"/>
    <s v="Completed"/>
    <s v="OK"/>
    <n v="0.25"/>
    <x v="761"/>
    <n v="2515.42"/>
    <n v="0.2873"/>
    <n v="2"/>
    <n v="2025"/>
    <s v="CLEAN"/>
  </r>
  <r>
    <s v="ORD-2025-10608"/>
    <d v="2025-02-16T00:00:00"/>
    <d v="2025-02-22T00:00:00"/>
    <n v="6"/>
    <s v="OK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s v="OK"/>
    <n v="4057.35"/>
    <n v="2862.03"/>
    <n v="1195.32"/>
    <s v="Paid"/>
    <s v="Completed"/>
    <s v="OK"/>
    <n v="0.15"/>
    <x v="762"/>
    <n v="1195.32"/>
    <n v="0.29459999999999997"/>
    <n v="2"/>
    <n v="2025"/>
    <s v="CLEAN"/>
  </r>
  <r>
    <s v="ORD-2025-10610"/>
    <d v="2025-01-08T00:00:00"/>
    <d v="2025-12-01T00:00:00"/>
    <n v="327"/>
    <s v="OK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s v="OK"/>
    <n v="30362.36"/>
    <n v="25065.4"/>
    <n v="5296.96"/>
    <s v="Paid"/>
    <s v="Completed"/>
    <s v="OK"/>
    <n v="0"/>
    <x v="763"/>
    <n v="5296.96"/>
    <n v="0.17449999999999999"/>
    <n v="1"/>
    <n v="2025"/>
    <s v="CLEAN"/>
  </r>
  <r>
    <s v="ORD-2025-10612"/>
    <d v="2025-08-07T00:00:00"/>
    <d v="2025-07-15T00:00:00"/>
    <n v="-23"/>
    <s v="INVALID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s v="OK"/>
    <n v="4718.0200000000004"/>
    <n v="3908.23"/>
    <n v="809.79"/>
    <s v="Paid"/>
    <s v="Completed"/>
    <s v="OK"/>
    <n v="0.1"/>
    <x v="764"/>
    <n v="809.79"/>
    <n v="0.1716"/>
    <n v="8"/>
    <n v="2025"/>
    <s v="INVALID"/>
  </r>
  <r>
    <s v="ORD-2025-10613"/>
    <d v="2025-04-06T00:00:00"/>
    <d v="2025-04-13T00:00:00"/>
    <n v="7"/>
    <s v="OK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s v="OK"/>
    <n v="3844.01"/>
    <n v="2195.79"/>
    <n v="1648.22"/>
    <s v="Paid"/>
    <s v="Completed"/>
    <s v="OK"/>
    <n v="0"/>
    <x v="765"/>
    <n v="1648.22"/>
    <n v="0.42880000000000001"/>
    <n v="4"/>
    <n v="2025"/>
    <s v="WARNING"/>
  </r>
  <r>
    <s v="ORD-2025-10623"/>
    <d v="2025-01-29T00:00:00"/>
    <d v="2025-02-06T00:00:00"/>
    <n v="8"/>
    <s v="OK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s v="OK"/>
    <n v="10484.24"/>
    <n v="6680.15"/>
    <n v="3804.09"/>
    <s v="Paid"/>
    <s v="Completed"/>
    <s v="OK"/>
    <n v="0.05"/>
    <x v="766"/>
    <n v="3804.09"/>
    <n v="0.36280000000000001"/>
    <n v="1"/>
    <n v="2025"/>
    <s v="CLEAN"/>
  </r>
  <r>
    <s v="ORD-2025-10627"/>
    <d v="2025-04-06T00:00:00"/>
    <d v="2025-06-07T00:00:00"/>
    <n v="62"/>
    <s v="OK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s v="OK"/>
    <n v="11473.04"/>
    <n v="8931.33"/>
    <n v="2541.71"/>
    <s v="Pending"/>
    <s v="Returned"/>
    <s v="OK"/>
    <n v="0"/>
    <x v="767"/>
    <n v="2541.71"/>
    <n v="0.2215"/>
    <n v="4"/>
    <n v="2025"/>
    <s v="CLEAN"/>
  </r>
  <r>
    <s v="ORD-2025-10628"/>
    <d v="2025-02-13T00:00:00"/>
    <d v="2025-02-21T00:00:00"/>
    <n v="8"/>
    <s v="OK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s v="OK"/>
    <n v="4012.03"/>
    <n v="3142.92"/>
    <n v="869.11"/>
    <s v="Pending"/>
    <s v="Cancelled"/>
    <s v="OK"/>
    <n v="0.15"/>
    <x v="768"/>
    <n v="869.11"/>
    <n v="0.21659999999999999"/>
    <n v="2"/>
    <n v="2025"/>
    <s v="CLEAN"/>
  </r>
  <r>
    <s v="ORD-2025-10629"/>
    <d v="2025-10-05T00:00:00"/>
    <d v="2025-10-12T00:00:00"/>
    <n v="7"/>
    <s v="OK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s v="OK"/>
    <n v="5364.36"/>
    <n v="4391.29"/>
    <n v="973.07"/>
    <s v="Paid"/>
    <s v="Completed"/>
    <s v="OK"/>
    <n v="0.05"/>
    <x v="769"/>
    <n v="973.07"/>
    <n v="0.18140000000000001"/>
    <n v="10"/>
    <n v="2025"/>
    <s v="CLEAN"/>
  </r>
  <r>
    <s v="ORD-2025-10630"/>
    <d v="2025-09-10T00:00:00"/>
    <d v="2025-09-14T00:00:00"/>
    <n v="4"/>
    <s v="OK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s v="OK"/>
    <n v="10706.07"/>
    <n v="5927.1"/>
    <n v="4778.97"/>
    <s v="Paid"/>
    <s v="Completed"/>
    <s v="OK"/>
    <n v="0.15"/>
    <x v="770"/>
    <n v="4778.97"/>
    <n v="0.44640000000000002"/>
    <n v="9"/>
    <n v="2025"/>
    <s v="CLEAN"/>
  </r>
  <r>
    <s v="ORD-2025-10633"/>
    <d v="2025-04-15T00:00:00"/>
    <d v="2025-04-16T00:00:00"/>
    <n v="1"/>
    <s v="OK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s v="OK"/>
    <n v="14252.65"/>
    <n v="11558.31"/>
    <n v="2694.34"/>
    <s v="Paid"/>
    <s v="Completed"/>
    <s v="OK"/>
    <n v="0"/>
    <x v="771"/>
    <n v="2694.34"/>
    <n v="0.189"/>
    <n v="4"/>
    <n v="2025"/>
    <s v="CLEAN"/>
  </r>
  <r>
    <s v="ORD-2025-10634"/>
    <d v="2025-04-18T00:00:00"/>
    <d v="2025-04-20T00:00:00"/>
    <n v="2"/>
    <s v="OK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s v="OK"/>
    <n v="1382.17"/>
    <n v="810.03"/>
    <n v="572.14"/>
    <s v="Paid"/>
    <s v="Completed"/>
    <s v="OK"/>
    <n v="0.15"/>
    <x v="772"/>
    <n v="572.14"/>
    <n v="0.41389999999999999"/>
    <n v="4"/>
    <n v="2025"/>
    <s v="CLEAN"/>
  </r>
  <r>
    <s v="ORD-2025-10635"/>
    <d v="2025-01-11T00:00:00"/>
    <d v="2025-01-12T00:00:00"/>
    <n v="1"/>
    <s v="OK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s v="OK"/>
    <n v="9223.17"/>
    <n v="5103.7"/>
    <n v="4119.47"/>
    <s v="Paid"/>
    <s v="Completed"/>
    <s v="OK"/>
    <n v="0.05"/>
    <x v="773"/>
    <n v="4119.47"/>
    <n v="0.4466"/>
    <n v="1"/>
    <n v="2025"/>
    <s v="CLEAN"/>
  </r>
  <r>
    <s v="ORD-2025-10641"/>
    <d v="2025-01-14T00:00:00"/>
    <d v="2025-01-17T00:00:00"/>
    <n v="3"/>
    <s v="OK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s v="OK"/>
    <n v="1267.3"/>
    <n v="923.53"/>
    <n v="343.77"/>
    <s v="Paid"/>
    <s v="Completed"/>
    <s v="OK"/>
    <n v="0.2"/>
    <x v="774"/>
    <n v="343.77"/>
    <n v="0.27129999999999999"/>
    <n v="1"/>
    <n v="2025"/>
    <s v="CLEAN"/>
  </r>
  <r>
    <s v="ORD-2025-10642"/>
    <d v="2025-04-09T00:00:00"/>
    <d v="2025-04-14T00:00:00"/>
    <n v="5"/>
    <s v="OK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s v="OK"/>
    <n v="6405.74"/>
    <n v="3561.87"/>
    <n v="2843.87"/>
    <s v="Paid"/>
    <s v="Completed"/>
    <s v="OK"/>
    <n v="0"/>
    <x v="775"/>
    <n v="2843.87"/>
    <n v="0.44400000000000001"/>
    <n v="4"/>
    <n v="2025"/>
    <s v="CLEAN"/>
  </r>
  <r>
    <s v="ORD-2025-10645"/>
    <d v="2025-04-10T00:00:00"/>
    <d v="2025-04-17T00:00:00"/>
    <n v="7"/>
    <s v="OK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s v="OK"/>
    <n v="14250.08"/>
    <n v="10914.92"/>
    <n v="3335.16"/>
    <s v="Paid"/>
    <s v="Completed"/>
    <s v="OK"/>
    <n v="0.05"/>
    <x v="776"/>
    <n v="3335.16"/>
    <n v="0.23400000000000001"/>
    <n v="4"/>
    <n v="2025"/>
    <s v="CLEAN"/>
  </r>
  <r>
    <s v="ORD-2025-10648"/>
    <d v="2025-01-01T00:00:00"/>
    <d v="2025-09-01T00:00:00"/>
    <n v="243"/>
    <s v="OK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s v="OK"/>
    <n v="14441.91"/>
    <n v="10872.89"/>
    <n v="3569.02"/>
    <s v="Paid"/>
    <s v="Completed"/>
    <s v="OK"/>
    <n v="0.15"/>
    <x v="777"/>
    <n v="3569.02"/>
    <n v="0.24709999999999999"/>
    <n v="1"/>
    <n v="2025"/>
    <s v="CLEAN"/>
  </r>
  <r>
    <s v="ORD-2025-10650"/>
    <d v="2025-08-11T00:00:00"/>
    <d v="2025-08-19T00:00:00"/>
    <n v="8"/>
    <s v="OK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s v="OK"/>
    <n v="6776.88"/>
    <n v="3836.24"/>
    <n v="2940.64"/>
    <s v="Paid"/>
    <s v="Completed"/>
    <s v="OK"/>
    <n v="0.25"/>
    <x v="778"/>
    <n v="2940.64"/>
    <n v="0.43390000000000001"/>
    <n v="8"/>
    <n v="2025"/>
    <s v="CLEAN"/>
  </r>
  <r>
    <s v="ORD-2025-10652"/>
    <d v="2025-08-06T00:00:00"/>
    <d v="2025-09-08T00:00:00"/>
    <n v="33"/>
    <s v="OK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s v="OK"/>
    <n v="1795.65"/>
    <n v="996.72"/>
    <n v="798.93"/>
    <s v="Paid"/>
    <s v="Completed"/>
    <s v="OK"/>
    <n v="0"/>
    <x v="779"/>
    <n v="798.93"/>
    <n v="0.44490000000000002"/>
    <n v="8"/>
    <n v="2025"/>
    <s v="CLEAN"/>
  </r>
  <r>
    <s v="ORD-2025-10653"/>
    <d v="2025-03-17T00:00:00"/>
    <d v="2025-03-21T00:00:00"/>
    <n v="4"/>
    <s v="OK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s v="OK"/>
    <n v="18362.509999999998"/>
    <n v="11133.97"/>
    <n v="7228.54"/>
    <s v="Paid"/>
    <s v="Completed"/>
    <s v="OK"/>
    <n v="0.15"/>
    <x v="780"/>
    <n v="7228.54"/>
    <n v="0.39369999999999999"/>
    <n v="3"/>
    <n v="2025"/>
    <s v="CLEAN"/>
  </r>
  <r>
    <s v="ORD-2025-10654"/>
    <d v="2025-04-04T00:00:00"/>
    <d v="2025-04-07T00:00:00"/>
    <n v="3"/>
    <s v="OK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s v="OK"/>
    <n v="26524.68"/>
    <n v="20574.3"/>
    <n v="5950.38"/>
    <s v="Paid"/>
    <s v="Completed"/>
    <s v="OK"/>
    <n v="0.15"/>
    <x v="781"/>
    <n v="5950.38"/>
    <n v="0.2243"/>
    <n v="4"/>
    <n v="2025"/>
    <s v="CLEAN"/>
  </r>
  <r>
    <s v="ORD-2025-10655"/>
    <d v="2025-10-12T00:00:00"/>
    <d v="2025-10-16T00:00:00"/>
    <n v="4"/>
    <s v="OK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s v="OK"/>
    <n v="2056.0500000000002"/>
    <n v="1662.39"/>
    <n v="393.66"/>
    <s v="Paid"/>
    <s v="Completed"/>
    <s v="OK"/>
    <n v="0.2"/>
    <x v="782"/>
    <n v="393.66"/>
    <n v="0.1915"/>
    <n v="10"/>
    <n v="2025"/>
    <s v="CLEAN"/>
  </r>
  <r>
    <s v="ORD-2025-10656"/>
    <d v="2025-08-26T00:00:00"/>
    <d v="2025-08-26T00:00:00"/>
    <n v="0"/>
    <s v="OK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s v="OK"/>
    <n v="8607.2800000000007"/>
    <n v="5124.01"/>
    <n v="3483.27"/>
    <s v="Paid"/>
    <s v="Completed"/>
    <s v="OK"/>
    <n v="0"/>
    <x v="783"/>
    <n v="3483.27"/>
    <n v="0.4047"/>
    <n v="8"/>
    <n v="2025"/>
    <s v="CLEAN"/>
  </r>
  <r>
    <s v="ORD-2025-10658"/>
    <d v="2025-08-07T00:00:00"/>
    <d v="2025-08-10T00:00:00"/>
    <n v="3"/>
    <s v="OK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s v="OK"/>
    <n v="2033"/>
    <n v="1291.4100000000001"/>
    <n v="741.59"/>
    <s v="Paid"/>
    <s v="Completed"/>
    <s v="OK"/>
    <n v="0.2"/>
    <x v="784"/>
    <n v="741.59"/>
    <n v="0.36480000000000001"/>
    <n v="8"/>
    <n v="2025"/>
    <s v="CLEAN"/>
  </r>
  <r>
    <s v="ORD-2025-10659"/>
    <d v="2025-06-09T00:00:00"/>
    <d v="2025-06-12T00:00:00"/>
    <n v="3"/>
    <s v="OK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s v="OK"/>
    <n v="19966.939999999999"/>
    <n v="12690.83"/>
    <n v="7276.11"/>
    <s v="Refunded"/>
    <s v="Cancelled"/>
    <s v="OK"/>
    <n v="0"/>
    <x v="785"/>
    <n v="7276.11"/>
    <n v="0.3644"/>
    <n v="6"/>
    <n v="2025"/>
    <s v="WARNING"/>
  </r>
  <r>
    <s v="ORD-2025-10660"/>
    <d v="2025-01-21T00:00:00"/>
    <d v="2025-01-22T00:00:00"/>
    <n v="1"/>
    <s v="OK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s v="OK"/>
    <n v="710.9"/>
    <n v="513.88"/>
    <n v="197.02"/>
    <s v="Refunded"/>
    <s v="Cancelled"/>
    <s v="OK"/>
    <n v="0.2"/>
    <x v="786"/>
    <n v="197.02"/>
    <n v="0.27710000000000001"/>
    <n v="1"/>
    <n v="2025"/>
    <s v="CLEAN"/>
  </r>
  <r>
    <s v="ORD-2025-10661"/>
    <d v="2025-07-15T00:00:00"/>
    <d v="2025-07-15T00:00:00"/>
    <n v="0"/>
    <s v="OK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s v="OK"/>
    <n v="15994.48"/>
    <n v="9224.2800000000007"/>
    <n v="6770.2"/>
    <s v="Paid"/>
    <s v="Completed"/>
    <s v="OK"/>
    <n v="0.1"/>
    <x v="787"/>
    <n v="6770.2"/>
    <n v="0.42330000000000001"/>
    <n v="7"/>
    <n v="2025"/>
    <s v="CLEAN"/>
  </r>
  <r>
    <s v="ORD-2025-10666"/>
    <d v="2025-01-13T00:00:00"/>
    <d v="2025-01-13T00:00:00"/>
    <n v="0"/>
    <s v="OK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s v="OK"/>
    <n v="5698.4"/>
    <n v="3640.89"/>
    <n v="2057.5100000000002"/>
    <s v="Failed"/>
    <s v="Cancelled"/>
    <s v="OK"/>
    <n v="0.1"/>
    <x v="788"/>
    <n v="2057.5100000000002"/>
    <n v="0.36109999999999998"/>
    <n v="1"/>
    <n v="2025"/>
    <s v="INVALID"/>
  </r>
  <r>
    <s v="ORD-2025-10668"/>
    <d v="2025-05-20T00:00:00"/>
    <d v="2025-05-27T00:00:00"/>
    <n v="7"/>
    <s v="OK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s v="OK"/>
    <n v="3959.14"/>
    <n v="3239.53"/>
    <n v="719.61"/>
    <s v="Pending"/>
    <s v="Returned"/>
    <s v="OK"/>
    <n v="0"/>
    <x v="789"/>
    <n v="719.61"/>
    <n v="0.18179999999999999"/>
    <n v="5"/>
    <n v="2025"/>
    <s v="CLEAN"/>
  </r>
  <r>
    <s v="ORD-2025-10671"/>
    <d v="2025-02-02T00:00:00"/>
    <d v="2025-02-06T00:00:00"/>
    <n v="4"/>
    <s v="OK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s v="OK"/>
    <n v="6176.59"/>
    <n v="3560.96"/>
    <n v="2615.63"/>
    <s v="Paid"/>
    <s v="Completed"/>
    <s v="OK"/>
    <n v="0.1"/>
    <x v="790"/>
    <n v="2615.63"/>
    <n v="0.42349999999999999"/>
    <n v="2"/>
    <n v="2025"/>
    <s v="CLEAN"/>
  </r>
  <r>
    <s v="ORD-2025-10674"/>
    <d v="2025-02-13T00:00:00"/>
    <d v="2025-02-16T00:00:00"/>
    <n v="3"/>
    <s v="OK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s v="OK"/>
    <n v="13847.86"/>
    <n v="8471.7800000000007"/>
    <n v="5376.08"/>
    <s v="Paid"/>
    <s v="Completed"/>
    <s v="OK"/>
    <n v="0.15"/>
    <x v="791"/>
    <n v="5376.08"/>
    <n v="0.38819999999999999"/>
    <n v="2"/>
    <n v="2025"/>
    <s v="CLEAN"/>
  </r>
  <r>
    <s v="ORD-2025-10676"/>
    <d v="2025-07-06T00:00:00"/>
    <d v="2025-06-10T00:00:00"/>
    <n v="-26"/>
    <s v="INVALID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s v="OK"/>
    <n v="2889.78"/>
    <n v="1811.23"/>
    <n v="1078.55"/>
    <s v="Paid"/>
    <s v="Completed"/>
    <s v="OK"/>
    <n v="0"/>
    <x v="792"/>
    <n v="1078.55"/>
    <n v="0.37319999999999998"/>
    <n v="7"/>
    <n v="2025"/>
    <s v="INVALID"/>
  </r>
  <r>
    <s v="ORD-2025-10677"/>
    <d v="2025-09-11T00:00:00"/>
    <d v="2025-09-18T00:00:00"/>
    <n v="7"/>
    <s v="OK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s v="OK"/>
    <n v="20296.7"/>
    <n v="14920.87"/>
    <n v="5375.83"/>
    <s v="Paid"/>
    <s v="Completed"/>
    <s v="OK"/>
    <n v="0.15"/>
    <x v="793"/>
    <n v="5375.83"/>
    <n v="0.26490000000000002"/>
    <n v="9"/>
    <n v="2025"/>
    <s v="CLEAN"/>
  </r>
  <r>
    <s v="ORD-2025-10680"/>
    <d v="2025-08-16T00:00:00"/>
    <d v="2025-08-23T00:00:00"/>
    <n v="7"/>
    <s v="OK"/>
    <s v="CUST-2897"/>
    <s v="Rohan Mehta"/>
    <s v="Corporate"/>
    <x v="0"/>
    <s v="Punjab"/>
    <s v="Ludhiana"/>
    <s v="Technology"/>
    <s v="Copiers"/>
    <s v="Smart Copiers 579"/>
    <s v="Same Day"/>
    <n v="4"/>
    <n v="1410.57"/>
    <s v="70%"/>
    <s v="INVALID-ABOVE"/>
    <n v="5360.17"/>
    <n v="3881.51"/>
    <n v="1478.66"/>
    <s v="Refunded"/>
    <s v="Cancelled"/>
    <s v="OK"/>
    <n v="0.7"/>
    <x v="794"/>
    <n v="-2188.83"/>
    <n v="-1.2930999999999999"/>
    <n v="8"/>
    <n v="2025"/>
    <s v="INVALID"/>
  </r>
  <r>
    <s v="ORD-2025-10683"/>
    <d v="2025-02-05T00:00:00"/>
    <d v="2025-05-02T00:00:00"/>
    <n v="86"/>
    <s v="OK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n v="0"/>
    <s v="OK"/>
    <n v="7383.72"/>
    <n v="4113.66"/>
    <n v="3270.06"/>
    <s v="Paid"/>
    <s v="Completed"/>
    <s v="OK"/>
    <n v="0"/>
    <x v="795"/>
    <n v="3658.68"/>
    <n v="0.47070000000000001"/>
    <n v="2"/>
    <n v="2025"/>
    <s v="CLEAN"/>
  </r>
  <r>
    <s v="ORD-2025-10684"/>
    <d v="2025-07-20T00:00:00"/>
    <d v="2025-07-24T00:00:00"/>
    <n v="4"/>
    <s v="OK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s v="OK"/>
    <n v="7902.96"/>
    <n v="5512.03"/>
    <n v="2390.9299999999998"/>
    <s v="Refunded"/>
    <s v="Cancelled"/>
    <s v="OK"/>
    <n v="0.2"/>
    <x v="796"/>
    <n v="2390.9299999999998"/>
    <n v="0.30249999999999999"/>
    <n v="7"/>
    <n v="2025"/>
    <s v="CLEAN"/>
  </r>
  <r>
    <s v="ORD-2025-10685"/>
    <d v="2025-07-21T00:00:00"/>
    <d v="2025-07-21T00:00:00"/>
    <n v="0"/>
    <s v="OK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s v="OK"/>
    <n v="24621.24"/>
    <n v="17155.48"/>
    <n v="7465.76"/>
    <s v="Refunded"/>
    <s v="Cancelled"/>
    <s v="OK"/>
    <n v="0.2"/>
    <x v="797"/>
    <n v="7465.76"/>
    <n v="0.30320000000000003"/>
    <n v="7"/>
    <n v="2025"/>
    <s v="CLEAN"/>
  </r>
  <r>
    <s v="ORD-2025-10686"/>
    <d v="2025-10-01T00:00:00"/>
    <d v="2025-10-03T00:00:00"/>
    <n v="2"/>
    <s v="OK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s v="OK"/>
    <n v="6627.01"/>
    <n v="5606.79"/>
    <n v="1020.22"/>
    <s v="Failed"/>
    <s v="Cancelled"/>
    <s v="OK"/>
    <n v="0.55000000000000004"/>
    <x v="798"/>
    <n v="-2293.2800000000002"/>
    <n v="-0.69210000000000005"/>
    <n v="10"/>
    <n v="2025"/>
    <s v="INVALID"/>
  </r>
  <r>
    <s v="ORD-2025-10688"/>
    <d v="2025-10-08T00:00:00"/>
    <d v="2025-10-13T00:00:00"/>
    <n v="5"/>
    <s v="OK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s v="OK"/>
    <n v="688.2"/>
    <n v="497.68"/>
    <n v="190.52"/>
    <s v="Failed"/>
    <s v="Cancelled"/>
    <s v="OK"/>
    <n v="0"/>
    <x v="799"/>
    <n v="190.52"/>
    <n v="0.27679999999999999"/>
    <n v="10"/>
    <n v="2025"/>
    <s v="INVALID"/>
  </r>
  <r>
    <s v="ORD-2025-10689"/>
    <d v="2025-02-26T00:00:00"/>
    <d v="2025-02-27T00:00:00"/>
    <n v="1"/>
    <s v="OK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s v="OK"/>
    <n v="15492.07"/>
    <n v="12581.23"/>
    <n v="2910.84"/>
    <s v="Paid"/>
    <s v="Completed"/>
    <s v="OK"/>
    <n v="0.15"/>
    <x v="800"/>
    <n v="2910.84"/>
    <n v="0.18790000000000001"/>
    <n v="2"/>
    <n v="2025"/>
    <s v="CLEAN"/>
  </r>
  <r>
    <s v="ORD-2025-10693"/>
    <d v="2025-05-10T00:00:00"/>
    <d v="2025-10-10T00:00:00"/>
    <n v="153"/>
    <s v="OK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s v="OK"/>
    <n v="8516.4500000000007"/>
    <n v="5903.81"/>
    <n v="2612.64"/>
    <s v="Paid"/>
    <s v="Completed"/>
    <s v="OK"/>
    <n v="0.1"/>
    <x v="801"/>
    <n v="2612.64"/>
    <n v="0.30680000000000002"/>
    <n v="5"/>
    <n v="2025"/>
    <s v="CLEAN"/>
  </r>
  <r>
    <s v="ORD-2025-10694"/>
    <d v="2025-03-04T00:00:00"/>
    <d v="2025-04-11T00:00:00"/>
    <n v="38"/>
    <s v="OK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s v="OK"/>
    <n v="11826.84"/>
    <n v="8035.96"/>
    <n v="3790.88"/>
    <s v="Paid"/>
    <s v="Completed"/>
    <s v="OK"/>
    <n v="0.05"/>
    <x v="802"/>
    <n v="3790.88"/>
    <n v="0.32050000000000001"/>
    <n v="3"/>
    <n v="2025"/>
    <s v="CLEAN"/>
  </r>
  <r>
    <s v="ORD-2025-10695"/>
    <d v="2025-01-08T00:00:00"/>
    <d v="2025-09-08T00:00:00"/>
    <n v="243"/>
    <s v="OK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s v="OK"/>
    <n v="11629.02"/>
    <n v="9627.2099999999991"/>
    <n v="2001.81"/>
    <s v="Paid"/>
    <s v="Completed"/>
    <s v="OK"/>
    <n v="0.15"/>
    <x v="803"/>
    <n v="2001.81"/>
    <n v="0.1721"/>
    <n v="1"/>
    <n v="2025"/>
    <s v="CLEAN"/>
  </r>
  <r>
    <s v="ORD-2025-10697"/>
    <d v="2025-09-22T00:00:00"/>
    <d v="2025-09-25T00:00:00"/>
    <n v="3"/>
    <s v="OK"/>
    <s v="CUST-7812"/>
    <s v="Isha Nair"/>
    <s v="Small Business"/>
    <x v="2"/>
    <s v="Kerala"/>
    <s v="Kochi"/>
    <s v="Technology"/>
    <s v="Phones"/>
    <s v="Classic Phones 842"/>
    <s v="Unknown"/>
    <n v="4"/>
    <n v="1178.8399999999999"/>
    <n v="0.25"/>
    <s v="OK"/>
    <n v="3536.52"/>
    <n v="2102.41"/>
    <n v="1363.28"/>
    <s v="Paid"/>
    <s v="Completed"/>
    <s v="OK"/>
    <n v="0.25"/>
    <x v="804"/>
    <n v="1434.11"/>
    <n v="0.40550000000000003"/>
    <n v="9"/>
    <n v="2025"/>
    <s v="WARNING"/>
  </r>
  <r>
    <s v="ORD-2025-10698"/>
    <d v="2025-03-01T00:00:00"/>
    <d v="2025-07-03T00:00:00"/>
    <n v="124"/>
    <s v="OK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n v="0"/>
    <s v="OK"/>
    <n v="2977.54"/>
    <n v="1849.3"/>
    <n v="1128.24"/>
    <s v="Refunded"/>
    <s v="Returned"/>
    <s v="OK"/>
    <n v="0"/>
    <x v="805"/>
    <n v="2120.75"/>
    <n v="0.53420000000000001"/>
    <n v="3"/>
    <n v="2025"/>
    <s v="CLEAN"/>
  </r>
  <r>
    <s v="ORD-2025-10703"/>
    <d v="2025-02-02T00:00:00"/>
    <d v="2025-02-06T00:00:00"/>
    <n v="4"/>
    <s v="OK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s v="OK"/>
    <n v="2692.82"/>
    <n v="1820.08"/>
    <n v="872.74"/>
    <s v="Paid"/>
    <s v="Completed"/>
    <s v="OK"/>
    <n v="0.1"/>
    <x v="806"/>
    <n v="872.74"/>
    <n v="0.3241"/>
    <n v="2"/>
    <n v="2025"/>
    <s v="CLEAN"/>
  </r>
  <r>
    <s v="ORD-2025-10708"/>
    <d v="2025-06-24T00:00:00"/>
    <d v="2025-06-26T00:00:00"/>
    <n v="2"/>
    <s v="OK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s v="OK"/>
    <n v="16751.97"/>
    <n v="11678.32"/>
    <n v="5073.6499999999996"/>
    <s v="Paid"/>
    <s v="Completed"/>
    <s v="OK"/>
    <n v="0.55000000000000004"/>
    <x v="807"/>
    <n v="-3302.33"/>
    <n v="-0.39429999999999998"/>
    <n v="6"/>
    <n v="2025"/>
    <s v="CLEAN"/>
  </r>
  <r>
    <s v="ORD-2025-10709"/>
    <d v="2025-03-20T00:00:00"/>
    <d v="2025-03-26T00:00:00"/>
    <n v="6"/>
    <s v="OK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s v="OK"/>
    <n v="16559.11"/>
    <n v="13233.79"/>
    <n v="3325.32"/>
    <s v="Paid"/>
    <s v="Completed"/>
    <s v="OK"/>
    <n v="0.05"/>
    <x v="808"/>
    <n v="3325.32"/>
    <n v="0.20080000000000001"/>
    <n v="3"/>
    <n v="2025"/>
    <s v="CLEAN"/>
  </r>
  <r>
    <s v="ORD-2025-10710"/>
    <d v="2025-01-19T00:00:00"/>
    <d v="2025-01-23T00:00:00"/>
    <n v="4"/>
    <s v="OK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s v="OK"/>
    <n v="8110.09"/>
    <n v="6417.32"/>
    <n v="1692.77"/>
    <s v="Paid"/>
    <s v="Cancelled"/>
    <s v="OK"/>
    <n v="0.15"/>
    <x v="809"/>
    <n v="1692.77"/>
    <n v="0.2087"/>
    <n v="1"/>
    <n v="2025"/>
    <s v="CLEAN"/>
  </r>
  <r>
    <s v="ORD-2025-10712"/>
    <d v="2025-02-02T00:00:00"/>
    <d v="2025-02-02T00:00:00"/>
    <n v="0"/>
    <s v="OK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s v="OK"/>
    <n v="4110.41"/>
    <n v="2394.14"/>
    <n v="1716.27"/>
    <s v="Pending"/>
    <s v="Returned"/>
    <s v="OK"/>
    <n v="0.05"/>
    <x v="810"/>
    <n v="1716.27"/>
    <n v="0.41749999999999998"/>
    <n v="2"/>
    <n v="2025"/>
    <s v="CLEAN"/>
  </r>
  <r>
    <s v="ORD-2025-10714"/>
    <d v="2025-06-06T00:00:00"/>
    <d v="2025-06-10T00:00:00"/>
    <n v="4"/>
    <s v="OK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s v="OK"/>
    <n v="217.48"/>
    <n v="132.13"/>
    <n v="85.35"/>
    <s v="Paid"/>
    <s v="Completed"/>
    <s v="OK"/>
    <n v="0.25"/>
    <x v="811"/>
    <n v="85.35"/>
    <n v="0.39240000000000003"/>
    <n v="6"/>
    <n v="2025"/>
    <s v="CLEAN"/>
  </r>
  <r>
    <s v="ORD-2025-10715"/>
    <d v="2025-03-22T00:00:00"/>
    <d v="2025-03-23T00:00:00"/>
    <n v="1"/>
    <s v="OK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s v="OK"/>
    <n v="18675.18"/>
    <n v="13974.7"/>
    <n v="4700.4799999999996"/>
    <s v="Paid"/>
    <s v="Completed"/>
    <s v="OK"/>
    <n v="0"/>
    <x v="812"/>
    <n v="4700.4799999999996"/>
    <n v="0.25169999999999998"/>
    <n v="3"/>
    <n v="2025"/>
    <s v="CLEAN"/>
  </r>
  <r>
    <s v="ORD-2025-10716"/>
    <d v="2025-08-22T00:00:00"/>
    <d v="2025-08-27T00:00:00"/>
    <n v="5"/>
    <s v="OK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s v="OK"/>
    <n v="19901.63"/>
    <n v="15492.03"/>
    <n v="4409.6000000000004"/>
    <s v="Refunded"/>
    <s v="Cancelled"/>
    <s v="OK"/>
    <n v="0"/>
    <x v="813"/>
    <n v="4409.6000000000004"/>
    <n v="0.22159999999999999"/>
    <n v="8"/>
    <n v="2025"/>
    <s v="CLEAN"/>
  </r>
  <r>
    <s v="ORD-2025-10717"/>
    <d v="2025-08-26T00:00:00"/>
    <d v="2025-08-31T00:00:00"/>
    <n v="5"/>
    <s v="OK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s v="OK"/>
    <n v="2879.82"/>
    <n v="1824.88"/>
    <n v="1054.94"/>
    <s v="Paid"/>
    <s v="Completed"/>
    <s v="OK"/>
    <n v="0.15"/>
    <x v="814"/>
    <n v="1054.94"/>
    <n v="0.36630000000000001"/>
    <n v="8"/>
    <n v="2025"/>
    <s v="CLEAN"/>
  </r>
  <r>
    <s v="ORD-2025-10718"/>
    <d v="2025-12-10T00:00:00"/>
    <d v="2025-10-15T00:00:00"/>
    <n v="-56"/>
    <s v="INVALID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s v="OK"/>
    <n v="18712.22"/>
    <n v="11852.22"/>
    <n v="6860"/>
    <s v="Pending"/>
    <s v="Cancelled"/>
    <s v="OK"/>
    <n v="0.2"/>
    <x v="815"/>
    <n v="6860"/>
    <n v="0.36659999999999998"/>
    <n v="12"/>
    <n v="2025"/>
    <s v="INVALID"/>
  </r>
  <r>
    <s v="ORD-2025-10720"/>
    <d v="2025-09-08T00:00:00"/>
    <d v="2025-09-09T00:00:00"/>
    <n v="1"/>
    <s v="OK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s v="OK"/>
    <n v="3795.86"/>
    <n v="2264.92"/>
    <n v="1530.94"/>
    <s v="Paid"/>
    <s v="Completed"/>
    <s v="OK"/>
    <n v="0.2"/>
    <x v="816"/>
    <n v="1530.94"/>
    <n v="0.40329999999999999"/>
    <n v="9"/>
    <n v="2025"/>
    <s v="CLEAN"/>
  </r>
  <r>
    <s v="ORD-2025-10722"/>
    <d v="2025-06-19T00:00:00"/>
    <d v="2025-06-23T00:00:00"/>
    <n v="4"/>
    <s v="OK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s v="OK"/>
    <n v="13649.75"/>
    <n v="10288.030000000001"/>
    <n v="3361.72"/>
    <s v="Paid"/>
    <s v="Completed"/>
    <s v="OK"/>
    <n v="0"/>
    <x v="817"/>
    <n v="3361.72"/>
    <n v="0.24629999999999999"/>
    <n v="6"/>
    <n v="2025"/>
    <s v="CLEAN"/>
  </r>
  <r>
    <s v="ORD-2025-10724"/>
    <d v="2025-10-06T00:00:00"/>
    <d v="2025-10-13T00:00:00"/>
    <n v="7"/>
    <s v="OK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s v="OK"/>
    <n v="13634"/>
    <n v="9589.81"/>
    <n v="4044.19"/>
    <s v="Failed"/>
    <s v="Returned"/>
    <s v="OK"/>
    <n v="0.05"/>
    <x v="818"/>
    <n v="4044.19"/>
    <n v="0.29659999999999997"/>
    <n v="10"/>
    <n v="2025"/>
    <s v="INVALID"/>
  </r>
  <r>
    <s v="ORD-2025-10726"/>
    <d v="2025-10-05T00:00:00"/>
    <d v="2025-10-12T00:00:00"/>
    <n v="7"/>
    <s v="OK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s v="OK"/>
    <n v="14943.11"/>
    <n v="8521.5"/>
    <n v="6421.61"/>
    <s v="Paid"/>
    <s v="Completed"/>
    <s v="OK"/>
    <n v="0"/>
    <x v="819"/>
    <n v="6421.61"/>
    <n v="0.42970000000000003"/>
    <n v="10"/>
    <n v="2025"/>
    <s v="CLEAN"/>
  </r>
  <r>
    <s v="ORD-2025-10730"/>
    <d v="2025-05-17T00:00:00"/>
    <d v="2025-05-25T00:00:00"/>
    <n v="8"/>
    <s v="OK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s v="OK"/>
    <n v="9234.2099999999991"/>
    <n v="5516.52"/>
    <n v="3717.69"/>
    <s v="Paid"/>
    <s v="Completed"/>
    <s v="OK"/>
    <n v="0.15"/>
    <x v="820"/>
    <n v="3717.69"/>
    <n v="0.40260000000000001"/>
    <n v="5"/>
    <n v="2025"/>
    <s v="CLEAN"/>
  </r>
  <r>
    <s v="ORD-2025-10731"/>
    <d v="2025-06-19T00:00:00"/>
    <d v="2025-06-24T00:00:00"/>
    <n v="5"/>
    <s v="OK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s v="OK"/>
    <n v="2658.83"/>
    <n v="2226.9699999999998"/>
    <n v="431.86"/>
    <s v="Refunded"/>
    <s v="Returned"/>
    <s v="OK"/>
    <n v="0.15"/>
    <x v="821"/>
    <n v="431.86"/>
    <n v="0.16239999999999999"/>
    <n v="6"/>
    <n v="2025"/>
    <s v="CLEAN"/>
  </r>
  <r>
    <s v="ORD-2025-10739"/>
    <d v="2025-02-20T00:00:00"/>
    <d v="2025-02-22T00:00:00"/>
    <n v="2"/>
    <s v="OK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s v="OK"/>
    <n v="2188.19"/>
    <n v="1298.8399999999999"/>
    <n v="889.35"/>
    <s v="Paid"/>
    <s v="Completed"/>
    <s v="OK"/>
    <n v="0"/>
    <x v="822"/>
    <n v="889.35"/>
    <n v="0.40639999999999998"/>
    <n v="2"/>
    <n v="2025"/>
    <s v="CLEAN"/>
  </r>
  <r>
    <s v="ORD-2025-10742"/>
    <d v="2025-04-23T00:00:00"/>
    <d v="2025-04-25T00:00:00"/>
    <n v="2"/>
    <s v="OK"/>
    <s v="CUST-3285"/>
    <s v="Isha Nair"/>
    <s v="Home Office"/>
    <x v="2"/>
    <s v="Tamil Nadu"/>
    <s v="Chennai"/>
    <s v="Furniture"/>
    <s v="Chairs"/>
    <s v="Max Chairs 706"/>
    <s v="Second Class"/>
    <n v="3"/>
    <n v="2951.12"/>
    <n v="0"/>
    <s v="OK"/>
    <n v="7082.69"/>
    <n v="5596.34"/>
    <n v="1486.35"/>
    <s v="Paid"/>
    <s v="Cancelled"/>
    <s v="OK"/>
    <n v="0"/>
    <x v="823"/>
    <n v="3257.02"/>
    <n v="0.3679"/>
    <n v="4"/>
    <n v="2025"/>
    <s v="CLEAN"/>
  </r>
  <r>
    <s v="ORD-2025-10744"/>
    <d v="2025-02-12T00:00:00"/>
    <d v="2025-02-14T00:00:00"/>
    <n v="2"/>
    <s v="OK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s v="OK"/>
    <n v="2211.3000000000002"/>
    <n v="1735.64"/>
    <n v="475.66"/>
    <s v="Paid"/>
    <s v="Completed"/>
    <s v="OK"/>
    <n v="0.25"/>
    <x v="824"/>
    <n v="475.66"/>
    <n v="0.21510000000000001"/>
    <n v="2"/>
    <n v="2025"/>
    <s v="CLEAN"/>
  </r>
  <r>
    <s v="ORD-2025-10745"/>
    <d v="2025-08-17T00:00:00"/>
    <d v="2025-08-20T00:00:00"/>
    <n v="3"/>
    <s v="OK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s v="OK"/>
    <n v="12158.5"/>
    <n v="10260.07"/>
    <n v="1898.43"/>
    <s v="Paid"/>
    <s v="Cancelled"/>
    <s v="OK"/>
    <n v="0.1"/>
    <x v="825"/>
    <n v="1898.44"/>
    <n v="0.15609999999999999"/>
    <n v="8"/>
    <n v="2025"/>
    <s v="CLEAN"/>
  </r>
  <r>
    <s v="ORD-2025-10747"/>
    <d v="2025-01-04T00:00:00"/>
    <d v="2025-10-01T00:00:00"/>
    <n v="270"/>
    <s v="OK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s v="OK"/>
    <n v="8266.2099999999991"/>
    <n v="6236.32"/>
    <n v="2029.89"/>
    <s v="Paid"/>
    <s v="Completed"/>
    <s v="OK"/>
    <n v="0.2"/>
    <x v="826"/>
    <n v="2029.89"/>
    <n v="0.24560000000000001"/>
    <n v="1"/>
    <n v="2025"/>
    <s v="CLEAN"/>
  </r>
  <r>
    <s v="ORD-2025-10751"/>
    <d v="2025-06-02T00:00:00"/>
    <d v="2025-06-02T00:00:00"/>
    <n v="0"/>
    <s v="OK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s v="OK"/>
    <n v="26696.32"/>
    <n v="22724.52"/>
    <n v="3971.8"/>
    <s v="Paid"/>
    <s v="Completed"/>
    <s v="OK"/>
    <n v="0.15"/>
    <x v="827"/>
    <n v="3971.8"/>
    <n v="0.14879999999999999"/>
    <n v="6"/>
    <n v="2025"/>
    <s v="CLEAN"/>
  </r>
  <r>
    <s v="ORD-2025-10752"/>
    <d v="2025-07-18T00:00:00"/>
    <d v="2025-07-19T00:00:00"/>
    <n v="1"/>
    <s v="OK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s v="OK"/>
    <n v="8445.26"/>
    <n v="6937.6"/>
    <n v="1507.66"/>
    <s v="Paid"/>
    <s v="Completed"/>
    <s v="OK"/>
    <n v="0.05"/>
    <x v="828"/>
    <n v="1507.66"/>
    <n v="0.17849999999999999"/>
    <n v="7"/>
    <n v="2025"/>
    <s v="WARNING"/>
  </r>
  <r>
    <s v="ORD-2025-10755"/>
    <d v="2025-06-04T00:00:00"/>
    <d v="2025-06-04T00:00:00"/>
    <n v="0"/>
    <s v="OK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s v="OK"/>
    <n v="2674.02"/>
    <n v="2207.5700000000002"/>
    <n v="466.45"/>
    <s v="Paid"/>
    <s v="Completed"/>
    <s v="OK"/>
    <n v="0.25"/>
    <x v="829"/>
    <n v="466.45"/>
    <n v="0.1744"/>
    <n v="6"/>
    <n v="2025"/>
    <s v="CLEAN"/>
  </r>
  <r>
    <s v="ORD-2025-10756"/>
    <d v="2025-07-20T00:00:00"/>
    <d v="2025-07-24T00:00:00"/>
    <n v="4"/>
    <s v="OK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s v="OK"/>
    <n v="9926.9599999999991"/>
    <n v="7994.98"/>
    <n v="1931.98"/>
    <s v="Paid"/>
    <s v="Completed"/>
    <s v="OK"/>
    <n v="0.2"/>
    <x v="830"/>
    <n v="1931.98"/>
    <n v="0.1946"/>
    <n v="7"/>
    <n v="2025"/>
    <s v="CLEAN"/>
  </r>
  <r>
    <s v="ORD-2025-10758"/>
    <d v="2025-08-01T00:00:00"/>
    <d v="2025-08-03T00:00:00"/>
    <n v="2"/>
    <s v="OK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s v="OK"/>
    <n v="4285.76"/>
    <n v="2386.33"/>
    <n v="1899.43"/>
    <s v="Failed"/>
    <s v="Cancelled"/>
    <s v="OK"/>
    <n v="0.25"/>
    <x v="831"/>
    <n v="1899.43"/>
    <n v="0.44319999999999998"/>
    <n v="8"/>
    <n v="2025"/>
    <s v="INVALID"/>
  </r>
  <r>
    <s v="ORD-2025-10762"/>
    <d v="2025-08-27T00:00:00"/>
    <d v="2025-08-31T00:00:00"/>
    <n v="4"/>
    <s v="OK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s v="OK"/>
    <n v="7467.36"/>
    <n v="5010.6099999999997"/>
    <n v="2456.75"/>
    <s v="Paid"/>
    <s v="Completed"/>
    <s v="OK"/>
    <n v="0"/>
    <x v="832"/>
    <n v="2456.75"/>
    <n v="0.32900000000000001"/>
    <n v="8"/>
    <n v="2025"/>
    <s v="CLEAN"/>
  </r>
  <r>
    <s v="ORD-2025-10764"/>
    <d v="2025-08-23T00:00:00"/>
    <d v="2025-08-25T00:00:00"/>
    <n v="2"/>
    <s v="OK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s v="OK"/>
    <n v="16454.88"/>
    <n v="12081.54"/>
    <n v="4373.34"/>
    <s v="Paid"/>
    <s v="Completed"/>
    <s v="OK"/>
    <n v="0"/>
    <x v="833"/>
    <n v="4373.34"/>
    <n v="0.26579999999999998"/>
    <n v="8"/>
    <n v="2025"/>
    <s v="CLEAN"/>
  </r>
  <r>
    <s v="ORD-2025-10765"/>
    <d v="2025-04-13T00:00:00"/>
    <d v="2025-04-13T00:00:00"/>
    <n v="0"/>
    <s v="OK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s v="OK"/>
    <n v="25159.8"/>
    <n v="21606.83"/>
    <n v="3552.97"/>
    <s v="Paid"/>
    <s v="Completed"/>
    <s v="OK"/>
    <n v="0.05"/>
    <x v="834"/>
    <n v="3552.97"/>
    <n v="0.14119999999999999"/>
    <n v="4"/>
    <n v="2025"/>
    <s v="CLEAN"/>
  </r>
  <r>
    <s v="ORD-2025-10766"/>
    <d v="2025-06-29T00:00:00"/>
    <d v="2025-07-03T00:00:00"/>
    <n v="4"/>
    <s v="OK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s v="OK"/>
    <n v="1824.42"/>
    <n v="1214.8699999999999"/>
    <n v="609.54999999999995"/>
    <s v="Paid"/>
    <s v="Completed"/>
    <s v="OK"/>
    <n v="0"/>
    <x v="835"/>
    <n v="609.54999999999995"/>
    <n v="0.33410000000000001"/>
    <n v="6"/>
    <n v="2025"/>
    <s v="CLEAN"/>
  </r>
  <r>
    <s v="ORD-2025-10769"/>
    <d v="2025-04-02T00:00:00"/>
    <d v="2025-04-04T00:00:00"/>
    <n v="2"/>
    <s v="OK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s v="OK"/>
    <n v="14554.08"/>
    <n v="11166.84"/>
    <n v="3387.24"/>
    <s v="Paid"/>
    <s v="Completed"/>
    <s v="OK"/>
    <n v="0.1"/>
    <x v="836"/>
    <n v="3387.24"/>
    <n v="0.23269999999999999"/>
    <n v="4"/>
    <n v="2025"/>
    <s v="CLEAN"/>
  </r>
  <r>
    <s v="ORD-2025-10773"/>
    <d v="2025-07-15T00:00:00"/>
    <d v="2025-07-19T00:00:00"/>
    <n v="4"/>
    <s v="OK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s v="OK"/>
    <n v="3708.06"/>
    <n v="2760.29"/>
    <n v="947.77"/>
    <s v="Pending"/>
    <s v="Cancelled"/>
    <s v="OK"/>
    <n v="0.05"/>
    <x v="837"/>
    <n v="947.77"/>
    <n v="0.25559999999999999"/>
    <n v="7"/>
    <n v="2025"/>
    <s v="CLEAN"/>
  </r>
  <r>
    <s v="ORD-2025-10774"/>
    <d v="2025-02-21T00:00:00"/>
    <d v="2025-02-21T00:00:00"/>
    <n v="0"/>
    <s v="OK"/>
    <s v="CUST-4766"/>
    <s v="Karan Malhotra"/>
    <s v="Home Office"/>
    <x v="3"/>
    <s v="Gujarat"/>
    <s v="Ahmedabad"/>
    <s v="Technology"/>
    <s v="Phones"/>
    <s v="Basic Phones 753"/>
    <s v="Unknown"/>
    <n v="4"/>
    <n v="2945.07"/>
    <n v="0.2"/>
    <s v="OK"/>
    <n v="9424.2199999999993"/>
    <n v="6178.92"/>
    <n v="3245.3"/>
    <s v="Paid"/>
    <s v="Completed"/>
    <s v="OK"/>
    <n v="0.2"/>
    <x v="838"/>
    <n v="3245.3"/>
    <n v="0.34439999999999998"/>
    <n v="2"/>
    <n v="2025"/>
    <s v="WARNING"/>
  </r>
  <r>
    <s v="ORD-2025-10775"/>
    <d v="2025-07-08T00:00:00"/>
    <d v="2025-08-07T00:00:00"/>
    <n v="30"/>
    <s v="OK"/>
    <s v="CUST-1182"/>
    <s v="Kabir Singh"/>
    <s v="Consumer"/>
    <x v="3"/>
    <s v="Rajasthan"/>
    <s v="Udaipur"/>
    <s v="Technology"/>
    <s v="Machines"/>
    <s v="Smart Machines 789"/>
    <s v="Unknown"/>
    <n v="9"/>
    <n v="1076.75"/>
    <n v="0.2"/>
    <s v="OK"/>
    <n v="7752.6"/>
    <n v="4689.3"/>
    <n v="3063.3"/>
    <s v="Paid"/>
    <s v="Completed"/>
    <s v="OK"/>
    <n v="0.2"/>
    <x v="839"/>
    <n v="3063.3"/>
    <n v="0.39510000000000001"/>
    <n v="7"/>
    <n v="2025"/>
    <s v="WARNING"/>
  </r>
  <r>
    <s v="ORD-2025-10777"/>
    <d v="2025-08-06T00:00:00"/>
    <d v="2025-06-13T00:00:00"/>
    <n v="-54"/>
    <s v="INVALID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s v="OK"/>
    <n v="26999.91"/>
    <n v="17815.98"/>
    <n v="9183.93"/>
    <s v="Paid"/>
    <s v="Completed"/>
    <s v="OK"/>
    <n v="0"/>
    <x v="840"/>
    <n v="9183.93"/>
    <n v="0.34010000000000001"/>
    <n v="8"/>
    <n v="2025"/>
    <s v="INVALID"/>
  </r>
  <r>
    <s v="ORD-2025-10783"/>
    <d v="2025-03-14T00:00:00"/>
    <d v="2025-03-22T00:00:00"/>
    <n v="8"/>
    <s v="OK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s v="OK"/>
    <n v="1138.3699999999999"/>
    <n v="797.34"/>
    <n v="341.03"/>
    <s v="Paid"/>
    <s v="Completed"/>
    <s v="OK"/>
    <n v="0.15"/>
    <x v="841"/>
    <n v="341.03"/>
    <n v="0.29959999999999998"/>
    <n v="3"/>
    <n v="2025"/>
    <s v="CLEAN"/>
  </r>
  <r>
    <s v="ORD-2025-10785"/>
    <d v="2025-10-04T00:00:00"/>
    <d v="2025-10-05T00:00:00"/>
    <n v="1"/>
    <s v="OK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s v="OK"/>
    <n v="1589.08"/>
    <n v="1084.6600000000001"/>
    <n v="504.42"/>
    <s v="Paid"/>
    <s v="Completed"/>
    <s v="OK"/>
    <n v="0.05"/>
    <x v="842"/>
    <n v="504.42"/>
    <n v="0.31740000000000002"/>
    <n v="10"/>
    <n v="2025"/>
    <s v="CLEAN"/>
  </r>
  <r>
    <s v="ORD-2025-10787"/>
    <d v="2025-07-06T00:00:00"/>
    <d v="2025-07-08T00:00:00"/>
    <n v="2"/>
    <s v="OK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s v="OK"/>
    <n v="2718.71"/>
    <n v="2065.0500000000002"/>
    <n v="653.66"/>
    <s v="Refunded"/>
    <s v="Returned"/>
    <s v="OK"/>
    <n v="0.05"/>
    <x v="843"/>
    <n v="653.66"/>
    <n v="0.2404"/>
    <n v="7"/>
    <n v="2025"/>
    <s v="WARNING"/>
  </r>
  <r>
    <s v="ORD-2025-10790"/>
    <d v="2025-03-07T00:00:00"/>
    <d v="2025-03-08T00:00:00"/>
    <n v="1"/>
    <s v="OK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s v="OK"/>
    <n v="14149.92"/>
    <n v="9466.51"/>
    <n v="4683.41"/>
    <s v="Paid"/>
    <s v="Completed"/>
    <s v="OK"/>
    <n v="0"/>
    <x v="844"/>
    <n v="4683.41"/>
    <n v="0.33100000000000002"/>
    <n v="3"/>
    <n v="2025"/>
    <s v="WARNING"/>
  </r>
  <r>
    <s v="ORD-2025-10793"/>
    <d v="2025-06-04T00:00:00"/>
    <d v="2025-06-08T00:00:00"/>
    <n v="4"/>
    <s v="OK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s v="OK"/>
    <n v="2800.9"/>
    <n v="1735.98"/>
    <n v="1064.92"/>
    <s v="Paid"/>
    <s v="Returned"/>
    <s v="OK"/>
    <n v="0.2"/>
    <x v="845"/>
    <n v="1064.92"/>
    <n v="0.38019999999999998"/>
    <n v="6"/>
    <n v="2025"/>
    <s v="CLEAN"/>
  </r>
  <r>
    <s v="ORD-2025-10795"/>
    <d v="2025-06-22T00:00:00"/>
    <d v="2025-06-24T00:00:00"/>
    <n v="2"/>
    <s v="OK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s v="OK"/>
    <n v="7279.36"/>
    <n v="4870.3900000000003"/>
    <n v="2408.9699999999998"/>
    <s v="Paid"/>
    <s v="Completed"/>
    <s v="OK"/>
    <n v="0.15"/>
    <x v="846"/>
    <n v="2408.9699999999998"/>
    <n v="0.33090000000000003"/>
    <n v="6"/>
    <n v="2025"/>
    <s v="CLEAN"/>
  </r>
  <r>
    <s v="ORD-2025-10799"/>
    <d v="2025-07-11T00:00:00"/>
    <d v="2025-09-07T00:00:00"/>
    <n v="58"/>
    <s v="OK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s v="OK"/>
    <n v="15354.45"/>
    <n v="9656.5"/>
    <n v="5697.95"/>
    <s v="Paid"/>
    <s v="Completed"/>
    <s v="OK"/>
    <n v="0"/>
    <x v="847"/>
    <n v="5697.95"/>
    <n v="0.37109999999999999"/>
    <n v="7"/>
    <n v="2025"/>
    <s v="CLEAN"/>
  </r>
  <r>
    <s v="ORD-2025-10802"/>
    <d v="2025-10-08T00:00:00"/>
    <d v="2025-10-15T00:00:00"/>
    <n v="7"/>
    <s v="OK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s v="OK"/>
    <n v="8093.3"/>
    <n v="6052.43"/>
    <n v="2040.87"/>
    <s v="Pending"/>
    <s v="Cancelled"/>
    <s v="OK"/>
    <n v="0.2"/>
    <x v="848"/>
    <n v="2040.87"/>
    <n v="0.25219999999999998"/>
    <n v="10"/>
    <n v="2025"/>
    <s v="CLEAN"/>
  </r>
  <r>
    <s v="ORD-2025-10803"/>
    <d v="2025-02-16T00:00:00"/>
    <d v="2025-02-16T00:00:00"/>
    <n v="0"/>
    <s v="OK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s v="OK"/>
    <n v="8651.4599999999991"/>
    <n v="5254.62"/>
    <n v="3396.84"/>
    <s v="Failed"/>
    <s v="Returned"/>
    <s v="OK"/>
    <n v="0"/>
    <x v="849"/>
    <n v="3396.84"/>
    <n v="0.3926"/>
    <n v="2"/>
    <n v="2025"/>
    <s v="INVALID"/>
  </r>
  <r>
    <s v="ORD-2025-10805"/>
    <d v="2025-10-09T00:00:00"/>
    <d v="2025-09-18T00:00:00"/>
    <n v="-21"/>
    <s v="INVALID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s v="OK"/>
    <n v="1948.09"/>
    <n v="1507.08"/>
    <n v="441.01"/>
    <s v="Paid"/>
    <s v="Completed"/>
    <s v="OK"/>
    <n v="0.05"/>
    <x v="850"/>
    <n v="441.01"/>
    <n v="0.22639999999999999"/>
    <n v="10"/>
    <n v="2025"/>
    <s v="INVALID"/>
  </r>
  <r>
    <s v="ORD-2025-10806"/>
    <d v="2025-04-06T00:00:00"/>
    <d v="2025-07-04T00:00:00"/>
    <n v="89"/>
    <s v="OK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s v="OK"/>
    <n v="3045.09"/>
    <n v="2601.09"/>
    <n v="444"/>
    <s v="Paid"/>
    <s v="Completed"/>
    <s v="OK"/>
    <n v="0.25"/>
    <x v="851"/>
    <n v="444"/>
    <n v="0.14580000000000001"/>
    <n v="4"/>
    <n v="2025"/>
    <s v="CLEAN"/>
  </r>
  <r>
    <s v="ORD-2025-10808"/>
    <d v="2025-02-07T00:00:00"/>
    <d v="2025-02-08T00:00:00"/>
    <n v="1"/>
    <s v="OK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s v="OK"/>
    <n v="4379.3599999999997"/>
    <n v="3723.93"/>
    <n v="655.43"/>
    <s v="Paid"/>
    <s v="Completed"/>
    <s v="OK"/>
    <n v="0.1"/>
    <x v="852"/>
    <n v="655.43"/>
    <n v="0.1497"/>
    <n v="2"/>
    <n v="2025"/>
    <s v="CLEAN"/>
  </r>
  <r>
    <s v="ORD-2025-10809"/>
    <d v="2025-08-31T00:00:00"/>
    <d v="2025-08-28T00:00:00"/>
    <n v="-3"/>
    <s v="INVALID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s v="OK"/>
    <n v="5472.77"/>
    <n v="4477.33"/>
    <n v="995.44"/>
    <s v="Paid"/>
    <s v="Completed"/>
    <s v="OK"/>
    <n v="0.2"/>
    <x v="853"/>
    <n v="995.44"/>
    <n v="0.18190000000000001"/>
    <n v="8"/>
    <n v="2025"/>
    <s v="INVALID"/>
  </r>
  <r>
    <s v="ORD-2025-10810"/>
    <d v="2025-06-25T00:00:00"/>
    <d v="2025-06-25T00:00:00"/>
    <n v="0"/>
    <s v="OK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s v="OK"/>
    <n v="7377.1"/>
    <n v="5085.21"/>
    <n v="2291.89"/>
    <s v="Paid"/>
    <s v="Completed"/>
    <s v="OK"/>
    <n v="0.1"/>
    <x v="854"/>
    <n v="2291.89"/>
    <n v="0.31069999999999998"/>
    <n v="6"/>
    <n v="2025"/>
    <s v="WARNING"/>
  </r>
  <r>
    <s v="ORD-2025-10814"/>
    <d v="2025-04-06T00:00:00"/>
    <d v="2025-04-10T00:00:00"/>
    <n v="4"/>
    <s v="OK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s v="OK"/>
    <n v="2675.34"/>
    <n v="1595.87"/>
    <n v="1079.47"/>
    <s v="Paid"/>
    <s v="Completed"/>
    <s v="OK"/>
    <n v="0"/>
    <x v="855"/>
    <n v="1079.47"/>
    <n v="0.40350000000000003"/>
    <n v="4"/>
    <n v="2025"/>
    <s v="CLEAN"/>
  </r>
  <r>
    <s v="ORD-2025-10815"/>
    <d v="2025-08-06T00:00:00"/>
    <d v="2025-08-11T00:00:00"/>
    <n v="5"/>
    <s v="OK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s v="OK"/>
    <n v="3563.91"/>
    <n v="2639.7"/>
    <n v="924.21"/>
    <s v="Paid"/>
    <s v="Completed"/>
    <s v="OK"/>
    <n v="0.25"/>
    <x v="856"/>
    <n v="924.21"/>
    <n v="0.25929999999999997"/>
    <n v="8"/>
    <n v="2025"/>
    <s v="CLEAN"/>
  </r>
  <r>
    <s v="ORD-2025-10818"/>
    <d v="2025-04-05T00:00:00"/>
    <d v="2025-04-05T00:00:00"/>
    <n v="0"/>
    <s v="OK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s v="OK"/>
    <n v="8233.6"/>
    <n v="4713.79"/>
    <n v="3519.81"/>
    <s v="Paid"/>
    <s v="Completed"/>
    <s v="OK"/>
    <n v="0.25"/>
    <x v="857"/>
    <n v="3519.82"/>
    <n v="0.42749999999999999"/>
    <n v="4"/>
    <n v="2025"/>
    <s v="CLEAN"/>
  </r>
  <r>
    <s v="ORD-2025-10821"/>
    <d v="2025-06-02T00:00:00"/>
    <d v="2025-10-02T00:00:00"/>
    <n v="122"/>
    <s v="OK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s v="OK"/>
    <n v="511.31"/>
    <n v="436.43"/>
    <n v="74.88"/>
    <s v="Paid"/>
    <s v="Completed"/>
    <s v="OK"/>
    <n v="0.2"/>
    <x v="858"/>
    <n v="74.88"/>
    <n v="0.1464"/>
    <n v="6"/>
    <n v="2025"/>
    <s v="CLEAN"/>
  </r>
  <r>
    <s v="ORD-2025-10824"/>
    <d v="2025-01-06T00:00:00"/>
    <d v="2025-01-12T00:00:00"/>
    <n v="6"/>
    <s v="OK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s v="OK"/>
    <n v="1704.24"/>
    <n v="957.55"/>
    <n v="746.69"/>
    <s v="Paid"/>
    <s v="Completed"/>
    <s v="OK"/>
    <n v="0.15"/>
    <x v="859"/>
    <n v="746.69"/>
    <n v="0.43809999999999999"/>
    <n v="1"/>
    <n v="2025"/>
    <s v="CLEAN"/>
  </r>
  <r>
    <s v="ORD-2025-10825"/>
    <d v="2025-03-21T00:00:00"/>
    <d v="2025-03-22T00:00:00"/>
    <n v="1"/>
    <s v="OK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s v="OK"/>
    <n v="33719.22"/>
    <n v="28924.43"/>
    <n v="4794.79"/>
    <s v="Paid"/>
    <s v="Completed"/>
    <s v="OK"/>
    <n v="0.05"/>
    <x v="860"/>
    <n v="4794.79"/>
    <n v="0.14219999999999999"/>
    <n v="3"/>
    <n v="2025"/>
    <s v="CLEAN"/>
  </r>
  <r>
    <s v="ORD-2025-10826"/>
    <d v="2025-04-16T00:00:00"/>
    <d v="2025-04-17T00:00:00"/>
    <n v="1"/>
    <s v="OK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s v="OK"/>
    <n v="2720.17"/>
    <n v="1834.23"/>
    <n v="885.94"/>
    <s v="Paid"/>
    <s v="Completed"/>
    <s v="OK"/>
    <n v="0"/>
    <x v="861"/>
    <n v="885.94"/>
    <n v="0.32569999999999999"/>
    <n v="4"/>
    <n v="2025"/>
    <s v="CLEAN"/>
  </r>
  <r>
    <s v="ORD-2025-10827"/>
    <d v="2025-08-10T00:00:00"/>
    <d v="2025-08-14T00:00:00"/>
    <n v="4"/>
    <s v="OK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s v="OK"/>
    <n v="8213.02"/>
    <n v="5569.3"/>
    <n v="2643.72"/>
    <s v="Paid"/>
    <s v="Completed"/>
    <s v="OK"/>
    <n v="0.25"/>
    <x v="862"/>
    <n v="2643.73"/>
    <n v="0.32190000000000002"/>
    <n v="8"/>
    <n v="2025"/>
    <s v="CLEAN"/>
  </r>
  <r>
    <s v="ORD-2025-10829"/>
    <d v="2025-10-10T00:00:00"/>
    <d v="2025-11-10T00:00:00"/>
    <n v="31"/>
    <s v="OK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s v="OK"/>
    <n v="25216.53"/>
    <n v="14216.94"/>
    <n v="10999.59"/>
    <s v="Failed"/>
    <s v="Cancelled"/>
    <s v="OK"/>
    <n v="0.05"/>
    <x v="863"/>
    <n v="10999.59"/>
    <n v="0.43619999999999998"/>
    <n v="10"/>
    <n v="2025"/>
    <s v="INVALID"/>
  </r>
  <r>
    <s v="ORD-2025-10831"/>
    <d v="2025-07-15T00:00:00"/>
    <d v="2025-07-18T00:00:00"/>
    <n v="3"/>
    <s v="OK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s v="OK"/>
    <n v="12867.55"/>
    <n v="10068.94"/>
    <n v="2798.61"/>
    <s v="Paid"/>
    <s v="Completed"/>
    <s v="OK"/>
    <n v="0.1"/>
    <x v="864"/>
    <n v="2798.61"/>
    <n v="0.2175"/>
    <n v="7"/>
    <n v="2025"/>
    <s v="WARNING"/>
  </r>
  <r>
    <s v="ORD-2025-10832"/>
    <d v="2025-04-03T00:00:00"/>
    <d v="2025-03-04T00:00:00"/>
    <n v="-30"/>
    <s v="INVALID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s v="OK"/>
    <n v="26489.65"/>
    <n v="15818.46"/>
    <n v="10671.19"/>
    <s v="Failed"/>
    <s v="Returned"/>
    <s v="OK"/>
    <n v="0.15"/>
    <x v="865"/>
    <n v="10671.2"/>
    <n v="0.40279999999999999"/>
    <n v="4"/>
    <n v="2025"/>
    <s v="INVALID"/>
  </r>
  <r>
    <s v="ORD-2025-10833"/>
    <d v="2025-05-26T00:00:00"/>
    <d v="2025-05-28T00:00:00"/>
    <n v="2"/>
    <s v="OK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s v="OK"/>
    <n v="36782.269999999997"/>
    <n v="25902.81"/>
    <n v="10879.46"/>
    <s v="Paid"/>
    <s v="Completed"/>
    <s v="OK"/>
    <n v="0.05"/>
    <x v="866"/>
    <n v="10879.46"/>
    <n v="0.29580000000000001"/>
    <n v="5"/>
    <n v="2025"/>
    <s v="CLEAN"/>
  </r>
  <r>
    <s v="ORD-2025-10836"/>
    <d v="2025-09-26T00:00:00"/>
    <d v="2025-04-10T00:00:00"/>
    <n v="-169"/>
    <s v="INVALID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s v="OK"/>
    <n v="10038.77"/>
    <n v="5673.1"/>
    <n v="4365.67"/>
    <s v="Paid"/>
    <s v="Completed"/>
    <s v="OK"/>
    <n v="0.05"/>
    <x v="867"/>
    <n v="4365.67"/>
    <n v="0.43490000000000001"/>
    <n v="9"/>
    <n v="2025"/>
    <s v="INVALID"/>
  </r>
  <r>
    <s v="ORD-2025-10838"/>
    <d v="2025-09-27T00:00:00"/>
    <d v="2025-09-28T00:00:00"/>
    <n v="1"/>
    <s v="OK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s v="OK"/>
    <n v="9399.67"/>
    <n v="6540.37"/>
    <n v="2859.3"/>
    <s v="Paid"/>
    <s v="Completed"/>
    <s v="OK"/>
    <n v="0.25"/>
    <x v="868"/>
    <n v="2859.3"/>
    <n v="0.30420000000000003"/>
    <n v="9"/>
    <n v="2025"/>
    <s v="CLEAN"/>
  </r>
  <r>
    <s v="ORD-2025-10839"/>
    <d v="2025-04-03T00:00:00"/>
    <d v="2025-04-07T00:00:00"/>
    <n v="4"/>
    <s v="OK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s v="OK"/>
    <n v="1470.57"/>
    <n v="834.02"/>
    <n v="636.54999999999995"/>
    <s v="Paid"/>
    <s v="Returned"/>
    <s v="OK"/>
    <n v="0"/>
    <x v="869"/>
    <n v="636.54999999999995"/>
    <n v="0.43290000000000001"/>
    <n v="4"/>
    <n v="2025"/>
    <s v="CLEAN"/>
  </r>
  <r>
    <s v="ORD-2025-10841"/>
    <d v="2025-09-19T00:00:00"/>
    <d v="2025-09-19T00:00:00"/>
    <n v="0"/>
    <s v="OK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s v="OK"/>
    <n v="6336.44"/>
    <n v="4680.68"/>
    <n v="1655.76"/>
    <s v="Paid"/>
    <s v="Completed"/>
    <s v="OK"/>
    <n v="0"/>
    <x v="870"/>
    <n v="1655.76"/>
    <n v="0.26129999999999998"/>
    <n v="9"/>
    <n v="2025"/>
    <s v="CLEAN"/>
  </r>
  <r>
    <s v="ORD-2025-10842"/>
    <d v="2025-02-06T00:00:00"/>
    <d v="2025-02-12T00:00:00"/>
    <n v="6"/>
    <s v="OK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s v="OK"/>
    <n v="21850.83"/>
    <n v="16600.13"/>
    <n v="5250.7"/>
    <s v="Paid"/>
    <s v="Completed"/>
    <s v="OK"/>
    <n v="0.25"/>
    <x v="871"/>
    <n v="5250.7"/>
    <n v="0.24030000000000001"/>
    <n v="2"/>
    <n v="2025"/>
    <s v="CLEAN"/>
  </r>
  <r>
    <s v="ORD-2025-10844"/>
    <d v="2025-07-18T00:00:00"/>
    <d v="2025-07-25T00:00:00"/>
    <n v="7"/>
    <s v="OK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s v="INVALID-NEGATIVE"/>
    <n v="35905.68"/>
    <n v="23916.1"/>
    <n v="11989.58"/>
    <s v="Paid"/>
    <s v="Completed"/>
    <s v="OK"/>
    <n v="0"/>
    <x v="872"/>
    <n v="11989.58"/>
    <n v="0.33389999999999997"/>
    <n v="7"/>
    <n v="2025"/>
    <s v="INVALID"/>
  </r>
  <r>
    <s v="ORD-2025-10845"/>
    <d v="2025-01-20T00:00:00"/>
    <d v="2025-01-25T00:00:00"/>
    <n v="5"/>
    <s v="OK"/>
    <s v="CUST-2086"/>
    <s v="Aditi Sen"/>
    <s v="Home Office"/>
    <x v="3"/>
    <s v="Goa"/>
    <s v="Panaji"/>
    <s v="Office Supplies"/>
    <s v="Art"/>
    <s v="Pro Art 588"/>
    <s v="First Class"/>
    <n v="1"/>
    <n v="3515.15"/>
    <n v="0"/>
    <s v="OK"/>
    <n v="3515.15"/>
    <n v="2216.34"/>
    <n v="1298.81"/>
    <s v="Paid"/>
    <s v="Completed"/>
    <s v="OK"/>
    <n v="0"/>
    <x v="873"/>
    <n v="1298.81"/>
    <n v="0.3695"/>
    <n v="1"/>
    <n v="2025"/>
    <s v="CLEAN"/>
  </r>
  <r>
    <s v="ORD-2025-10848"/>
    <d v="2025-05-20T00:00:00"/>
    <d v="2025-05-22T00:00:00"/>
    <n v="2"/>
    <s v="OK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s v="OK"/>
    <n v="336.13"/>
    <n v="242.19"/>
    <n v="93.94"/>
    <s v="Paid"/>
    <s v="Completed"/>
    <s v="OK"/>
    <n v="0.2"/>
    <x v="874"/>
    <n v="93.94"/>
    <n v="0.27950000000000003"/>
    <n v="5"/>
    <n v="2025"/>
    <s v="CLEAN"/>
  </r>
  <r>
    <s v="ORD-2025-10849"/>
    <d v="2025-05-27T00:00:00"/>
    <d v="2025-05-29T00:00:00"/>
    <n v="2"/>
    <s v="OK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s v="OK"/>
    <n v="1308.26"/>
    <n v="1083.56"/>
    <n v="224.7"/>
    <s v="Paid"/>
    <s v="Completed"/>
    <s v="OK"/>
    <n v="0.25"/>
    <x v="875"/>
    <n v="224.7"/>
    <n v="0.17180000000000001"/>
    <n v="5"/>
    <n v="2025"/>
    <s v="CLEAN"/>
  </r>
  <r>
    <s v="ORD-2025-10854"/>
    <d v="2025-05-16T00:00:00"/>
    <d v="2025-05-22T00:00:00"/>
    <n v="6"/>
    <s v="OK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s v="OK"/>
    <n v="3710.72"/>
    <n v="3115.29"/>
    <n v="595.42999999999995"/>
    <s v="Paid"/>
    <s v="Completed"/>
    <s v="OK"/>
    <n v="0.2"/>
    <x v="876"/>
    <n v="595.42999999999995"/>
    <n v="0.1605"/>
    <n v="5"/>
    <n v="2025"/>
    <s v="CLEAN"/>
  </r>
  <r>
    <s v="ORD-2025-10855"/>
    <d v="2025-03-25T00:00:00"/>
    <d v="2025-04-02T00:00:00"/>
    <n v="8"/>
    <s v="OK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s v="OK"/>
    <n v="8487.83"/>
    <n v="5245.72"/>
    <n v="3242.11"/>
    <s v="Paid"/>
    <s v="Completed"/>
    <s v="OK"/>
    <n v="0.05"/>
    <x v="877"/>
    <n v="3242.11"/>
    <n v="0.38200000000000001"/>
    <n v="3"/>
    <n v="2025"/>
    <s v="CLEAN"/>
  </r>
  <r>
    <s v="ORD-2025-10862"/>
    <d v="2025-03-08T00:00:00"/>
    <d v="2025-03-09T00:00:00"/>
    <n v="1"/>
    <s v="OK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s v="OK"/>
    <n v="10898.18"/>
    <n v="6231.41"/>
    <n v="4666.7700000000004"/>
    <s v="Paid"/>
    <s v="Completed"/>
    <s v="OK"/>
    <n v="0.2"/>
    <x v="878"/>
    <n v="4666.7700000000004"/>
    <n v="0.42820000000000003"/>
    <n v="3"/>
    <n v="2025"/>
    <s v="CLEAN"/>
  </r>
  <r>
    <s v="ORD-2025-10863"/>
    <d v="2025-03-26T00:00:00"/>
    <d v="2025-03-31T00:00:00"/>
    <n v="5"/>
    <s v="OK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s v="OK"/>
    <n v="6975.7"/>
    <n v="4797.88"/>
    <n v="2177.8200000000002"/>
    <s v="Paid"/>
    <s v="Cancelled"/>
    <s v="OK"/>
    <n v="0"/>
    <x v="879"/>
    <n v="2177.8200000000002"/>
    <n v="0.31219999999999998"/>
    <n v="3"/>
    <n v="2025"/>
    <s v="CLEAN"/>
  </r>
  <r>
    <s v="ORD-2025-10864"/>
    <d v="2025-09-06T00:00:00"/>
    <d v="2025-09-08T00:00:00"/>
    <n v="2"/>
    <s v="OK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s v="OK"/>
    <n v="8811.69"/>
    <n v="6765.91"/>
    <n v="2045.78"/>
    <s v="Paid"/>
    <s v="Completed"/>
    <s v="OK"/>
    <n v="0"/>
    <x v="880"/>
    <n v="2045.78"/>
    <n v="0.23219999999999999"/>
    <n v="9"/>
    <n v="2025"/>
    <s v="CLEAN"/>
  </r>
  <r>
    <s v="ORD-2025-10865"/>
    <d v="2025-09-02T00:00:00"/>
    <d v="2025-05-09T00:00:00"/>
    <n v="-116"/>
    <s v="INVALID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s v="OK"/>
    <n v="17034.349999999999"/>
    <n v="14631.36"/>
    <n v="2402.9899999999998"/>
    <s v="Paid"/>
    <s v="Completed"/>
    <s v="OK"/>
    <n v="0"/>
    <x v="881"/>
    <n v="2402.9899999999998"/>
    <n v="0.1411"/>
    <n v="9"/>
    <n v="2025"/>
    <s v="INVALID"/>
  </r>
  <r>
    <s v="ORD-2025-10866"/>
    <d v="2025-06-02T00:00:00"/>
    <d v="2025-02-14T00:00:00"/>
    <n v="-108"/>
    <s v="INVALID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s v="OK"/>
    <n v="7984.08"/>
    <n v="5658.05"/>
    <n v="2326.0300000000002"/>
    <s v="Paid"/>
    <s v="Completed"/>
    <s v="OK"/>
    <n v="0"/>
    <x v="882"/>
    <n v="2326.0300000000002"/>
    <n v="0.2913"/>
    <n v="6"/>
    <n v="2025"/>
    <s v="INVALID"/>
  </r>
  <r>
    <s v="ORD-2025-10867"/>
    <d v="2025-02-26T00:00:00"/>
    <d v="2025-03-06T00:00:00"/>
    <n v="8"/>
    <s v="OK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s v="OK"/>
    <n v="21912.26"/>
    <n v="16367.78"/>
    <n v="5544.48"/>
    <s v="Pending"/>
    <s v="Cancelled"/>
    <s v="OK"/>
    <n v="0.2"/>
    <x v="883"/>
    <n v="5544.48"/>
    <n v="0.253"/>
    <n v="2"/>
    <n v="2025"/>
    <s v="CLEAN"/>
  </r>
  <r>
    <s v="ORD-2025-10869"/>
    <d v="2025-11-04T00:00:00"/>
    <d v="2025-04-15T00:00:00"/>
    <n v="-203"/>
    <s v="INVALID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s v="OK"/>
    <n v="1923.24"/>
    <n v="1093.6600000000001"/>
    <n v="829.58"/>
    <s v="Paid"/>
    <s v="Completed"/>
    <s v="OK"/>
    <n v="0.05"/>
    <x v="884"/>
    <n v="829.58"/>
    <n v="0.43130000000000002"/>
    <n v="11"/>
    <n v="2025"/>
    <s v="INVALID"/>
  </r>
  <r>
    <s v="ORD-2025-10870"/>
    <d v="2025-03-06T00:00:00"/>
    <d v="2025-07-03T00:00:00"/>
    <n v="119"/>
    <s v="OK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s v="OK"/>
    <n v="4301.91"/>
    <n v="2374.4"/>
    <n v="1927.51"/>
    <s v="Paid"/>
    <s v="Completed"/>
    <s v="OK"/>
    <n v="0.1"/>
    <x v="885"/>
    <n v="1927.51"/>
    <n v="0.4481"/>
    <n v="3"/>
    <n v="2025"/>
    <s v="WARNING"/>
  </r>
  <r>
    <s v="ORD-2025-10871"/>
    <d v="2025-06-06T00:00:00"/>
    <d v="2025-06-07T00:00:00"/>
    <n v="1"/>
    <s v="OK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s v="OK"/>
    <n v="22436.84"/>
    <n v="17454.669999999998"/>
    <n v="4982.17"/>
    <s v="Paid"/>
    <s v="Cancelled"/>
    <s v="OK"/>
    <n v="0.15"/>
    <x v="886"/>
    <n v="4982.17"/>
    <n v="0.22209999999999999"/>
    <n v="6"/>
    <n v="2025"/>
    <s v="CLEAN"/>
  </r>
  <r>
    <s v="ORD-2025-10874"/>
    <d v="2025-02-01T00:00:00"/>
    <d v="2025-08-02T00:00:00"/>
    <n v="182"/>
    <s v="OK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s v="OK"/>
    <n v="4487.83"/>
    <n v="2633.78"/>
    <n v="1854.05"/>
    <s v="Paid"/>
    <s v="Completed"/>
    <s v="OK"/>
    <n v="0.1"/>
    <x v="887"/>
    <n v="1854.05"/>
    <n v="0.41310000000000002"/>
    <n v="2"/>
    <n v="2025"/>
    <s v="CLEAN"/>
  </r>
  <r>
    <s v="ORD-2025-10875"/>
    <d v="2025-07-15T00:00:00"/>
    <d v="2025-07-16T00:00:00"/>
    <n v="1"/>
    <s v="OK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s v="OK"/>
    <n v="29829.09"/>
    <n v="20710.18"/>
    <n v="9118.91"/>
    <s v="Paid"/>
    <s v="Completed"/>
    <s v="OK"/>
    <n v="0.05"/>
    <x v="888"/>
    <n v="9118.91"/>
    <n v="0.30570000000000003"/>
    <n v="7"/>
    <n v="2025"/>
    <s v="CLEAN"/>
  </r>
  <r>
    <s v="ORD-2025-10878"/>
    <d v="2025-08-26T00:00:00"/>
    <d v="2025-09-03T00:00:00"/>
    <n v="8"/>
    <s v="OK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s v="OK"/>
    <n v="3641.54"/>
    <n v="2690.37"/>
    <n v="951.17"/>
    <s v="Paid"/>
    <s v="Completed"/>
    <s v="OK"/>
    <n v="0.1"/>
    <x v="889"/>
    <n v="951.17"/>
    <n v="0.26119999999999999"/>
    <n v="8"/>
    <n v="2025"/>
    <s v="CLEAN"/>
  </r>
  <r>
    <s v="ORD-2025-10880"/>
    <d v="2025-08-27T00:00:00"/>
    <d v="2025-08-28T00:00:00"/>
    <n v="1"/>
    <s v="OK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s v="OK"/>
    <n v="6028.35"/>
    <n v="4433.63"/>
    <n v="1594.72"/>
    <s v="Paid"/>
    <s v="Completed"/>
    <s v="OK"/>
    <n v="0.15"/>
    <x v="890"/>
    <n v="1594.72"/>
    <n v="0.26450000000000001"/>
    <n v="8"/>
    <n v="2025"/>
    <s v="CLEAN"/>
  </r>
  <r>
    <s v="ORD-2025-10883"/>
    <d v="2025-02-02T00:00:00"/>
    <d v="2025-02-10T00:00:00"/>
    <n v="8"/>
    <s v="OK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s v="OK"/>
    <n v="7649.8"/>
    <n v="4894.53"/>
    <n v="2755.27"/>
    <s v="Pending"/>
    <s v="Returned"/>
    <s v="OK"/>
    <n v="0"/>
    <x v="891"/>
    <n v="2755.27"/>
    <n v="0.36020000000000002"/>
    <n v="2"/>
    <n v="2025"/>
    <s v="CLEAN"/>
  </r>
  <r>
    <s v="ORD-2025-10884"/>
    <d v="2025-04-28T00:00:00"/>
    <d v="2025-05-01T00:00:00"/>
    <n v="3"/>
    <s v="OK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s v="OK"/>
    <n v="1620.87"/>
    <n v="1103.6099999999999"/>
    <n v="517.26"/>
    <s v="Paid"/>
    <s v="Completed"/>
    <s v="OK"/>
    <n v="0"/>
    <x v="892"/>
    <n v="517.26"/>
    <n v="0.31909999999999999"/>
    <n v="4"/>
    <n v="2025"/>
    <s v="CLEAN"/>
  </r>
  <r>
    <s v="ORD-2025-10885"/>
    <d v="2025-01-18T00:00:00"/>
    <d v="2025-01-25T00:00:00"/>
    <n v="7"/>
    <s v="OK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s v="OK"/>
    <n v="3567.52"/>
    <n v="2411.8000000000002"/>
    <n v="1155.72"/>
    <s v="Paid"/>
    <s v="Completed"/>
    <s v="OK"/>
    <n v="0.15"/>
    <x v="893"/>
    <n v="1155.72"/>
    <n v="0.32400000000000001"/>
    <n v="1"/>
    <n v="2025"/>
    <s v="CLEAN"/>
  </r>
  <r>
    <s v="ORD-2025-10887"/>
    <d v="2025-04-26T00:00:00"/>
    <d v="2025-03-05T00:00:00"/>
    <n v="-52"/>
    <s v="INVALID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s v="OK"/>
    <n v="23739.9"/>
    <n v="17716.52"/>
    <n v="6023.38"/>
    <s v="Paid"/>
    <s v="Cancelled"/>
    <s v="OK"/>
    <n v="0.15"/>
    <x v="894"/>
    <n v="6023.39"/>
    <n v="0.25369999999999998"/>
    <n v="4"/>
    <n v="2025"/>
    <s v="INVALID"/>
  </r>
  <r>
    <s v="ORD-2025-10889"/>
    <d v="2025-06-08T00:00:00"/>
    <d v="2025-07-08T00:00:00"/>
    <n v="30"/>
    <s v="OK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s v="OK"/>
    <n v="12685.1"/>
    <n v="10779.56"/>
    <n v="1905.54"/>
    <s v="Refunded"/>
    <s v="Cancelled"/>
    <s v="OK"/>
    <n v="0.1"/>
    <x v="895"/>
    <n v="1905.54"/>
    <n v="0.1502"/>
    <n v="6"/>
    <n v="2025"/>
    <s v="CLEAN"/>
  </r>
  <r>
    <s v="ORD-2025-10890"/>
    <d v="2025-03-10T00:00:00"/>
    <d v="2025-03-11T00:00:00"/>
    <n v="1"/>
    <s v="OK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s v="OK"/>
    <n v="5883.12"/>
    <n v="4647.91"/>
    <n v="1235.21"/>
    <s v="Paid"/>
    <s v="Returned"/>
    <s v="OK"/>
    <n v="0.25"/>
    <x v="896"/>
    <n v="1235.21"/>
    <n v="0.21"/>
    <n v="3"/>
    <n v="2025"/>
    <s v="CLEAN"/>
  </r>
  <r>
    <s v="ORD-2025-10893"/>
    <d v="2025-04-12T00:00:00"/>
    <d v="2025-04-18T00:00:00"/>
    <n v="6"/>
    <s v="OK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s v="OK"/>
    <n v="581.51"/>
    <n v="423.86"/>
    <n v="157.65"/>
    <s v="Paid"/>
    <s v="Completed"/>
    <s v="OK"/>
    <n v="0.2"/>
    <x v="897"/>
    <n v="157.65"/>
    <n v="0.27110000000000001"/>
    <n v="4"/>
    <n v="2025"/>
    <s v="CLEAN"/>
  </r>
  <r>
    <s v="ORD-2025-10898"/>
    <d v="2025-04-29T00:00:00"/>
    <d v="2025-05-03T00:00:00"/>
    <n v="4"/>
    <s v="OK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s v="OK"/>
    <n v="6789.27"/>
    <n v="5626.43"/>
    <n v="1162.8399999999999"/>
    <s v="Paid"/>
    <s v="Completed"/>
    <s v="OK"/>
    <n v="0.05"/>
    <x v="898"/>
    <n v="1162.8399999999999"/>
    <n v="0.17130000000000001"/>
    <n v="4"/>
    <n v="2025"/>
    <s v="CLEAN"/>
  </r>
  <r>
    <s v="ORD-2025-10900"/>
    <d v="2025-05-27T00:00:00"/>
    <d v="2025-06-03T00:00:00"/>
    <n v="7"/>
    <s v="OK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s v="OK"/>
    <n v="3304.05"/>
    <n v="2279.41"/>
    <n v="1024.6400000000001"/>
    <s v="Failed"/>
    <s v="Cancelled"/>
    <s v="OK"/>
    <n v="0.25"/>
    <x v="899"/>
    <n v="1024.6400000000001"/>
    <n v="0.31009999999999999"/>
    <n v="5"/>
    <n v="2025"/>
    <s v="INVALID"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x v="90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d v="2024-07-21T00:00:00"/>
    <d v="2024-07-27T00:00:00"/>
    <n v="6"/>
    <s v="OK"/>
    <s v="CUST-4655"/>
    <s v="Karan Malhotra"/>
    <x v="0"/>
    <x v="0"/>
    <s v="Rajasthan"/>
    <s v="Jaipur"/>
    <x v="0"/>
    <x v="0"/>
    <s v="Pro Paper 122"/>
    <x v="0"/>
    <n v="8"/>
    <n v="2976.45"/>
    <n v="0.2"/>
    <s v="OK"/>
    <n v="19049.28"/>
    <n v="15841.89"/>
    <n v="3207.39"/>
    <x v="0"/>
    <x v="0"/>
    <s v="OK"/>
    <n v="0.2"/>
    <n v="19049.28"/>
    <n v="3207.39"/>
    <n v="0.16839999999999999"/>
    <x v="0"/>
    <x v="0"/>
    <s v="CLEAN"/>
  </r>
  <r>
    <x v="1"/>
    <d v="2024-08-31T00:00:00"/>
    <d v="2024-09-05T00:00:00"/>
    <n v="5"/>
    <s v="OK"/>
    <s v="CUST-2054"/>
    <s v="Mira Das"/>
    <x v="1"/>
    <x v="1"/>
    <s v="Odisha"/>
    <s v="Bhubaneswar"/>
    <x v="1"/>
    <x v="1"/>
    <s v="Pro Tables 258"/>
    <x v="1"/>
    <n v="3"/>
    <n v="2437.5"/>
    <n v="0"/>
    <s v="OK"/>
    <n v="7312.5"/>
    <n v="4904.7299999999996"/>
    <n v="2407.77"/>
    <x v="0"/>
    <x v="0"/>
    <s v="OK"/>
    <n v="0"/>
    <n v="7312.5"/>
    <n v="2407.77"/>
    <n v="0.32929999999999998"/>
    <x v="1"/>
    <x v="0"/>
    <s v="CLEAN"/>
  </r>
  <r>
    <x v="2"/>
    <d v="2024-06-08T00:00:00"/>
    <d v="2024-06-15T00:00:00"/>
    <n v="7"/>
    <s v="OK"/>
    <s v="CUST-6843"/>
    <s v="Isha Nair"/>
    <x v="0"/>
    <x v="1"/>
    <s v="Odisha"/>
    <s v="Bhubaneswar"/>
    <x v="0"/>
    <x v="2"/>
    <s v="Elite Art 525"/>
    <x v="2"/>
    <n v="4"/>
    <n v="1065.43"/>
    <n v="0.55000000000000004"/>
    <s v="OK"/>
    <n v="4261.72"/>
    <n v="2465.69"/>
    <n v="1796.03"/>
    <x v="0"/>
    <x v="0"/>
    <s v="OK"/>
    <n v="0.55000000000000004"/>
    <n v="1917.77"/>
    <n v="-547.91999999999996"/>
    <n v="-0.28570000000000001"/>
    <x v="2"/>
    <x v="0"/>
    <s v="CLEAN"/>
  </r>
  <r>
    <x v="3"/>
    <d v="2024-11-28T00:00:00"/>
    <d v="2024-11-29T00:00:00"/>
    <n v="1"/>
    <s v="OK"/>
    <s v="CUST-3722"/>
    <s v="Arjun Bose"/>
    <x v="1"/>
    <x v="2"/>
    <s v="Telangana"/>
    <s v="Hyderabad"/>
    <x v="1"/>
    <x v="3"/>
    <s v="Smart Furnishings 294"/>
    <x v="3"/>
    <n v="6"/>
    <n v="1848.43"/>
    <n v="0.25"/>
    <s v="OK"/>
    <n v="8317.93"/>
    <n v="6796.77"/>
    <n v="1521.16"/>
    <x v="0"/>
    <x v="0"/>
    <s v="OK"/>
    <n v="0.25"/>
    <n v="8317.94"/>
    <n v="1521.17"/>
    <n v="0.18290000000000001"/>
    <x v="3"/>
    <x v="0"/>
    <s v="CLEAN"/>
  </r>
  <r>
    <x v="4"/>
    <d v="2024-05-24T00:00:00"/>
    <d v="2024-05-28T00:00:00"/>
    <n v="4"/>
    <s v="OK"/>
    <s v="CUST-6056"/>
    <s v="Vikram Iyer"/>
    <x v="1"/>
    <x v="3"/>
    <s v="Madhya Pradesh"/>
    <s v="Indore"/>
    <x v="2"/>
    <x v="4"/>
    <s v="Pro Accessories 821"/>
    <x v="1"/>
    <n v="3"/>
    <n v="1053.1099999999999"/>
    <n v="0.2"/>
    <s v="OK"/>
    <n v="2527.46"/>
    <n v="1533.58"/>
    <n v="993.88"/>
    <x v="0"/>
    <x v="0"/>
    <s v="OK"/>
    <n v="0.2"/>
    <n v="2527.46"/>
    <n v="993.88"/>
    <n v="0.39319999999999999"/>
    <x v="4"/>
    <x v="0"/>
    <s v="CLEAN"/>
  </r>
  <r>
    <x v="5"/>
    <d v="2024-11-05T00:00:00"/>
    <d v="2024-11-10T00:00:00"/>
    <n v="5"/>
    <s v="OK"/>
    <s v="CUST-2598"/>
    <s v="Aditi Sen"/>
    <x v="2"/>
    <x v="2"/>
    <s v="Telangana"/>
    <s v="Hyderabad"/>
    <x v="0"/>
    <x v="5"/>
    <s v="Classic Labels 815"/>
    <x v="2"/>
    <n v="8"/>
    <n v="3134.2"/>
    <n v="0"/>
    <s v="OK"/>
    <n v="25073.599999999999"/>
    <n v="17347.23"/>
    <n v="7726.37"/>
    <x v="0"/>
    <x v="0"/>
    <s v="OK"/>
    <n v="0"/>
    <n v="25073.599999999999"/>
    <n v="7726.37"/>
    <n v="0.30809999999999998"/>
    <x v="3"/>
    <x v="0"/>
    <s v="CLEAN"/>
  </r>
  <r>
    <x v="6"/>
    <d v="2024-07-22T00:00:00"/>
    <d v="2024-07-23T00:00:00"/>
    <n v="1"/>
    <s v="OK"/>
    <s v="CUST-6528"/>
    <s v="Vikram Iyer"/>
    <x v="1"/>
    <x v="1"/>
    <s v="Odisha"/>
    <s v="Bhubaneswar"/>
    <x v="2"/>
    <x v="4"/>
    <s v="Smart Accessories 603"/>
    <x v="1"/>
    <n v="6"/>
    <n v="2005.95"/>
    <n v="0.2"/>
    <s v="OK"/>
    <n v="9628.56"/>
    <n v="8038.59"/>
    <n v="1589.97"/>
    <x v="0"/>
    <x v="0"/>
    <s v="OK"/>
    <n v="0.2"/>
    <n v="9628.56"/>
    <n v="1589.97"/>
    <n v="0.1651"/>
    <x v="0"/>
    <x v="0"/>
    <s v="CLEAN"/>
  </r>
  <r>
    <x v="7"/>
    <d v="2024-12-20T00:00:00"/>
    <d v="2024-12-21T00:00:00"/>
    <n v="1"/>
    <s v="OK"/>
    <s v="CUST-2648"/>
    <s v="Ananya Rao"/>
    <x v="2"/>
    <x v="3"/>
    <s v="Rajasthan"/>
    <s v="Udaipur"/>
    <x v="0"/>
    <x v="0"/>
    <s v="Pro Paper 481"/>
    <x v="2"/>
    <n v="1"/>
    <n v="702.14"/>
    <n v="0.15"/>
    <s v="OK"/>
    <n v="596.82000000000005"/>
    <n v="380.25"/>
    <n v="216.57"/>
    <x v="1"/>
    <x v="1"/>
    <s v="OK"/>
    <n v="0.15"/>
    <n v="596.82000000000005"/>
    <n v="216.57"/>
    <n v="0.3629"/>
    <x v="5"/>
    <x v="0"/>
    <s v="CLEAN"/>
  </r>
  <r>
    <x v="8"/>
    <d v="2024-12-27T00:00:00"/>
    <d v="2024-12-28T00:00:00"/>
    <n v="1"/>
    <s v="OK"/>
    <s v="CUST-4912"/>
    <s v="Rahul Verma"/>
    <x v="0"/>
    <x v="3"/>
    <s v="Rajasthan"/>
    <s v="Udaipur"/>
    <x v="2"/>
    <x v="6"/>
    <s v="Max Copiers 983"/>
    <x v="3"/>
    <n v="2"/>
    <n v="2737.83"/>
    <n v="0.25"/>
    <s v="OK"/>
    <n v="4106.74"/>
    <n v="2666.3"/>
    <n v="1440.44"/>
    <x v="0"/>
    <x v="0"/>
    <s v="OK"/>
    <n v="0.25"/>
    <n v="4106.75"/>
    <n v="1440.45"/>
    <n v="0.3508"/>
    <x v="5"/>
    <x v="0"/>
    <s v="CLEAN"/>
  </r>
  <r>
    <x v="9"/>
    <d v="2024-07-09T00:00:00"/>
    <d v="2024-07-09T00:00:00"/>
    <n v="0"/>
    <s v="OK"/>
    <s v="CUST-7656"/>
    <s v="Karan Malhotra"/>
    <x v="1"/>
    <x v="0"/>
    <s v="Punjab"/>
    <s v="Ludhiana"/>
    <x v="0"/>
    <x v="7"/>
    <s v="Classic Storage 198"/>
    <x v="0"/>
    <n v="6"/>
    <n v="3965.76"/>
    <n v="0"/>
    <s v="OK"/>
    <n v="23794.560000000001"/>
    <n v="15698.47"/>
    <n v="8096.09"/>
    <x v="0"/>
    <x v="0"/>
    <s v="OK"/>
    <n v="0"/>
    <n v="23794.560000000001"/>
    <n v="8096.09"/>
    <n v="0.3402"/>
    <x v="0"/>
    <x v="0"/>
    <s v="CLEAN"/>
  </r>
  <r>
    <x v="10"/>
    <d v="2024-05-08T00:00:00"/>
    <d v="2024-05-15T00:00:00"/>
    <n v="7"/>
    <s v="OK"/>
    <s v="CUST-6214"/>
    <s v="Aarav Sharma"/>
    <x v="0"/>
    <x v="2"/>
    <s v="Telangana"/>
    <s v="Hyderabad"/>
    <x v="0"/>
    <x v="2"/>
    <s v="Basic Art 204"/>
    <x v="2"/>
    <n v="4"/>
    <n v="3323.51"/>
    <n v="0.25"/>
    <s v="OK"/>
    <n v="9970.5300000000007"/>
    <n v="5668.17"/>
    <n v="4302.3599999999997"/>
    <x v="0"/>
    <x v="0"/>
    <s v="OK"/>
    <n v="0.25"/>
    <n v="9970.5300000000007"/>
    <n v="4302.3599999999997"/>
    <n v="0.43149999999999999"/>
    <x v="4"/>
    <x v="0"/>
    <s v="CLEAN"/>
  </r>
  <r>
    <x v="11"/>
    <d v="2024-01-07T00:00:00"/>
    <d v="2024-01-08T00:00:00"/>
    <n v="1"/>
    <s v="OK"/>
    <s v="CUST-1626"/>
    <s v="Sneha Kapoor"/>
    <x v="1"/>
    <x v="0"/>
    <s v="Rajasthan"/>
    <s v="Jaipur"/>
    <x v="1"/>
    <x v="3"/>
    <s v="Basic Furnishings 434"/>
    <x v="1"/>
    <n v="5"/>
    <n v="1526.78"/>
    <n v="0"/>
    <s v="OK"/>
    <n v="7633.9"/>
    <n v="4706.91"/>
    <n v="2926.99"/>
    <x v="0"/>
    <x v="0"/>
    <s v="OK"/>
    <n v="0"/>
    <n v="7633.9"/>
    <n v="2926.99"/>
    <n v="0.38340000000000002"/>
    <x v="6"/>
    <x v="0"/>
    <s v="CLEAN"/>
  </r>
  <r>
    <x v="12"/>
    <d v="2024-07-27T00:00:00"/>
    <d v="2024-07-31T00:00:00"/>
    <n v="4"/>
    <s v="OK"/>
    <s v="CUST-3186"/>
    <s v="Rohan Mehta"/>
    <x v="3"/>
    <x v="3"/>
    <s v="Madhya Pradesh"/>
    <s v="Indore"/>
    <x v="0"/>
    <x v="7"/>
    <s v="Prime Storage 121"/>
    <x v="0"/>
    <n v="3"/>
    <n v="3887.94"/>
    <n v="-0.19"/>
    <s v="INVALID-NEGATIVE"/>
    <n v="9331.06"/>
    <n v="7529.31"/>
    <n v="1801.75"/>
    <x v="0"/>
    <x v="0"/>
    <s v="OK"/>
    <n v="0"/>
    <n v="11663.82"/>
    <n v="4134.51"/>
    <n v="0.35449999999999998"/>
    <x v="0"/>
    <x v="0"/>
    <s v="INVALID"/>
  </r>
  <r>
    <x v="13"/>
    <d v="2024-03-04T00:00:00"/>
    <d v="2024-03-01T00:00:00"/>
    <n v="-3"/>
    <s v="INVALID"/>
    <s v="CUST-1747"/>
    <s v="Diya Patel"/>
    <x v="0"/>
    <x v="0"/>
    <s v="Punjab"/>
    <s v="Ludhiana"/>
    <x v="0"/>
    <x v="2"/>
    <s v="Max Art 215"/>
    <x v="3"/>
    <n v="4"/>
    <n v="4492.9399999999996"/>
    <n v="0.25"/>
    <s v="OK"/>
    <n v="13478.82"/>
    <n v="10937.35"/>
    <n v="2541.4699999999998"/>
    <x v="1"/>
    <x v="2"/>
    <s v="OK"/>
    <n v="0.25"/>
    <n v="13478.82"/>
    <n v="2541.4699999999998"/>
    <n v="0.18859999999999999"/>
    <x v="7"/>
    <x v="0"/>
    <s v="INVALID"/>
  </r>
  <r>
    <x v="14"/>
    <d v="2024-11-10T00:00:00"/>
    <d v="2024-10-19T00:00:00"/>
    <n v="-22"/>
    <s v="INVALID"/>
    <s v="CUST-1731"/>
    <s v="Arjun Bose"/>
    <x v="2"/>
    <x v="1"/>
    <s v="Assam"/>
    <s v="Guwahati"/>
    <x v="2"/>
    <x v="4"/>
    <s v="Classic Accessories 478"/>
    <x v="2"/>
    <n v="2"/>
    <n v="4315.2"/>
    <n v="0.15"/>
    <s v="OK"/>
    <n v="7335.84"/>
    <n v="4968.41"/>
    <n v="2367.4299999999998"/>
    <x v="0"/>
    <x v="0"/>
    <s v="OK"/>
    <n v="0.15"/>
    <n v="7335.84"/>
    <n v="2367.4299999999998"/>
    <n v="0.32269999999999999"/>
    <x v="3"/>
    <x v="0"/>
    <s v="INVALID"/>
  </r>
  <r>
    <x v="15"/>
    <d v="2024-11-23T00:00:00"/>
    <d v="2024-11-23T00:00:00"/>
    <n v="0"/>
    <s v="OK"/>
    <s v="CUST-4401"/>
    <s v="Diya Patel"/>
    <x v="2"/>
    <x v="0"/>
    <s v="Uttar Pradesh"/>
    <s v="Noida"/>
    <x v="2"/>
    <x v="8"/>
    <s v="Pro Phones 243"/>
    <x v="3"/>
    <n v="4"/>
    <n v="716.13"/>
    <n v="0.1"/>
    <s v="OK"/>
    <n v="2578.0700000000002"/>
    <n v="1527.55"/>
    <n v="1050.52"/>
    <x v="0"/>
    <x v="1"/>
    <s v="OK"/>
    <n v="0.1"/>
    <n v="2578.0700000000002"/>
    <n v="1050.52"/>
    <n v="0.40749999999999997"/>
    <x v="3"/>
    <x v="0"/>
    <s v="CLEAN"/>
  </r>
  <r>
    <x v="16"/>
    <d v="2024-11-10T00:00:00"/>
    <d v="2024-10-18T00:00:00"/>
    <n v="-23"/>
    <s v="INVALID"/>
    <s v="CUST-1569"/>
    <s v="Ananya Rao"/>
    <x v="3"/>
    <x v="3"/>
    <s v="Gujarat"/>
    <s v="Ahmedabad"/>
    <x v="2"/>
    <x v="8"/>
    <s v="Prime Phones 698"/>
    <x v="0"/>
    <n v="2"/>
    <n v="1942.22"/>
    <n v="0.25"/>
    <s v="OK"/>
    <n v="2913.33"/>
    <n v="2122.33"/>
    <n v="791"/>
    <x v="2"/>
    <x v="2"/>
    <s v="OK"/>
    <n v="0.25"/>
    <n v="2913.33"/>
    <n v="791"/>
    <n v="0.27150000000000002"/>
    <x v="3"/>
    <x v="0"/>
    <s v="INVALID"/>
  </r>
  <r>
    <x v="17"/>
    <d v="2024-02-09T00:00:00"/>
    <d v="2024-02-12T00:00:00"/>
    <n v="3"/>
    <s v="OK"/>
    <s v="CUST-8759"/>
    <s v="Ananya Rao"/>
    <x v="2"/>
    <x v="3"/>
    <s v="Goa"/>
    <s v="Panaji"/>
    <x v="0"/>
    <x v="5"/>
    <s v="Pro Labels 355"/>
    <x v="2"/>
    <n v="1"/>
    <n v="3421.77"/>
    <n v="0.1"/>
    <s v="OK"/>
    <n v="3079.59"/>
    <n v="2001.89"/>
    <n v="1077.7"/>
    <x v="0"/>
    <x v="0"/>
    <s v="OK"/>
    <n v="0.1"/>
    <n v="3079.59"/>
    <n v="1077.7"/>
    <n v="0.34989999999999999"/>
    <x v="8"/>
    <x v="0"/>
    <s v="CLEAN"/>
  </r>
  <r>
    <x v="18"/>
    <d v="2024-11-22T00:00:00"/>
    <d v="2024-11-26T00:00:00"/>
    <n v="4"/>
    <s v="OK"/>
    <s v="CUST-6509"/>
    <s v="Aarav Sharma"/>
    <x v="2"/>
    <x v="2"/>
    <s v="Andhra Pradesh"/>
    <s v="Vijayawada"/>
    <x v="2"/>
    <x v="8"/>
    <s v="Basic Phones 242"/>
    <x v="0"/>
    <n v="3"/>
    <n v="4001.25"/>
    <n v="0"/>
    <s v="OK"/>
    <n v="9002.81"/>
    <n v="7529.92"/>
    <n v="1472.89"/>
    <x v="0"/>
    <x v="0"/>
    <s v="OK"/>
    <n v="0"/>
    <n v="12003.75"/>
    <n v="4473.83"/>
    <n v="0.37269999999999998"/>
    <x v="3"/>
    <x v="0"/>
    <s v="CLEAN"/>
  </r>
  <r>
    <x v="19"/>
    <d v="2024-07-22T00:00:00"/>
    <d v="2024-07-27T00:00:00"/>
    <n v="5"/>
    <s v="OK"/>
    <s v="CUST-6660"/>
    <s v="Priya Menon"/>
    <x v="3"/>
    <x v="3"/>
    <s v="Goa"/>
    <s v="Panaji"/>
    <x v="1"/>
    <x v="1"/>
    <s v="Max Tables 836"/>
    <x v="1"/>
    <n v="7"/>
    <n v="492.41"/>
    <n v="0.25"/>
    <s v="OK"/>
    <n v="2585.15"/>
    <n v="2070.73"/>
    <n v="514.41999999999996"/>
    <x v="0"/>
    <x v="0"/>
    <s v="OK"/>
    <n v="0.25"/>
    <n v="2585.15"/>
    <n v="514.41999999999996"/>
    <n v="0.19900000000000001"/>
    <x v="0"/>
    <x v="0"/>
    <s v="CLEAN"/>
  </r>
  <r>
    <x v="20"/>
    <d v="2024-05-29T00:00:00"/>
    <d v="2024-05-29T00:00:00"/>
    <n v="0"/>
    <s v="OK"/>
    <s v="CUST-1611"/>
    <s v="Sneha Kapoor"/>
    <x v="1"/>
    <x v="3"/>
    <s v="Gujarat"/>
    <s v="Ahmedabad"/>
    <x v="1"/>
    <x v="9"/>
    <s v="Prime Bookcases 414"/>
    <x v="0"/>
    <n v="8"/>
    <n v="2507.12"/>
    <n v="0.05"/>
    <s v="OK"/>
    <n v="19054.11"/>
    <n v="15313.83"/>
    <n v="3740.28"/>
    <x v="1"/>
    <x v="1"/>
    <s v="OK"/>
    <n v="0.05"/>
    <n v="19054.11"/>
    <n v="3740.28"/>
    <n v="0.1963"/>
    <x v="4"/>
    <x v="0"/>
    <s v="CLEAN"/>
  </r>
  <r>
    <x v="21"/>
    <d v="2024-10-25T00:00:00"/>
    <d v="2024-10-28T00:00:00"/>
    <n v="3"/>
    <s v="OK"/>
    <s v="CUST-8296"/>
    <s v="Rohan Mehta"/>
    <x v="2"/>
    <x v="3"/>
    <s v="Maharashtra"/>
    <s v="Mumbai"/>
    <x v="1"/>
    <x v="9"/>
    <s v="Eco Bookcases 220"/>
    <x v="0"/>
    <n v="3"/>
    <n v="3126.47"/>
    <n v="0"/>
    <s v="OK"/>
    <n v="9379.41"/>
    <n v="6670.85"/>
    <n v="2708.56"/>
    <x v="0"/>
    <x v="1"/>
    <s v="OK"/>
    <n v="0"/>
    <n v="9379.41"/>
    <n v="2708.56"/>
    <n v="0.2888"/>
    <x v="9"/>
    <x v="0"/>
    <s v="CLEAN"/>
  </r>
  <r>
    <x v="22"/>
    <d v="2024-06-17T00:00:00"/>
    <d v="2024-06-22T00:00:00"/>
    <n v="5"/>
    <s v="OK"/>
    <s v="CUST-8235"/>
    <s v="Aarav Sharma"/>
    <x v="2"/>
    <x v="3"/>
    <s v="Gujarat"/>
    <s v="Ahmedabad"/>
    <x v="2"/>
    <x v="8"/>
    <s v="Prime Phones 507"/>
    <x v="2"/>
    <n v="7"/>
    <n v="2210.6799999999998"/>
    <n v="0.1"/>
    <s v="OK"/>
    <n v="13927.28"/>
    <n v="10504.87"/>
    <n v="3422.41"/>
    <x v="0"/>
    <x v="0"/>
    <s v="OK"/>
    <n v="0.1"/>
    <n v="13927.28"/>
    <n v="3422.41"/>
    <n v="0.2457"/>
    <x v="2"/>
    <x v="0"/>
    <s v="CLEAN"/>
  </r>
  <r>
    <x v="23"/>
    <d v="2024-12-11T00:00:00"/>
    <d v="2024-12-11T00:00:00"/>
    <n v="0"/>
    <s v="OK"/>
    <s v="CUST-5830"/>
    <s v="Mira Das"/>
    <x v="1"/>
    <x v="3"/>
    <s v="Madhya Pradesh"/>
    <s v="Indore"/>
    <x v="2"/>
    <x v="6"/>
    <s v="Classic Copiers 590"/>
    <x v="2"/>
    <n v="4"/>
    <n v="1370.92"/>
    <n v="0.1"/>
    <s v="OK"/>
    <n v="4935.3100000000004"/>
    <n v="3374.77"/>
    <n v="1560.54"/>
    <x v="1"/>
    <x v="1"/>
    <s v="OK"/>
    <n v="0.1"/>
    <n v="4935.3100000000004"/>
    <n v="1560.54"/>
    <n v="0.31619999999999998"/>
    <x v="5"/>
    <x v="0"/>
    <s v="CLEAN"/>
  </r>
  <r>
    <x v="24"/>
    <d v="2024-10-10T00:00:00"/>
    <d v="2024-10-16T00:00:00"/>
    <n v="6"/>
    <s v="OK"/>
    <s v="CUST-7178"/>
    <s v="Isha Nair"/>
    <x v="3"/>
    <x v="3"/>
    <s v="Rajasthan"/>
    <s v="Udaipur"/>
    <x v="2"/>
    <x v="6"/>
    <s v="Eco Copiers 865"/>
    <x v="3"/>
    <n v="7"/>
    <n v="2509.27"/>
    <n v="0.2"/>
    <s v="OK"/>
    <n v="14051.91"/>
    <n v="11990.37"/>
    <n v="2061.54"/>
    <x v="0"/>
    <x v="0"/>
    <s v="OK"/>
    <n v="0.2"/>
    <n v="14051.91"/>
    <n v="2061.54"/>
    <n v="0.1467"/>
    <x v="9"/>
    <x v="0"/>
    <s v="CLEAN"/>
  </r>
  <r>
    <x v="25"/>
    <d v="2024-03-12T00:00:00"/>
    <d v="2024-03-17T00:00:00"/>
    <n v="5"/>
    <s v="OK"/>
    <s v="CUST-3829"/>
    <s v="Aarav Sharma"/>
    <x v="1"/>
    <x v="1"/>
    <s v="Odisha"/>
    <s v="Bhubaneswar"/>
    <x v="1"/>
    <x v="9"/>
    <s v="Classic Bookcases 835"/>
    <x v="1"/>
    <n v="8"/>
    <n v="855.81"/>
    <n v="0"/>
    <s v="OK"/>
    <n v="6846.48"/>
    <n v="4239.8900000000003"/>
    <n v="2606.59"/>
    <x v="1"/>
    <x v="2"/>
    <s v="OK"/>
    <n v="0"/>
    <n v="6846.48"/>
    <n v="2606.59"/>
    <n v="0.38069999999999998"/>
    <x v="7"/>
    <x v="0"/>
    <s v="CLEAN"/>
  </r>
  <r>
    <x v="26"/>
    <d v="2024-07-08T00:00:00"/>
    <d v="2024-07-14T00:00:00"/>
    <n v="6"/>
    <s v="OK"/>
    <s v="CUST-7119"/>
    <s v="Priya Menon"/>
    <x v="1"/>
    <x v="1"/>
    <s v="Odisha"/>
    <s v="Bhubaneswar"/>
    <x v="1"/>
    <x v="3"/>
    <s v="Smart Furnishings 956"/>
    <x v="1"/>
    <n v="3"/>
    <n v="1010.23"/>
    <n v="0"/>
    <s v="OK"/>
    <n v="3030.69"/>
    <n v="1721.08"/>
    <n v="1309.6099999999999"/>
    <x v="0"/>
    <x v="0"/>
    <s v="OK"/>
    <n v="0"/>
    <n v="3030.69"/>
    <n v="1309.6099999999999"/>
    <n v="0.43209999999999998"/>
    <x v="0"/>
    <x v="0"/>
    <s v="CLEAN"/>
  </r>
  <r>
    <x v="27"/>
    <d v="2024-06-22T00:00:00"/>
    <d v="2024-06-25T00:00:00"/>
    <n v="3"/>
    <s v="OK"/>
    <s v="CUST-3373"/>
    <s v="Rohan Mehta"/>
    <x v="1"/>
    <x v="0"/>
    <s v="Haryana"/>
    <s v="Gurugram"/>
    <x v="1"/>
    <x v="10"/>
    <s v="Max Chairs 393"/>
    <x v="3"/>
    <n v="9"/>
    <n v="3329.77"/>
    <n v="0.1"/>
    <s v="OK"/>
    <n v="26971.14"/>
    <n v="17376.2"/>
    <n v="9594.94"/>
    <x v="0"/>
    <x v="0"/>
    <s v="OK"/>
    <n v="0.1"/>
    <n v="26971.14"/>
    <n v="9594.94"/>
    <n v="0.35570000000000002"/>
    <x v="2"/>
    <x v="0"/>
    <s v="CLEAN"/>
  </r>
  <r>
    <x v="28"/>
    <d v="2024-01-18T00:00:00"/>
    <d v="2024-01-24T00:00:00"/>
    <n v="6"/>
    <s v="OK"/>
    <s v="CUST-8896"/>
    <s v="Isha Nair"/>
    <x v="3"/>
    <x v="1"/>
    <s v="Bihar"/>
    <s v="Patna"/>
    <x v="0"/>
    <x v="2"/>
    <s v="Prime Art 221"/>
    <x v="0"/>
    <n v="8"/>
    <n v="3927.82"/>
    <n v="0.05"/>
    <s v="OK"/>
    <n v="29851.43"/>
    <n v="17487.48"/>
    <n v="12363.95"/>
    <x v="1"/>
    <x v="1"/>
    <s v="OK"/>
    <n v="0.05"/>
    <n v="29851.43"/>
    <n v="12363.95"/>
    <n v="0.41420000000000001"/>
    <x v="6"/>
    <x v="0"/>
    <s v="CLEAN"/>
  </r>
  <r>
    <x v="29"/>
    <d v="2024-07-19T00:00:00"/>
    <d v="2024-07-19T00:00:00"/>
    <n v="0"/>
    <s v="OK"/>
    <s v="CUST-8517"/>
    <s v="Ananya Rao"/>
    <x v="1"/>
    <x v="2"/>
    <s v="Kerala"/>
    <s v="Kochi"/>
    <x v="1"/>
    <x v="9"/>
    <s v="Elite Bookcases 671"/>
    <x v="3"/>
    <n v="9"/>
    <n v="2386.79"/>
    <n v="0.25"/>
    <s v="OK"/>
    <n v="16110.83"/>
    <n v="10680.03"/>
    <n v="5430.8"/>
    <x v="2"/>
    <x v="1"/>
    <s v="OK"/>
    <n v="0.25"/>
    <n v="16110.83"/>
    <n v="5430.8"/>
    <n v="0.33710000000000001"/>
    <x v="0"/>
    <x v="0"/>
    <s v="CLEAN"/>
  </r>
  <r>
    <x v="30"/>
    <d v="2024-12-08T00:00:00"/>
    <d v="2024-08-12T00:00:00"/>
    <n v="-118"/>
    <s v="INVALID"/>
    <s v="CUST-1987"/>
    <s v="Rahul Verma"/>
    <x v="2"/>
    <x v="2"/>
    <s v="Tamil Nadu"/>
    <s v="Chennai"/>
    <x v="0"/>
    <x v="7"/>
    <s v="Max Storage 432"/>
    <x v="3"/>
    <n v="8"/>
    <n v="2445.31"/>
    <n v="0.1"/>
    <s v="OK"/>
    <n v="17606.23"/>
    <n v="12438.96"/>
    <n v="5167.2700000000004"/>
    <x v="0"/>
    <x v="0"/>
    <s v="OK"/>
    <n v="0.1"/>
    <n v="17606.23"/>
    <n v="5167.2700000000004"/>
    <n v="0.29349999999999998"/>
    <x v="5"/>
    <x v="0"/>
    <s v="INVALID"/>
  </r>
  <r>
    <x v="31"/>
    <d v="2024-04-06T00:00:00"/>
    <d v="2024-04-13T00:00:00"/>
    <n v="7"/>
    <s v="OK"/>
    <s v="CUST-2380"/>
    <s v="Aarav Sharma"/>
    <x v="3"/>
    <x v="0"/>
    <s v="Uttar Pradesh"/>
    <s v="Noida"/>
    <x v="2"/>
    <x v="6"/>
    <s v="Classic Copiers 295"/>
    <x v="0"/>
    <n v="9"/>
    <n v="792.11"/>
    <n v="0.05"/>
    <s v="OK"/>
    <n v="6772.54"/>
    <n v="5755.46"/>
    <n v="1017.08"/>
    <x v="0"/>
    <x v="0"/>
    <s v="OK"/>
    <n v="0.05"/>
    <n v="6772.54"/>
    <n v="1017.08"/>
    <n v="0.1502"/>
    <x v="10"/>
    <x v="0"/>
    <s v="CLEAN"/>
  </r>
  <r>
    <x v="32"/>
    <d v="2024-04-24T00:00:00"/>
    <d v="2024-04-29T00:00:00"/>
    <n v="5"/>
    <s v="OK"/>
    <s v="CUST-3557"/>
    <s v="Ananya Rao"/>
    <x v="2"/>
    <x v="2"/>
    <s v="Telangana"/>
    <s v="Hyderabad"/>
    <x v="0"/>
    <x v="2"/>
    <s v="Pro Art 907"/>
    <x v="3"/>
    <n v="6"/>
    <n v="1528.08"/>
    <n v="0"/>
    <s v="OK"/>
    <n v="9168.48"/>
    <n v="7439.77"/>
    <n v="1728.71"/>
    <x v="0"/>
    <x v="0"/>
    <s v="OK"/>
    <n v="0"/>
    <n v="9168.48"/>
    <n v="1728.71"/>
    <n v="0.1885"/>
    <x v="10"/>
    <x v="0"/>
    <s v="CLEAN"/>
  </r>
  <r>
    <x v="33"/>
    <d v="2024-10-26T00:00:00"/>
    <d v="2024-10-28T00:00:00"/>
    <n v="2"/>
    <s v="OK"/>
    <s v="CUST-2778"/>
    <s v="Kabir Singh"/>
    <x v="1"/>
    <x v="0"/>
    <s v="Rajasthan"/>
    <s v="Jaipur"/>
    <x v="1"/>
    <x v="10"/>
    <s v="Pro Chairs 526"/>
    <x v="2"/>
    <n v="9"/>
    <n v="1399.63"/>
    <n v="0"/>
    <s v="OK"/>
    <n v="12596.67"/>
    <n v="10603.29"/>
    <n v="1993.38"/>
    <x v="3"/>
    <x v="2"/>
    <s v="OK"/>
    <n v="0"/>
    <n v="12596.67"/>
    <n v="1993.38"/>
    <n v="0.15820000000000001"/>
    <x v="9"/>
    <x v="0"/>
    <s v="INVALID"/>
  </r>
  <r>
    <x v="34"/>
    <d v="2024-02-07T00:00:00"/>
    <d v="2024-02-15T00:00:00"/>
    <n v="8"/>
    <s v="OK"/>
    <s v="CUST-9941"/>
    <s v="Priya Menon"/>
    <x v="0"/>
    <x v="3"/>
    <s v="Goa"/>
    <s v="Panaji"/>
    <x v="1"/>
    <x v="10"/>
    <s v="Max Chairs 813"/>
    <x v="1"/>
    <n v="5"/>
    <n v="255.87"/>
    <n v="0"/>
    <s v="OK"/>
    <n v="1279.3499999999999"/>
    <n v="1091.54"/>
    <n v="187.81"/>
    <x v="0"/>
    <x v="0"/>
    <s v="OK"/>
    <n v="0"/>
    <n v="1279.3499999999999"/>
    <n v="187.81"/>
    <n v="0.14680000000000001"/>
    <x v="8"/>
    <x v="0"/>
    <s v="CLEAN"/>
  </r>
  <r>
    <x v="35"/>
    <d v="2024-09-01T00:00:00"/>
    <d v="2024-09-07T00:00:00"/>
    <n v="6"/>
    <s v="OK"/>
    <s v="CUST-3983"/>
    <s v="Isha Nair"/>
    <x v="3"/>
    <x v="0"/>
    <s v="Rajasthan"/>
    <s v="Jaipur"/>
    <x v="0"/>
    <x v="7"/>
    <s v="Basic Storage 872"/>
    <x v="4"/>
    <n v="9"/>
    <n v="1389.48"/>
    <n v="0.1"/>
    <s v="OK"/>
    <n v="11254.79"/>
    <n v="6578.06"/>
    <n v="4676.7299999999996"/>
    <x v="1"/>
    <x v="1"/>
    <s v="OK"/>
    <n v="0.1"/>
    <n v="11254.79"/>
    <n v="4676.7299999999996"/>
    <n v="0.41549999999999998"/>
    <x v="11"/>
    <x v="0"/>
    <s v="WARNING"/>
  </r>
  <r>
    <x v="36"/>
    <d v="2024-07-20T00:00:00"/>
    <d v="2024-07-25T00:00:00"/>
    <n v="5"/>
    <s v="OK"/>
    <s v="CUST-2418"/>
    <s v="Priya Menon"/>
    <x v="2"/>
    <x v="1"/>
    <s v="Assam"/>
    <s v="Guwahati"/>
    <x v="0"/>
    <x v="5"/>
    <s v="Smart Labels 655"/>
    <x v="1"/>
    <n v="5"/>
    <n v="4133.8500000000004"/>
    <n v="0.2"/>
    <s v="OK"/>
    <n v="16535.400000000001"/>
    <n v="12990.21"/>
    <n v="3545.19"/>
    <x v="0"/>
    <x v="2"/>
    <s v="OK"/>
    <n v="0.2"/>
    <n v="16535.400000000001"/>
    <n v="3545.19"/>
    <n v="0.21440000000000001"/>
    <x v="0"/>
    <x v="0"/>
    <s v="CLEAN"/>
  </r>
  <r>
    <x v="37"/>
    <d v="2024-07-13T00:00:00"/>
    <d v="2024-07-19T00:00:00"/>
    <n v="6"/>
    <s v="OK"/>
    <s v="CUST-2892"/>
    <s v="Ananya Rao"/>
    <x v="2"/>
    <x v="1"/>
    <s v="Assam"/>
    <s v="Guwahati"/>
    <x v="0"/>
    <x v="5"/>
    <s v="Eco Labels 210"/>
    <x v="1"/>
    <n v="3"/>
    <n v="275.76"/>
    <n v="0.2"/>
    <s v="OK"/>
    <n v="661.82"/>
    <n v="481.47"/>
    <n v="180.35"/>
    <x v="2"/>
    <x v="2"/>
    <s v="OK"/>
    <n v="0.2"/>
    <n v="661.82"/>
    <n v="180.35"/>
    <n v="0.27250000000000002"/>
    <x v="0"/>
    <x v="0"/>
    <s v="CLEAN"/>
  </r>
  <r>
    <x v="38"/>
    <d v="2024-04-16T00:00:00"/>
    <d v="2024-04-16T00:00:00"/>
    <n v="0"/>
    <s v="OK"/>
    <s v="CUST-7008"/>
    <s v="Vikram Iyer"/>
    <x v="3"/>
    <x v="1"/>
    <s v="Bihar"/>
    <s v="Patna"/>
    <x v="1"/>
    <x v="9"/>
    <s v="Classic Bookcases 296"/>
    <x v="3"/>
    <n v="1"/>
    <n v="949.59"/>
    <n v="0"/>
    <s v="OK"/>
    <n v="949.59"/>
    <n v="751.25"/>
    <n v="198.34"/>
    <x v="0"/>
    <x v="0"/>
    <s v="OK"/>
    <n v="0"/>
    <n v="949.59"/>
    <n v="198.34"/>
    <n v="0.2089"/>
    <x v="10"/>
    <x v="0"/>
    <s v="CLEAN"/>
  </r>
  <r>
    <x v="39"/>
    <d v="2024-10-30T00:00:00"/>
    <d v="2024-02-11T00:00:00"/>
    <n v="-262"/>
    <s v="INVALID"/>
    <s v="CUST-4900"/>
    <s v="Sneha Kapoor"/>
    <x v="3"/>
    <x v="0"/>
    <s v="Rajasthan"/>
    <s v="Jaipur"/>
    <x v="2"/>
    <x v="8"/>
    <s v="Basic Phones 230"/>
    <x v="3"/>
    <n v="9"/>
    <n v="3042.29"/>
    <n v="0.2"/>
    <s v="OK"/>
    <n v="21904.49"/>
    <n v="13570.55"/>
    <n v="8333.94"/>
    <x v="0"/>
    <x v="0"/>
    <s v="OK"/>
    <n v="0.2"/>
    <n v="21904.49"/>
    <n v="8333.94"/>
    <n v="0.3805"/>
    <x v="9"/>
    <x v="0"/>
    <s v="INVALID"/>
  </r>
  <r>
    <x v="40"/>
    <d v="2024-01-25T00:00:00"/>
    <d v="2024-01-02T00:00:00"/>
    <n v="-23"/>
    <s v="INVALID"/>
    <s v="CUST-5382"/>
    <s v="Sneha Kapoor"/>
    <x v="3"/>
    <x v="0"/>
    <s v="Haryana"/>
    <s v="Gurugram"/>
    <x v="0"/>
    <x v="11"/>
    <s v="Pro Binders 690"/>
    <x v="1"/>
    <n v="2"/>
    <n v="2832.77"/>
    <n v="0.15"/>
    <s v="OK"/>
    <n v="4815.71"/>
    <n v="3027.75"/>
    <n v="1917.47"/>
    <x v="0"/>
    <x v="0"/>
    <s v="OK"/>
    <n v="0.15"/>
    <n v="4815.71"/>
    <n v="1787.96"/>
    <n v="0.37130000000000002"/>
    <x v="6"/>
    <x v="0"/>
    <s v="INVALID"/>
  </r>
  <r>
    <x v="41"/>
    <d v="2024-12-23T00:00:00"/>
    <d v="2024-12-29T00:00:00"/>
    <n v="6"/>
    <s v="OK"/>
    <s v="CUST-2749"/>
    <s v="Aarav Sharma"/>
    <x v="2"/>
    <x v="1"/>
    <s v="Jharkhand"/>
    <s v="Ranchi"/>
    <x v="0"/>
    <x v="0"/>
    <s v="Classic Paper 458"/>
    <x v="2"/>
    <n v="7"/>
    <n v="447.84"/>
    <n v="0"/>
    <s v="OK"/>
    <n v="3134.88"/>
    <n v="2367.63"/>
    <n v="767.25"/>
    <x v="2"/>
    <x v="1"/>
    <s v="OK"/>
    <n v="0"/>
    <n v="3134.88"/>
    <n v="767.25"/>
    <n v="0.2447"/>
    <x v="5"/>
    <x v="0"/>
    <s v="CLEAN"/>
  </r>
  <r>
    <x v="42"/>
    <d v="2024-04-22T00:00:00"/>
    <d v="2024-04-27T00:00:00"/>
    <n v="5"/>
    <s v="OK"/>
    <s v="CUST-2463"/>
    <s v="Mira Das"/>
    <x v="3"/>
    <x v="3"/>
    <s v="Maharashtra"/>
    <s v="Mumbai"/>
    <x v="0"/>
    <x v="0"/>
    <s v="Pro Paper 552"/>
    <x v="0"/>
    <n v="1"/>
    <n v="4280.1899999999996"/>
    <n v="0.05"/>
    <s v="OK"/>
    <n v="4066.18"/>
    <n v="2628.92"/>
    <n v="1437.26"/>
    <x v="0"/>
    <x v="0"/>
    <s v="OK"/>
    <n v="0.05"/>
    <n v="4066.18"/>
    <n v="1437.26"/>
    <n v="0.35349999999999998"/>
    <x v="10"/>
    <x v="0"/>
    <s v="CLEAN"/>
  </r>
  <r>
    <x v="43"/>
    <d v="2024-11-10T00:00:00"/>
    <d v="2024-11-13T00:00:00"/>
    <n v="3"/>
    <s v="OK"/>
    <s v="CUST-6054"/>
    <s v="Isha Nair"/>
    <x v="2"/>
    <x v="1"/>
    <s v="Jharkhand"/>
    <s v="Ranchi"/>
    <x v="0"/>
    <x v="7"/>
    <s v="Pro Storage 975"/>
    <x v="0"/>
    <n v="9"/>
    <n v="2211.12"/>
    <n v="0"/>
    <s v="OK"/>
    <n v="19900.080000000002"/>
    <n v="10962.66"/>
    <n v="8937.42"/>
    <x v="3"/>
    <x v="1"/>
    <s v="OK"/>
    <n v="0"/>
    <n v="19900.080000000002"/>
    <n v="8937.42"/>
    <n v="0.4491"/>
    <x v="3"/>
    <x v="0"/>
    <s v="INVALID"/>
  </r>
  <r>
    <x v="44"/>
    <d v="2024-04-09T00:00:00"/>
    <d v="2024-04-14T00:00:00"/>
    <n v="5"/>
    <s v="OK"/>
    <s v="CUST-5979"/>
    <s v="Neha Gupta"/>
    <x v="1"/>
    <x v="3"/>
    <s v="Gujarat"/>
    <s v="Ahmedabad"/>
    <x v="2"/>
    <x v="12"/>
    <s v="Prime Machines 782"/>
    <x v="1"/>
    <n v="7"/>
    <n v="3417.09"/>
    <n v="0.1"/>
    <s v="OK"/>
    <n v="21527.67"/>
    <n v="18287.580000000002"/>
    <n v="3240.09"/>
    <x v="2"/>
    <x v="1"/>
    <s v="OK"/>
    <n v="0.1"/>
    <n v="21527.67"/>
    <n v="3240.09"/>
    <n v="0.15049999999999999"/>
    <x v="10"/>
    <x v="0"/>
    <s v="CLEAN"/>
  </r>
  <r>
    <x v="45"/>
    <d v="2024-02-11T00:00:00"/>
    <d v="2024-02-07T00:00:00"/>
    <n v="-4"/>
    <s v="INVALID"/>
    <s v="CUST-5018"/>
    <s v="Karan Malhotra"/>
    <x v="3"/>
    <x v="2"/>
    <s v="Tamil Nadu"/>
    <s v="Chennai"/>
    <x v="1"/>
    <x v="1"/>
    <s v="Prime Tables 902"/>
    <x v="2"/>
    <n v="7"/>
    <n v="2287.4699999999998"/>
    <n v="0.15"/>
    <s v="OK"/>
    <n v="13610.45"/>
    <n v="10039.049999999999"/>
    <n v="3571.4"/>
    <x v="0"/>
    <x v="0"/>
    <s v="OK"/>
    <n v="0.15"/>
    <n v="13610.45"/>
    <n v="3571.4"/>
    <n v="0.26240000000000002"/>
    <x v="8"/>
    <x v="0"/>
    <s v="INVALID"/>
  </r>
  <r>
    <x v="46"/>
    <d v="2024-11-03T00:00:00"/>
    <d v="2024-11-11T00:00:00"/>
    <n v="8"/>
    <s v="OK"/>
    <s v="CUST-2642"/>
    <s v="Ananya Rao"/>
    <x v="2"/>
    <x v="1"/>
    <s v="Jharkhand"/>
    <s v="Ranchi"/>
    <x v="0"/>
    <x v="5"/>
    <s v="Max Labels 617"/>
    <x v="0"/>
    <n v="3"/>
    <n v="3406.27"/>
    <n v="0"/>
    <s v="OK"/>
    <n v="10218.81"/>
    <n v="7616.97"/>
    <n v="2601.84"/>
    <x v="0"/>
    <x v="0"/>
    <s v="OK"/>
    <n v="0"/>
    <n v="10218.81"/>
    <n v="2601.84"/>
    <n v="0.25459999999999999"/>
    <x v="3"/>
    <x v="0"/>
    <s v="CLEAN"/>
  </r>
  <r>
    <x v="47"/>
    <d v="2024-08-10T00:00:00"/>
    <d v="2024-08-14T00:00:00"/>
    <n v="4"/>
    <s v="OK"/>
    <s v="CUST-2094"/>
    <s v="Aarav Sharma"/>
    <x v="1"/>
    <x v="0"/>
    <s v="Delhi"/>
    <s v="New Delhi"/>
    <x v="0"/>
    <x v="7"/>
    <s v="Elite Storage 371"/>
    <x v="0"/>
    <n v="4"/>
    <n v="1182.32"/>
    <n v="0.1"/>
    <s v="OK"/>
    <n v="4256.3500000000004"/>
    <n v="2495.33"/>
    <n v="1761.02"/>
    <x v="1"/>
    <x v="1"/>
    <s v="OK"/>
    <n v="0.1"/>
    <n v="4256.3500000000004"/>
    <n v="1761.02"/>
    <n v="0.41370000000000001"/>
    <x v="1"/>
    <x v="0"/>
    <s v="CLEAN"/>
  </r>
  <r>
    <x v="48"/>
    <d v="2024-08-03T00:00:00"/>
    <d v="2024-04-08T00:00:00"/>
    <n v="-117"/>
    <s v="INVALID"/>
    <s v="CUST-6516"/>
    <s v="Arjun Bose"/>
    <x v="0"/>
    <x v="0"/>
    <s v="Uttar Pradesh"/>
    <s v="Noida"/>
    <x v="2"/>
    <x v="6"/>
    <s v="Smart Copiers 702"/>
    <x v="0"/>
    <n v="6"/>
    <n v="1001.73"/>
    <n v="0"/>
    <s v="OK"/>
    <n v="6010.38"/>
    <n v="3762.85"/>
    <n v="2247.5300000000002"/>
    <x v="3"/>
    <x v="1"/>
    <s v="OK"/>
    <n v="0"/>
    <n v="6010.38"/>
    <n v="2247.5300000000002"/>
    <n v="0.37390000000000001"/>
    <x v="1"/>
    <x v="0"/>
    <s v="INVALID"/>
  </r>
  <r>
    <x v="49"/>
    <d v="2024-10-26T00:00:00"/>
    <d v="2024-10-29T00:00:00"/>
    <n v="3"/>
    <s v="OK"/>
    <s v="CUST-4989"/>
    <s v="Aditi Sen"/>
    <x v="3"/>
    <x v="3"/>
    <s v="Maharashtra"/>
    <s v="Mumbai"/>
    <x v="1"/>
    <x v="1"/>
    <s v="Elite Tables 362"/>
    <x v="0"/>
    <n v="9"/>
    <n v="131.74"/>
    <n v="0.2"/>
    <s v="OK"/>
    <n v="948.53"/>
    <n v="674.62"/>
    <n v="273.91000000000003"/>
    <x v="0"/>
    <x v="0"/>
    <s v="OK"/>
    <n v="0.2"/>
    <n v="948.53"/>
    <n v="273.91000000000003"/>
    <n v="0.2888"/>
    <x v="9"/>
    <x v="0"/>
    <s v="CLEAN"/>
  </r>
  <r>
    <x v="50"/>
    <d v="2024-10-01T00:00:00"/>
    <d v="2024-10-03T00:00:00"/>
    <n v="2"/>
    <s v="OK"/>
    <s v="CUST-3758"/>
    <s v="Rohan Mehta"/>
    <x v="2"/>
    <x v="2"/>
    <s v="Tamil Nadu"/>
    <s v="Chennai"/>
    <x v="2"/>
    <x v="8"/>
    <s v="Elite Phones 781"/>
    <x v="0"/>
    <n v="6"/>
    <n v="570.28"/>
    <n v="0.2"/>
    <s v="OK"/>
    <n v="2737.34"/>
    <n v="2085.44"/>
    <n v="651.9"/>
    <x v="0"/>
    <x v="0"/>
    <s v="OK"/>
    <n v="0.2"/>
    <n v="2737.34"/>
    <n v="651.9"/>
    <n v="0.2382"/>
    <x v="9"/>
    <x v="0"/>
    <s v="CLEAN"/>
  </r>
  <r>
    <x v="51"/>
    <d v="2024-07-30T00:00:00"/>
    <d v="2024-08-05T00:00:00"/>
    <n v="6"/>
    <s v="OK"/>
    <s v="CUST-6702"/>
    <s v="Kabir Singh"/>
    <x v="2"/>
    <x v="0"/>
    <s v="Delhi"/>
    <s v="New Delhi"/>
    <x v="0"/>
    <x v="11"/>
    <s v="Eco Binders 456"/>
    <x v="3"/>
    <n v="1"/>
    <n v="608.64"/>
    <n v="0"/>
    <s v="OK"/>
    <n v="608.64"/>
    <n v="343.99"/>
    <n v="264.64999999999998"/>
    <x v="0"/>
    <x v="2"/>
    <s v="OK"/>
    <n v="0"/>
    <n v="608.64"/>
    <n v="264.64999999999998"/>
    <n v="0.43480000000000002"/>
    <x v="0"/>
    <x v="0"/>
    <s v="CLEAN"/>
  </r>
  <r>
    <x v="52"/>
    <d v="2024-07-01T00:00:00"/>
    <d v="2024-07-01T00:00:00"/>
    <n v="0"/>
    <s v="OK"/>
    <s v="CUST-9148"/>
    <s v="Ananya Rao"/>
    <x v="1"/>
    <x v="0"/>
    <s v="Delhi"/>
    <s v="New Delhi"/>
    <x v="2"/>
    <x v="6"/>
    <s v="Basic Copiers 525"/>
    <x v="0"/>
    <n v="3"/>
    <n v="885.28"/>
    <n v="0.1"/>
    <s v="OK"/>
    <n v="2390.2600000000002"/>
    <n v="1495.94"/>
    <n v="894.32"/>
    <x v="2"/>
    <x v="2"/>
    <s v="OK"/>
    <n v="0.1"/>
    <n v="2390.2600000000002"/>
    <n v="894.32"/>
    <n v="0.37419999999999998"/>
    <x v="0"/>
    <x v="0"/>
    <s v="CLEAN"/>
  </r>
  <r>
    <x v="53"/>
    <d v="2024-02-08T00:00:00"/>
    <d v="2024-08-03T00:00:00"/>
    <n v="177"/>
    <s v="OK"/>
    <s v="CUST-5829"/>
    <s v="Vikram Iyer"/>
    <x v="0"/>
    <x v="1"/>
    <s v="Assam"/>
    <s v="Guwahati"/>
    <x v="0"/>
    <x v="11"/>
    <s v="Eco Binders 258"/>
    <x v="3"/>
    <n v="7"/>
    <n v="3345.22"/>
    <n v="0"/>
    <s v="OK"/>
    <n v="23416.54"/>
    <n v="15490.89"/>
    <n v="7925.65"/>
    <x v="0"/>
    <x v="0"/>
    <s v="OK"/>
    <n v="0"/>
    <n v="23416.54"/>
    <n v="7925.65"/>
    <n v="0.33850000000000002"/>
    <x v="8"/>
    <x v="0"/>
    <s v="CLEAN"/>
  </r>
  <r>
    <x v="54"/>
    <d v="2024-03-24T00:00:00"/>
    <d v="2024-03-27T00:00:00"/>
    <n v="3"/>
    <s v="OK"/>
    <s v="CUST-6059"/>
    <s v="Rohan Mehta"/>
    <x v="1"/>
    <x v="3"/>
    <s v="Maharashtra"/>
    <s v="Mumbai"/>
    <x v="1"/>
    <x v="9"/>
    <s v="Max Bookcases 398"/>
    <x v="3"/>
    <n v="2"/>
    <n v="3284.75"/>
    <n v="0.05"/>
    <s v="OK"/>
    <n v="6241.02"/>
    <n v="5345.88"/>
    <n v="895.14"/>
    <x v="0"/>
    <x v="0"/>
    <s v="OK"/>
    <n v="0.05"/>
    <n v="6241.03"/>
    <n v="895.15"/>
    <n v="0.1434"/>
    <x v="7"/>
    <x v="0"/>
    <s v="CLEAN"/>
  </r>
  <r>
    <x v="55"/>
    <d v="2024-09-05T00:00:00"/>
    <d v="2024-09-05T00:00:00"/>
    <n v="0"/>
    <s v="OK"/>
    <s v="CUST-7744"/>
    <s v="Kabir Singh"/>
    <x v="0"/>
    <x v="2"/>
    <s v="Andhra Pradesh"/>
    <s v="Vijayawada"/>
    <x v="1"/>
    <x v="9"/>
    <s v="Smart Bookcases 857"/>
    <x v="3"/>
    <n v="7"/>
    <n v="3761.09"/>
    <n v="0.2"/>
    <s v="OK"/>
    <n v="21062.1"/>
    <n v="12057.13"/>
    <n v="9004.9699999999993"/>
    <x v="1"/>
    <x v="2"/>
    <s v="OK"/>
    <n v="0.2"/>
    <n v="21062.1"/>
    <n v="9004.9699999999993"/>
    <n v="0.42749999999999999"/>
    <x v="11"/>
    <x v="0"/>
    <s v="CLEAN"/>
  </r>
  <r>
    <x v="56"/>
    <d v="2024-01-07T00:00:00"/>
    <d v="2024-01-13T00:00:00"/>
    <n v="6"/>
    <s v="OK"/>
    <s v="CUST-6106"/>
    <s v="Rohan Mehta"/>
    <x v="2"/>
    <x v="0"/>
    <s v="Uttar Pradesh"/>
    <s v="Noida"/>
    <x v="0"/>
    <x v="11"/>
    <s v="Eco Binders 780"/>
    <x v="3"/>
    <n v="7"/>
    <n v="2788.97"/>
    <n v="-0.09"/>
    <s v="INVALID-NEGATIVE"/>
    <n v="19522.79"/>
    <n v="12455.78"/>
    <n v="7067.01"/>
    <x v="0"/>
    <x v="0"/>
    <s v="OK"/>
    <n v="0"/>
    <n v="19522.79"/>
    <n v="7067.01"/>
    <n v="0.36199999999999999"/>
    <x v="6"/>
    <x v="0"/>
    <s v="INVALID"/>
  </r>
  <r>
    <x v="57"/>
    <d v="2024-09-06T00:00:00"/>
    <d v="2024-09-09T00:00:00"/>
    <n v="3"/>
    <s v="OK"/>
    <s v="CUST-1926"/>
    <s v="Diya Patel"/>
    <x v="0"/>
    <x v="0"/>
    <s v="Haryana"/>
    <s v="Gurugram"/>
    <x v="2"/>
    <x v="8"/>
    <s v="Elite Phones 723"/>
    <x v="0"/>
    <n v="7"/>
    <n v="3781.53"/>
    <n v="0"/>
    <s v="OK"/>
    <n v="26470.71"/>
    <n v="21367.599999999999"/>
    <n v="5103.1099999999997"/>
    <x v="1"/>
    <x v="2"/>
    <s v="OK"/>
    <n v="0"/>
    <n v="26470.71"/>
    <n v="5103.1099999999997"/>
    <n v="0.1928"/>
    <x v="11"/>
    <x v="0"/>
    <s v="CLEAN"/>
  </r>
  <r>
    <x v="58"/>
    <d v="2024-06-05T00:00:00"/>
    <d v="2024-07-06T00:00:00"/>
    <n v="31"/>
    <s v="OK"/>
    <s v="CUST-7283"/>
    <s v="Rahul Verma"/>
    <x v="3"/>
    <x v="1"/>
    <s v="Odisha"/>
    <s v="Bhubaneswar"/>
    <x v="2"/>
    <x v="6"/>
    <s v="Smart Copiers 547"/>
    <x v="0"/>
    <n v="2"/>
    <n v="2259.2399999999998"/>
    <n v="0.15"/>
    <s v="OK"/>
    <n v="3840.71"/>
    <n v="2516.29"/>
    <n v="1324.42"/>
    <x v="0"/>
    <x v="0"/>
    <s v="OK"/>
    <n v="0.15"/>
    <n v="3840.71"/>
    <n v="1324.42"/>
    <n v="0.3448"/>
    <x v="2"/>
    <x v="0"/>
    <s v="CLEAN"/>
  </r>
  <r>
    <x v="59"/>
    <d v="2024-01-26T00:00:00"/>
    <d v="2024-02-01T00:00:00"/>
    <n v="6"/>
    <s v="OK"/>
    <s v="CUST-5434"/>
    <s v="Rohan Mehta"/>
    <x v="3"/>
    <x v="2"/>
    <s v="Kerala"/>
    <s v="Kochi"/>
    <x v="2"/>
    <x v="6"/>
    <s v="Elite Copiers 785"/>
    <x v="4"/>
    <n v="8"/>
    <n v="2108.9299999999998"/>
    <n v="0.1"/>
    <s v="OK"/>
    <n v="15184.3"/>
    <n v="11270.74"/>
    <n v="3913.56"/>
    <x v="0"/>
    <x v="0"/>
    <s v="OK"/>
    <n v="0.1"/>
    <n v="15184.3"/>
    <n v="3913.56"/>
    <n v="0.25769999999999998"/>
    <x v="6"/>
    <x v="0"/>
    <s v="WARNING"/>
  </r>
  <r>
    <x v="60"/>
    <d v="2024-06-22T00:00:00"/>
    <d v="2024-06-26T00:00:00"/>
    <n v="4"/>
    <s v="OK"/>
    <s v="CUST-7909"/>
    <s v="Rohan Mehta"/>
    <x v="3"/>
    <x v="1"/>
    <s v="Bihar"/>
    <s v="Patna"/>
    <x v="1"/>
    <x v="3"/>
    <s v="Classic Furnishings 682"/>
    <x v="2"/>
    <n v="5"/>
    <n v="4396.5200000000004"/>
    <n v="0.25"/>
    <s v="OK"/>
    <n v="16486.95"/>
    <n v="12054.14"/>
    <n v="4432.8100000000004"/>
    <x v="0"/>
    <x v="0"/>
    <s v="OK"/>
    <n v="0.25"/>
    <n v="16486.95"/>
    <n v="4432.8100000000004"/>
    <n v="0.26889999999999997"/>
    <x v="2"/>
    <x v="0"/>
    <s v="CLEAN"/>
  </r>
  <r>
    <x v="61"/>
    <d v="2024-06-24T00:00:00"/>
    <d v="2024-06-29T00:00:00"/>
    <n v="5"/>
    <s v="OK"/>
    <s v="CUST-6540"/>
    <s v="Mira Das"/>
    <x v="3"/>
    <x v="1"/>
    <s v="West Bengal"/>
    <s v="Kolkata"/>
    <x v="1"/>
    <x v="1"/>
    <s v="Eco Tables 575"/>
    <x v="0"/>
    <n v="2"/>
    <n v="685"/>
    <n v="0.1"/>
    <s v="OK"/>
    <n v="1233"/>
    <n v="1006.9"/>
    <n v="226.1"/>
    <x v="0"/>
    <x v="0"/>
    <s v="OK"/>
    <n v="0.1"/>
    <n v="1233"/>
    <n v="226.1"/>
    <n v="0.18340000000000001"/>
    <x v="2"/>
    <x v="0"/>
    <s v="CLEAN"/>
  </r>
  <r>
    <x v="62"/>
    <d v="2024-02-20T00:00:00"/>
    <d v="2024-02-28T00:00:00"/>
    <n v="8"/>
    <s v="OK"/>
    <s v="CUST-4008"/>
    <s v="Arjun Bose"/>
    <x v="3"/>
    <x v="1"/>
    <s v="West Bengal"/>
    <s v="Kolkata"/>
    <x v="0"/>
    <x v="0"/>
    <s v="Eco Paper 918"/>
    <x v="3"/>
    <n v="2"/>
    <n v="4004.04"/>
    <n v="0"/>
    <s v="OK"/>
    <n v="7207.27"/>
    <n v="5709.39"/>
    <n v="1497.88"/>
    <x v="0"/>
    <x v="2"/>
    <s v="OK"/>
    <n v="0"/>
    <n v="8008.08"/>
    <n v="2298.69"/>
    <n v="0.28699999999999998"/>
    <x v="8"/>
    <x v="0"/>
    <s v="CLEAN"/>
  </r>
  <r>
    <x v="63"/>
    <d v="2024-10-29T00:00:00"/>
    <d v="2024-11-04T00:00:00"/>
    <n v="6"/>
    <s v="OK"/>
    <s v="CUST-6604"/>
    <s v="Rohan Mehta"/>
    <x v="3"/>
    <x v="1"/>
    <s v="West Bengal"/>
    <s v="Kolkata"/>
    <x v="1"/>
    <x v="3"/>
    <s v="Prime Furnishings 952"/>
    <x v="2"/>
    <n v="3"/>
    <n v="4302.8900000000003"/>
    <n v="0.05"/>
    <s v="OK"/>
    <n v="12263.24"/>
    <n v="8925.57"/>
    <n v="3337.67"/>
    <x v="0"/>
    <x v="0"/>
    <s v="OK"/>
    <n v="0.05"/>
    <n v="12263.24"/>
    <n v="3337.67"/>
    <n v="0.2722"/>
    <x v="9"/>
    <x v="0"/>
    <s v="CLEAN"/>
  </r>
  <r>
    <x v="64"/>
    <d v="2024-08-15T00:00:00"/>
    <d v="2024-08-23T00:00:00"/>
    <n v="8"/>
    <s v="OK"/>
    <s v="CUST-4337"/>
    <s v="Aditi Sen"/>
    <x v="1"/>
    <x v="1"/>
    <s v="Odisha"/>
    <s v="Bhubaneswar"/>
    <x v="1"/>
    <x v="9"/>
    <s v="Prime Bookcases 631"/>
    <x v="1"/>
    <n v="2"/>
    <n v="537.54"/>
    <n v="0.25"/>
    <s v="OK"/>
    <n v="806.31"/>
    <n v="498.5"/>
    <n v="307.81"/>
    <x v="0"/>
    <x v="0"/>
    <s v="OK"/>
    <n v="0.25"/>
    <n v="806.31"/>
    <n v="307.81"/>
    <n v="0.38179999999999997"/>
    <x v="1"/>
    <x v="0"/>
    <s v="CLEAN"/>
  </r>
  <r>
    <x v="65"/>
    <d v="2024-10-18T00:00:00"/>
    <d v="2024-10-24T00:00:00"/>
    <n v="6"/>
    <s v="OK"/>
    <s v="CUST-7128"/>
    <s v="Vikram Iyer"/>
    <x v="2"/>
    <x v="2"/>
    <s v="Kerala"/>
    <s v="Kochi"/>
    <x v="0"/>
    <x v="5"/>
    <s v="Pro Labels 255"/>
    <x v="2"/>
    <n v="2"/>
    <n v="2250.4699999999998"/>
    <n v="0"/>
    <s v="OK"/>
    <n v="4500.9399999999996"/>
    <n v="2607.73"/>
    <n v="1893.21"/>
    <x v="2"/>
    <x v="2"/>
    <s v="OK"/>
    <n v="0"/>
    <n v="4500.9399999999996"/>
    <n v="1893.21"/>
    <n v="0.42059999999999997"/>
    <x v="9"/>
    <x v="0"/>
    <s v="CLEAN"/>
  </r>
  <r>
    <x v="66"/>
    <d v="2024-01-10T00:00:00"/>
    <d v="2024-01-14T00:00:00"/>
    <n v="4"/>
    <s v="OK"/>
    <s v="CUST-5213"/>
    <s v="Sneha Kapoor"/>
    <x v="0"/>
    <x v="4"/>
    <s v="Gujarat"/>
    <s v="Ahmedabad"/>
    <x v="2"/>
    <x v="4"/>
    <s v="Max Accessories 451"/>
    <x v="3"/>
    <n v="3"/>
    <n v="3829.48"/>
    <n v="0.05"/>
    <s v="OK"/>
    <n v="10914.02"/>
    <n v="6548.74"/>
    <n v="4365.28"/>
    <x v="0"/>
    <x v="0"/>
    <s v="OK"/>
    <n v="0.05"/>
    <n v="10914.02"/>
    <n v="4365.28"/>
    <n v="0.4"/>
    <x v="6"/>
    <x v="0"/>
    <s v="WARNING"/>
  </r>
  <r>
    <x v="67"/>
    <d v="2024-12-02T00:00:00"/>
    <d v="2024-12-02T00:00:00"/>
    <n v="0"/>
    <s v="OK"/>
    <s v="CUST-4989"/>
    <s v="Isha Nair"/>
    <x v="3"/>
    <x v="2"/>
    <s v="Tamil Nadu"/>
    <s v="Chennai"/>
    <x v="1"/>
    <x v="1"/>
    <s v="Classic Tables 752"/>
    <x v="3"/>
    <n v="3"/>
    <n v="1089.1500000000001"/>
    <n v="0.25"/>
    <s v="OK"/>
    <n v="2450.59"/>
    <n v="1639.89"/>
    <n v="810.7"/>
    <x v="0"/>
    <x v="0"/>
    <s v="OK"/>
    <n v="0.25"/>
    <n v="2450.59"/>
    <n v="810.7"/>
    <n v="0.33079999999999998"/>
    <x v="5"/>
    <x v="0"/>
    <s v="CLEAN"/>
  </r>
  <r>
    <x v="68"/>
    <d v="2024-09-25T00:00:00"/>
    <d v="2024-09-30T00:00:00"/>
    <n v="5"/>
    <s v="OK"/>
    <s v="CUST-2927"/>
    <s v="Neha Gupta"/>
    <x v="1"/>
    <x v="0"/>
    <s v="Rajasthan"/>
    <s v="Jaipur"/>
    <x v="2"/>
    <x v="4"/>
    <s v="Eco Accessories 452"/>
    <x v="0"/>
    <n v="1"/>
    <n v="4388.3999999999996"/>
    <n v="0.1"/>
    <s v="OK"/>
    <n v="3949.56"/>
    <n v="3186.73"/>
    <n v="762.83"/>
    <x v="1"/>
    <x v="2"/>
    <s v="OK"/>
    <n v="0.1"/>
    <n v="3949.56"/>
    <n v="762.83"/>
    <n v="0.19309999999999999"/>
    <x v="11"/>
    <x v="0"/>
    <s v="CLEAN"/>
  </r>
  <r>
    <x v="69"/>
    <d v="2024-12-27T00:00:00"/>
    <d v="2025-01-01T00:00:00"/>
    <n v="5"/>
    <s v="OK"/>
    <s v="CUST-7764"/>
    <s v="Kabir Singh"/>
    <x v="2"/>
    <x v="2"/>
    <s v="Tamil Nadu"/>
    <s v="Chennai"/>
    <x v="0"/>
    <x v="11"/>
    <s v="Classic Binders 203"/>
    <x v="1"/>
    <n v="2"/>
    <n v="446.34"/>
    <n v="0.15"/>
    <s v="OK"/>
    <n v="758.78"/>
    <n v="490.74"/>
    <n v="268.04000000000002"/>
    <x v="0"/>
    <x v="2"/>
    <s v="OK"/>
    <n v="0.15"/>
    <n v="758.78"/>
    <n v="268.04000000000002"/>
    <n v="0.3533"/>
    <x v="5"/>
    <x v="0"/>
    <s v="CLEAN"/>
  </r>
  <r>
    <x v="70"/>
    <d v="2024-02-15T00:00:00"/>
    <d v="2024-02-17T00:00:00"/>
    <n v="2"/>
    <s v="OK"/>
    <s v="CUST-9608"/>
    <s v="Mira Das"/>
    <x v="3"/>
    <x v="2"/>
    <s v="Tamil Nadu"/>
    <s v="Chennai"/>
    <x v="2"/>
    <x v="12"/>
    <s v="Elite Machines 705"/>
    <x v="3"/>
    <n v="9"/>
    <n v="3324.55"/>
    <s v="70%"/>
    <s v="INVALID-ABOVE"/>
    <n v="25432.81"/>
    <n v="20370.16"/>
    <n v="5062.6499999999996"/>
    <x v="0"/>
    <x v="0"/>
    <s v="OK"/>
    <n v="0.7"/>
    <n v="8976.2900000000009"/>
    <n v="-11393.87"/>
    <n v="-1.2693000000000001"/>
    <x v="8"/>
    <x v="0"/>
    <s v="INVALID"/>
  </r>
  <r>
    <x v="71"/>
    <d v="2024-06-10T00:00:00"/>
    <d v="2024-06-18T00:00:00"/>
    <n v="8"/>
    <s v="OK"/>
    <s v="CUST-9135"/>
    <s v="Vikram Iyer"/>
    <x v="3"/>
    <x v="2"/>
    <s v="Andhra Pradesh"/>
    <s v="Vijayawada"/>
    <x v="2"/>
    <x v="6"/>
    <s v="Pro Copiers 208"/>
    <x v="1"/>
    <n v="5"/>
    <n v="1580.27"/>
    <n v="0.2"/>
    <s v="OK"/>
    <n v="6321.08"/>
    <n v="4407.22"/>
    <n v="1913.86"/>
    <x v="0"/>
    <x v="0"/>
    <s v="OK"/>
    <n v="0.2"/>
    <n v="6321.08"/>
    <n v="1913.86"/>
    <n v="0.30280000000000001"/>
    <x v="2"/>
    <x v="0"/>
    <s v="CLEAN"/>
  </r>
  <r>
    <x v="72"/>
    <d v="2024-06-12T00:00:00"/>
    <d v="2024-06-19T00:00:00"/>
    <n v="7"/>
    <s v="OK"/>
    <s v="CUST-7861"/>
    <s v="Aditi Sen"/>
    <x v="1"/>
    <x v="2"/>
    <s v="Kerala"/>
    <s v="Kochi"/>
    <x v="1"/>
    <x v="10"/>
    <s v="Elite Chairs 921"/>
    <x v="3"/>
    <n v="8"/>
    <n v="314.05"/>
    <n v="0.25"/>
    <s v="OK"/>
    <n v="1884.3"/>
    <n v="1517.69"/>
    <n v="366.61"/>
    <x v="2"/>
    <x v="1"/>
    <s v="OK"/>
    <n v="0.25"/>
    <n v="1884.3"/>
    <n v="366.61"/>
    <n v="0.1946"/>
    <x v="2"/>
    <x v="0"/>
    <s v="CLEAN"/>
  </r>
  <r>
    <x v="73"/>
    <d v="2024-08-10T00:00:00"/>
    <d v="2024-08-18T00:00:00"/>
    <n v="8"/>
    <s v="OK"/>
    <s v="CUST-6096"/>
    <s v="Sneha Kapoor"/>
    <x v="1"/>
    <x v="1"/>
    <s v="Bihar"/>
    <s v="Patna"/>
    <x v="2"/>
    <x v="8"/>
    <s v="Prime Phones 540"/>
    <x v="3"/>
    <n v="1"/>
    <n v="1823.67"/>
    <n v="0.2"/>
    <s v="OK"/>
    <n v="1458.94"/>
    <n v="893.2"/>
    <n v="565.74"/>
    <x v="0"/>
    <x v="1"/>
    <s v="OK"/>
    <n v="0.2"/>
    <n v="1458.94"/>
    <n v="565.74"/>
    <n v="0.38779999999999998"/>
    <x v="1"/>
    <x v="0"/>
    <s v="CLEAN"/>
  </r>
  <r>
    <x v="74"/>
    <d v="2024-11-30T00:00:00"/>
    <d v="2024-04-12T00:00:00"/>
    <n v="-232"/>
    <s v="INVALID"/>
    <s v="CUST-1721"/>
    <s v="Ananya Rao"/>
    <x v="1"/>
    <x v="1"/>
    <s v="Assam"/>
    <s v="Guwahati"/>
    <x v="1"/>
    <x v="10"/>
    <s v="Max Chairs 786"/>
    <x v="0"/>
    <n v="3"/>
    <n v="170.35"/>
    <n v="0"/>
    <s v="OK"/>
    <n v="511.05"/>
    <n v="367.18"/>
    <n v="143.87"/>
    <x v="0"/>
    <x v="0"/>
    <s v="OK"/>
    <n v="0"/>
    <n v="511.05"/>
    <n v="143.87"/>
    <n v="0.28149999999999997"/>
    <x v="3"/>
    <x v="0"/>
    <s v="INVALID"/>
  </r>
  <r>
    <x v="75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s v="OK"/>
    <n v="634.13"/>
    <n v="453.35"/>
    <n v="180.78"/>
    <x v="2"/>
    <x v="2"/>
    <s v=" ORIGINAL"/>
    <n v="0"/>
    <n v="634.13"/>
    <n v="180.78"/>
    <n v="0.28510000000000002"/>
    <x v="4"/>
    <x v="0"/>
    <s v="CLEAN"/>
  </r>
  <r>
    <x v="75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s v="OK"/>
    <n v="808.67"/>
    <n v="453.35"/>
    <n v="180.78"/>
    <x v="2"/>
    <x v="1"/>
    <s v="CONFLICTING DUPLICATE - REVIEW"/>
    <n v="0"/>
    <n v="634.13"/>
    <n v="180.78"/>
    <n v="0.28510000000000002"/>
    <x v="4"/>
    <x v="0"/>
    <s v="CLEAN"/>
  </r>
  <r>
    <x v="76"/>
    <d v="2024-07-21T00:00:00"/>
    <d v="2024-07-24T00:00:00"/>
    <n v="3"/>
    <s v="OK"/>
    <s v="CUST-4450"/>
    <s v="Isha Nair"/>
    <x v="2"/>
    <x v="2"/>
    <s v="Karnataka"/>
    <s v="Bengaluru"/>
    <x v="2"/>
    <x v="6"/>
    <s v="Pro Copiers 769"/>
    <x v="3"/>
    <n v="9"/>
    <n v="465.06"/>
    <n v="-0.15"/>
    <s v="INVALID-NEGATIVE"/>
    <n v="4185.54"/>
    <n v="3443.74"/>
    <n v="741.8"/>
    <x v="0"/>
    <x v="0"/>
    <s v="OK"/>
    <n v="0"/>
    <n v="4185.54"/>
    <n v="741.8"/>
    <n v="0.1772"/>
    <x v="0"/>
    <x v="0"/>
    <s v="INVALID"/>
  </r>
  <r>
    <x v="77"/>
    <d v="2024-12-13T00:00:00"/>
    <d v="2024-12-16T00:00:00"/>
    <n v="3"/>
    <s v="OK"/>
    <s v="CUST-9328"/>
    <s v="Neha Gupta"/>
    <x v="1"/>
    <x v="1"/>
    <s v="Odisha"/>
    <s v="Bhubaneswar"/>
    <x v="1"/>
    <x v="3"/>
    <s v="Prime Furnishings 710"/>
    <x v="3"/>
    <n v="5"/>
    <n v="923.45"/>
    <n v="0.05"/>
    <s v="OK"/>
    <n v="4386.3900000000003"/>
    <n v="3366.88"/>
    <n v="1019.51"/>
    <x v="0"/>
    <x v="1"/>
    <s v="OK"/>
    <n v="0.05"/>
    <n v="4386.3900000000003"/>
    <n v="1019.51"/>
    <n v="0.2324"/>
    <x v="5"/>
    <x v="0"/>
    <s v="CLEAN"/>
  </r>
  <r>
    <x v="78"/>
    <d v="2024-07-19T00:00:00"/>
    <d v="2024-07-25T00:00:00"/>
    <n v="6"/>
    <s v="OK"/>
    <s v="CUST-2588"/>
    <s v="Isha Nair"/>
    <x v="1"/>
    <x v="3"/>
    <s v="Goa"/>
    <s v="Panaji"/>
    <x v="0"/>
    <x v="11"/>
    <s v="Elite Binders 723"/>
    <x v="3"/>
    <n v="7"/>
    <n v="2741.29"/>
    <n v="0.05"/>
    <s v="OK"/>
    <n v="18229.580000000002"/>
    <n v="15139.15"/>
    <n v="3090.43"/>
    <x v="0"/>
    <x v="0"/>
    <s v="OK"/>
    <n v="0.05"/>
    <n v="18229.580000000002"/>
    <n v="3090.43"/>
    <n v="0.16950000000000001"/>
    <x v="0"/>
    <x v="0"/>
    <s v="CLEAN"/>
  </r>
  <r>
    <x v="79"/>
    <d v="2024-01-27T00:00:00"/>
    <d v="2024-02-02T00:00:00"/>
    <n v="6"/>
    <s v="OK"/>
    <s v="CUST-5435"/>
    <s v="Arjun Bose"/>
    <x v="0"/>
    <x v="3"/>
    <s v="Gujarat"/>
    <s v="Ahmedabad"/>
    <x v="0"/>
    <x v="5"/>
    <s v="Smart Labels 878"/>
    <x v="1"/>
    <n v="5"/>
    <n v="218.42"/>
    <n v="0.2"/>
    <s v="OK"/>
    <n v="873.68"/>
    <n v="661.72"/>
    <n v="211.96"/>
    <x v="1"/>
    <x v="2"/>
    <s v="OK"/>
    <n v="0.2"/>
    <n v="873.68"/>
    <n v="211.96"/>
    <n v="0.24260000000000001"/>
    <x v="6"/>
    <x v="0"/>
    <s v="CLEAN"/>
  </r>
  <r>
    <x v="80"/>
    <d v="2024-11-04T00:00:00"/>
    <d v="2024-11-04T00:00:00"/>
    <n v="0"/>
    <s v="OK"/>
    <s v="CUST-3602"/>
    <s v="Kabir Singh"/>
    <x v="2"/>
    <x v="1"/>
    <s v="Assam"/>
    <s v="Guwahati"/>
    <x v="2"/>
    <x v="12"/>
    <s v="Classic Machines 886"/>
    <x v="2"/>
    <n v="2"/>
    <n v="533.08000000000004"/>
    <n v="0"/>
    <s v="OK"/>
    <n v="1066.1600000000001"/>
    <n v="656.3"/>
    <n v="409.86"/>
    <x v="3"/>
    <x v="2"/>
    <s v="OK"/>
    <n v="0"/>
    <n v="1066.1600000000001"/>
    <n v="409.86"/>
    <n v="0.38440000000000002"/>
    <x v="3"/>
    <x v="0"/>
    <s v="INVALID"/>
  </r>
  <r>
    <x v="81"/>
    <d v="2024-12-13T00:00:00"/>
    <d v="2024-12-18T00:00:00"/>
    <n v="5"/>
    <s v="OK"/>
    <s v="CUST-9441"/>
    <s v="Karan Malhotra"/>
    <x v="0"/>
    <x v="3"/>
    <s v="Goa"/>
    <s v="Panaji"/>
    <x v="2"/>
    <x v="8"/>
    <s v="Prime Phones 419"/>
    <x v="0"/>
    <n v="8"/>
    <n v="3372.15"/>
    <n v="0.15"/>
    <s v="OK"/>
    <n v="22930.62"/>
    <n v="16875.55"/>
    <n v="6055.07"/>
    <x v="0"/>
    <x v="0"/>
    <s v="OK"/>
    <n v="0.15"/>
    <n v="22930.62"/>
    <n v="6055.07"/>
    <n v="0.2641"/>
    <x v="5"/>
    <x v="0"/>
    <s v="CLEAN"/>
  </r>
  <r>
    <x v="82"/>
    <d v="2024-01-20T00:00:00"/>
    <d v="2024-01-26T00:00:00"/>
    <n v="6"/>
    <s v="OK"/>
    <s v="CUST-7173"/>
    <s v="Diya Patel"/>
    <x v="3"/>
    <x v="1"/>
    <s v="Jharkhand"/>
    <s v="Ranchi"/>
    <x v="2"/>
    <x v="12"/>
    <s v="Basic Machines 185"/>
    <x v="3"/>
    <n v="8"/>
    <n v="4003.05"/>
    <n v="0.25"/>
    <s v="OK"/>
    <n v="24018.3"/>
    <n v="14070.78"/>
    <n v="9947.52"/>
    <x v="0"/>
    <x v="0"/>
    <s v="OK"/>
    <n v="0.25"/>
    <n v="24018.3"/>
    <n v="9947.52"/>
    <n v="0.41420000000000001"/>
    <x v="6"/>
    <x v="0"/>
    <s v="CLEAN"/>
  </r>
  <r>
    <x v="83"/>
    <d v="2024-05-31T00:00:00"/>
    <d v="2024-06-01T00:00:00"/>
    <n v="1"/>
    <s v="OK"/>
    <s v="CUST-2149"/>
    <s v="Mira Das"/>
    <x v="2"/>
    <x v="2"/>
    <s v="Karnataka"/>
    <s v="Bengaluru"/>
    <x v="1"/>
    <x v="9"/>
    <s v="Elite Bookcases 696"/>
    <x v="1"/>
    <n v="3"/>
    <n v="2914.55"/>
    <n v="0"/>
    <s v="OK"/>
    <n v="8743.65"/>
    <n v="6603.76"/>
    <n v="2139.89"/>
    <x v="0"/>
    <x v="0"/>
    <s v="OK"/>
    <n v="0"/>
    <n v="8743.65"/>
    <n v="2139.89"/>
    <n v="0.2447"/>
    <x v="4"/>
    <x v="0"/>
    <s v="CLEAN"/>
  </r>
  <r>
    <x v="84"/>
    <d v="2024-03-23T00:00:00"/>
    <d v="2024-03-29T00:00:00"/>
    <n v="6"/>
    <s v="OK"/>
    <s v="CUST-3314"/>
    <s v="Priya Menon"/>
    <x v="2"/>
    <x v="0"/>
    <s v="Delhi"/>
    <s v="New Delhi"/>
    <x v="1"/>
    <x v="9"/>
    <s v="Elite Bookcases 772"/>
    <x v="1"/>
    <n v="7"/>
    <n v="634.29"/>
    <n v="0.1"/>
    <s v="OK"/>
    <n v="3996.03"/>
    <n v="2859.51"/>
    <n v="1136.52"/>
    <x v="0"/>
    <x v="1"/>
    <s v="OK"/>
    <n v="0.1"/>
    <n v="3996.03"/>
    <n v="1136.52"/>
    <n v="0.28439999999999999"/>
    <x v="7"/>
    <x v="0"/>
    <s v="CLEAN"/>
  </r>
  <r>
    <x v="85"/>
    <d v="2024-03-30T00:00:00"/>
    <d v="2024-03-26T00:00:00"/>
    <n v="-4"/>
    <s v="INVALID"/>
    <s v="CUST-8944"/>
    <s v="Aditi Sen"/>
    <x v="3"/>
    <x v="0"/>
    <s v="Rajasthan"/>
    <s v="Jaipur"/>
    <x v="2"/>
    <x v="8"/>
    <s v="Classic Phones 142"/>
    <x v="0"/>
    <n v="5"/>
    <n v="907.54"/>
    <n v="0.15"/>
    <s v="OK"/>
    <n v="3857.04"/>
    <n v="2769.26"/>
    <n v="1087.78"/>
    <x v="0"/>
    <x v="0"/>
    <s v=" ORIGINAL"/>
    <n v="0.15"/>
    <n v="3857.05"/>
    <n v="1087.79"/>
    <n v="0.28199999999999997"/>
    <x v="7"/>
    <x v="0"/>
    <s v="INVALID"/>
  </r>
  <r>
    <x v="85"/>
    <d v="2024-03-30T00:00:00"/>
    <d v="2024-03-26T00:00:00"/>
    <n v="-4"/>
    <s v="INVALID"/>
    <s v="CUST-8944"/>
    <s v="Aditi Sen"/>
    <x v="3"/>
    <x v="0"/>
    <s v="Rajasthan"/>
    <s v="Jaipur"/>
    <x v="2"/>
    <x v="8"/>
    <s v="Classic Phones 142"/>
    <x v="0"/>
    <n v="5"/>
    <n v="907.54"/>
    <n v="0.15"/>
    <s v="OK"/>
    <n v="4099.6899999999996"/>
    <n v="2769.26"/>
    <n v="1087.78"/>
    <x v="0"/>
    <x v="1"/>
    <s v="CONFLICTING DUPLICATE - REVIEW"/>
    <n v="0.15"/>
    <n v="3857.05"/>
    <n v="1087.79"/>
    <n v="0.28199999999999997"/>
    <x v="7"/>
    <x v="0"/>
    <s v="INVALID"/>
  </r>
  <r>
    <x v="86"/>
    <d v="2024-03-24T00:00:00"/>
    <d v="2024-03-26T00:00:00"/>
    <n v="2"/>
    <s v="OK"/>
    <s v="CUST-3144"/>
    <s v="Priya Menon"/>
    <x v="0"/>
    <x v="3"/>
    <s v="Gujarat"/>
    <s v="Ahmedabad"/>
    <x v="0"/>
    <x v="0"/>
    <s v="Pro Paper 575"/>
    <x v="0"/>
    <n v="1"/>
    <n v="3409.5"/>
    <n v="0.1"/>
    <s v="OK"/>
    <n v="3068.55"/>
    <n v="1916.16"/>
    <n v="1152.3900000000001"/>
    <x v="0"/>
    <x v="1"/>
    <s v="OK"/>
    <n v="0.1"/>
    <n v="3068.55"/>
    <n v="1152.3900000000001"/>
    <n v="0.3755"/>
    <x v="7"/>
    <x v="0"/>
    <s v="CLEAN"/>
  </r>
  <r>
    <x v="87"/>
    <d v="2024-07-06T00:00:00"/>
    <d v="2024-06-15T00:00:00"/>
    <n v="-21"/>
    <s v="INVALID"/>
    <s v="CUST-6747"/>
    <s v="Kabir Singh"/>
    <x v="1"/>
    <x v="2"/>
    <s v="Telangana"/>
    <s v="Hyderabad"/>
    <x v="2"/>
    <x v="4"/>
    <s v="Elite Accessories 905"/>
    <x v="2"/>
    <n v="7"/>
    <n v="2147.9899999999998"/>
    <n v="0.25"/>
    <s v="OK"/>
    <n v="11276.95"/>
    <n v="6908.76"/>
    <n v="4368.1899999999996"/>
    <x v="2"/>
    <x v="1"/>
    <s v="OK"/>
    <n v="0.25"/>
    <n v="11276.95"/>
    <n v="4368.1899999999996"/>
    <n v="0.38740000000000002"/>
    <x v="0"/>
    <x v="0"/>
    <s v="INVALID"/>
  </r>
  <r>
    <x v="88"/>
    <d v="2024-12-23T00:00:00"/>
    <d v="2024-12-30T00:00:00"/>
    <n v="7"/>
    <s v="OK"/>
    <s v="CUST-2692"/>
    <s v="Priya Menon"/>
    <x v="3"/>
    <x v="3"/>
    <s v="Goa"/>
    <s v="Panaji"/>
    <x v="1"/>
    <x v="3"/>
    <s v="Classic Furnishings 743"/>
    <x v="2"/>
    <n v="8"/>
    <n v="386.1"/>
    <n v="0.1"/>
    <s v="OK"/>
    <n v="2779.92"/>
    <n v="1744.05"/>
    <n v="1035.8699999999999"/>
    <x v="0"/>
    <x v="0"/>
    <s v="OK"/>
    <n v="0.1"/>
    <n v="2779.92"/>
    <n v="1035.8699999999999"/>
    <n v="0.37259999999999999"/>
    <x v="5"/>
    <x v="0"/>
    <s v="CLEAN"/>
  </r>
  <r>
    <x v="89"/>
    <d v="2024-01-30T00:00:00"/>
    <d v="2024-01-30T00:00:00"/>
    <n v="0"/>
    <s v="OK"/>
    <s v="CUST-5876"/>
    <s v="Aarav Sharma"/>
    <x v="1"/>
    <x v="3"/>
    <s v="Rajasthan"/>
    <s v="Udaipur"/>
    <x v="2"/>
    <x v="6"/>
    <s v="Eco Copiers 381"/>
    <x v="1"/>
    <n v="7"/>
    <n v="2527.61"/>
    <n v="0.25"/>
    <s v="OK"/>
    <n v="13269.95"/>
    <n v="8977.1"/>
    <n v="4292.8500000000004"/>
    <x v="0"/>
    <x v="0"/>
    <s v="OK"/>
    <n v="0.25"/>
    <n v="13269.95"/>
    <n v="4292.8500000000004"/>
    <n v="0.32350000000000001"/>
    <x v="6"/>
    <x v="0"/>
    <s v="CLEAN"/>
  </r>
  <r>
    <x v="90"/>
    <d v="2024-04-03T00:00:00"/>
    <d v="2024-03-12T00:00:00"/>
    <n v="-22"/>
    <s v="INVALID"/>
    <s v="CUST-4661"/>
    <s v="Arjun Bose"/>
    <x v="0"/>
    <x v="4"/>
    <s v="Gujarat"/>
    <s v="Ahmedabad"/>
    <x v="1"/>
    <x v="9"/>
    <s v="Max Bookcases 595"/>
    <x v="2"/>
    <n v="1"/>
    <n v="1554.12"/>
    <n v="0.1"/>
    <s v="OK"/>
    <n v="1398.71"/>
    <n v="1056.92"/>
    <n v="341.79"/>
    <x v="0"/>
    <x v="0"/>
    <s v="OK"/>
    <n v="0.1"/>
    <n v="1398.71"/>
    <n v="341.79"/>
    <n v="0.24440000000000001"/>
    <x v="10"/>
    <x v="0"/>
    <s v="INVALID"/>
  </r>
  <r>
    <x v="91"/>
    <d v="2024-06-27T00:00:00"/>
    <d v="2024-06-27T00:00:00"/>
    <n v="0"/>
    <s v="OK"/>
    <s v="CUST-6011"/>
    <s v="Neha Gupta"/>
    <x v="3"/>
    <x v="4"/>
    <s v="Madhya Pradesh"/>
    <s v="Indore"/>
    <x v="2"/>
    <x v="6"/>
    <s v="Max Copiers 992"/>
    <x v="3"/>
    <n v="2"/>
    <n v="3859.11"/>
    <n v="0"/>
    <s v="OK"/>
    <n v="7718.22"/>
    <n v="5355.93"/>
    <n v="2362.29"/>
    <x v="1"/>
    <x v="1"/>
    <s v="OK"/>
    <n v="0"/>
    <n v="7718.22"/>
    <n v="2362.29"/>
    <n v="0.30609999999999998"/>
    <x v="2"/>
    <x v="0"/>
    <s v="WARNING"/>
  </r>
  <r>
    <x v="92"/>
    <d v="2024-06-14T00:00:00"/>
    <d v="2024-06-17T00:00:00"/>
    <n v="3"/>
    <s v="OK"/>
    <s v="CUST-6160"/>
    <s v="Kabir Singh"/>
    <x v="1"/>
    <x v="2"/>
    <s v="Kerala"/>
    <s v="Kochi"/>
    <x v="1"/>
    <x v="1"/>
    <s v="Pro Tables 407"/>
    <x v="0"/>
    <n v="6"/>
    <n v="1088.04"/>
    <n v="0.1"/>
    <s v="OK"/>
    <n v="5875.42"/>
    <n v="4380.55"/>
    <n v="1494.87"/>
    <x v="1"/>
    <x v="1"/>
    <s v="OK"/>
    <n v="0.1"/>
    <n v="5875.42"/>
    <n v="1494.87"/>
    <n v="0.25440000000000002"/>
    <x v="2"/>
    <x v="0"/>
    <s v="CLEAN"/>
  </r>
  <r>
    <x v="93"/>
    <d v="2024-02-12T00:00:00"/>
    <d v="2024-02-11T00:00:00"/>
    <n v="-1"/>
    <s v="INVALID"/>
    <s v="CUST-7764"/>
    <s v="Priya Menon"/>
    <x v="0"/>
    <x v="2"/>
    <s v="Tamil Nadu"/>
    <s v="Chennai"/>
    <x v="1"/>
    <x v="9"/>
    <s v="Classic Bookcases 847"/>
    <x v="1"/>
    <n v="1"/>
    <n v="2599.12"/>
    <n v="0.15"/>
    <s v="OK"/>
    <n v="2209.25"/>
    <n v="1523.78"/>
    <n v="685.47"/>
    <x v="0"/>
    <x v="0"/>
    <s v="OK"/>
    <n v="0.15"/>
    <n v="2209.25"/>
    <n v="685.47"/>
    <n v="0.31030000000000002"/>
    <x v="8"/>
    <x v="0"/>
    <s v="INVALID"/>
  </r>
  <r>
    <x v="94"/>
    <d v="2024-10-22T00:00:00"/>
    <d v="2024-10-24T00:00:00"/>
    <n v="2"/>
    <s v="OK"/>
    <s v="CUST-1142"/>
    <s v="Rohan Mehta"/>
    <x v="1"/>
    <x v="2"/>
    <s v="Andhra Pradesh"/>
    <s v="Vijayawada"/>
    <x v="1"/>
    <x v="9"/>
    <s v="Pro Bookcases 430"/>
    <x v="3"/>
    <n v="3"/>
    <n v="915.84"/>
    <n v="0.15"/>
    <s v="OK"/>
    <n v="2335.39"/>
    <n v="1466.15"/>
    <n v="869.24"/>
    <x v="0"/>
    <x v="0"/>
    <s v="OK"/>
    <n v="0.15"/>
    <n v="2335.39"/>
    <n v="869.24"/>
    <n v="0.37219999999999998"/>
    <x v="9"/>
    <x v="0"/>
    <s v="CLEAN"/>
  </r>
  <r>
    <x v="95"/>
    <d v="2024-09-09T00:00:00"/>
    <d v="2024-09-11T00:00:00"/>
    <n v="2"/>
    <s v="OK"/>
    <s v="CUST-2324"/>
    <s v="Neha Gupta"/>
    <x v="3"/>
    <x v="2"/>
    <s v="Telangana"/>
    <s v="Hyderabad"/>
    <x v="1"/>
    <x v="9"/>
    <s v="Max Bookcases 881"/>
    <x v="2"/>
    <n v="1"/>
    <n v="4199.54"/>
    <n v="0.05"/>
    <s v="OK"/>
    <n v="3989.56"/>
    <n v="2381.38"/>
    <n v="1608.18"/>
    <x v="0"/>
    <x v="0"/>
    <s v="OK"/>
    <n v="0.05"/>
    <n v="3989.56"/>
    <n v="1608.18"/>
    <n v="0.40310000000000001"/>
    <x v="11"/>
    <x v="0"/>
    <s v="CLEAN"/>
  </r>
  <r>
    <x v="96"/>
    <d v="2024-03-09T00:00:00"/>
    <d v="2024-03-14T00:00:00"/>
    <n v="5"/>
    <s v="OK"/>
    <s v="CUST-4830"/>
    <s v="Neha Gupta"/>
    <x v="1"/>
    <x v="3"/>
    <s v="Goa"/>
    <s v="Panaji"/>
    <x v="1"/>
    <x v="3"/>
    <s v="Pro Furnishings 108"/>
    <x v="0"/>
    <n v="8"/>
    <n v="4472.84"/>
    <n v="0"/>
    <s v="OK"/>
    <n v="35997.620000000003"/>
    <n v="26424.41"/>
    <n v="9358.31"/>
    <x v="1"/>
    <x v="1"/>
    <s v="OK"/>
    <n v="0"/>
    <n v="35782.720000000001"/>
    <n v="9358.31"/>
    <n v="0.26150000000000001"/>
    <x v="7"/>
    <x v="0"/>
    <s v="CLEAN"/>
  </r>
  <r>
    <x v="97"/>
    <d v="2024-11-22T00:00:00"/>
    <d v="2024-11-29T00:00:00"/>
    <n v="7"/>
    <s v="OK"/>
    <s v="CUST-4598"/>
    <s v="Mira Das"/>
    <x v="3"/>
    <x v="1"/>
    <s v="Bihar"/>
    <s v="Patna"/>
    <x v="1"/>
    <x v="10"/>
    <s v="Max Chairs 148"/>
    <x v="3"/>
    <n v="4"/>
    <n v="3422.99"/>
    <n v="0.25"/>
    <s v="OK"/>
    <n v="10268.969999999999"/>
    <n v="6470.92"/>
    <n v="3798.05"/>
    <x v="0"/>
    <x v="0"/>
    <s v="OK"/>
    <n v="0.25"/>
    <n v="10268.969999999999"/>
    <n v="3798.05"/>
    <n v="0.36990000000000001"/>
    <x v="3"/>
    <x v="0"/>
    <s v="CLEAN"/>
  </r>
  <r>
    <x v="98"/>
    <d v="2024-02-05T00:00:00"/>
    <d v="2024-05-08T00:00:00"/>
    <n v="93"/>
    <s v="OK"/>
    <s v="CUST-6153"/>
    <s v="Priya Menon"/>
    <x v="3"/>
    <x v="0"/>
    <s v="Punjab"/>
    <s v="Ludhiana"/>
    <x v="2"/>
    <x v="6"/>
    <s v="Prime Copiers 440"/>
    <x v="0"/>
    <n v="1"/>
    <n v="2312.25"/>
    <n v="0.25"/>
    <s v="OK"/>
    <n v="1734.19"/>
    <n v="1386.07"/>
    <n v="348.12"/>
    <x v="0"/>
    <x v="0"/>
    <s v="OK"/>
    <n v="0.25"/>
    <n v="1734.19"/>
    <n v="348.12"/>
    <n v="0.20069999999999999"/>
    <x v="8"/>
    <x v="0"/>
    <s v="CLEAN"/>
  </r>
  <r>
    <x v="99"/>
    <d v="2024-01-27T00:00:00"/>
    <d v="2024-02-03T00:00:00"/>
    <n v="7"/>
    <s v="OK"/>
    <s v="CUST-5580"/>
    <s v="Arjun Bose"/>
    <x v="1"/>
    <x v="1"/>
    <s v="Bihar"/>
    <s v="Patna"/>
    <x v="2"/>
    <x v="12"/>
    <s v="Basic Machines 584"/>
    <x v="1"/>
    <n v="7"/>
    <n v="2673.42"/>
    <n v="0.15"/>
    <s v="OK"/>
    <n v="15906.85"/>
    <n v="11014.46"/>
    <n v="4892.3900000000003"/>
    <x v="0"/>
    <x v="1"/>
    <s v="OK"/>
    <n v="0.15"/>
    <n v="15906.85"/>
    <n v="4892.3900000000003"/>
    <n v="0.30759999999999998"/>
    <x v="6"/>
    <x v="0"/>
    <s v="CLEAN"/>
  </r>
  <r>
    <x v="100"/>
    <d v="2024-01-06T00:00:00"/>
    <d v="2024-06-03T00:00:00"/>
    <n v="149"/>
    <s v="OK"/>
    <s v="CUST-4399"/>
    <s v="Sneha Kapoor"/>
    <x v="3"/>
    <x v="4"/>
    <s v="Bihar"/>
    <s v="Patna"/>
    <x v="0"/>
    <x v="2"/>
    <s v="Classic Art 573"/>
    <x v="1"/>
    <n v="8"/>
    <n v="3879.95"/>
    <n v="0"/>
    <s v="OK"/>
    <n v="31039.599999999999"/>
    <n v="20866.72"/>
    <n v="10172.879999999999"/>
    <x v="0"/>
    <x v="0"/>
    <s v="OK"/>
    <n v="0"/>
    <n v="31039.599999999999"/>
    <n v="10172.879999999999"/>
    <n v="0.32769999999999999"/>
    <x v="6"/>
    <x v="0"/>
    <s v="WARNING"/>
  </r>
  <r>
    <x v="101"/>
    <d v="2024-09-30T00:00:00"/>
    <d v="2024-09-30T00:00:00"/>
    <n v="0"/>
    <s v="OK"/>
    <s v="CUST-3092"/>
    <s v="Isha Nair"/>
    <x v="2"/>
    <x v="2"/>
    <s v="Telangana"/>
    <s v="Hyderabad"/>
    <x v="0"/>
    <x v="2"/>
    <s v="Eco Art 854"/>
    <x v="3"/>
    <n v="4"/>
    <n v="3281.74"/>
    <n v="0"/>
    <s v="OK"/>
    <n v="13126.96"/>
    <n v="10732.44"/>
    <n v="2394.52"/>
    <x v="0"/>
    <x v="0"/>
    <s v="OK"/>
    <n v="0"/>
    <n v="13126.96"/>
    <n v="2394.52"/>
    <n v="0.18240000000000001"/>
    <x v="11"/>
    <x v="0"/>
    <s v="CLEAN"/>
  </r>
  <r>
    <x v="102"/>
    <d v="2024-03-15T00:00:00"/>
    <d v="2024-03-19T00:00:00"/>
    <n v="4"/>
    <s v="OK"/>
    <s v="CUST-1778"/>
    <s v="Ananya Rao"/>
    <x v="1"/>
    <x v="2"/>
    <s v="Tamil Nadu"/>
    <s v="Chennai"/>
    <x v="1"/>
    <x v="3"/>
    <s v="Classic Furnishings 996"/>
    <x v="3"/>
    <n v="4"/>
    <n v="3186.3"/>
    <n v="0.25"/>
    <s v="OK"/>
    <n v="9558.9"/>
    <n v="5516.76"/>
    <n v="4042.14"/>
    <x v="2"/>
    <x v="1"/>
    <s v="OK"/>
    <n v="0.25"/>
    <n v="9558.9"/>
    <n v="4042.14"/>
    <n v="0.4229"/>
    <x v="7"/>
    <x v="0"/>
    <s v="CLEAN"/>
  </r>
  <r>
    <x v="103"/>
    <d v="2024-08-26T00:00:00"/>
    <d v="2024-08-26T00:00:00"/>
    <n v="0"/>
    <s v="OK"/>
    <s v="CUST-3787"/>
    <s v="Mira Das"/>
    <x v="3"/>
    <x v="0"/>
    <s v="Uttar Pradesh"/>
    <s v="Noida"/>
    <x v="0"/>
    <x v="11"/>
    <s v="Prime Binders 735"/>
    <x v="2"/>
    <n v="7"/>
    <n v="844.59"/>
    <n v="0.1"/>
    <s v="OK"/>
    <n v="5320.92"/>
    <n v="3041.5"/>
    <n v="2279.42"/>
    <x v="0"/>
    <x v="0"/>
    <s v="OK"/>
    <n v="0.1"/>
    <n v="5320.92"/>
    <n v="2279.42"/>
    <n v="0.4284"/>
    <x v="1"/>
    <x v="0"/>
    <s v="CLEAN"/>
  </r>
  <r>
    <x v="104"/>
    <d v="2024-10-16T00:00:00"/>
    <d v="2024-10-16T00:00:00"/>
    <n v="0"/>
    <s v="OK"/>
    <s v="CUST-4121"/>
    <s v="Ananya Rao"/>
    <x v="3"/>
    <x v="1"/>
    <s v="Bihar"/>
    <s v="Patna"/>
    <x v="2"/>
    <x v="12"/>
    <s v="Basic Machines 575"/>
    <x v="3"/>
    <n v="7"/>
    <n v="775.77"/>
    <n v="0"/>
    <s v="OK"/>
    <n v="5430.39"/>
    <n v="3707.66"/>
    <n v="1722.73"/>
    <x v="0"/>
    <x v="0"/>
    <s v="OK"/>
    <n v="0"/>
    <n v="5430.39"/>
    <n v="1722.73"/>
    <n v="0.31719999999999998"/>
    <x v="9"/>
    <x v="0"/>
    <s v="CLEAN"/>
  </r>
  <r>
    <x v="105"/>
    <d v="2024-04-02T00:00:00"/>
    <d v="2024-04-06T00:00:00"/>
    <n v="4"/>
    <s v="OK"/>
    <s v="CUST-1358"/>
    <s v="Vikram Iyer"/>
    <x v="2"/>
    <x v="3"/>
    <s v="Madhya Pradesh"/>
    <s v="Indore"/>
    <x v="1"/>
    <x v="9"/>
    <s v="Max Bookcases 472"/>
    <x v="3"/>
    <n v="2"/>
    <n v="888.98"/>
    <n v="0"/>
    <s v="OK"/>
    <n v="1777.96"/>
    <n v="1021.16"/>
    <n v="756.8"/>
    <x v="2"/>
    <x v="1"/>
    <s v="OK"/>
    <n v="0"/>
    <n v="1777.96"/>
    <n v="756.8"/>
    <n v="0.42570000000000002"/>
    <x v="10"/>
    <x v="0"/>
    <s v="CLEAN"/>
  </r>
  <r>
    <x v="106"/>
    <d v="2024-11-05T00:00:00"/>
    <d v="2024-11-13T00:00:00"/>
    <n v="8"/>
    <s v="OK"/>
    <s v="CUST-4968"/>
    <s v="Arjun Bose"/>
    <x v="0"/>
    <x v="4"/>
    <s v="Punjab"/>
    <s v="Ludhiana"/>
    <x v="0"/>
    <x v="5"/>
    <s v="Smart Labels 475"/>
    <x v="0"/>
    <n v="2"/>
    <n v="1003.17"/>
    <n v="0.2"/>
    <s v="OK"/>
    <n v="1605.07"/>
    <n v="1337.28"/>
    <n v="267.79000000000002"/>
    <x v="0"/>
    <x v="0"/>
    <s v="OK"/>
    <n v="0.2"/>
    <n v="1605.07"/>
    <n v="267.79000000000002"/>
    <n v="0.1668"/>
    <x v="3"/>
    <x v="0"/>
    <s v="WARNING"/>
  </r>
  <r>
    <x v="107"/>
    <d v="2024-07-19T00:00:00"/>
    <d v="2024-07-20T00:00:00"/>
    <n v="1"/>
    <s v="OK"/>
    <s v="CUST-2778"/>
    <s v="Vikram Iyer"/>
    <x v="0"/>
    <x v="2"/>
    <s v="Tamil Nadu"/>
    <s v="Chennai"/>
    <x v="1"/>
    <x v="1"/>
    <s v="Basic Tables 417"/>
    <x v="2"/>
    <n v="7"/>
    <n v="3608.43"/>
    <n v="0.05"/>
    <s v="OK"/>
    <n v="23996.06"/>
    <n v="20167.28"/>
    <n v="3828.78"/>
    <x v="0"/>
    <x v="0"/>
    <s v="OK"/>
    <n v="0.05"/>
    <n v="23996.06"/>
    <n v="3828.78"/>
    <n v="0.15959999999999999"/>
    <x v="0"/>
    <x v="0"/>
    <s v="CLEAN"/>
  </r>
  <r>
    <x v="108"/>
    <d v="2024-10-19T00:00:00"/>
    <d v="2024-10-24T00:00:00"/>
    <n v="5"/>
    <s v="OK"/>
    <s v="CUST-7410"/>
    <s v="Sneha Kapoor"/>
    <x v="1"/>
    <x v="2"/>
    <s v="Tamil Nadu"/>
    <s v="Chennai"/>
    <x v="1"/>
    <x v="9"/>
    <s v="Prime Bookcases 602"/>
    <x v="0"/>
    <n v="6"/>
    <n v="4308.3999999999996"/>
    <n v="0.65"/>
    <s v="OK"/>
    <n v="25850.400000000001"/>
    <n v="19397.68"/>
    <n v="6452.72"/>
    <x v="0"/>
    <x v="0"/>
    <s v="OK"/>
    <n v="0.65"/>
    <n v="9047.64"/>
    <n v="-10350.040000000001"/>
    <n v="-1.1438999999999999"/>
    <x v="9"/>
    <x v="0"/>
    <s v="CLEAN"/>
  </r>
  <r>
    <x v="109"/>
    <d v="2024-12-09T00:00:00"/>
    <d v="2024-12-16T00:00:00"/>
    <n v="7"/>
    <s v="OK"/>
    <s v="CUST-7115"/>
    <s v="Isha Nair"/>
    <x v="3"/>
    <x v="3"/>
    <s v="Gujarat"/>
    <s v="Ahmedabad"/>
    <x v="1"/>
    <x v="10"/>
    <s v="Eco Chairs 438"/>
    <x v="2"/>
    <n v="4"/>
    <n v="2191.0300000000002"/>
    <n v="0"/>
    <s v="OK"/>
    <n v="8764.1200000000008"/>
    <n v="7220.05"/>
    <n v="1544.07"/>
    <x v="0"/>
    <x v="0"/>
    <s v="OK"/>
    <n v="0"/>
    <n v="8764.1200000000008"/>
    <n v="1544.07"/>
    <n v="0.1762"/>
    <x v="5"/>
    <x v="0"/>
    <s v="CLEAN"/>
  </r>
  <r>
    <x v="110"/>
    <d v="2024-06-23T00:00:00"/>
    <d v="2024-06-28T00:00:00"/>
    <n v="5"/>
    <s v="OK"/>
    <s v="CUST-9853"/>
    <s v="Priya Menon"/>
    <x v="1"/>
    <x v="0"/>
    <s v="Punjab"/>
    <s v="Ludhiana"/>
    <x v="2"/>
    <x v="6"/>
    <s v="Prime Copiers 142"/>
    <x v="1"/>
    <n v="6"/>
    <n v="1956.63"/>
    <n v="0.2"/>
    <s v="OK"/>
    <n v="9391.82"/>
    <n v="6013.22"/>
    <n v="3378.6"/>
    <x v="2"/>
    <x v="1"/>
    <s v="OK"/>
    <n v="0.2"/>
    <n v="9391.82"/>
    <n v="3378.6"/>
    <n v="0.35970000000000002"/>
    <x v="2"/>
    <x v="0"/>
    <s v="CLEAN"/>
  </r>
  <r>
    <x v="111"/>
    <d v="2024-01-22T00:00:00"/>
    <d v="2024-01-25T00:00:00"/>
    <n v="3"/>
    <s v="OK"/>
    <s v="CUST-8028"/>
    <s v="Kabir Singh"/>
    <x v="3"/>
    <x v="0"/>
    <s v="Uttar Pradesh"/>
    <s v="Noida"/>
    <x v="0"/>
    <x v="7"/>
    <s v="Elite Storage 915"/>
    <x v="2"/>
    <n v="3"/>
    <n v="1212.03"/>
    <n v="0.1"/>
    <s v="OK"/>
    <n v="3272.48"/>
    <n v="2517.44"/>
    <n v="755.04"/>
    <x v="0"/>
    <x v="0"/>
    <s v="OK"/>
    <n v="0.1"/>
    <n v="3272.48"/>
    <n v="755.04"/>
    <n v="0.23069999999999999"/>
    <x v="6"/>
    <x v="0"/>
    <s v="CLEAN"/>
  </r>
  <r>
    <x v="112"/>
    <d v="2024-05-06T00:00:00"/>
    <d v="2024-06-06T00:00:00"/>
    <n v="31"/>
    <s v="OK"/>
    <s v="CUST-7820"/>
    <s v="Sneha Kapoor"/>
    <x v="0"/>
    <x v="3"/>
    <s v="Gujarat"/>
    <s v="Ahmedabad"/>
    <x v="0"/>
    <x v="2"/>
    <s v="Classic Art 968"/>
    <x v="0"/>
    <n v="1"/>
    <n v="1184.58"/>
    <n v="0.05"/>
    <s v="OK"/>
    <n v="1125.3499999999999"/>
    <n v="676.97"/>
    <n v="448.38"/>
    <x v="3"/>
    <x v="2"/>
    <s v="OK"/>
    <n v="0.05"/>
    <n v="1125.3499999999999"/>
    <n v="448.38"/>
    <n v="0.39839999999999998"/>
    <x v="4"/>
    <x v="0"/>
    <s v="INVALID"/>
  </r>
  <r>
    <x v="113"/>
    <d v="2024-03-12T00:00:00"/>
    <d v="2024-12-03T00:00:00"/>
    <n v="266"/>
    <s v="OK"/>
    <s v="CUST-4536"/>
    <s v="Rahul Verma"/>
    <x v="3"/>
    <x v="1"/>
    <s v="Bihar"/>
    <s v="Patna"/>
    <x v="2"/>
    <x v="12"/>
    <s v="Prime Machines 806"/>
    <x v="4"/>
    <n v="6"/>
    <n v="2185.58"/>
    <n v="0.25"/>
    <s v="OK"/>
    <n v="9835.11"/>
    <n v="5437.64"/>
    <n v="4397.47"/>
    <x v="0"/>
    <x v="0"/>
    <s v="OK"/>
    <n v="0.25"/>
    <n v="9835.11"/>
    <n v="4397.47"/>
    <n v="0.4471"/>
    <x v="7"/>
    <x v="0"/>
    <s v="WARNING"/>
  </r>
  <r>
    <x v="114"/>
    <d v="2024-03-28T00:00:00"/>
    <d v="2024-03-30T00:00:00"/>
    <n v="2"/>
    <s v="OK"/>
    <s v="CUST-3384"/>
    <s v="Sneha Kapoor"/>
    <x v="2"/>
    <x v="3"/>
    <s v="Rajasthan"/>
    <s v="Udaipur"/>
    <x v="2"/>
    <x v="4"/>
    <s v="Max Accessories 186"/>
    <x v="0"/>
    <n v="1"/>
    <n v="570.34"/>
    <n v="0.15"/>
    <s v="OK"/>
    <n v="484.79"/>
    <n v="333.54"/>
    <n v="151.25"/>
    <x v="0"/>
    <x v="0"/>
    <s v="OK"/>
    <n v="0.15"/>
    <n v="484.79"/>
    <n v="151.25"/>
    <n v="0.312"/>
    <x v="7"/>
    <x v="0"/>
    <s v="CLEAN"/>
  </r>
  <r>
    <x v="115"/>
    <d v="2024-07-10T00:00:00"/>
    <d v="2024-07-16T00:00:00"/>
    <n v="6"/>
    <s v="OK"/>
    <s v="CUST-3362"/>
    <s v="Aarav Sharma"/>
    <x v="3"/>
    <x v="3"/>
    <s v="Goa"/>
    <s v="Panaji"/>
    <x v="1"/>
    <x v="9"/>
    <s v="Eco Bookcases 671"/>
    <x v="0"/>
    <n v="2"/>
    <n v="1095.45"/>
    <n v="0.2"/>
    <s v="OK"/>
    <n v="1752.72"/>
    <n v="996.41"/>
    <n v="756.31"/>
    <x v="0"/>
    <x v="0"/>
    <s v="OK"/>
    <n v="0.2"/>
    <n v="1752.72"/>
    <n v="756.31"/>
    <n v="0.43149999999999999"/>
    <x v="0"/>
    <x v="0"/>
    <s v="CLEAN"/>
  </r>
  <r>
    <x v="116"/>
    <d v="2024-03-15T00:00:00"/>
    <d v="2024-03-18T00:00:00"/>
    <n v="3"/>
    <s v="OK"/>
    <s v="CUST-3076"/>
    <s v="Kabir Singh"/>
    <x v="3"/>
    <x v="2"/>
    <s v="Karnataka"/>
    <s v="Bengaluru"/>
    <x v="2"/>
    <x v="12"/>
    <s v="Classic Machines 944"/>
    <x v="0"/>
    <n v="1"/>
    <n v="4131.3599999999997"/>
    <n v="0"/>
    <s v="OK"/>
    <n v="4131.3599999999997"/>
    <n v="2937.07"/>
    <n v="1194.29"/>
    <x v="3"/>
    <x v="1"/>
    <s v="OK"/>
    <n v="0"/>
    <n v="4131.3599999999997"/>
    <n v="1194.29"/>
    <n v="0.28910000000000002"/>
    <x v="7"/>
    <x v="0"/>
    <s v="INVALID"/>
  </r>
  <r>
    <x v="117"/>
    <d v="2024-05-16T00:00:00"/>
    <d v="2024-05-17T00:00:00"/>
    <n v="1"/>
    <s v="OK"/>
    <s v="CUST-2222"/>
    <s v="Rohan Mehta"/>
    <x v="2"/>
    <x v="1"/>
    <s v="West Bengal"/>
    <s v="Kolkata"/>
    <x v="2"/>
    <x v="6"/>
    <s v="Basic Copiers 222"/>
    <x v="0"/>
    <n v="8"/>
    <n v="4221.95"/>
    <n v="0.2"/>
    <s v="OK"/>
    <n v="27020.48"/>
    <n v="22885.24"/>
    <n v="4135.24"/>
    <x v="0"/>
    <x v="0"/>
    <s v="OK"/>
    <n v="0.2"/>
    <n v="27020.48"/>
    <n v="4135.24"/>
    <n v="0.153"/>
    <x v="4"/>
    <x v="0"/>
    <s v="CLEAN"/>
  </r>
  <r>
    <x v="118"/>
    <d v="2024-09-21T00:00:00"/>
    <d v="2024-09-21T00:00:00"/>
    <n v="0"/>
    <s v="OK"/>
    <s v="CUST-3610"/>
    <s v="Ananya Rao"/>
    <x v="1"/>
    <x v="1"/>
    <s v="Odisha"/>
    <s v="Bhubaneswar"/>
    <x v="2"/>
    <x v="8"/>
    <s v="Max Phones 329"/>
    <x v="1"/>
    <n v="2"/>
    <n v="214.5"/>
    <n v="0.15"/>
    <s v="OK"/>
    <n v="364.65"/>
    <n v="280.74"/>
    <n v="83.91"/>
    <x v="0"/>
    <x v="0"/>
    <s v="OK"/>
    <n v="0.15"/>
    <n v="364.65"/>
    <n v="83.91"/>
    <n v="0.2301"/>
    <x v="11"/>
    <x v="0"/>
    <s v="CLEAN"/>
  </r>
  <r>
    <x v="119"/>
    <d v="2024-05-15T00:00:00"/>
    <d v="2024-05-21T00:00:00"/>
    <n v="6"/>
    <s v="OK"/>
    <s v="CUST-9136"/>
    <s v="Isha Nair"/>
    <x v="1"/>
    <x v="1"/>
    <s v="Bihar"/>
    <s v="Patna"/>
    <x v="2"/>
    <x v="4"/>
    <s v="Classic Accessories 840"/>
    <x v="0"/>
    <n v="4"/>
    <n v="4332.7299999999996"/>
    <n v="0.2"/>
    <s v="OK"/>
    <n v="13864.74"/>
    <n v="11294.06"/>
    <n v="2570.6799999999998"/>
    <x v="0"/>
    <x v="0"/>
    <s v="OK"/>
    <n v="0.2"/>
    <n v="13864.74"/>
    <n v="2570.6799999999998"/>
    <n v="0.18540000000000001"/>
    <x v="4"/>
    <x v="0"/>
    <s v="CLEAN"/>
  </r>
  <r>
    <x v="120"/>
    <d v="2024-03-17T00:00:00"/>
    <d v="2024-03-23T00:00:00"/>
    <n v="6"/>
    <s v="OK"/>
    <s v="CUST-1301"/>
    <s v="Rahul Verma"/>
    <x v="0"/>
    <x v="0"/>
    <s v="Haryana"/>
    <s v="Gurugram"/>
    <x v="2"/>
    <x v="4"/>
    <s v="Classic Accessories 757"/>
    <x v="2"/>
    <n v="3"/>
    <n v="248.18"/>
    <n v="0.05"/>
    <s v="OK"/>
    <n v="707.31"/>
    <n v="569"/>
    <n v="138.31"/>
    <x v="0"/>
    <x v="0"/>
    <s v="OK"/>
    <n v="0.05"/>
    <n v="707.31"/>
    <n v="138.31"/>
    <n v="0.19550000000000001"/>
    <x v="7"/>
    <x v="0"/>
    <s v="CLEAN"/>
  </r>
  <r>
    <x v="121"/>
    <d v="2024-01-03T00:00:00"/>
    <d v="2024-03-04T00:00:00"/>
    <n v="61"/>
    <s v="OK"/>
    <s v="CUST-8603"/>
    <s v="Mira Das"/>
    <x v="0"/>
    <x v="3"/>
    <s v="Madhya Pradesh"/>
    <s v="Indore"/>
    <x v="0"/>
    <x v="0"/>
    <s v="Prime Paper 286"/>
    <x v="2"/>
    <n v="8"/>
    <n v="3202.4"/>
    <n v="0.25"/>
    <s v="OK"/>
    <n v="19214.400000000001"/>
    <n v="10916.01"/>
    <n v="8298.39"/>
    <x v="0"/>
    <x v="0"/>
    <s v="OK"/>
    <n v="0.25"/>
    <n v="19214.400000000001"/>
    <n v="8298.39"/>
    <n v="0.43190000000000001"/>
    <x v="6"/>
    <x v="0"/>
    <s v="CLEAN"/>
  </r>
  <r>
    <x v="122"/>
    <d v="2024-06-18T00:00:00"/>
    <d v="2024-06-19T00:00:00"/>
    <n v="1"/>
    <s v="OK"/>
    <s v="CUST-1472"/>
    <s v="Rahul Verma"/>
    <x v="0"/>
    <x v="1"/>
    <s v="Bihar"/>
    <s v="Patna"/>
    <x v="2"/>
    <x v="12"/>
    <s v="Elite Machines 290"/>
    <x v="2"/>
    <n v="2"/>
    <n v="121.49"/>
    <s v="85%"/>
    <s v="INVALID-ABOVE"/>
    <n v="242.98"/>
    <n v="161.41999999999999"/>
    <n v="81.56"/>
    <x v="0"/>
    <x v="0"/>
    <s v="OK"/>
    <n v="0.85"/>
    <n v="36.450000000000003"/>
    <n v="-124.97"/>
    <n v="-3.4285000000000001"/>
    <x v="2"/>
    <x v="0"/>
    <s v="INVALID"/>
  </r>
  <r>
    <x v="123"/>
    <d v="2024-09-03T00:00:00"/>
    <d v="2024-09-03T00:00:00"/>
    <n v="0"/>
    <s v="OK"/>
    <s v="CUST-1031"/>
    <s v="Sneha Kapoor"/>
    <x v="0"/>
    <x v="2"/>
    <s v="Kerala"/>
    <s v="Kochi"/>
    <x v="0"/>
    <x v="7"/>
    <s v="Elite Storage 925"/>
    <x v="2"/>
    <n v="4"/>
    <n v="2810.17"/>
    <n v="0.15"/>
    <s v="OK"/>
    <n v="9554.58"/>
    <n v="6068.47"/>
    <n v="3486.11"/>
    <x v="2"/>
    <x v="2"/>
    <s v="OK"/>
    <n v="0.15"/>
    <n v="9554.58"/>
    <n v="3486.11"/>
    <n v="0.3649"/>
    <x v="11"/>
    <x v="0"/>
    <s v="CLEAN"/>
  </r>
  <r>
    <x v="124"/>
    <d v="2024-09-02T00:00:00"/>
    <d v="2024-09-10T00:00:00"/>
    <n v="8"/>
    <s v="OK"/>
    <s v="CUST-1266"/>
    <s v="Mira Das"/>
    <x v="2"/>
    <x v="3"/>
    <s v="Goa"/>
    <s v="Panaji"/>
    <x v="2"/>
    <x v="8"/>
    <s v="Classic Phones 548"/>
    <x v="3"/>
    <n v="6"/>
    <n v="1032.47"/>
    <n v="0.15"/>
    <s v="OK"/>
    <n v="5265.6"/>
    <n v="4293.1099999999997"/>
    <n v="787.57"/>
    <x v="0"/>
    <x v="0"/>
    <s v="OK"/>
    <n v="0.15"/>
    <n v="5265.6"/>
    <n v="972.49"/>
    <n v="0.1847"/>
    <x v="11"/>
    <x v="0"/>
    <s v="CLEAN"/>
  </r>
  <r>
    <x v="125"/>
    <d v="2024-07-05T00:00:00"/>
    <d v="2024-07-12T00:00:00"/>
    <n v="7"/>
    <s v="OK"/>
    <s v="CUST-2819"/>
    <s v="Ananya Rao"/>
    <x v="1"/>
    <x v="3"/>
    <s v="Goa"/>
    <s v="Panaji"/>
    <x v="0"/>
    <x v="11"/>
    <s v="Prime Binders 507"/>
    <x v="2"/>
    <n v="3"/>
    <n v="577.75"/>
    <n v="0.15"/>
    <s v="OK"/>
    <n v="1473.26"/>
    <n v="899.86"/>
    <n v="573.4"/>
    <x v="0"/>
    <x v="0"/>
    <s v="OK"/>
    <n v="0.15"/>
    <n v="1473.26"/>
    <n v="573.4"/>
    <n v="0.38919999999999999"/>
    <x v="0"/>
    <x v="0"/>
    <s v="CLEAN"/>
  </r>
  <r>
    <x v="126"/>
    <d v="2024-04-24T00:00:00"/>
    <d v="2024-04-28T00:00:00"/>
    <n v="4"/>
    <s v="OK"/>
    <s v="CUST-1076"/>
    <s v="Karan Malhotra"/>
    <x v="1"/>
    <x v="2"/>
    <s v="Telangana"/>
    <s v="Hyderabad"/>
    <x v="0"/>
    <x v="5"/>
    <s v="Smart Labels 914"/>
    <x v="0"/>
    <n v="1"/>
    <n v="3194.37"/>
    <n v="0.15"/>
    <s v="OK"/>
    <n v="2715.21"/>
    <n v="1551.55"/>
    <n v="1163.6600000000001"/>
    <x v="0"/>
    <x v="0"/>
    <s v="OK"/>
    <n v="0.15"/>
    <n v="2715.21"/>
    <n v="1163.6600000000001"/>
    <n v="0.42859999999999998"/>
    <x v="10"/>
    <x v="0"/>
    <s v="CLEAN"/>
  </r>
  <r>
    <x v="127"/>
    <d v="2024-05-28T00:00:00"/>
    <d v="2024-03-06T00:00:00"/>
    <n v="-83"/>
    <s v="INVALID"/>
    <s v="CUST-3434"/>
    <s v="Neha Gupta"/>
    <x v="1"/>
    <x v="0"/>
    <s v="Rajasthan"/>
    <s v="Jaipur"/>
    <x v="0"/>
    <x v="0"/>
    <s v="Eco Paper 937"/>
    <x v="3"/>
    <n v="8"/>
    <n v="1540.33"/>
    <n v="0.1"/>
    <s v="OK"/>
    <n v="11090.38"/>
    <n v="8840.9500000000007"/>
    <n v="2249.4299999999998"/>
    <x v="0"/>
    <x v="0"/>
    <s v="OK"/>
    <n v="0.1"/>
    <n v="11090.38"/>
    <n v="2249.4299999999998"/>
    <n v="0.20280000000000001"/>
    <x v="4"/>
    <x v="0"/>
    <s v="INVALID"/>
  </r>
  <r>
    <x v="128"/>
    <d v="2024-05-02T00:00:00"/>
    <d v="2024-05-02T00:00:00"/>
    <n v="0"/>
    <s v="OK"/>
    <s v="CUST-9139"/>
    <s v="Ananya Rao"/>
    <x v="2"/>
    <x v="0"/>
    <s v="Rajasthan"/>
    <s v="Jaipur"/>
    <x v="0"/>
    <x v="5"/>
    <s v="Max Labels 370"/>
    <x v="2"/>
    <n v="7"/>
    <n v="2183.38"/>
    <n v="0.25"/>
    <s v="OK"/>
    <n v="11462.74"/>
    <n v="7163.54"/>
    <n v="4299.2"/>
    <x v="2"/>
    <x v="2"/>
    <s v="OK"/>
    <n v="0.25"/>
    <n v="11462.75"/>
    <n v="4299.21"/>
    <n v="0.37509999999999999"/>
    <x v="4"/>
    <x v="0"/>
    <s v="CLEAN"/>
  </r>
  <r>
    <x v="129"/>
    <d v="2024-10-14T00:00:00"/>
    <d v="2024-10-14T00:00:00"/>
    <n v="0"/>
    <s v="OK"/>
    <s v="CUST-3710"/>
    <s v="Vikram Iyer"/>
    <x v="2"/>
    <x v="2"/>
    <s v="Karnataka"/>
    <s v="Bengaluru"/>
    <x v="1"/>
    <x v="9"/>
    <s v="Smart Bookcases 328"/>
    <x v="4"/>
    <n v="8"/>
    <n v="3904.59"/>
    <n v="0"/>
    <s v="OK"/>
    <n v="31236.720000000001"/>
    <n v="26377.7"/>
    <n v="4859.0200000000004"/>
    <x v="0"/>
    <x v="0"/>
    <s v="OK"/>
    <n v="0"/>
    <n v="31236.720000000001"/>
    <n v="4859.0200000000004"/>
    <n v="0.15559999999999999"/>
    <x v="9"/>
    <x v="0"/>
    <s v="WARNING"/>
  </r>
  <r>
    <x v="130"/>
    <d v="2024-09-02T00:00:00"/>
    <d v="2024-09-03T00:00:00"/>
    <n v="1"/>
    <s v="OK"/>
    <s v="CUST-9754"/>
    <s v="Kabir Singh"/>
    <x v="3"/>
    <x v="0"/>
    <s v="Delhi"/>
    <s v="New Delhi"/>
    <x v="1"/>
    <x v="3"/>
    <s v="Eco Furnishings 981"/>
    <x v="2"/>
    <n v="9"/>
    <n v="1353.61"/>
    <n v="0.1"/>
    <s v="OK"/>
    <n v="10964.24"/>
    <n v="9262.4699999999993"/>
    <n v="1701.77"/>
    <x v="0"/>
    <x v="0"/>
    <s v="OK"/>
    <n v="0.1"/>
    <n v="10964.24"/>
    <n v="1701.77"/>
    <n v="0.1552"/>
    <x v="11"/>
    <x v="0"/>
    <s v="CLEAN"/>
  </r>
  <r>
    <x v="131"/>
    <d v="2024-11-02T00:00:00"/>
    <d v="2024-11-03T00:00:00"/>
    <n v="1"/>
    <s v="OK"/>
    <s v="CUST-6256"/>
    <s v="Rahul Verma"/>
    <x v="1"/>
    <x v="3"/>
    <s v="Rajasthan"/>
    <s v="Udaipur"/>
    <x v="0"/>
    <x v="7"/>
    <s v="Basic Storage 195"/>
    <x v="3"/>
    <n v="6"/>
    <n v="2671.29"/>
    <n v="0.05"/>
    <s v="OK"/>
    <n v="15226.35"/>
    <n v="11145.28"/>
    <n v="4081.07"/>
    <x v="0"/>
    <x v="0"/>
    <s v="OK"/>
    <n v="0.05"/>
    <n v="15226.35"/>
    <n v="4081.07"/>
    <n v="0.26800000000000002"/>
    <x v="3"/>
    <x v="0"/>
    <s v="CLEAN"/>
  </r>
  <r>
    <x v="132"/>
    <d v="2024-10-14T00:00:00"/>
    <d v="2024-10-21T00:00:00"/>
    <n v="7"/>
    <s v="OK"/>
    <s v="CUST-7113"/>
    <s v="Priya Menon"/>
    <x v="2"/>
    <x v="0"/>
    <s v="Uttar Pradesh"/>
    <s v="Noida"/>
    <x v="1"/>
    <x v="9"/>
    <s v="Elite Bookcases 907"/>
    <x v="2"/>
    <n v="6"/>
    <n v="4062.78"/>
    <n v="0"/>
    <s v="OK"/>
    <n v="24376.68"/>
    <n v="18533.39"/>
    <n v="5843.29"/>
    <x v="0"/>
    <x v="0"/>
    <s v="OK"/>
    <n v="0"/>
    <n v="24376.68"/>
    <n v="5843.29"/>
    <n v="0.2397"/>
    <x v="9"/>
    <x v="0"/>
    <s v="CLEAN"/>
  </r>
  <r>
    <x v="133"/>
    <d v="2024-08-27T00:00:00"/>
    <d v="2024-08-27T00:00:00"/>
    <n v="0"/>
    <s v="OK"/>
    <s v="CUST-3827"/>
    <s v="Mira Das"/>
    <x v="0"/>
    <x v="0"/>
    <s v="Haryana"/>
    <s v="Gurugram"/>
    <x v="2"/>
    <x v="6"/>
    <s v="Smart Copiers 471"/>
    <x v="3"/>
    <n v="9"/>
    <n v="2330.3000000000002"/>
    <n v="0"/>
    <s v="OK"/>
    <n v="20972.7"/>
    <n v="13504.88"/>
    <n v="7467.82"/>
    <x v="0"/>
    <x v="0"/>
    <s v="OK"/>
    <n v="0"/>
    <n v="20972.7"/>
    <n v="7467.82"/>
    <n v="0.35610000000000003"/>
    <x v="1"/>
    <x v="0"/>
    <s v="CLEAN"/>
  </r>
  <r>
    <x v="134"/>
    <d v="2024-01-12T00:00:00"/>
    <d v="2024-01-17T00:00:00"/>
    <n v="5"/>
    <s v="OK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s v="OK"/>
    <n v="26633.58"/>
    <n v="18838.75"/>
    <n v="7794.83"/>
    <x v="0"/>
    <x v="0"/>
    <s v="OK"/>
    <n v="0.55000000000000004"/>
    <n v="12615.91"/>
    <n v="-6222.84"/>
    <n v="-0.49330000000000002"/>
    <x v="6"/>
    <x v="0"/>
    <s v="CLEAN"/>
  </r>
  <r>
    <x v="135"/>
    <d v="2024-09-21T00:00:00"/>
    <d v="2024-09-21T00:00:00"/>
    <n v="0"/>
    <s v="OK"/>
    <s v="CUST-2233"/>
    <s v="Kabir Singh"/>
    <x v="2"/>
    <x v="2"/>
    <s v="Karnataka"/>
    <s v="Bengaluru"/>
    <x v="2"/>
    <x v="12"/>
    <s v="Smart Machines 801"/>
    <x v="2"/>
    <n v="2"/>
    <n v="1960.06"/>
    <n v="0.2"/>
    <s v="OK"/>
    <n v="3136.1"/>
    <n v="2279.4899999999998"/>
    <n v="856.61"/>
    <x v="0"/>
    <x v="0"/>
    <s v="OK"/>
    <n v="0.2"/>
    <n v="3136.1"/>
    <n v="856.61"/>
    <n v="0.27310000000000001"/>
    <x v="11"/>
    <x v="0"/>
    <s v="CLEAN"/>
  </r>
  <r>
    <x v="136"/>
    <d v="2024-12-17T00:00:00"/>
    <d v="2024-12-23T00:00:00"/>
    <n v="6"/>
    <s v="OK"/>
    <s v="CUST-9778"/>
    <s v="Aarav Sharma"/>
    <x v="2"/>
    <x v="2"/>
    <s v="Telangana"/>
    <s v="Hyderabad"/>
    <x v="0"/>
    <x v="11"/>
    <s v="Max Binders 170"/>
    <x v="2"/>
    <n v="9"/>
    <n v="2315.1"/>
    <n v="0"/>
    <s v="OK"/>
    <n v="20835.900000000001"/>
    <n v="13928.19"/>
    <n v="6907.71"/>
    <x v="0"/>
    <x v="0"/>
    <s v="OK"/>
    <n v="0"/>
    <n v="20835.900000000001"/>
    <n v="6907.71"/>
    <n v="0.33150000000000002"/>
    <x v="5"/>
    <x v="0"/>
    <s v="CLEAN"/>
  </r>
  <r>
    <x v="137"/>
    <d v="2024-08-23T00:00:00"/>
    <d v="2024-08-24T00:00:00"/>
    <n v="1"/>
    <s v="OK"/>
    <s v="CUST-6008"/>
    <s v="Neha Gupta"/>
    <x v="0"/>
    <x v="2"/>
    <s v="Telangana"/>
    <s v="Hyderabad"/>
    <x v="1"/>
    <x v="9"/>
    <s v="Eco Bookcases 768"/>
    <x v="1"/>
    <n v="6"/>
    <n v="1021.89"/>
    <n v="0"/>
    <s v="OK"/>
    <n v="6131.34"/>
    <n v="4060.88"/>
    <n v="2070.46"/>
    <x v="0"/>
    <x v="0"/>
    <s v="OK"/>
    <n v="0"/>
    <n v="6131.34"/>
    <n v="2070.46"/>
    <n v="0.3377"/>
    <x v="1"/>
    <x v="0"/>
    <s v="CLEAN"/>
  </r>
  <r>
    <x v="138"/>
    <d v="2024-10-18T00:00:00"/>
    <d v="2024-10-24T00:00:00"/>
    <n v="6"/>
    <s v="OK"/>
    <s v="CUST-1704"/>
    <s v="Neha Gupta"/>
    <x v="3"/>
    <x v="2"/>
    <s v="Kerala"/>
    <s v="Kochi"/>
    <x v="1"/>
    <x v="10"/>
    <s v="Pro Chairs 316"/>
    <x v="0"/>
    <n v="3"/>
    <n v="3275.93"/>
    <n v="0"/>
    <s v="OK"/>
    <n v="9827.7900000000009"/>
    <n v="5478.28"/>
    <n v="4349.51"/>
    <x v="0"/>
    <x v="0"/>
    <s v="OK"/>
    <n v="0"/>
    <n v="9827.7900000000009"/>
    <n v="4349.51"/>
    <n v="0.44259999999999999"/>
    <x v="9"/>
    <x v="0"/>
    <s v="CLEAN"/>
  </r>
  <r>
    <x v="139"/>
    <d v="2024-05-04T00:00:00"/>
    <d v="2024-05-09T00:00:00"/>
    <n v="5"/>
    <s v="OK"/>
    <s v="CUST-1827"/>
    <s v="Ananya Rao"/>
    <x v="2"/>
    <x v="0"/>
    <s v="Punjab"/>
    <s v="Ludhiana"/>
    <x v="2"/>
    <x v="12"/>
    <s v="Classic Machines 819"/>
    <x v="1"/>
    <n v="3"/>
    <n v="231.95"/>
    <n v="0.25"/>
    <s v="OK"/>
    <n v="521.89"/>
    <n v="444.52"/>
    <n v="77.37"/>
    <x v="2"/>
    <x v="2"/>
    <s v="OK"/>
    <n v="0.25"/>
    <n v="521.89"/>
    <n v="77.37"/>
    <n v="0.1482"/>
    <x v="4"/>
    <x v="0"/>
    <s v="CLEAN"/>
  </r>
  <r>
    <x v="140"/>
    <d v="2024-07-25T00:00:00"/>
    <d v="2024-08-01T00:00:00"/>
    <n v="7"/>
    <s v="OK"/>
    <s v="CUST-6663"/>
    <s v="Rahul Verma"/>
    <x v="2"/>
    <x v="0"/>
    <s v="Rajasthan"/>
    <s v="Jaipur"/>
    <x v="2"/>
    <x v="4"/>
    <s v="Smart Accessories 572"/>
    <x v="0"/>
    <n v="8"/>
    <n v="2493.4"/>
    <n v="0.25"/>
    <s v="OK"/>
    <n v="14960.4"/>
    <n v="12500.84"/>
    <n v="2459.56"/>
    <x v="0"/>
    <x v="0"/>
    <s v="OK"/>
    <n v="0.25"/>
    <n v="14960.4"/>
    <n v="2459.56"/>
    <n v="0.16439999999999999"/>
    <x v="0"/>
    <x v="0"/>
    <s v="CLEAN"/>
  </r>
  <r>
    <x v="141"/>
    <d v="2024-06-02T00:00:00"/>
    <d v="2024-07-06T00:00:00"/>
    <n v="34"/>
    <s v="OK"/>
    <s v="CUST-6278"/>
    <s v="Rohan Mehta"/>
    <x v="3"/>
    <x v="1"/>
    <s v="Odisha"/>
    <s v="Bhubaneswar"/>
    <x v="0"/>
    <x v="5"/>
    <s v="Basic Labels 432"/>
    <x v="0"/>
    <n v="9"/>
    <n v="787.91"/>
    <n v="0.15"/>
    <s v="OK"/>
    <n v="6027.51"/>
    <n v="4883.82"/>
    <n v="1143.69"/>
    <x v="0"/>
    <x v="0"/>
    <s v="OK"/>
    <n v="0.15"/>
    <n v="6027.51"/>
    <n v="1143.69"/>
    <n v="0.18970000000000001"/>
    <x v="2"/>
    <x v="0"/>
    <s v="CLEAN"/>
  </r>
  <r>
    <x v="142"/>
    <d v="2024-02-21T00:00:00"/>
    <d v="2024-02-27T00:00:00"/>
    <n v="6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s v="OK"/>
    <n v="14338.9"/>
    <n v="11897.65"/>
    <n v="2441.25"/>
    <x v="1"/>
    <x v="1"/>
    <s v="OK"/>
    <n v="0.15"/>
    <n v="14338.91"/>
    <n v="2441.2600000000002"/>
    <n v="0.17030000000000001"/>
    <x v="8"/>
    <x v="0"/>
    <s v="CLEAN"/>
  </r>
  <r>
    <x v="143"/>
    <d v="2024-09-12T00:00:00"/>
    <d v="2024-09-13T00:00:00"/>
    <n v="1"/>
    <s v="OK"/>
    <s v="CUST-5394"/>
    <s v="Priya Menon"/>
    <x v="1"/>
    <x v="0"/>
    <s v="Rajasthan"/>
    <s v="Jaipur"/>
    <x v="2"/>
    <x v="8"/>
    <s v="Classic Phones 442"/>
    <x v="1"/>
    <n v="6"/>
    <n v="832.79"/>
    <n v="0.05"/>
    <s v="OK"/>
    <n v="4746.8999999999996"/>
    <n v="2825.38"/>
    <n v="1472.89"/>
    <x v="2"/>
    <x v="2"/>
    <s v="OK"/>
    <n v="0.05"/>
    <n v="4746.8999999999996"/>
    <n v="1921.52"/>
    <n v="0.40479999999999999"/>
    <x v="11"/>
    <x v="0"/>
    <s v="CLEAN"/>
  </r>
  <r>
    <x v="144"/>
    <d v="2024-11-05T00:00:00"/>
    <d v="2024-11-03T00:00:00"/>
    <n v="-2"/>
    <s v="INVALID"/>
    <s v="CUST-8411"/>
    <s v="Ananya Rao"/>
    <x v="0"/>
    <x v="1"/>
    <s v="West Bengal"/>
    <s v="Kolkata"/>
    <x v="1"/>
    <x v="1"/>
    <s v="Prime Tables 481"/>
    <x v="2"/>
    <n v="9"/>
    <n v="2260.61"/>
    <n v="0.05"/>
    <s v="OK"/>
    <n v="19328.22"/>
    <n v="12039.5"/>
    <n v="7288.72"/>
    <x v="0"/>
    <x v="0"/>
    <s v="OK"/>
    <n v="0.05"/>
    <n v="19328.22"/>
    <n v="7288.72"/>
    <n v="0.37709999999999999"/>
    <x v="3"/>
    <x v="0"/>
    <s v="INVALID"/>
  </r>
  <r>
    <x v="145"/>
    <d v="2024-12-30T00:00:00"/>
    <d v="2025-01-04T00:00:00"/>
    <n v="5"/>
    <s v="OK"/>
    <s v="CUST-8467"/>
    <s v="Sneha Kapoor"/>
    <x v="2"/>
    <x v="2"/>
    <s v="Tamil Nadu"/>
    <s v="Chennai"/>
    <x v="1"/>
    <x v="1"/>
    <s v="Smart Tables 774"/>
    <x v="1"/>
    <n v="2"/>
    <n v="3720.07"/>
    <n v="0.25"/>
    <s v="OK"/>
    <n v="5580.11"/>
    <n v="4307.01"/>
    <n v="1273.0999999999999"/>
    <x v="0"/>
    <x v="0"/>
    <s v="OK"/>
    <n v="0.25"/>
    <n v="5580.11"/>
    <n v="1273.0999999999999"/>
    <n v="0.2281"/>
    <x v="5"/>
    <x v="0"/>
    <s v="CLEAN"/>
  </r>
  <r>
    <x v="146"/>
    <d v="2024-06-21T00:00:00"/>
    <d v="2024-06-29T00:00:00"/>
    <n v="8"/>
    <s v="OK"/>
    <s v="CUST-5174"/>
    <s v="Neha Gupta"/>
    <x v="0"/>
    <x v="2"/>
    <s v="Tamil Nadu"/>
    <s v="Chennai"/>
    <x v="2"/>
    <x v="12"/>
    <s v="Prime Machines 793"/>
    <x v="3"/>
    <n v="8"/>
    <n v="2853.92"/>
    <n v="0.2"/>
    <s v="OK"/>
    <n v="18265.09"/>
    <n v="10437.14"/>
    <n v="7827.95"/>
    <x v="0"/>
    <x v="0"/>
    <s v="OK"/>
    <n v="0.2"/>
    <n v="18265.09"/>
    <n v="7827.95"/>
    <n v="0.42859999999999998"/>
    <x v="2"/>
    <x v="0"/>
    <s v="CLEAN"/>
  </r>
  <r>
    <x v="147"/>
    <d v="2024-05-16T00:00:00"/>
    <d v="2024-05-21T00:00:00"/>
    <n v="5"/>
    <s v="OK"/>
    <s v="CUST-4750"/>
    <s v="Diya Patel"/>
    <x v="1"/>
    <x v="1"/>
    <s v="Bihar"/>
    <s v="Patna"/>
    <x v="2"/>
    <x v="6"/>
    <s v="Pro Copiers 599"/>
    <x v="3"/>
    <n v="4"/>
    <n v="1503.07"/>
    <n v="0"/>
    <s v="OK"/>
    <n v="6012.28"/>
    <n v="3927.64"/>
    <n v="2084.64"/>
    <x v="0"/>
    <x v="0"/>
    <s v="OK"/>
    <n v="0"/>
    <n v="6012.28"/>
    <n v="2084.64"/>
    <n v="0.34670000000000001"/>
    <x v="4"/>
    <x v="0"/>
    <s v="CLEAN"/>
  </r>
  <r>
    <x v="148"/>
    <d v="2024-11-14T00:00:00"/>
    <d v="2024-11-22T00:00:00"/>
    <n v="8"/>
    <s v="OK"/>
    <s v="CUST-3974"/>
    <s v="Priya Menon"/>
    <x v="2"/>
    <x v="1"/>
    <s v="Bihar"/>
    <s v="Patna"/>
    <x v="1"/>
    <x v="9"/>
    <s v="Basic Bookcases 570"/>
    <x v="1"/>
    <n v="1"/>
    <n v="582.37"/>
    <n v="0.15"/>
    <s v="OK"/>
    <n v="495.01"/>
    <n v="285.13"/>
    <n v="209.88"/>
    <x v="2"/>
    <x v="2"/>
    <s v="OK"/>
    <n v="0.15"/>
    <n v="495.01"/>
    <n v="209.88"/>
    <n v="0.42399999999999999"/>
    <x v="3"/>
    <x v="0"/>
    <s v="CLEAN"/>
  </r>
  <r>
    <x v="149"/>
    <d v="2024-01-12T00:00:00"/>
    <d v="2024-01-13T00:00:00"/>
    <n v="1"/>
    <s v="OK"/>
    <s v="CUST-2487"/>
    <s v="Aditi Sen"/>
    <x v="2"/>
    <x v="0"/>
    <s v="Uttar Pradesh"/>
    <s v="Noida"/>
    <x v="2"/>
    <x v="12"/>
    <s v="Prime Machines 794"/>
    <x v="1"/>
    <n v="3"/>
    <n v="827.44"/>
    <n v="0"/>
    <s v="OK"/>
    <n v="2482.3200000000002"/>
    <n v="1520.21"/>
    <n v="962.11"/>
    <x v="0"/>
    <x v="0"/>
    <s v="OK"/>
    <n v="0"/>
    <n v="2482.3200000000002"/>
    <n v="962.11"/>
    <n v="0.3876"/>
    <x v="6"/>
    <x v="0"/>
    <s v="CLEAN"/>
  </r>
  <r>
    <x v="150"/>
    <d v="2024-12-21T00:00:00"/>
    <d v="2024-12-25T00:00:00"/>
    <n v="4"/>
    <s v="OK"/>
    <s v="CUST-8009"/>
    <s v="Aditi Sen"/>
    <x v="0"/>
    <x v="2"/>
    <s v="Telangana"/>
    <s v="Hyderabad"/>
    <x v="0"/>
    <x v="11"/>
    <s v="Max Binders 927"/>
    <x v="3"/>
    <n v="7"/>
    <n v="1667.75"/>
    <n v="0"/>
    <s v="OK"/>
    <n v="11674.25"/>
    <n v="9621.19"/>
    <n v="2053.06"/>
    <x v="3"/>
    <x v="2"/>
    <s v="OK"/>
    <n v="0"/>
    <n v="11674.25"/>
    <n v="2053.06"/>
    <n v="0.1759"/>
    <x v="5"/>
    <x v="0"/>
    <s v="INVALID"/>
  </r>
  <r>
    <x v="151"/>
    <d v="2024-08-18T00:00:00"/>
    <d v="2024-08-24T00:00:00"/>
    <n v="6"/>
    <s v="OK"/>
    <s v="CUST-7389"/>
    <s v="Arjun Bose"/>
    <x v="0"/>
    <x v="2"/>
    <s v="Andhra Pradesh"/>
    <s v="Vijayawada"/>
    <x v="1"/>
    <x v="10"/>
    <s v="Eco Chairs 314"/>
    <x v="2"/>
    <n v="7"/>
    <n v="557.21"/>
    <n v="0.1"/>
    <s v="OK"/>
    <n v="3510.42"/>
    <n v="2191.5"/>
    <n v="1213.48"/>
    <x v="0"/>
    <x v="0"/>
    <s v=" ORIGINAL"/>
    <n v="0.1"/>
    <n v="3510.42"/>
    <n v="1318.92"/>
    <n v="0.37569999999999998"/>
    <x v="1"/>
    <x v="0"/>
    <s v="CLEAN"/>
  </r>
  <r>
    <x v="151"/>
    <d v="2024-08-18T00:00:00"/>
    <d v="2024-08-24T00:00:00"/>
    <n v="6"/>
    <s v="OK"/>
    <s v="CUST-7389"/>
    <s v="Arjun Bose"/>
    <x v="0"/>
    <x v="2"/>
    <s v="Andhra Pradesh"/>
    <s v="Vijayawada"/>
    <x v="1"/>
    <x v="10"/>
    <s v="Eco Chairs 314"/>
    <x v="2"/>
    <n v="7"/>
    <n v="557.21"/>
    <n v="0.1"/>
    <s v="OK"/>
    <n v="3797.79"/>
    <n v="2191.5"/>
    <n v="1213.48"/>
    <x v="0"/>
    <x v="1"/>
    <s v="CONFLICTING DUPLICATE - REVIEW"/>
    <n v="0.1"/>
    <n v="3510.42"/>
    <n v="1318.92"/>
    <n v="0.37569999999999998"/>
    <x v="1"/>
    <x v="0"/>
    <s v="CLEAN"/>
  </r>
  <r>
    <x v="152"/>
    <d v="2024-07-04T00:00:00"/>
    <d v="2024-04-14T00:00:00"/>
    <n v="-81"/>
    <s v="INVALID"/>
    <s v="CUST-4202"/>
    <s v="Rohan Mehta"/>
    <x v="0"/>
    <x v="2"/>
    <s v="Kerala"/>
    <s v="Kochi"/>
    <x v="2"/>
    <x v="6"/>
    <s v="Pro Copiers 406"/>
    <x v="3"/>
    <n v="6"/>
    <n v="4246.71"/>
    <n v="0.15"/>
    <s v="OK"/>
    <n v="21658.22"/>
    <n v="15490.69"/>
    <n v="6167.53"/>
    <x v="3"/>
    <x v="1"/>
    <s v="OK"/>
    <n v="0.15"/>
    <n v="21658.22"/>
    <n v="6167.53"/>
    <n v="0.2848"/>
    <x v="0"/>
    <x v="0"/>
    <s v="INVALID"/>
  </r>
  <r>
    <x v="153"/>
    <d v="2024-02-15T00:00:00"/>
    <d v="2024-02-22T00:00:00"/>
    <n v="7"/>
    <s v="OK"/>
    <s v="CUST-2875"/>
    <s v="Priya Menon"/>
    <x v="1"/>
    <x v="1"/>
    <s v="West Bengal"/>
    <s v="Kolkata"/>
    <x v="1"/>
    <x v="3"/>
    <s v="Eco Furnishings 678"/>
    <x v="1"/>
    <n v="1"/>
    <n v="980.51"/>
    <n v="0"/>
    <s v="OK"/>
    <n v="980.51"/>
    <n v="660.92"/>
    <n v="319.58999999999997"/>
    <x v="0"/>
    <x v="0"/>
    <s v="OK"/>
    <n v="0"/>
    <n v="980.51"/>
    <n v="319.58999999999997"/>
    <n v="0.32590000000000002"/>
    <x v="8"/>
    <x v="0"/>
    <s v="CLEAN"/>
  </r>
  <r>
    <x v="154"/>
    <d v="2024-01-22T00:00:00"/>
    <d v="2024-01-23T00:00:00"/>
    <n v="1"/>
    <s v="OK"/>
    <s v="CUST-7039"/>
    <s v="Aarav Sharma"/>
    <x v="1"/>
    <x v="4"/>
    <s v="Assam"/>
    <s v="Guwahati"/>
    <x v="1"/>
    <x v="10"/>
    <s v="Basic Chairs 141"/>
    <x v="0"/>
    <n v="6"/>
    <n v="3391.53"/>
    <n v="-0.14000000000000001"/>
    <s v="INVALID-NEGATIVE"/>
    <n v="15261.89"/>
    <n v="8413.5300000000007"/>
    <n v="6848.36"/>
    <x v="0"/>
    <x v="0"/>
    <s v="OK"/>
    <n v="0"/>
    <n v="20349.18"/>
    <n v="11935.65"/>
    <n v="0.58650000000000002"/>
    <x v="6"/>
    <x v="0"/>
    <s v="INVALID"/>
  </r>
  <r>
    <x v="155"/>
    <d v="2024-04-09T00:00:00"/>
    <d v="2024-04-10T00:00:00"/>
    <n v="1"/>
    <s v="OK"/>
    <s v="CUST-4571"/>
    <s v="Rohan Mehta"/>
    <x v="1"/>
    <x v="3"/>
    <s v="Maharashtra"/>
    <s v="Mumbai"/>
    <x v="0"/>
    <x v="7"/>
    <s v="Max Storage 564"/>
    <x v="2"/>
    <n v="1"/>
    <n v="4359.12"/>
    <n v="0.05"/>
    <s v="OK"/>
    <n v="4141.16"/>
    <n v="2754.17"/>
    <n v="1386.99"/>
    <x v="0"/>
    <x v="0"/>
    <s v="OK"/>
    <n v="0.05"/>
    <n v="4141.16"/>
    <n v="1386.99"/>
    <n v="0.33489999999999998"/>
    <x v="10"/>
    <x v="0"/>
    <s v="CLEAN"/>
  </r>
  <r>
    <x v="156"/>
    <d v="2024-12-23T00:00:00"/>
    <d v="2024-12-26T00:00:00"/>
    <n v="3"/>
    <s v="OK"/>
    <s v="CUST-4098"/>
    <s v="Aditi Sen"/>
    <x v="0"/>
    <x v="2"/>
    <s v="Karnataka"/>
    <s v="Bengaluru"/>
    <x v="2"/>
    <x v="6"/>
    <s v="Prime Copiers 961"/>
    <x v="3"/>
    <n v="9"/>
    <n v="993.67"/>
    <n v="0"/>
    <s v="OK"/>
    <n v="8943.0300000000007"/>
    <n v="5165.38"/>
    <n v="3777.65"/>
    <x v="0"/>
    <x v="0"/>
    <s v="OK"/>
    <n v="0"/>
    <n v="8943.0300000000007"/>
    <n v="3777.65"/>
    <n v="0.4224"/>
    <x v="5"/>
    <x v="0"/>
    <s v="CLEAN"/>
  </r>
  <r>
    <x v="157"/>
    <d v="2024-10-01T00:00:00"/>
    <d v="2024-10-02T00:00:00"/>
    <n v="1"/>
    <s v="OK"/>
    <s v="CUST-9445"/>
    <s v="Karan Malhotra"/>
    <x v="3"/>
    <x v="1"/>
    <s v="Assam"/>
    <s v="Guwahati"/>
    <x v="1"/>
    <x v="1"/>
    <s v="Classic Tables 811"/>
    <x v="0"/>
    <n v="2"/>
    <n v="2298"/>
    <n v="0"/>
    <s v="OK"/>
    <n v="4596"/>
    <n v="3220.33"/>
    <n v="1375.67"/>
    <x v="0"/>
    <x v="0"/>
    <s v="OK"/>
    <n v="0"/>
    <n v="4596"/>
    <n v="1375.67"/>
    <n v="0.29930000000000001"/>
    <x v="9"/>
    <x v="0"/>
    <s v="CLEAN"/>
  </r>
  <r>
    <x v="158"/>
    <d v="2024-12-08T00:00:00"/>
    <d v="2024-12-14T00:00:00"/>
    <n v="6"/>
    <s v="OK"/>
    <s v="CUST-2076"/>
    <s v="Karan Malhotra"/>
    <x v="0"/>
    <x v="1"/>
    <s v="Odisha"/>
    <s v="Bhubaneswar"/>
    <x v="1"/>
    <x v="1"/>
    <s v="Prime Tables 542"/>
    <x v="1"/>
    <n v="3"/>
    <n v="1576.92"/>
    <n v="0"/>
    <s v="OK"/>
    <n v="4730.76"/>
    <n v="3139.73"/>
    <n v="1591.03"/>
    <x v="0"/>
    <x v="1"/>
    <s v="OK"/>
    <n v="0"/>
    <n v="4730.76"/>
    <n v="1591.03"/>
    <n v="0.33629999999999999"/>
    <x v="5"/>
    <x v="0"/>
    <s v="CLEAN"/>
  </r>
  <r>
    <x v="159"/>
    <d v="2024-02-28T00:00:00"/>
    <d v="2024-03-02T00:00:00"/>
    <n v="3"/>
    <s v="OK"/>
    <s v="CUST-5823"/>
    <s v="Priya Menon"/>
    <x v="1"/>
    <x v="0"/>
    <s v="Delhi"/>
    <s v="New Delhi"/>
    <x v="1"/>
    <x v="3"/>
    <s v="Pro Furnishings 848"/>
    <x v="2"/>
    <n v="7"/>
    <n v="701.8"/>
    <n v="0.1"/>
    <s v="OK"/>
    <n v="4421.34"/>
    <n v="2489.98"/>
    <n v="1931.36"/>
    <x v="1"/>
    <x v="1"/>
    <s v="OK"/>
    <n v="0.1"/>
    <n v="4421.34"/>
    <n v="1931.36"/>
    <n v="0.43680000000000002"/>
    <x v="8"/>
    <x v="0"/>
    <s v="CLEAN"/>
  </r>
  <r>
    <x v="160"/>
    <d v="2024-09-05T00:00:00"/>
    <d v="2024-07-09T00:00:00"/>
    <n v="-58"/>
    <s v="INVALID"/>
    <s v="CUST-7095"/>
    <s v="Neha Gupta"/>
    <x v="1"/>
    <x v="2"/>
    <s v="Tamil Nadu"/>
    <s v="Chennai"/>
    <x v="2"/>
    <x v="6"/>
    <s v="Prime Copiers 924"/>
    <x v="3"/>
    <n v="3"/>
    <n v="2555.66"/>
    <n v="0.15"/>
    <s v="OK"/>
    <n v="6516.93"/>
    <n v="4511.54"/>
    <n v="2005.39"/>
    <x v="0"/>
    <x v="2"/>
    <s v="OK"/>
    <n v="0.15"/>
    <n v="6516.93"/>
    <n v="2005.39"/>
    <n v="0.30769999999999997"/>
    <x v="11"/>
    <x v="0"/>
    <s v="INVALID"/>
  </r>
  <r>
    <x v="161"/>
    <d v="2024-06-24T00:00:00"/>
    <d v="2024-06-24T00:00:00"/>
    <n v="0"/>
    <s v="OK"/>
    <s v="CUST-4805"/>
    <s v="Rohan Mehta"/>
    <x v="1"/>
    <x v="1"/>
    <s v="Bihar"/>
    <s v="Patna"/>
    <x v="0"/>
    <x v="11"/>
    <s v="Classic Binders 721"/>
    <x v="1"/>
    <n v="2"/>
    <n v="4359.8999999999996"/>
    <n v="0.15"/>
    <s v="OK"/>
    <n v="7411.83"/>
    <n v="4904.63"/>
    <n v="2507.1999999999998"/>
    <x v="0"/>
    <x v="0"/>
    <s v="OK"/>
    <n v="0.15"/>
    <n v="7411.83"/>
    <n v="2507.1999999999998"/>
    <n v="0.33829999999999999"/>
    <x v="2"/>
    <x v="0"/>
    <s v="CLEAN"/>
  </r>
  <r>
    <x v="162"/>
    <d v="2024-04-05T00:00:00"/>
    <d v="2024-04-10T00:00:00"/>
    <n v="5"/>
    <s v="OK"/>
    <s v="CUST-2860"/>
    <s v="Priya Menon"/>
    <x v="3"/>
    <x v="0"/>
    <s v="Rajasthan"/>
    <s v="Jaipur"/>
    <x v="0"/>
    <x v="11"/>
    <s v="Eco Binders 153"/>
    <x v="3"/>
    <n v="4"/>
    <n v="3228.66"/>
    <n v="0.25"/>
    <s v="OK"/>
    <n v="9685.98"/>
    <n v="7730.04"/>
    <n v="1955.94"/>
    <x v="0"/>
    <x v="0"/>
    <s v="OK"/>
    <n v="0.25"/>
    <n v="9685.98"/>
    <n v="1955.94"/>
    <n v="0.2019"/>
    <x v="10"/>
    <x v="0"/>
    <s v="CLEAN"/>
  </r>
  <r>
    <x v="163"/>
    <d v="2024-03-07T00:00:00"/>
    <d v="2024-11-03T00:00:00"/>
    <n v="241"/>
    <s v="OK"/>
    <s v="CUST-7010"/>
    <s v="Arjun Bose"/>
    <x v="3"/>
    <x v="2"/>
    <s v="Telangana"/>
    <s v="Hyderabad"/>
    <x v="2"/>
    <x v="8"/>
    <s v="Pro Phones 455"/>
    <x v="2"/>
    <n v="2"/>
    <n v="4401.51"/>
    <n v="0.65"/>
    <s v="OK"/>
    <n v="8362.8700000000008"/>
    <n v="6541.04"/>
    <n v="1821.83"/>
    <x v="0"/>
    <x v="0"/>
    <s v="OK"/>
    <n v="0.65"/>
    <n v="3081.06"/>
    <n v="-3459.98"/>
    <n v="-1.123"/>
    <x v="7"/>
    <x v="0"/>
    <s v="CLEAN"/>
  </r>
  <r>
    <x v="164"/>
    <d v="2024-10-29T00:00:00"/>
    <d v="2024-06-11T00:00:00"/>
    <n v="-140"/>
    <s v="INVALID"/>
    <s v="CUST-6724"/>
    <s v="Sneha Kapoor"/>
    <x v="2"/>
    <x v="2"/>
    <s v="Tamil Nadu"/>
    <s v="Chennai"/>
    <x v="2"/>
    <x v="6"/>
    <s v="Prime Copiers 669"/>
    <x v="1"/>
    <n v="6"/>
    <n v="1169.92"/>
    <n v="0.15"/>
    <s v="OK"/>
    <n v="5966.59"/>
    <n v="3994.72"/>
    <n v="1971.87"/>
    <x v="0"/>
    <x v="0"/>
    <s v="OK"/>
    <n v="0.15"/>
    <n v="5966.59"/>
    <n v="1971.87"/>
    <n v="0.33050000000000002"/>
    <x v="9"/>
    <x v="0"/>
    <s v="INVALID"/>
  </r>
  <r>
    <x v="165"/>
    <d v="2024-06-11T00:00:00"/>
    <d v="2024-11-12T00:00:00"/>
    <n v="154"/>
    <s v="OK"/>
    <s v="CUST-7264"/>
    <s v="Rahul Verma"/>
    <x v="1"/>
    <x v="3"/>
    <s v="Gujarat"/>
    <s v="Ahmedabad"/>
    <x v="2"/>
    <x v="4"/>
    <s v="Max Accessories 145"/>
    <x v="3"/>
    <n v="7"/>
    <n v="1719.05"/>
    <n v="0.1"/>
    <s v="OK"/>
    <n v="10830.02"/>
    <n v="7055.31"/>
    <n v="3774.71"/>
    <x v="0"/>
    <x v="0"/>
    <s v="OK"/>
    <n v="0.1"/>
    <n v="10830.02"/>
    <n v="3774.71"/>
    <n v="0.34849999999999998"/>
    <x v="2"/>
    <x v="0"/>
    <s v="CLEAN"/>
  </r>
  <r>
    <x v="166"/>
    <d v="2024-04-15T00:00:00"/>
    <d v="2024-04-23T00:00:00"/>
    <n v="8"/>
    <s v="OK"/>
    <s v="CUST-2668"/>
    <s v="Diya Patel"/>
    <x v="1"/>
    <x v="0"/>
    <s v="Punjab"/>
    <s v="Ludhiana"/>
    <x v="2"/>
    <x v="4"/>
    <s v="Classic Accessories 126"/>
    <x v="0"/>
    <n v="9"/>
    <n v="3893.74"/>
    <n v="0.1"/>
    <s v="OK"/>
    <n v="31539.29"/>
    <n v="22100.14"/>
    <n v="9439.15"/>
    <x v="0"/>
    <x v="0"/>
    <s v="OK"/>
    <n v="0.1"/>
    <n v="31539.29"/>
    <n v="9439.15"/>
    <n v="0.29930000000000001"/>
    <x v="10"/>
    <x v="0"/>
    <s v="CLEAN"/>
  </r>
  <r>
    <x v="167"/>
    <d v="2024-06-23T00:00:00"/>
    <d v="2024-06-28T00:00:00"/>
    <n v="5"/>
    <s v="OK"/>
    <s v="CUST-9035"/>
    <s v="Diya Patel"/>
    <x v="3"/>
    <x v="3"/>
    <s v="Gujarat"/>
    <s v="Ahmedabad"/>
    <x v="1"/>
    <x v="10"/>
    <s v="Elite Chairs 107"/>
    <x v="3"/>
    <n v="2"/>
    <n v="1313.14"/>
    <n v="0.1"/>
    <s v="OK"/>
    <n v="2363.65"/>
    <n v="1876.1"/>
    <n v="487.55"/>
    <x v="1"/>
    <x v="1"/>
    <s v="OK"/>
    <n v="0.1"/>
    <n v="2363.65"/>
    <n v="487.55"/>
    <n v="0.20630000000000001"/>
    <x v="2"/>
    <x v="0"/>
    <s v="CLEAN"/>
  </r>
  <r>
    <x v="168"/>
    <d v="2024-03-06T00:00:00"/>
    <d v="2024-03-13T00:00:00"/>
    <n v="7"/>
    <s v="OK"/>
    <s v="CUST-6286"/>
    <s v="Karan Malhotra"/>
    <x v="0"/>
    <x v="0"/>
    <s v="Punjab"/>
    <s v="Ludhiana"/>
    <x v="1"/>
    <x v="3"/>
    <s v="Pro Furnishings 991"/>
    <x v="3"/>
    <n v="6"/>
    <n v="2403.0500000000002"/>
    <n v="0.1"/>
    <s v="OK"/>
    <n v="12976.47"/>
    <n v="10019.98"/>
    <n v="2956.49"/>
    <x v="0"/>
    <x v="0"/>
    <s v="OK"/>
    <n v="0.1"/>
    <n v="12976.47"/>
    <n v="2956.49"/>
    <n v="0.2278"/>
    <x v="7"/>
    <x v="0"/>
    <s v="CLEAN"/>
  </r>
  <r>
    <x v="169"/>
    <d v="2024-05-01T00:00:00"/>
    <d v="2024-05-02T00:00:00"/>
    <n v="1"/>
    <s v="OK"/>
    <s v="CUST-7246"/>
    <s v="Ananya Rao"/>
    <x v="0"/>
    <x v="1"/>
    <s v="Assam"/>
    <s v="Guwahati"/>
    <x v="1"/>
    <x v="10"/>
    <s v="Eco Chairs 105"/>
    <x v="2"/>
    <n v="4"/>
    <n v="4156.0600000000004"/>
    <n v="0.55000000000000004"/>
    <s v="OK"/>
    <n v="13299.39"/>
    <n v="9851.91"/>
    <n v="3447.48"/>
    <x v="0"/>
    <x v="2"/>
    <s v="OK"/>
    <n v="0.55000000000000004"/>
    <n v="7480.91"/>
    <n v="-2371"/>
    <n v="-0.31690000000000002"/>
    <x v="4"/>
    <x v="0"/>
    <s v="CLEAN"/>
  </r>
  <r>
    <x v="170"/>
    <d v="2024-07-20T00:00:00"/>
    <d v="2024-07-22T00:00:00"/>
    <n v="2"/>
    <s v="OK"/>
    <s v="CUST-8860"/>
    <s v="Ananya Rao"/>
    <x v="0"/>
    <x v="2"/>
    <s v="Tamil Nadu"/>
    <s v="Chennai"/>
    <x v="1"/>
    <x v="1"/>
    <s v="Prime Tables 214"/>
    <x v="2"/>
    <n v="7"/>
    <n v="2060.73"/>
    <n v="0.1"/>
    <s v="OK"/>
    <n v="12982.6"/>
    <n v="7246.36"/>
    <n v="5736.24"/>
    <x v="0"/>
    <x v="2"/>
    <s v="OK"/>
    <n v="0.1"/>
    <n v="12982.6"/>
    <n v="5736.24"/>
    <n v="0.44180000000000003"/>
    <x v="0"/>
    <x v="0"/>
    <s v="CLEAN"/>
  </r>
  <r>
    <x v="171"/>
    <d v="2024-04-07T00:00:00"/>
    <d v="2024-08-07T00:00:00"/>
    <n v="122"/>
    <s v="OK"/>
    <s v="CUST-3784"/>
    <s v="Rohan Mehta"/>
    <x v="1"/>
    <x v="2"/>
    <s v="Tamil Nadu"/>
    <s v="Chennai"/>
    <x v="2"/>
    <x v="12"/>
    <s v="Max Machines 988"/>
    <x v="2"/>
    <n v="8"/>
    <n v="2034.25"/>
    <n v="0"/>
    <s v="OK"/>
    <n v="16274"/>
    <n v="9424.25"/>
    <n v="6849.75"/>
    <x v="0"/>
    <x v="0"/>
    <s v="OK"/>
    <n v="0"/>
    <n v="16274"/>
    <n v="6849.75"/>
    <n v="0.4209"/>
    <x v="10"/>
    <x v="0"/>
    <s v="CLEAN"/>
  </r>
  <r>
    <x v="172"/>
    <d v="2024-04-27T00:00:00"/>
    <d v="2024-02-05T00:00:00"/>
    <n v="-82"/>
    <s v="INVALID"/>
    <s v="CUST-3545"/>
    <s v="Mira Das"/>
    <x v="2"/>
    <x v="2"/>
    <s v="Karnataka"/>
    <s v="Bengaluru"/>
    <x v="0"/>
    <x v="11"/>
    <s v="Max Binders 425"/>
    <x v="0"/>
    <n v="5"/>
    <n v="554.04"/>
    <n v="0.1"/>
    <s v="OK"/>
    <n v="2493.1799999999998"/>
    <n v="1764"/>
    <n v="729.18"/>
    <x v="0"/>
    <x v="0"/>
    <s v="OK"/>
    <n v="0.1"/>
    <n v="2493.1799999999998"/>
    <n v="729.18"/>
    <n v="0.29249999999999998"/>
    <x v="10"/>
    <x v="0"/>
    <s v="INVALID"/>
  </r>
  <r>
    <x v="173"/>
    <d v="2024-07-31T00:00:00"/>
    <d v="2024-04-08T00:00:00"/>
    <n v="-114"/>
    <s v="INVALID"/>
    <s v="CUST-4851"/>
    <s v="Karan Malhotra"/>
    <x v="1"/>
    <x v="1"/>
    <s v="Assam"/>
    <s v="Guwahati"/>
    <x v="2"/>
    <x v="8"/>
    <s v="Elite Phones 679"/>
    <x v="3"/>
    <n v="8"/>
    <n v="2614.7399999999998"/>
    <n v="0"/>
    <s v="OK"/>
    <n v="15688.44"/>
    <n v="10047.33"/>
    <n v="5641.11"/>
    <x v="0"/>
    <x v="2"/>
    <s v="OK"/>
    <n v="0"/>
    <n v="20917.919999999998"/>
    <n v="10870.59"/>
    <n v="0.51970000000000005"/>
    <x v="0"/>
    <x v="0"/>
    <s v="INVALID"/>
  </r>
  <r>
    <x v="174"/>
    <d v="2024-07-02T00:00:00"/>
    <d v="2024-07-08T00:00:00"/>
    <n v="6"/>
    <s v="OK"/>
    <s v="CUST-7565"/>
    <s v="Rohan Mehta"/>
    <x v="0"/>
    <x v="0"/>
    <s v="Delhi"/>
    <s v="New Delhi"/>
    <x v="0"/>
    <x v="0"/>
    <s v="Smart Paper 817"/>
    <x v="3"/>
    <n v="9"/>
    <n v="3450.4"/>
    <n v="0.05"/>
    <s v="OK"/>
    <n v="29500.92"/>
    <n v="17989.68"/>
    <n v="11511.24"/>
    <x v="1"/>
    <x v="1"/>
    <s v="OK"/>
    <n v="0.05"/>
    <n v="29500.92"/>
    <n v="11511.24"/>
    <n v="0.39019999999999999"/>
    <x v="0"/>
    <x v="0"/>
    <s v="CLEAN"/>
  </r>
  <r>
    <x v="175"/>
    <d v="2024-02-16T00:00:00"/>
    <d v="2024-02-18T00:00:00"/>
    <n v="2"/>
    <s v="OK"/>
    <s v="CUST-9913"/>
    <s v="Karan Malhotra"/>
    <x v="2"/>
    <x v="0"/>
    <s v="Punjab"/>
    <s v="Ludhiana"/>
    <x v="0"/>
    <x v="5"/>
    <s v="Classic Labels 466"/>
    <x v="3"/>
    <n v="2"/>
    <n v="1947.53"/>
    <n v="0.2"/>
    <s v="OK"/>
    <n v="3116.05"/>
    <n v="1956.63"/>
    <n v="1159.42"/>
    <x v="0"/>
    <x v="2"/>
    <s v="OK"/>
    <n v="0.2"/>
    <n v="3116.05"/>
    <n v="1159.42"/>
    <n v="0.37209999999999999"/>
    <x v="8"/>
    <x v="0"/>
    <s v="CLEAN"/>
  </r>
  <r>
    <x v="176"/>
    <d v="2024-04-25T00:00:00"/>
    <d v="2024-04-30T00:00:00"/>
    <n v="5"/>
    <s v="OK"/>
    <s v="CUST-8877"/>
    <s v="Mira Das"/>
    <x v="1"/>
    <x v="2"/>
    <s v="Karnataka"/>
    <s v="Bengaluru"/>
    <x v="2"/>
    <x v="8"/>
    <s v="Basic Phones 789"/>
    <x v="3"/>
    <n v="3"/>
    <n v="4149.46"/>
    <n v="0.1"/>
    <s v="OK"/>
    <n v="11203.54"/>
    <n v="8452.93"/>
    <n v="2750.61"/>
    <x v="0"/>
    <x v="0"/>
    <s v="OK"/>
    <n v="0.1"/>
    <n v="11203.54"/>
    <n v="2750.61"/>
    <n v="0.2455"/>
    <x v="10"/>
    <x v="0"/>
    <s v="CLEAN"/>
  </r>
  <r>
    <x v="177"/>
    <d v="2024-08-21T00:00:00"/>
    <d v="2024-08-25T00:00:00"/>
    <n v="4"/>
    <s v="OK"/>
    <s v="CUST-4589"/>
    <s v="Diya Patel"/>
    <x v="0"/>
    <x v="3"/>
    <s v="Gujarat"/>
    <s v="Ahmedabad"/>
    <x v="0"/>
    <x v="11"/>
    <s v="Prime Binders 554"/>
    <x v="2"/>
    <n v="1"/>
    <n v="270.27999999999997"/>
    <n v="0"/>
    <s v="OK"/>
    <n v="270.27999999999997"/>
    <n v="156.34"/>
    <n v="113.94"/>
    <x v="0"/>
    <x v="0"/>
    <s v="OK"/>
    <n v="0"/>
    <n v="270.27999999999997"/>
    <n v="113.94"/>
    <n v="0.42159999999999997"/>
    <x v="1"/>
    <x v="0"/>
    <s v="CLEAN"/>
  </r>
  <r>
    <x v="178"/>
    <d v="2024-12-04T00:00:00"/>
    <d v="2024-12-06T00:00:00"/>
    <n v="2"/>
    <s v="OK"/>
    <s v="CUST-4667"/>
    <s v="Aarav Sharma"/>
    <x v="3"/>
    <x v="1"/>
    <s v="West Bengal"/>
    <s v="Kolkata"/>
    <x v="0"/>
    <x v="2"/>
    <s v="Classic Art 299"/>
    <x v="0"/>
    <n v="3"/>
    <n v="876.14"/>
    <s v="70%"/>
    <s v="INVALID-ABOVE"/>
    <n v="2628.42"/>
    <n v="1541.54"/>
    <n v="1086.8800000000001"/>
    <x v="1"/>
    <x v="1"/>
    <s v="OK"/>
    <n v="0.7"/>
    <n v="788.53"/>
    <n v="-753.01"/>
    <n v="-0.95499999999999996"/>
    <x v="5"/>
    <x v="0"/>
    <s v="INVALID"/>
  </r>
  <r>
    <x v="179"/>
    <d v="2024-06-23T00:00:00"/>
    <d v="2024-06-30T00:00:00"/>
    <n v="7"/>
    <s v="OK"/>
    <s v="CUST-7821"/>
    <s v="Neha Gupta"/>
    <x v="1"/>
    <x v="3"/>
    <s v="Goa"/>
    <s v="Panaji"/>
    <x v="2"/>
    <x v="4"/>
    <s v="Eco Accessories 220"/>
    <x v="1"/>
    <n v="4"/>
    <n v="674.82"/>
    <n v="0"/>
    <s v="OK"/>
    <n v="2699.28"/>
    <n v="1759.76"/>
    <n v="939.52"/>
    <x v="3"/>
    <x v="2"/>
    <s v="OK"/>
    <n v="0"/>
    <n v="2699.28"/>
    <n v="939.52"/>
    <n v="0.34810000000000002"/>
    <x v="2"/>
    <x v="0"/>
    <s v="INVALID"/>
  </r>
  <r>
    <x v="180"/>
    <d v="2024-11-12T00:00:00"/>
    <d v="2024-12-11T00:00:00"/>
    <n v="29"/>
    <s v="OK"/>
    <s v="CUST-8579"/>
    <s v="Isha Nair"/>
    <x v="0"/>
    <x v="0"/>
    <s v="Uttar Pradesh"/>
    <s v="Noida"/>
    <x v="2"/>
    <x v="8"/>
    <s v="Max Phones 422"/>
    <x v="0"/>
    <n v="6"/>
    <n v="1369.48"/>
    <n v="0.15"/>
    <s v="OK"/>
    <n v="6984.35"/>
    <n v="4023.63"/>
    <n v="2960.72"/>
    <x v="0"/>
    <x v="0"/>
    <s v="OK"/>
    <n v="0.15"/>
    <n v="6984.35"/>
    <n v="2960.72"/>
    <n v="0.4239"/>
    <x v="3"/>
    <x v="0"/>
    <s v="CLEAN"/>
  </r>
  <r>
    <x v="181"/>
    <d v="2024-02-25T00:00:00"/>
    <d v="2024-02-29T00:00:00"/>
    <n v="4"/>
    <s v="OK"/>
    <s v="CUST-6909"/>
    <s v="Isha Nair"/>
    <x v="1"/>
    <x v="3"/>
    <s v="Goa"/>
    <s v="Panaji"/>
    <x v="1"/>
    <x v="3"/>
    <s v="Eco Furnishings 897"/>
    <x v="3"/>
    <n v="9"/>
    <n v="1331.46"/>
    <n v="0.15"/>
    <s v="OK"/>
    <n v="10185.67"/>
    <n v="6479.31"/>
    <n v="3706.36"/>
    <x v="0"/>
    <x v="0"/>
    <s v="OK"/>
    <n v="0.15"/>
    <n v="10185.67"/>
    <n v="3706.36"/>
    <n v="0.3639"/>
    <x v="8"/>
    <x v="0"/>
    <s v="CLEAN"/>
  </r>
  <r>
    <x v="182"/>
    <d v="2024-07-24T00:00:00"/>
    <d v="2024-07-27T00:00:00"/>
    <n v="3"/>
    <s v="OK"/>
    <s v="CUST-6163"/>
    <s v="Isha Nair"/>
    <x v="0"/>
    <x v="3"/>
    <s v="Rajasthan"/>
    <s v="Udaipur"/>
    <x v="2"/>
    <x v="4"/>
    <s v="Classic Accessories 489"/>
    <x v="0"/>
    <n v="3"/>
    <n v="1834.55"/>
    <n v="0.2"/>
    <s v="OK"/>
    <n v="4402.92"/>
    <n v="2993.94"/>
    <n v="1408.98"/>
    <x v="1"/>
    <x v="2"/>
    <s v="OK"/>
    <n v="0.2"/>
    <n v="4402.92"/>
    <n v="1408.98"/>
    <n v="0.32"/>
    <x v="0"/>
    <x v="0"/>
    <s v="CLEAN"/>
  </r>
  <r>
    <x v="183"/>
    <d v="2024-05-16T00:00:00"/>
    <d v="2024-05-24T00:00:00"/>
    <n v="8"/>
    <s v="OK"/>
    <s v="CUST-1116"/>
    <s v="Arjun Bose"/>
    <x v="3"/>
    <x v="0"/>
    <s v="Punjab"/>
    <s v="Ludhiana"/>
    <x v="2"/>
    <x v="4"/>
    <s v="Prime Accessories 335"/>
    <x v="1"/>
    <n v="1"/>
    <n v="783.09"/>
    <n v="0"/>
    <s v="OK"/>
    <n v="783.09"/>
    <n v="503.89"/>
    <n v="279.2"/>
    <x v="3"/>
    <x v="2"/>
    <s v="OK"/>
    <n v="0"/>
    <n v="783.09"/>
    <n v="279.2"/>
    <n v="0.35649999999999998"/>
    <x v="4"/>
    <x v="0"/>
    <s v="INVALID"/>
  </r>
  <r>
    <x v="184"/>
    <d v="2024-04-12T00:00:00"/>
    <d v="2024-12-06T00:00:00"/>
    <n v="238"/>
    <s v="OK"/>
    <s v="CUST-9346"/>
    <s v="Sneha Kapoor"/>
    <x v="3"/>
    <x v="1"/>
    <s v="Odisha"/>
    <s v="Bhubaneswar"/>
    <x v="0"/>
    <x v="11"/>
    <s v="Smart Binders 939"/>
    <x v="0"/>
    <n v="4"/>
    <n v="2685.66"/>
    <n v="0"/>
    <s v="OK"/>
    <n v="10742.64"/>
    <n v="6477.37"/>
    <n v="4265.2700000000004"/>
    <x v="0"/>
    <x v="1"/>
    <s v=" ORIGINAL"/>
    <n v="0"/>
    <n v="10742.64"/>
    <n v="4265.2700000000004"/>
    <n v="0.39700000000000002"/>
    <x v="10"/>
    <x v="0"/>
    <s v="CLEAN"/>
  </r>
  <r>
    <x v="184"/>
    <d v="2024-04-12T00:00:00"/>
    <d v="2024-12-06T00:00:00"/>
    <n v="238"/>
    <s v="OK"/>
    <s v="CUST-9346"/>
    <s v="Sneha Kapoor"/>
    <x v="3"/>
    <x v="1"/>
    <s v="Odisha"/>
    <s v="Bhubaneswar"/>
    <x v="0"/>
    <x v="11"/>
    <s v="Smart Binders 939"/>
    <x v="0"/>
    <n v="4"/>
    <n v="2685.66"/>
    <n v="0"/>
    <s v="OK"/>
    <n v="10989.89"/>
    <n v="6477.37"/>
    <n v="4265.2700000000004"/>
    <x v="0"/>
    <x v="0"/>
    <s v="CONFLICTING DUPLICATE - REVIEW"/>
    <n v="0"/>
    <n v="10742.64"/>
    <n v="4265.2700000000004"/>
    <n v="0.39700000000000002"/>
    <x v="10"/>
    <x v="0"/>
    <s v="CLEAN"/>
  </r>
  <r>
    <x v="185"/>
    <d v="2024-09-12T00:00:00"/>
    <d v="2024-09-17T00:00:00"/>
    <n v="5"/>
    <s v="OK"/>
    <s v="CUST-3062"/>
    <s v="Ananya Rao"/>
    <x v="0"/>
    <x v="1"/>
    <s v="Jharkhand"/>
    <s v="Ranchi"/>
    <x v="0"/>
    <x v="7"/>
    <s v="Pro Storage 563"/>
    <x v="2"/>
    <n v="9"/>
    <n v="1921.47"/>
    <n v="0.25"/>
    <s v="OK"/>
    <n v="12969.92"/>
    <n v="9398.4599999999991"/>
    <n v="3571.46"/>
    <x v="0"/>
    <x v="0"/>
    <s v="OK"/>
    <n v="0.25"/>
    <n v="12969.92"/>
    <n v="3571.46"/>
    <n v="0.27539999999999998"/>
    <x v="11"/>
    <x v="0"/>
    <s v="CLEAN"/>
  </r>
  <r>
    <x v="186"/>
    <d v="2024-03-17T00:00:00"/>
    <d v="2024-03-21T00:00:00"/>
    <n v="4"/>
    <s v="OK"/>
    <s v="CUST-2103"/>
    <s v="Aarav Sharma"/>
    <x v="0"/>
    <x v="0"/>
    <s v="Rajasthan"/>
    <s v="Jaipur"/>
    <x v="2"/>
    <x v="6"/>
    <s v="Pro Copiers 999"/>
    <x v="2"/>
    <n v="8"/>
    <n v="1992.57"/>
    <n v="0"/>
    <s v="OK"/>
    <n v="15940.56"/>
    <n v="12347.15"/>
    <n v="3593.41"/>
    <x v="0"/>
    <x v="0"/>
    <s v="OK"/>
    <n v="0"/>
    <n v="15940.56"/>
    <n v="3593.41"/>
    <n v="0.22539999999999999"/>
    <x v="7"/>
    <x v="0"/>
    <s v="CLEAN"/>
  </r>
  <r>
    <x v="187"/>
    <d v="2024-08-12T00:00:00"/>
    <d v="2024-08-18T00:00:00"/>
    <n v="6"/>
    <s v="OK"/>
    <s v="CUST-4599"/>
    <s v="Ananya Rao"/>
    <x v="0"/>
    <x v="1"/>
    <s v="Assam"/>
    <s v="Guwahati"/>
    <x v="0"/>
    <x v="5"/>
    <s v="Classic Labels 206"/>
    <x v="1"/>
    <n v="6"/>
    <n v="1181.74"/>
    <n v="0"/>
    <s v="OK"/>
    <n v="7090.44"/>
    <n v="5672.27"/>
    <n v="1262.8699999999999"/>
    <x v="0"/>
    <x v="0"/>
    <s v="OK"/>
    <n v="0"/>
    <n v="7090.44"/>
    <n v="1418.17"/>
    <n v="0.2"/>
    <x v="1"/>
    <x v="0"/>
    <s v="CLEAN"/>
  </r>
  <r>
    <x v="188"/>
    <d v="2024-08-12T00:00:00"/>
    <d v="2024-12-08T00:00:00"/>
    <n v="118"/>
    <s v="OK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s v="OK"/>
    <n v="26414.16"/>
    <n v="21822.53"/>
    <n v="4591.63"/>
    <x v="0"/>
    <x v="0"/>
    <s v="OK"/>
    <n v="0.25"/>
    <n v="26414.16"/>
    <n v="4591.63"/>
    <n v="0.17380000000000001"/>
    <x v="1"/>
    <x v="0"/>
    <s v="CLEAN"/>
  </r>
  <r>
    <x v="189"/>
    <d v="2024-01-21T00:00:00"/>
    <d v="2024-01-29T00:00:00"/>
    <n v="8"/>
    <s v="OK"/>
    <s v="CUST-6291"/>
    <s v="Neha Gupta"/>
    <x v="0"/>
    <x v="2"/>
    <s v="Karnataka"/>
    <s v="Bengaluru"/>
    <x v="0"/>
    <x v="11"/>
    <s v="Smart Binders 414"/>
    <x v="3"/>
    <n v="5"/>
    <n v="4058.08"/>
    <n v="0.1"/>
    <s v="OK"/>
    <n v="18261.36"/>
    <n v="11399.94"/>
    <n v="6861.42"/>
    <x v="0"/>
    <x v="0"/>
    <s v="OK"/>
    <n v="0.1"/>
    <n v="18261.36"/>
    <n v="6861.42"/>
    <n v="0.37569999999999998"/>
    <x v="6"/>
    <x v="0"/>
    <s v="CLEAN"/>
  </r>
  <r>
    <x v="190"/>
    <d v="2024-11-03T00:00:00"/>
    <d v="2024-11-03T00:00:00"/>
    <n v="0"/>
    <s v="OK"/>
    <s v="CUST-8025"/>
    <s v="Priya Menon"/>
    <x v="0"/>
    <x v="0"/>
    <s v="Punjab"/>
    <s v="Ludhiana"/>
    <x v="1"/>
    <x v="9"/>
    <s v="Elite Bookcases 184"/>
    <x v="1"/>
    <n v="9"/>
    <n v="3456.38"/>
    <n v="0"/>
    <s v="OK"/>
    <n v="31107.42"/>
    <n v="20146.66"/>
    <n v="10960.76"/>
    <x v="1"/>
    <x v="1"/>
    <s v="OK"/>
    <n v="0"/>
    <n v="31107.42"/>
    <n v="10960.76"/>
    <n v="0.35239999999999999"/>
    <x v="3"/>
    <x v="0"/>
    <s v="CLEAN"/>
  </r>
  <r>
    <x v="191"/>
    <d v="2024-09-14T00:00:00"/>
    <d v="2024-09-22T00:00:00"/>
    <n v="8"/>
    <s v="OK"/>
    <s v="CUST-4634"/>
    <s v="Karan Malhotra"/>
    <x v="0"/>
    <x v="3"/>
    <s v="Madhya Pradesh"/>
    <s v="Indore"/>
    <x v="1"/>
    <x v="3"/>
    <s v="Elite Furnishings 138"/>
    <x v="0"/>
    <n v="2"/>
    <n v="2765.3"/>
    <n v="0"/>
    <s v="OK"/>
    <n v="5530.6"/>
    <n v="4453.1099999999997"/>
    <n v="1077.49"/>
    <x v="0"/>
    <x v="0"/>
    <s v="OK"/>
    <n v="0"/>
    <n v="5530.6"/>
    <n v="1077.49"/>
    <n v="0.1948"/>
    <x v="11"/>
    <x v="0"/>
    <s v="CLEAN"/>
  </r>
  <r>
    <x v="192"/>
    <d v="2024-01-12T00:00:00"/>
    <d v="2024-12-08T00:00:00"/>
    <n v="331"/>
    <s v="OK"/>
    <s v="CUST-1172"/>
    <s v="Aarav Sharma"/>
    <x v="1"/>
    <x v="3"/>
    <s v="Goa"/>
    <s v="Panaji"/>
    <x v="1"/>
    <x v="10"/>
    <s v="Max Chairs 487"/>
    <x v="0"/>
    <n v="5"/>
    <n v="2981.49"/>
    <n v="0.2"/>
    <s v="OK"/>
    <n v="11925.96"/>
    <n v="10103.51"/>
    <n v="1822.45"/>
    <x v="2"/>
    <x v="1"/>
    <s v="OK"/>
    <n v="0.2"/>
    <n v="11925.96"/>
    <n v="1822.45"/>
    <n v="0.15279999999999999"/>
    <x v="6"/>
    <x v="0"/>
    <s v="CLEAN"/>
  </r>
  <r>
    <x v="193"/>
    <d v="2024-06-02T00:00:00"/>
    <d v="2024-06-07T00:00:00"/>
    <n v="5"/>
    <s v="OK"/>
    <s v="CUST-9517"/>
    <s v="Aarav Sharma"/>
    <x v="2"/>
    <x v="2"/>
    <s v="Karnataka"/>
    <s v="Bengaluru"/>
    <x v="2"/>
    <x v="8"/>
    <s v="Classic Phones 989"/>
    <x v="1"/>
    <n v="9"/>
    <n v="2860.26"/>
    <n v="0.25"/>
    <s v="OK"/>
    <n v="19306.759999999998"/>
    <n v="14442.38"/>
    <n v="4864.38"/>
    <x v="0"/>
    <x v="0"/>
    <s v="OK"/>
    <n v="0.25"/>
    <n v="19306.759999999998"/>
    <n v="4864.38"/>
    <n v="0.252"/>
    <x v="2"/>
    <x v="0"/>
    <s v="CLEAN"/>
  </r>
  <r>
    <x v="194"/>
    <d v="2024-07-01T00:00:00"/>
    <d v="2024-01-14T00:00:00"/>
    <n v="-169"/>
    <s v="INVALID"/>
    <s v="CUST-7644"/>
    <s v="Sneha Kapoor"/>
    <x v="1"/>
    <x v="1"/>
    <s v="Jharkhand"/>
    <s v="Ranchi"/>
    <x v="1"/>
    <x v="3"/>
    <s v="Elite Furnishings 279"/>
    <x v="0"/>
    <n v="4"/>
    <n v="3309.54"/>
    <n v="0.1"/>
    <s v="OK"/>
    <n v="11914.34"/>
    <n v="9771.24"/>
    <n v="2143.1"/>
    <x v="2"/>
    <x v="1"/>
    <s v="OK"/>
    <n v="0.1"/>
    <n v="11914.34"/>
    <n v="2143.1"/>
    <n v="0.1799"/>
    <x v="0"/>
    <x v="0"/>
    <s v="INVALID"/>
  </r>
  <r>
    <x v="195"/>
    <d v="2024-12-27T00:00:00"/>
    <d v="2024-12-31T00:00:00"/>
    <n v="4"/>
    <s v="OK"/>
    <s v="CUST-1058"/>
    <s v="Kabir Singh"/>
    <x v="2"/>
    <x v="0"/>
    <s v="Punjab"/>
    <s v="Ludhiana"/>
    <x v="1"/>
    <x v="3"/>
    <s v="Classic Furnishings 498"/>
    <x v="3"/>
    <n v="6"/>
    <n v="3346.78"/>
    <n v="-0.06"/>
    <s v="INVALID-NEGATIVE"/>
    <n v="20080.68"/>
    <n v="12908.84"/>
    <n v="7171.84"/>
    <x v="1"/>
    <x v="2"/>
    <s v="OK"/>
    <n v="0"/>
    <n v="20080.68"/>
    <n v="7171.84"/>
    <n v="0.35720000000000002"/>
    <x v="5"/>
    <x v="0"/>
    <s v="INVALID"/>
  </r>
  <r>
    <x v="196"/>
    <d v="2024-12-05T00:00:00"/>
    <d v="2024-05-09T00:00:00"/>
    <n v="-210"/>
    <s v="INVALID"/>
    <s v="CUST-6414"/>
    <s v="Priya Menon"/>
    <x v="2"/>
    <x v="3"/>
    <s v="Rajasthan"/>
    <s v="Udaipur"/>
    <x v="1"/>
    <x v="1"/>
    <s v="Max Tables 829"/>
    <x v="3"/>
    <n v="5"/>
    <n v="3203.48"/>
    <n v="0"/>
    <s v="OK"/>
    <n v="16017.4"/>
    <n v="9557.7999999999993"/>
    <n v="6459.6"/>
    <x v="1"/>
    <x v="2"/>
    <s v="OK"/>
    <n v="0"/>
    <n v="16017.4"/>
    <n v="6459.6"/>
    <n v="0.40329999999999999"/>
    <x v="5"/>
    <x v="0"/>
    <s v="INVALID"/>
  </r>
  <r>
    <x v="197"/>
    <d v="2024-08-21T00:00:00"/>
    <d v="2024-08-22T00:00:00"/>
    <n v="1"/>
    <s v="OK"/>
    <s v="CUST-9571"/>
    <s v="Isha Nair"/>
    <x v="0"/>
    <x v="2"/>
    <s v="Tamil Nadu"/>
    <s v="Chennai"/>
    <x v="2"/>
    <x v="8"/>
    <s v="Classic Phones 586"/>
    <x v="1"/>
    <n v="9"/>
    <n v="616.96"/>
    <n v="0.1"/>
    <s v="OK"/>
    <n v="4997.38"/>
    <n v="2971.39"/>
    <n v="2025.99"/>
    <x v="0"/>
    <x v="0"/>
    <s v="OK"/>
    <n v="0.1"/>
    <n v="4997.38"/>
    <n v="2025.99"/>
    <n v="0.40539999999999998"/>
    <x v="1"/>
    <x v="0"/>
    <s v="CLEAN"/>
  </r>
  <r>
    <x v="198"/>
    <d v="2024-06-17T00:00:00"/>
    <d v="2024-06-20T00:00:00"/>
    <n v="3"/>
    <s v="OK"/>
    <s v="CUST-3690"/>
    <s v="Sneha Kapoor"/>
    <x v="1"/>
    <x v="3"/>
    <s v="Gujarat"/>
    <s v="Ahmedabad"/>
    <x v="1"/>
    <x v="3"/>
    <s v="Elite Furnishings 634"/>
    <x v="3"/>
    <n v="7"/>
    <n v="3155.25"/>
    <n v="0.2"/>
    <s v="OK"/>
    <n v="17669.400000000001"/>
    <n v="13718.77"/>
    <n v="3950.63"/>
    <x v="2"/>
    <x v="2"/>
    <s v="OK"/>
    <n v="0.2"/>
    <n v="17669.400000000001"/>
    <n v="3950.63"/>
    <n v="0.22359999999999999"/>
    <x v="2"/>
    <x v="0"/>
    <s v="CLEAN"/>
  </r>
  <r>
    <x v="199"/>
    <d v="2024-08-23T00:00:00"/>
    <d v="2024-08-25T00:00:00"/>
    <n v="2"/>
    <s v="OK"/>
    <s v="CUST-6755"/>
    <s v="Vikram Iyer"/>
    <x v="0"/>
    <x v="3"/>
    <s v="Goa"/>
    <s v="Panaji"/>
    <x v="2"/>
    <x v="12"/>
    <s v="Elite Machines 216"/>
    <x v="1"/>
    <n v="4"/>
    <n v="491.16"/>
    <n v="0.05"/>
    <s v="OK"/>
    <n v="1866.41"/>
    <n v="1576.49"/>
    <n v="289.92"/>
    <x v="0"/>
    <x v="0"/>
    <s v="OK"/>
    <n v="0.05"/>
    <n v="1866.41"/>
    <n v="289.92"/>
    <n v="0.15529999999999999"/>
    <x v="1"/>
    <x v="0"/>
    <s v="CLEAN"/>
  </r>
  <r>
    <x v="200"/>
    <d v="2024-06-15T00:00:00"/>
    <d v="2024-06-21T00:00:00"/>
    <n v="6"/>
    <s v="OK"/>
    <s v="CUST-2203"/>
    <s v="Aditi Sen"/>
    <x v="2"/>
    <x v="3"/>
    <s v="Goa"/>
    <s v="Panaji"/>
    <x v="2"/>
    <x v="4"/>
    <s v="Basic Accessories 774"/>
    <x v="2"/>
    <n v="8"/>
    <n v="1706.4"/>
    <n v="0"/>
    <s v="OK"/>
    <n v="12968.64"/>
    <n v="10119.61"/>
    <n v="2849.03"/>
    <x v="0"/>
    <x v="0"/>
    <s v="OK"/>
    <n v="0"/>
    <n v="13651.2"/>
    <n v="3531.59"/>
    <n v="0.25869999999999999"/>
    <x v="2"/>
    <x v="0"/>
    <s v="CLEAN"/>
  </r>
  <r>
    <x v="201"/>
    <d v="2024-03-15T00:00:00"/>
    <d v="2024-03-16T00:00:00"/>
    <n v="1"/>
    <s v="OK"/>
    <s v="CUST-4696"/>
    <s v="Rohan Mehta"/>
    <x v="0"/>
    <x v="0"/>
    <s v="Delhi"/>
    <s v="New Delhi"/>
    <x v="0"/>
    <x v="2"/>
    <s v="Eco Art 646"/>
    <x v="3"/>
    <n v="6"/>
    <n v="3815.09"/>
    <n v="0.15"/>
    <s v="OK"/>
    <n v="19456.96"/>
    <n v="14520.06"/>
    <n v="4936.8999999999996"/>
    <x v="3"/>
    <x v="2"/>
    <s v="OK"/>
    <n v="0.15"/>
    <n v="19456.96"/>
    <n v="4936.8999999999996"/>
    <n v="0.25369999999999998"/>
    <x v="7"/>
    <x v="0"/>
    <s v="INVALID"/>
  </r>
  <r>
    <x v="202"/>
    <d v="2024-08-15T00:00:00"/>
    <d v="2024-08-21T00:00:00"/>
    <n v="6"/>
    <s v="OK"/>
    <s v="CUST-8521"/>
    <s v="Ananya Rao"/>
    <x v="1"/>
    <x v="3"/>
    <s v="Rajasthan"/>
    <s v="Udaipur"/>
    <x v="2"/>
    <x v="6"/>
    <s v="Classic Copiers 505"/>
    <x v="2"/>
    <n v="7"/>
    <n v="2333.81"/>
    <n v="0.2"/>
    <s v="OK"/>
    <n v="13069.34"/>
    <n v="8768.59"/>
    <n v="4300.75"/>
    <x v="0"/>
    <x v="0"/>
    <s v="OK"/>
    <n v="0.2"/>
    <n v="13069.34"/>
    <n v="4300.75"/>
    <n v="0.3291"/>
    <x v="1"/>
    <x v="0"/>
    <s v="CLEAN"/>
  </r>
  <r>
    <x v="203"/>
    <d v="2024-01-22T00:00:00"/>
    <d v="2024-01-24T00:00:00"/>
    <n v="2"/>
    <s v="OK"/>
    <s v="CUST-2204"/>
    <s v="Diya Patel"/>
    <x v="3"/>
    <x v="3"/>
    <s v="Maharashtra"/>
    <s v="Mumbai"/>
    <x v="0"/>
    <x v="2"/>
    <s v="Pro Art 906"/>
    <x v="3"/>
    <n v="6"/>
    <n v="1026.06"/>
    <n v="0"/>
    <s v="OK"/>
    <n v="4617.2700000000004"/>
    <n v="2981.94"/>
    <n v="1635.33"/>
    <x v="2"/>
    <x v="2"/>
    <s v="OK"/>
    <n v="0"/>
    <n v="6156.36"/>
    <n v="3174.42"/>
    <n v="0.51559999999999995"/>
    <x v="6"/>
    <x v="0"/>
    <s v="CLEAN"/>
  </r>
  <r>
    <x v="204"/>
    <d v="2024-12-31T00:00:00"/>
    <d v="2025-01-04T00:00:00"/>
    <n v="4"/>
    <s v="OK"/>
    <s v="CUST-2810"/>
    <s v="Vikram Iyer"/>
    <x v="0"/>
    <x v="0"/>
    <s v="Delhi"/>
    <s v="New Delhi"/>
    <x v="1"/>
    <x v="10"/>
    <s v="Pro Chairs 364"/>
    <x v="1"/>
    <n v="3"/>
    <n v="1166.6099999999999"/>
    <n v="0.25"/>
    <s v="OK"/>
    <n v="2624.87"/>
    <n v="2253.88"/>
    <n v="370.99"/>
    <x v="0"/>
    <x v="0"/>
    <s v="OK"/>
    <n v="0.25"/>
    <n v="2624.87"/>
    <n v="370.99"/>
    <n v="0.14130000000000001"/>
    <x v="5"/>
    <x v="0"/>
    <s v="CLEAN"/>
  </r>
  <r>
    <x v="205"/>
    <d v="2024-12-29T00:00:00"/>
    <d v="2024-12-31T00:00:00"/>
    <n v="2"/>
    <s v="OK"/>
    <s v="CUST-5166"/>
    <s v="Isha Nair"/>
    <x v="1"/>
    <x v="1"/>
    <s v="Bihar"/>
    <s v="Patna"/>
    <x v="1"/>
    <x v="10"/>
    <s v="Basic Chairs 248"/>
    <x v="2"/>
    <n v="6"/>
    <n v="1844.78"/>
    <n v="0.2"/>
    <s v="OK"/>
    <n v="8854.94"/>
    <n v="7433.95"/>
    <n v="1420.99"/>
    <x v="0"/>
    <x v="0"/>
    <s v="OK"/>
    <n v="0.2"/>
    <n v="8854.94"/>
    <n v="1420.99"/>
    <n v="0.1605"/>
    <x v="5"/>
    <x v="0"/>
    <s v="CLEAN"/>
  </r>
  <r>
    <x v="206"/>
    <d v="2024-09-19T00:00:00"/>
    <d v="2024-09-23T00:00:00"/>
    <n v="4"/>
    <s v="OK"/>
    <s v="CUST-6405"/>
    <s v="Mira Das"/>
    <x v="1"/>
    <x v="2"/>
    <s v="Kerala"/>
    <s v="Kochi"/>
    <x v="0"/>
    <x v="0"/>
    <s v="Max Paper 334"/>
    <x v="3"/>
    <n v="7"/>
    <n v="1136.68"/>
    <n v="0"/>
    <s v="OK"/>
    <n v="7956.76"/>
    <n v="4799.54"/>
    <n v="3157.22"/>
    <x v="0"/>
    <x v="0"/>
    <s v="OK"/>
    <n v="0"/>
    <n v="7956.76"/>
    <n v="3157.22"/>
    <n v="0.39679999999999999"/>
    <x v="11"/>
    <x v="0"/>
    <s v="CLEAN"/>
  </r>
  <r>
    <x v="207"/>
    <d v="2024-04-07T00:00:00"/>
    <d v="2024-04-14T00:00:00"/>
    <n v="7"/>
    <s v="OK"/>
    <s v="CUST-5779"/>
    <s v="Vikram Iyer"/>
    <x v="0"/>
    <x v="3"/>
    <s v="Maharashtra"/>
    <s v="Mumbai"/>
    <x v="1"/>
    <x v="9"/>
    <s v="Prime Bookcases 952"/>
    <x v="1"/>
    <n v="5"/>
    <n v="2235.85"/>
    <n v="0.25"/>
    <s v="OK"/>
    <n v="8384.44"/>
    <n v="4765.96"/>
    <n v="3618.48"/>
    <x v="0"/>
    <x v="1"/>
    <s v="OK"/>
    <n v="0.25"/>
    <n v="8384.44"/>
    <n v="3618.48"/>
    <n v="0.43159999999999998"/>
    <x v="10"/>
    <x v="0"/>
    <s v="CLEAN"/>
  </r>
  <r>
    <x v="208"/>
    <d v="2024-03-15T00:00:00"/>
    <d v="2024-03-20T00:00:00"/>
    <n v="5"/>
    <s v="OK"/>
    <s v="CUST-8432"/>
    <s v="Rohan Mehta"/>
    <x v="0"/>
    <x v="1"/>
    <s v="Jharkhand"/>
    <s v="Ranchi"/>
    <x v="2"/>
    <x v="6"/>
    <s v="Prime Copiers 820"/>
    <x v="3"/>
    <n v="2"/>
    <n v="1881.4"/>
    <n v="0.25"/>
    <s v="OK"/>
    <n v="2822.1"/>
    <n v="1624.57"/>
    <n v="1197.53"/>
    <x v="0"/>
    <x v="1"/>
    <s v="OK"/>
    <n v="0.25"/>
    <n v="2822.1"/>
    <n v="1197.53"/>
    <n v="0.42430000000000001"/>
    <x v="7"/>
    <x v="0"/>
    <s v="CLEAN"/>
  </r>
  <r>
    <x v="209"/>
    <d v="2024-05-13T00:00:00"/>
    <d v="2024-05-18T00:00:00"/>
    <n v="5"/>
    <s v="OK"/>
    <s v="CUST-1457"/>
    <s v="Isha Nair"/>
    <x v="1"/>
    <x v="3"/>
    <s v="Gujarat"/>
    <s v="Ahmedabad"/>
    <x v="1"/>
    <x v="10"/>
    <s v="Elite Chairs 639"/>
    <x v="3"/>
    <n v="3"/>
    <n v="3128.59"/>
    <n v="0"/>
    <s v="OK"/>
    <n v="9385.77"/>
    <n v="6872.44"/>
    <n v="2783.66"/>
    <x v="0"/>
    <x v="0"/>
    <s v="OK"/>
    <n v="0"/>
    <n v="9385.77"/>
    <n v="2513.33"/>
    <n v="0.26779999999999998"/>
    <x v="4"/>
    <x v="0"/>
    <s v="CLEAN"/>
  </r>
  <r>
    <x v="210"/>
    <d v="2024-04-05T00:00:00"/>
    <d v="2024-04-13T00:00:00"/>
    <n v="8"/>
    <s v="OK"/>
    <s v="CUST-3930"/>
    <s v="Diya Patel"/>
    <x v="2"/>
    <x v="3"/>
    <s v="Gujarat"/>
    <s v="Ahmedabad"/>
    <x v="2"/>
    <x v="12"/>
    <s v="Elite Machines 563"/>
    <x v="0"/>
    <n v="5"/>
    <n v="1937.54"/>
    <n v="0.2"/>
    <s v="OK"/>
    <n v="7750.16"/>
    <n v="5434.3"/>
    <n v="2315.86"/>
    <x v="1"/>
    <x v="2"/>
    <s v="OK"/>
    <n v="0.2"/>
    <n v="7750.16"/>
    <n v="2315.86"/>
    <n v="0.29880000000000001"/>
    <x v="10"/>
    <x v="0"/>
    <s v="CLEAN"/>
  </r>
  <r>
    <x v="211"/>
    <d v="2024-11-06T00:00:00"/>
    <d v="2024-11-11T00:00:00"/>
    <n v="5"/>
    <s v="OK"/>
    <s v="CUST-7853"/>
    <s v="Isha Nair"/>
    <x v="0"/>
    <x v="3"/>
    <s v="Gujarat"/>
    <s v="Ahmedabad"/>
    <x v="1"/>
    <x v="3"/>
    <s v="Pro Furnishings 281"/>
    <x v="3"/>
    <n v="4"/>
    <n v="1917.26"/>
    <n v="0.2"/>
    <s v="OK"/>
    <n v="6135.23"/>
    <n v="3439.79"/>
    <n v="2695.44"/>
    <x v="0"/>
    <x v="0"/>
    <s v="OK"/>
    <n v="0.2"/>
    <n v="6135.23"/>
    <n v="2695.44"/>
    <n v="0.43930000000000002"/>
    <x v="3"/>
    <x v="0"/>
    <s v="CLEAN"/>
  </r>
  <r>
    <x v="212"/>
    <d v="2024-02-19T00:00:00"/>
    <d v="2024-02-22T00:00:00"/>
    <n v="3"/>
    <s v="OK"/>
    <s v="CUST-6866"/>
    <s v="Aditi Sen"/>
    <x v="1"/>
    <x v="2"/>
    <s v="Kerala"/>
    <s v="Kochi"/>
    <x v="1"/>
    <x v="3"/>
    <s v="Classic Furnishings 746"/>
    <x v="1"/>
    <n v="9"/>
    <n v="4053.01"/>
    <n v="0"/>
    <s v="OK"/>
    <n v="36477.089999999997"/>
    <n v="24525.48"/>
    <n v="11951.61"/>
    <x v="0"/>
    <x v="0"/>
    <s v="OK"/>
    <n v="0"/>
    <n v="36477.089999999997"/>
    <n v="11951.61"/>
    <n v="0.3276"/>
    <x v="8"/>
    <x v="0"/>
    <s v="CLEAN"/>
  </r>
  <r>
    <x v="213"/>
    <d v="2024-08-23T00:00:00"/>
    <d v="2024-08-29T00:00:00"/>
    <n v="6"/>
    <s v="OK"/>
    <s v="CUST-3160"/>
    <s v="Mira Das"/>
    <x v="2"/>
    <x v="0"/>
    <s v="Uttar Pradesh"/>
    <s v="Noida"/>
    <x v="0"/>
    <x v="5"/>
    <s v="Eco Labels 815"/>
    <x v="1"/>
    <n v="2"/>
    <n v="1936.91"/>
    <n v="0.05"/>
    <s v="OK"/>
    <n v="3680.13"/>
    <n v="2967.46"/>
    <n v="712.67"/>
    <x v="0"/>
    <x v="0"/>
    <s v="OK"/>
    <n v="0.05"/>
    <n v="3680.13"/>
    <n v="712.67"/>
    <n v="0.19370000000000001"/>
    <x v="1"/>
    <x v="0"/>
    <s v="CLEAN"/>
  </r>
  <r>
    <x v="214"/>
    <d v="2024-03-04T00:00:00"/>
    <d v="2024-04-04T00:00:00"/>
    <n v="31"/>
    <s v="OK"/>
    <s v="CUST-8444"/>
    <s v="Kabir Singh"/>
    <x v="0"/>
    <x v="3"/>
    <s v="Maharashtra"/>
    <s v="Mumbai"/>
    <x v="1"/>
    <x v="3"/>
    <s v="Prime Furnishings 879"/>
    <x v="2"/>
    <n v="7"/>
    <n v="3945.21"/>
    <n v="0"/>
    <s v="OK"/>
    <n v="27616.47"/>
    <n v="21225.26"/>
    <n v="6391.21"/>
    <x v="0"/>
    <x v="0"/>
    <s v="OK"/>
    <n v="0"/>
    <n v="27616.47"/>
    <n v="6391.21"/>
    <n v="0.23139999999999999"/>
    <x v="7"/>
    <x v="0"/>
    <s v="CLEAN"/>
  </r>
  <r>
    <x v="215"/>
    <d v="2024-06-06T00:00:00"/>
    <d v="2024-06-07T00:00:00"/>
    <n v="1"/>
    <s v="OK"/>
    <s v="CUST-4765"/>
    <s v="Rahul Verma"/>
    <x v="3"/>
    <x v="2"/>
    <s v="Tamil Nadu"/>
    <s v="Chennai"/>
    <x v="1"/>
    <x v="1"/>
    <s v="Pro Tables 142"/>
    <x v="1"/>
    <n v="7"/>
    <n v="861.91"/>
    <n v="0.05"/>
    <s v="OK"/>
    <n v="5731.7"/>
    <n v="4115.5600000000004"/>
    <n v="1616.14"/>
    <x v="0"/>
    <x v="0"/>
    <s v="OK"/>
    <n v="0.05"/>
    <n v="5731.7"/>
    <n v="1616.14"/>
    <n v="0.28199999999999997"/>
    <x v="2"/>
    <x v="0"/>
    <s v="CLEAN"/>
  </r>
  <r>
    <x v="216"/>
    <d v="2024-07-19T00:00:00"/>
    <d v="2024-07-26T00:00:00"/>
    <n v="7"/>
    <s v="OK"/>
    <s v="CUST-4718"/>
    <s v="Vikram Iyer"/>
    <x v="2"/>
    <x v="0"/>
    <s v="Punjab"/>
    <s v="Ludhiana"/>
    <x v="2"/>
    <x v="12"/>
    <s v="Elite Machines 523"/>
    <x v="1"/>
    <n v="2"/>
    <n v="1263.6500000000001"/>
    <n v="0.2"/>
    <s v="OK"/>
    <n v="2021.84"/>
    <n v="1355.22"/>
    <n v="666.62"/>
    <x v="0"/>
    <x v="0"/>
    <s v="OK"/>
    <n v="0.2"/>
    <n v="2021.84"/>
    <n v="666.62"/>
    <n v="0.32969999999999999"/>
    <x v="0"/>
    <x v="0"/>
    <s v="CLEAN"/>
  </r>
  <r>
    <x v="217"/>
    <d v="2024-03-22T00:00:00"/>
    <d v="2024-03-22T00:00:00"/>
    <n v="0"/>
    <s v="OK"/>
    <s v="CUST-7680"/>
    <s v="Priya Menon"/>
    <x v="1"/>
    <x v="2"/>
    <s v="Karnataka"/>
    <s v="Bengaluru"/>
    <x v="1"/>
    <x v="1"/>
    <s v="Smart Tables 829"/>
    <x v="4"/>
    <n v="3"/>
    <n v="1365.26"/>
    <n v="0"/>
    <s v="OK"/>
    <n v="4095.78"/>
    <n v="2807.77"/>
    <n v="1288.01"/>
    <x v="0"/>
    <x v="0"/>
    <s v="OK"/>
    <n v="0"/>
    <n v="4095.78"/>
    <n v="1288.01"/>
    <n v="0.3145"/>
    <x v="7"/>
    <x v="0"/>
    <s v="WARNING"/>
  </r>
  <r>
    <x v="218"/>
    <d v="2024-09-30T00:00:00"/>
    <d v="2024-04-10T00:00:00"/>
    <n v="-173"/>
    <s v="INVALID"/>
    <s v="CUST-2700"/>
    <s v="Arjun Bose"/>
    <x v="1"/>
    <x v="2"/>
    <s v="Kerala"/>
    <s v="Kochi"/>
    <x v="0"/>
    <x v="0"/>
    <s v="Classic Paper 237"/>
    <x v="1"/>
    <n v="5"/>
    <n v="3512.25"/>
    <n v="0.05"/>
    <s v="OK"/>
    <n v="16683.189999999999"/>
    <n v="10301.16"/>
    <n v="6382.03"/>
    <x v="0"/>
    <x v="1"/>
    <s v="OK"/>
    <n v="0.05"/>
    <n v="16683.189999999999"/>
    <n v="6382.03"/>
    <n v="0.38250000000000001"/>
    <x v="11"/>
    <x v="0"/>
    <s v="INVALID"/>
  </r>
  <r>
    <x v="219"/>
    <d v="2024-01-27T00:00:00"/>
    <d v="2024-02-03T00:00:00"/>
    <n v="7"/>
    <s v="OK"/>
    <s v="CUST-2904"/>
    <s v="Aditi Sen"/>
    <x v="2"/>
    <x v="3"/>
    <s v="Rajasthan"/>
    <s v="Udaipur"/>
    <x v="1"/>
    <x v="10"/>
    <s v="Prime Chairs 891"/>
    <x v="1"/>
    <n v="3"/>
    <n v="359.61"/>
    <n v="0"/>
    <s v="OK"/>
    <n v="1078.83"/>
    <n v="926.35"/>
    <n v="152.47999999999999"/>
    <x v="0"/>
    <x v="0"/>
    <s v="OK"/>
    <n v="0"/>
    <n v="1078.83"/>
    <n v="152.47999999999999"/>
    <n v="0.14130000000000001"/>
    <x v="6"/>
    <x v="0"/>
    <s v="CLEAN"/>
  </r>
  <r>
    <x v="220"/>
    <d v="2024-09-23T00:00:00"/>
    <d v="2024-09-24T00:00:00"/>
    <n v="1"/>
    <s v="OK"/>
    <s v="CUST-9961"/>
    <s v="Aditi Sen"/>
    <x v="3"/>
    <x v="3"/>
    <s v="Gujarat"/>
    <s v="Ahmedabad"/>
    <x v="1"/>
    <x v="9"/>
    <s v="Max Bookcases 812"/>
    <x v="4"/>
    <n v="7"/>
    <n v="3878.01"/>
    <n v="0.1"/>
    <s v="OK"/>
    <n v="24431.46"/>
    <n v="18202.36"/>
    <n v="6229.1"/>
    <x v="0"/>
    <x v="0"/>
    <s v="OK"/>
    <n v="0.1"/>
    <n v="24431.46"/>
    <n v="6229.1"/>
    <n v="0.255"/>
    <x v="11"/>
    <x v="0"/>
    <s v="WARNING"/>
  </r>
  <r>
    <x v="221"/>
    <d v="2024-05-12T00:00:00"/>
    <d v="2024-05-13T00:00:00"/>
    <n v="1"/>
    <s v="OK"/>
    <s v="CUST-8520"/>
    <s v="Rahul Verma"/>
    <x v="2"/>
    <x v="3"/>
    <s v="Goa"/>
    <s v="Panaji"/>
    <x v="0"/>
    <x v="5"/>
    <s v="Smart Labels 261"/>
    <x v="0"/>
    <n v="3"/>
    <n v="2644.55"/>
    <n v="0"/>
    <s v="OK"/>
    <n v="7933.65"/>
    <n v="5698.42"/>
    <n v="2235.23"/>
    <x v="0"/>
    <x v="0"/>
    <s v="OK"/>
    <n v="0"/>
    <n v="7933.65"/>
    <n v="2235.23"/>
    <n v="0.28170000000000001"/>
    <x v="4"/>
    <x v="0"/>
    <s v="CLEAN"/>
  </r>
  <r>
    <x v="222"/>
    <d v="2024-04-12T00:00:00"/>
    <d v="2024-04-20T00:00:00"/>
    <n v="8"/>
    <s v="OK"/>
    <s v="CUST-9495"/>
    <s v="Diya Patel"/>
    <x v="0"/>
    <x v="3"/>
    <s v="Goa"/>
    <s v="Panaji"/>
    <x v="1"/>
    <x v="1"/>
    <s v="Smart Tables 100"/>
    <x v="2"/>
    <n v="9"/>
    <n v="1302.6099999999999"/>
    <n v="0.2"/>
    <s v="OK"/>
    <n v="9378.7900000000009"/>
    <n v="6774.48"/>
    <n v="2604.31"/>
    <x v="0"/>
    <x v="0"/>
    <s v="OK"/>
    <n v="0.2"/>
    <n v="9378.7900000000009"/>
    <n v="2604.31"/>
    <n v="0.2777"/>
    <x v="10"/>
    <x v="0"/>
    <s v="CLEAN"/>
  </r>
  <r>
    <x v="223"/>
    <d v="2024-01-22T00:00:00"/>
    <d v="2024-01-30T00:00:00"/>
    <n v="8"/>
    <s v="OK"/>
    <s v="CUST-4329"/>
    <s v="Isha Nair"/>
    <x v="2"/>
    <x v="2"/>
    <s v="Karnataka"/>
    <s v="Bengaluru"/>
    <x v="1"/>
    <x v="10"/>
    <s v="Basic Chairs 790"/>
    <x v="1"/>
    <n v="1"/>
    <n v="2111.39"/>
    <n v="0.25"/>
    <s v="OK"/>
    <n v="1583.54"/>
    <n v="1014.19"/>
    <n v="569.35"/>
    <x v="0"/>
    <x v="0"/>
    <s v="OK"/>
    <n v="0.25"/>
    <n v="1583.54"/>
    <n v="569.35"/>
    <n v="0.35949999999999999"/>
    <x v="6"/>
    <x v="0"/>
    <s v="CLEAN"/>
  </r>
  <r>
    <x v="224"/>
    <d v="2024-08-29T00:00:00"/>
    <d v="2024-08-30T00:00:00"/>
    <n v="1"/>
    <s v="OK"/>
    <s v="CUST-4194"/>
    <s v="Arjun Bose"/>
    <x v="3"/>
    <x v="1"/>
    <s v="Assam"/>
    <s v="Guwahati"/>
    <x v="0"/>
    <x v="7"/>
    <s v="Max Storage 692"/>
    <x v="2"/>
    <n v="4"/>
    <n v="2484.08"/>
    <n v="0.05"/>
    <s v="OK"/>
    <n v="9439.5"/>
    <n v="5519.39"/>
    <n v="3920.11"/>
    <x v="0"/>
    <x v="0"/>
    <s v="OK"/>
    <n v="0.05"/>
    <n v="9439.5"/>
    <n v="3920.11"/>
    <n v="0.4153"/>
    <x v="1"/>
    <x v="0"/>
    <s v="CLEAN"/>
  </r>
  <r>
    <x v="225"/>
    <d v="2024-01-25T00:00:00"/>
    <d v="2024-01-27T00:00:00"/>
    <n v="2"/>
    <s v="OK"/>
    <s v="CUST-7087"/>
    <s v="Aarav Sharma"/>
    <x v="2"/>
    <x v="2"/>
    <s v="Karnataka"/>
    <s v="Bengaluru"/>
    <x v="0"/>
    <x v="7"/>
    <s v="Basic Storage 684"/>
    <x v="1"/>
    <n v="7"/>
    <n v="1727.26"/>
    <n v="0.15"/>
    <s v="OK"/>
    <n v="10277.200000000001"/>
    <n v="7906.5"/>
    <n v="2370.6999999999998"/>
    <x v="0"/>
    <x v="1"/>
    <s v="OK"/>
    <n v="0.15"/>
    <n v="10277.200000000001"/>
    <n v="2370.6999999999998"/>
    <n v="0.23069999999999999"/>
    <x v="6"/>
    <x v="0"/>
    <s v="CLEAN"/>
  </r>
  <r>
    <x v="226"/>
    <d v="2024-11-09T00:00:00"/>
    <d v="2024-11-17T00:00:00"/>
    <n v="8"/>
    <s v="OK"/>
    <s v="CUST-7925"/>
    <s v="Sneha Kapoor"/>
    <x v="2"/>
    <x v="1"/>
    <s v="Odisha"/>
    <s v="Bhubaneswar"/>
    <x v="2"/>
    <x v="6"/>
    <s v="Elite Copiers 971"/>
    <x v="3"/>
    <n v="6"/>
    <n v="3660.4"/>
    <n v="0"/>
    <s v="OK"/>
    <n v="21962.400000000001"/>
    <n v="15331.99"/>
    <n v="6630.41"/>
    <x v="3"/>
    <x v="2"/>
    <s v="OK"/>
    <n v="0"/>
    <n v="21962.400000000001"/>
    <n v="6630.41"/>
    <n v="0.3019"/>
    <x v="3"/>
    <x v="0"/>
    <s v="INVALID"/>
  </r>
  <r>
    <x v="227"/>
    <d v="2024-02-20T00:00:00"/>
    <d v="2024-02-27T00:00:00"/>
    <n v="7"/>
    <s v="OK"/>
    <s v="CUST-6169"/>
    <s v="Diya Patel"/>
    <x v="0"/>
    <x v="2"/>
    <s v="Kerala"/>
    <s v="Kochi"/>
    <x v="2"/>
    <x v="4"/>
    <s v="Prime Accessories 236"/>
    <x v="2"/>
    <n v="9"/>
    <n v="3779.31"/>
    <n v="0.2"/>
    <s v="OK"/>
    <n v="27211.03"/>
    <n v="17940.43"/>
    <n v="9270.6"/>
    <x v="0"/>
    <x v="0"/>
    <s v=" ORIGINAL"/>
    <n v="0.2"/>
    <n v="27211.03"/>
    <n v="9270.6"/>
    <n v="0.3407"/>
    <x v="8"/>
    <x v="0"/>
    <s v="CLEAN"/>
  </r>
  <r>
    <x v="227"/>
    <d v="2024-02-20T00:00:00"/>
    <d v="2024-02-27T00:00:00"/>
    <n v="7"/>
    <s v="OK"/>
    <s v="CUST-6169"/>
    <s v="Diya Patel"/>
    <x v="0"/>
    <x v="2"/>
    <s v="Kerala"/>
    <s v="Kochi"/>
    <x v="2"/>
    <x v="4"/>
    <s v="Prime Accessories 236"/>
    <x v="2"/>
    <n v="9"/>
    <n v="3779.31"/>
    <n v="0.2"/>
    <s v="OK"/>
    <n v="27322.9"/>
    <n v="17940.43"/>
    <n v="9270.6"/>
    <x v="0"/>
    <x v="1"/>
    <s v="CONFLICTING DUPLICATE - REVIEW"/>
    <n v="0.2"/>
    <n v="27211.03"/>
    <n v="9270.6"/>
    <n v="0.3407"/>
    <x v="8"/>
    <x v="0"/>
    <s v="CLEAN"/>
  </r>
  <r>
    <x v="228"/>
    <d v="2024-06-26T00:00:00"/>
    <d v="2024-06-29T00:00:00"/>
    <n v="3"/>
    <s v="OK"/>
    <s v="CUST-8904"/>
    <s v="Neha Gupta"/>
    <x v="2"/>
    <x v="0"/>
    <s v="Punjab"/>
    <s v="Ludhiana"/>
    <x v="2"/>
    <x v="8"/>
    <s v="Prime Phones 881"/>
    <x v="3"/>
    <n v="8"/>
    <n v="804.52"/>
    <n v="0"/>
    <s v="OK"/>
    <n v="6436.16"/>
    <n v="4263.83"/>
    <n v="2172.33"/>
    <x v="0"/>
    <x v="0"/>
    <s v="OK"/>
    <n v="0"/>
    <n v="6436.16"/>
    <n v="2172.33"/>
    <n v="0.33750000000000002"/>
    <x v="2"/>
    <x v="0"/>
    <s v="CLEAN"/>
  </r>
  <r>
    <x v="229"/>
    <d v="2024-09-26T00:00:00"/>
    <d v="2024-09-27T00:00:00"/>
    <n v="1"/>
    <s v="OK"/>
    <s v="CUST-9586"/>
    <s v="Isha Nair"/>
    <x v="3"/>
    <x v="0"/>
    <s v="Delhi"/>
    <s v="New Delhi"/>
    <x v="0"/>
    <x v="5"/>
    <s v="Pro Labels 903"/>
    <x v="2"/>
    <n v="2"/>
    <n v="1065.69"/>
    <n v="0.1"/>
    <s v="OK"/>
    <n v="1918.24"/>
    <n v="1373.52"/>
    <n v="544.72"/>
    <x v="2"/>
    <x v="2"/>
    <s v="OK"/>
    <n v="0.1"/>
    <n v="1918.24"/>
    <n v="544.72"/>
    <n v="0.28399999999999997"/>
    <x v="11"/>
    <x v="0"/>
    <s v="CLEAN"/>
  </r>
  <r>
    <x v="230"/>
    <d v="2024-06-30T00:00:00"/>
    <d v="2024-01-07T00:00:00"/>
    <n v="-175"/>
    <s v="INVALID"/>
    <s v="CUST-5431"/>
    <s v="Aditi Sen"/>
    <x v="0"/>
    <x v="0"/>
    <s v="Haryana"/>
    <s v="Gurugram"/>
    <x v="2"/>
    <x v="6"/>
    <s v="Max Copiers 402"/>
    <x v="1"/>
    <n v="8"/>
    <n v="3756.66"/>
    <n v="0.1"/>
    <s v="OK"/>
    <n v="27047.95"/>
    <n v="18431.330000000002"/>
    <n v="8616.6200000000008"/>
    <x v="0"/>
    <x v="0"/>
    <s v="OK"/>
    <n v="0.1"/>
    <n v="27047.95"/>
    <n v="8616.6200000000008"/>
    <n v="0.31859999999999999"/>
    <x v="2"/>
    <x v="0"/>
    <s v="INVALID"/>
  </r>
  <r>
    <x v="231"/>
    <d v="2024-08-30T00:00:00"/>
    <d v="2024-02-09T00:00:00"/>
    <n v="-203"/>
    <s v="INVALID"/>
    <s v="CUST-2732"/>
    <s v="Neha Gupta"/>
    <x v="1"/>
    <x v="0"/>
    <s v="Haryana"/>
    <s v="Gurugram"/>
    <x v="0"/>
    <x v="0"/>
    <s v="Max Paper 576"/>
    <x v="0"/>
    <n v="1"/>
    <n v="4320.84"/>
    <n v="0.15"/>
    <s v="OK"/>
    <n v="3672.71"/>
    <n v="2714.23"/>
    <n v="763.38"/>
    <x v="0"/>
    <x v="0"/>
    <s v="OK"/>
    <n v="0.15"/>
    <n v="3672.71"/>
    <n v="958.48"/>
    <n v="0.26100000000000001"/>
    <x v="1"/>
    <x v="0"/>
    <s v="INVALID"/>
  </r>
  <r>
    <x v="232"/>
    <d v="2024-02-10T00:00:00"/>
    <d v="2024-02-13T00:00:00"/>
    <n v="3"/>
    <s v="OK"/>
    <s v="CUST-3989"/>
    <s v="Karan Malhotra"/>
    <x v="3"/>
    <x v="3"/>
    <s v="Goa"/>
    <s v="Panaji"/>
    <x v="2"/>
    <x v="12"/>
    <s v="Max Machines 412"/>
    <x v="1"/>
    <n v="2"/>
    <n v="4118.45"/>
    <n v="0.25"/>
    <s v="OK"/>
    <n v="6177.67"/>
    <n v="4520.75"/>
    <n v="1656.92"/>
    <x v="0"/>
    <x v="0"/>
    <s v="OK"/>
    <n v="0.25"/>
    <n v="6177.68"/>
    <n v="1656.93"/>
    <n v="0.26819999999999999"/>
    <x v="8"/>
    <x v="0"/>
    <s v="CLEAN"/>
  </r>
  <r>
    <x v="233"/>
    <d v="2024-08-29T00:00:00"/>
    <d v="2024-02-09T00:00:00"/>
    <n v="-202"/>
    <s v="INVALID"/>
    <s v="CUST-3522"/>
    <s v="Priya Menon"/>
    <x v="1"/>
    <x v="3"/>
    <s v="Maharashtra"/>
    <s v="Mumbai"/>
    <x v="1"/>
    <x v="9"/>
    <s v="Classic Bookcases 291"/>
    <x v="3"/>
    <n v="6"/>
    <n v="172.82"/>
    <n v="0.05"/>
    <s v="OK"/>
    <n v="985.07"/>
    <n v="844.48"/>
    <n v="140.59"/>
    <x v="0"/>
    <x v="0"/>
    <s v="OK"/>
    <n v="0.05"/>
    <n v="985.07"/>
    <n v="140.59"/>
    <n v="0.14269999999999999"/>
    <x v="1"/>
    <x v="0"/>
    <s v="INVALID"/>
  </r>
  <r>
    <x v="234"/>
    <d v="2024-04-19T00:00:00"/>
    <d v="2024-04-20T00:00:00"/>
    <n v="1"/>
    <s v="OK"/>
    <s v="CUST-7066"/>
    <s v="Priya Menon"/>
    <x v="2"/>
    <x v="2"/>
    <s v="Kerala"/>
    <s v="Kochi"/>
    <x v="0"/>
    <x v="2"/>
    <s v="Elite Art 946"/>
    <x v="0"/>
    <n v="4"/>
    <n v="1540.22"/>
    <n v="0"/>
    <s v="OK"/>
    <n v="6160.88"/>
    <n v="4938.7"/>
    <n v="1222.18"/>
    <x v="2"/>
    <x v="1"/>
    <s v="OK"/>
    <n v="0"/>
    <n v="6160.88"/>
    <n v="1222.18"/>
    <n v="0.19839999999999999"/>
    <x v="10"/>
    <x v="0"/>
    <s v="CLEAN"/>
  </r>
  <r>
    <x v="235"/>
    <d v="2024-06-16T00:00:00"/>
    <d v="2024-06-21T00:00:00"/>
    <n v="5"/>
    <s v="OK"/>
    <s v="CUST-4492"/>
    <s v="Neha Gupta"/>
    <x v="0"/>
    <x v="2"/>
    <s v="Kerala"/>
    <s v="Kochi"/>
    <x v="1"/>
    <x v="3"/>
    <s v="Max Furnishings 803"/>
    <x v="1"/>
    <n v="6"/>
    <n v="1156.78"/>
    <n v="0.05"/>
    <s v="OK"/>
    <n v="6593.65"/>
    <n v="4359.3900000000003"/>
    <n v="2234.2600000000002"/>
    <x v="0"/>
    <x v="1"/>
    <s v="OK"/>
    <n v="0.05"/>
    <n v="6593.65"/>
    <n v="2234.2600000000002"/>
    <n v="0.33889999999999998"/>
    <x v="2"/>
    <x v="0"/>
    <s v="CLEAN"/>
  </r>
  <r>
    <x v="236"/>
    <d v="2024-02-15T00:00:00"/>
    <d v="2024-02-18T00:00:00"/>
    <n v="3"/>
    <s v="OK"/>
    <s v="CUST-5029"/>
    <s v="Aditi Sen"/>
    <x v="1"/>
    <x v="2"/>
    <s v="Kerala"/>
    <s v="Kochi"/>
    <x v="2"/>
    <x v="4"/>
    <s v="Max Accessories 423"/>
    <x v="1"/>
    <n v="8"/>
    <n v="379.82"/>
    <n v="0.05"/>
    <s v="OK"/>
    <n v="2886.63"/>
    <n v="1588.23"/>
    <n v="1298.4000000000001"/>
    <x v="3"/>
    <x v="1"/>
    <s v="OK"/>
    <n v="0.05"/>
    <n v="2886.63"/>
    <n v="1298.4000000000001"/>
    <n v="0.44979999999999998"/>
    <x v="8"/>
    <x v="0"/>
    <s v="INVALID"/>
  </r>
  <r>
    <x v="237"/>
    <d v="2024-04-02T00:00:00"/>
    <d v="2024-04-08T00:00:00"/>
    <n v="6"/>
    <s v="OK"/>
    <s v="CUST-9039"/>
    <s v="Vikram Iyer"/>
    <x v="2"/>
    <x v="1"/>
    <s v="Odisha"/>
    <s v="Bhubaneswar"/>
    <x v="2"/>
    <x v="12"/>
    <s v="Basic Machines 610"/>
    <x v="0"/>
    <n v="6"/>
    <n v="3722.84"/>
    <n v="0.2"/>
    <s v="OK"/>
    <n v="17869.63"/>
    <n v="12163.8"/>
    <n v="5705.83"/>
    <x v="0"/>
    <x v="0"/>
    <s v="OK"/>
    <n v="0.2"/>
    <n v="17869.63"/>
    <n v="5705.83"/>
    <n v="0.31929999999999997"/>
    <x v="10"/>
    <x v="0"/>
    <s v="CLEAN"/>
  </r>
  <r>
    <x v="238"/>
    <d v="2024-03-10T00:00:00"/>
    <d v="2024-10-03T00:00:00"/>
    <n v="207"/>
    <s v="OK"/>
    <s v="CUST-3975"/>
    <s v="Karan Malhotra"/>
    <x v="0"/>
    <x v="1"/>
    <s v="Bihar"/>
    <s v="Patna"/>
    <x v="1"/>
    <x v="9"/>
    <s v="Elite Bookcases 393"/>
    <x v="3"/>
    <n v="6"/>
    <n v="4217.49"/>
    <n v="0"/>
    <s v="OK"/>
    <n v="25304.94"/>
    <n v="20771.95"/>
    <n v="4532.99"/>
    <x v="0"/>
    <x v="2"/>
    <s v="OK"/>
    <n v="0"/>
    <n v="25304.94"/>
    <n v="4532.99"/>
    <n v="0.17910000000000001"/>
    <x v="7"/>
    <x v="0"/>
    <s v="CLEAN"/>
  </r>
  <r>
    <x v="239"/>
    <d v="2024-04-04T00:00:00"/>
    <d v="2024-04-07T00:00:00"/>
    <n v="3"/>
    <s v="OK"/>
    <s v="CUST-2207"/>
    <s v="Rohan Mehta"/>
    <x v="3"/>
    <x v="1"/>
    <s v="Odisha"/>
    <s v="Bhubaneswar"/>
    <x v="1"/>
    <x v="3"/>
    <s v="Basic Furnishings 563"/>
    <x v="2"/>
    <n v="1"/>
    <n v="3683.75"/>
    <n v="0.1"/>
    <s v="OK"/>
    <n v="3315.38"/>
    <n v="2347.6799999999998"/>
    <n v="967.7"/>
    <x v="0"/>
    <x v="0"/>
    <s v="OK"/>
    <n v="0.1"/>
    <n v="3315.38"/>
    <n v="967.7"/>
    <n v="0.29189999999999999"/>
    <x v="10"/>
    <x v="0"/>
    <s v="CLEAN"/>
  </r>
  <r>
    <x v="240"/>
    <d v="2024-05-09T00:00:00"/>
    <d v="2024-05-05T00:00:00"/>
    <n v="-4"/>
    <s v="INVALID"/>
    <s v="CUST-1351"/>
    <s v="Arjun Bose"/>
    <x v="0"/>
    <x v="1"/>
    <s v="Assam"/>
    <s v="Guwahati"/>
    <x v="1"/>
    <x v="9"/>
    <s v="Eco Bookcases 215"/>
    <x v="1"/>
    <n v="2"/>
    <n v="2111.23"/>
    <n v="0.2"/>
    <s v="OK"/>
    <n v="3377.97"/>
    <n v="2496.29"/>
    <n v="881.68"/>
    <x v="0"/>
    <x v="0"/>
    <s v="OK"/>
    <n v="0.2"/>
    <n v="3377.97"/>
    <n v="881.68"/>
    <n v="0.26100000000000001"/>
    <x v="4"/>
    <x v="0"/>
    <s v="INVALID"/>
  </r>
  <r>
    <x v="241"/>
    <d v="2024-01-15T00:00:00"/>
    <d v="2024-01-18T00:00:00"/>
    <n v="3"/>
    <s v="OK"/>
    <s v="CUST-1932"/>
    <s v="Mira Das"/>
    <x v="1"/>
    <x v="2"/>
    <s v="Andhra Pradesh"/>
    <s v="Vijayawada"/>
    <x v="1"/>
    <x v="10"/>
    <s v="Prime Chairs 631"/>
    <x v="2"/>
    <n v="2"/>
    <n v="201.21"/>
    <n v="0.15"/>
    <s v="OK"/>
    <n v="342.06"/>
    <n v="244.57"/>
    <n v="97.49"/>
    <x v="0"/>
    <x v="0"/>
    <s v="OK"/>
    <n v="0.15"/>
    <n v="342.06"/>
    <n v="97.49"/>
    <n v="0.28499999999999998"/>
    <x v="6"/>
    <x v="0"/>
    <s v="CLEAN"/>
  </r>
  <r>
    <x v="242"/>
    <d v="2024-06-06T00:00:00"/>
    <d v="2024-06-13T00:00:00"/>
    <n v="7"/>
    <s v="OK"/>
    <s v="CUST-5094"/>
    <s v="Aditi Sen"/>
    <x v="2"/>
    <x v="1"/>
    <s v="Assam"/>
    <s v="Guwahati"/>
    <x v="2"/>
    <x v="12"/>
    <s v="Basic Machines 808"/>
    <x v="0"/>
    <n v="6"/>
    <n v="3270.36"/>
    <n v="0"/>
    <s v="OK"/>
    <n v="19622.16"/>
    <n v="14271.27"/>
    <n v="5350.89"/>
    <x v="0"/>
    <x v="0"/>
    <s v="OK"/>
    <n v="0"/>
    <n v="19622.16"/>
    <n v="5350.89"/>
    <n v="0.2727"/>
    <x v="2"/>
    <x v="0"/>
    <s v="CLEAN"/>
  </r>
  <r>
    <x v="243"/>
    <d v="2024-03-24T00:00:00"/>
    <d v="2024-03-26T00:00:00"/>
    <n v="2"/>
    <s v="OK"/>
    <s v="CUST-3907"/>
    <s v="Rohan Mehta"/>
    <x v="1"/>
    <x v="0"/>
    <s v="Haryana"/>
    <s v="Gurugram"/>
    <x v="0"/>
    <x v="0"/>
    <s v="Classic Paper 272"/>
    <x v="0"/>
    <n v="8"/>
    <n v="1917.64"/>
    <n v="0.15"/>
    <s v="OK"/>
    <n v="13039.95"/>
    <n v="11127.82"/>
    <n v="1912.13"/>
    <x v="0"/>
    <x v="2"/>
    <s v="OK"/>
    <n v="0.15"/>
    <n v="13039.95"/>
    <n v="1912.13"/>
    <n v="0.14660000000000001"/>
    <x v="7"/>
    <x v="0"/>
    <s v="CLEAN"/>
  </r>
  <r>
    <x v="244"/>
    <d v="2024-10-05T00:00:00"/>
    <d v="2024-05-16T00:00:00"/>
    <n v="-142"/>
    <s v="INVALID"/>
    <s v="CUST-8796"/>
    <s v="Diya Patel"/>
    <x v="3"/>
    <x v="1"/>
    <s v="Jharkhand"/>
    <s v="Ranchi"/>
    <x v="2"/>
    <x v="4"/>
    <s v="Smart Accessories 149"/>
    <x v="0"/>
    <n v="6"/>
    <n v="2013.33"/>
    <n v="0.2"/>
    <s v="OK"/>
    <n v="9663.98"/>
    <n v="5628.93"/>
    <n v="4035.05"/>
    <x v="0"/>
    <x v="0"/>
    <s v="OK"/>
    <n v="0.2"/>
    <n v="9663.98"/>
    <n v="4035.05"/>
    <n v="0.41749999999999998"/>
    <x v="9"/>
    <x v="0"/>
    <s v="INVALID"/>
  </r>
  <r>
    <x v="245"/>
    <d v="2024-07-18T00:00:00"/>
    <d v="2024-07-22T00:00:00"/>
    <n v="4"/>
    <s v="OK"/>
    <s v="CUST-1800"/>
    <s v="Neha Gupta"/>
    <x v="1"/>
    <x v="2"/>
    <s v="Telangana"/>
    <s v="Hyderabad"/>
    <x v="0"/>
    <x v="2"/>
    <s v="Basic Art 556"/>
    <x v="3"/>
    <n v="4"/>
    <n v="808.77"/>
    <n v="0"/>
    <s v="OK"/>
    <n v="3235.08"/>
    <n v="1848.6"/>
    <n v="1386.48"/>
    <x v="0"/>
    <x v="0"/>
    <s v="OK"/>
    <n v="0"/>
    <n v="3235.08"/>
    <n v="1386.48"/>
    <n v="0.42859999999999998"/>
    <x v="0"/>
    <x v="0"/>
    <s v="CLEAN"/>
  </r>
  <r>
    <x v="246"/>
    <d v="2024-02-20T00:00:00"/>
    <d v="2024-02-20T00:00:00"/>
    <n v="0"/>
    <s v="OK"/>
    <s v="CUST-7688"/>
    <s v="Neha Gupta"/>
    <x v="2"/>
    <x v="0"/>
    <s v="Uttar Pradesh"/>
    <s v="Noida"/>
    <x v="2"/>
    <x v="4"/>
    <s v="Smart Accessories 265"/>
    <x v="1"/>
    <n v="5"/>
    <n v="2604.91"/>
    <n v="0.15"/>
    <s v="OK"/>
    <n v="11070.87"/>
    <n v="6623.61"/>
    <n v="4447.26"/>
    <x v="0"/>
    <x v="1"/>
    <s v="OK"/>
    <n v="0.15"/>
    <n v="11070.87"/>
    <n v="4447.26"/>
    <n v="0.4017"/>
    <x v="8"/>
    <x v="0"/>
    <s v="CLEAN"/>
  </r>
  <r>
    <x v="247"/>
    <d v="2024-05-04T00:00:00"/>
    <d v="2024-05-04T00:00:00"/>
    <n v="0"/>
    <s v="OK"/>
    <s v="CUST-4957"/>
    <s v="Mira Das"/>
    <x v="1"/>
    <x v="3"/>
    <s v="Goa"/>
    <s v="Panaji"/>
    <x v="1"/>
    <x v="1"/>
    <s v="Elite Tables 418"/>
    <x v="3"/>
    <n v="7"/>
    <n v="2851.51"/>
    <n v="0"/>
    <s v="OK"/>
    <n v="19960.57"/>
    <n v="16603.599999999999"/>
    <n v="3356.97"/>
    <x v="0"/>
    <x v="0"/>
    <s v="OK"/>
    <n v="0"/>
    <n v="19960.57"/>
    <n v="3356.97"/>
    <n v="0.16819999999999999"/>
    <x v="4"/>
    <x v="0"/>
    <s v="CLEAN"/>
  </r>
  <r>
    <x v="248"/>
    <d v="2024-02-10T00:00:00"/>
    <d v="2024-02-11T00:00:00"/>
    <n v="1"/>
    <s v="OK"/>
    <s v="CUST-1263"/>
    <s v="Karan Malhotra"/>
    <x v="2"/>
    <x v="0"/>
    <s v="Rajasthan"/>
    <s v="Jaipur"/>
    <x v="2"/>
    <x v="8"/>
    <s v="Pro Phones 907"/>
    <x v="0"/>
    <n v="3"/>
    <n v="3183.72"/>
    <n v="0.1"/>
    <s v="OK"/>
    <n v="8596.0400000000009"/>
    <n v="5378.16"/>
    <n v="3217.88"/>
    <x v="0"/>
    <x v="0"/>
    <s v="OK"/>
    <n v="0.1"/>
    <n v="8596.0400000000009"/>
    <n v="3217.88"/>
    <n v="0.37430000000000002"/>
    <x v="8"/>
    <x v="0"/>
    <s v="CLEAN"/>
  </r>
  <r>
    <x v="249"/>
    <d v="2024-03-28T00:00:00"/>
    <d v="2024-04-04T00:00:00"/>
    <n v="7"/>
    <s v="OK"/>
    <s v="CUST-4745"/>
    <s v="Ananya Rao"/>
    <x v="3"/>
    <x v="3"/>
    <s v="Goa"/>
    <s v="Panaji"/>
    <x v="0"/>
    <x v="0"/>
    <s v="Basic Paper 233"/>
    <x v="2"/>
    <n v="3"/>
    <n v="1150.92"/>
    <n v="0"/>
    <s v="OK"/>
    <n v="3452.76"/>
    <n v="2077.96"/>
    <n v="1374.8"/>
    <x v="0"/>
    <x v="0"/>
    <s v="OK"/>
    <n v="0"/>
    <n v="3452.76"/>
    <n v="1374.8"/>
    <n v="0.3982"/>
    <x v="7"/>
    <x v="0"/>
    <s v="CLEAN"/>
  </r>
  <r>
    <x v="250"/>
    <d v="2024-09-23T00:00:00"/>
    <d v="2024-09-25T00:00:00"/>
    <n v="2"/>
    <s v="OK"/>
    <s v="CUST-6594"/>
    <s v="Aarav Sharma"/>
    <x v="3"/>
    <x v="0"/>
    <s v="Delhi"/>
    <s v="New Delhi"/>
    <x v="0"/>
    <x v="11"/>
    <s v="Pro Binders 404"/>
    <x v="2"/>
    <n v="2"/>
    <n v="1275.1400000000001"/>
    <n v="0.2"/>
    <s v="OK"/>
    <n v="2040.22"/>
    <n v="1395.71"/>
    <n v="644.51"/>
    <x v="0"/>
    <x v="0"/>
    <s v="OK"/>
    <n v="0.2"/>
    <n v="2040.22"/>
    <n v="644.51"/>
    <n v="0.31590000000000001"/>
    <x v="11"/>
    <x v="0"/>
    <s v="CLEAN"/>
  </r>
  <r>
    <x v="251"/>
    <d v="2024-01-29T00:00:00"/>
    <d v="2024-02-06T00:00:00"/>
    <n v="8"/>
    <s v="OK"/>
    <s v="CUST-1748"/>
    <s v="Aarav Sharma"/>
    <x v="1"/>
    <x v="3"/>
    <s v="Madhya Pradesh"/>
    <s v="Indore"/>
    <x v="0"/>
    <x v="5"/>
    <s v="Eco Labels 914"/>
    <x v="3"/>
    <n v="2"/>
    <n v="1258.9000000000001"/>
    <n v="0"/>
    <s v="OK"/>
    <n v="2517.8000000000002"/>
    <n v="1478.54"/>
    <n v="1039.26"/>
    <x v="0"/>
    <x v="0"/>
    <s v="OK"/>
    <n v="0"/>
    <n v="2517.8000000000002"/>
    <n v="1039.26"/>
    <n v="0.4128"/>
    <x v="6"/>
    <x v="0"/>
    <s v="CLEAN"/>
  </r>
  <r>
    <x v="252"/>
    <d v="2024-04-01T00:00:00"/>
    <d v="2024-01-08T00:00:00"/>
    <n v="-84"/>
    <s v="INVALID"/>
    <s v="CUST-2725"/>
    <s v="Mira Das"/>
    <x v="1"/>
    <x v="1"/>
    <s v="Bihar"/>
    <s v="Patna"/>
    <x v="2"/>
    <x v="4"/>
    <s v="Max Accessories 486"/>
    <x v="1"/>
    <n v="9"/>
    <n v="1591.96"/>
    <n v="0.2"/>
    <s v="OK"/>
    <n v="11462.11"/>
    <n v="7105.48"/>
    <n v="4356.63"/>
    <x v="0"/>
    <x v="0"/>
    <s v="OK"/>
    <n v="0.2"/>
    <n v="11462.11"/>
    <n v="4356.63"/>
    <n v="0.38009999999999999"/>
    <x v="10"/>
    <x v="0"/>
    <s v="INVALID"/>
  </r>
  <r>
    <x v="253"/>
    <d v="2024-08-20T00:00:00"/>
    <d v="2024-08-21T00:00:00"/>
    <n v="1"/>
    <s v="OK"/>
    <s v="CUST-9470"/>
    <s v="Aditi Sen"/>
    <x v="2"/>
    <x v="1"/>
    <s v="Odisha"/>
    <s v="Bhubaneswar"/>
    <x v="2"/>
    <x v="6"/>
    <s v="Max Copiers 867"/>
    <x v="2"/>
    <n v="5"/>
    <n v="4288.33"/>
    <n v="0.1"/>
    <s v="OK"/>
    <n v="19297.490000000002"/>
    <n v="15451.66"/>
    <n v="3845.83"/>
    <x v="2"/>
    <x v="2"/>
    <s v="OK"/>
    <n v="0.1"/>
    <n v="19297.490000000002"/>
    <n v="3845.83"/>
    <n v="0.1993"/>
    <x v="1"/>
    <x v="0"/>
    <s v="CLEAN"/>
  </r>
  <r>
    <x v="254"/>
    <d v="2024-01-19T00:00:00"/>
    <d v="2024-01-25T00:00:00"/>
    <n v="6"/>
    <s v="OK"/>
    <s v="CUST-3448"/>
    <s v="Aditi Sen"/>
    <x v="2"/>
    <x v="3"/>
    <s v="Goa"/>
    <s v="Panaji"/>
    <x v="2"/>
    <x v="6"/>
    <s v="Pro Copiers 971"/>
    <x v="2"/>
    <n v="3"/>
    <n v="1041.6600000000001"/>
    <n v="0.1"/>
    <s v="OK"/>
    <n v="2812.48"/>
    <n v="2282.12"/>
    <n v="530.36"/>
    <x v="0"/>
    <x v="0"/>
    <s v="OK"/>
    <n v="0.1"/>
    <n v="2812.48"/>
    <n v="530.36"/>
    <n v="0.18859999999999999"/>
    <x v="6"/>
    <x v="0"/>
    <s v="CLEAN"/>
  </r>
  <r>
    <x v="255"/>
    <d v="2024-07-28T00:00:00"/>
    <d v="2024-07-31T00:00:00"/>
    <n v="3"/>
    <s v="OK"/>
    <s v="CUST-4970"/>
    <s v="Aditi Sen"/>
    <x v="0"/>
    <x v="0"/>
    <s v="Rajasthan"/>
    <s v="Jaipur"/>
    <x v="1"/>
    <x v="1"/>
    <s v="Pro Tables 833"/>
    <x v="1"/>
    <n v="2"/>
    <n v="4424.78"/>
    <n v="0.2"/>
    <s v="OK"/>
    <n v="7079.65"/>
    <n v="4465.91"/>
    <n v="2613.7399999999998"/>
    <x v="0"/>
    <x v="0"/>
    <s v="OK"/>
    <n v="0.2"/>
    <n v="7079.65"/>
    <n v="2613.7399999999998"/>
    <n v="0.36919999999999997"/>
    <x v="0"/>
    <x v="0"/>
    <s v="CLEAN"/>
  </r>
  <r>
    <x v="256"/>
    <d v="2024-11-02T00:00:00"/>
    <d v="2024-02-15T00:00:00"/>
    <n v="-261"/>
    <s v="INVALID"/>
    <s v="CUST-6147"/>
    <s v="Kabir Singh"/>
    <x v="0"/>
    <x v="2"/>
    <s v="Telangana"/>
    <s v="Hyderabad"/>
    <x v="0"/>
    <x v="11"/>
    <s v="Prime Binders 497"/>
    <x v="3"/>
    <n v="3"/>
    <n v="3019.14"/>
    <n v="0.25"/>
    <s v="OK"/>
    <n v="6793.07"/>
    <n v="4985.22"/>
    <n v="1807.85"/>
    <x v="0"/>
    <x v="0"/>
    <s v="OK"/>
    <n v="0.25"/>
    <n v="6793.07"/>
    <n v="1807.85"/>
    <n v="0.2661"/>
    <x v="3"/>
    <x v="0"/>
    <s v="INVALID"/>
  </r>
  <r>
    <x v="257"/>
    <d v="2024-02-03T00:00:00"/>
    <d v="2024-03-07T00:00:00"/>
    <n v="33"/>
    <s v="OK"/>
    <s v="CUST-7208"/>
    <s v="Rohan Mehta"/>
    <x v="2"/>
    <x v="1"/>
    <s v="Odisha"/>
    <s v="Bhubaneswar"/>
    <x v="0"/>
    <x v="7"/>
    <s v="Pro Storage 756"/>
    <x v="3"/>
    <n v="7"/>
    <n v="263.45999999999998"/>
    <n v="0"/>
    <s v="OK"/>
    <n v="1844.22"/>
    <n v="1094.21"/>
    <n v="750.01"/>
    <x v="0"/>
    <x v="0"/>
    <s v="OK"/>
    <n v="0"/>
    <n v="1844.22"/>
    <n v="750.01"/>
    <n v="0.40670000000000001"/>
    <x v="8"/>
    <x v="0"/>
    <s v="CLEAN"/>
  </r>
  <r>
    <x v="258"/>
    <d v="2024-11-13T00:00:00"/>
    <d v="2024-11-13T00:00:00"/>
    <n v="0"/>
    <s v="OK"/>
    <s v="CUST-2794"/>
    <s v="Priya Menon"/>
    <x v="0"/>
    <x v="3"/>
    <s v="Goa"/>
    <s v="Panaji"/>
    <x v="2"/>
    <x v="6"/>
    <s v="Max Copiers 829"/>
    <x v="3"/>
    <n v="6"/>
    <n v="191.45"/>
    <n v="0.2"/>
    <s v="OK"/>
    <n v="918.96"/>
    <n v="554.17999999999995"/>
    <n v="364.78"/>
    <x v="0"/>
    <x v="0"/>
    <s v="OK"/>
    <n v="0.2"/>
    <n v="918.96"/>
    <n v="364.78"/>
    <n v="0.39689999999999998"/>
    <x v="3"/>
    <x v="0"/>
    <s v="CLEAN"/>
  </r>
  <r>
    <x v="259"/>
    <d v="2024-03-06T00:00:00"/>
    <d v="2024-06-10T00:00:00"/>
    <n v="96"/>
    <s v="OK"/>
    <s v="CUST-6249"/>
    <s v="Diya Patel"/>
    <x v="2"/>
    <x v="0"/>
    <s v="Punjab"/>
    <s v="Ludhiana"/>
    <x v="1"/>
    <x v="3"/>
    <s v="Prime Furnishings 827"/>
    <x v="3"/>
    <n v="3"/>
    <n v="1633.57"/>
    <n v="0"/>
    <s v="OK"/>
    <n v="4900.71"/>
    <n v="2713.9"/>
    <n v="2186.81"/>
    <x v="0"/>
    <x v="0"/>
    <s v="OK"/>
    <n v="0"/>
    <n v="4900.71"/>
    <n v="2186.81"/>
    <n v="0.44619999999999999"/>
    <x v="7"/>
    <x v="0"/>
    <s v="CLEAN"/>
  </r>
  <r>
    <x v="260"/>
    <d v="2024-05-07T00:00:00"/>
    <d v="2024-05-14T00:00:00"/>
    <n v="7"/>
    <s v="OK"/>
    <s v="CUST-3004"/>
    <s v="Sneha Kapoor"/>
    <x v="1"/>
    <x v="0"/>
    <s v="Rajasthan"/>
    <s v="Jaipur"/>
    <x v="0"/>
    <x v="7"/>
    <s v="Classic Storage 545"/>
    <x v="2"/>
    <n v="3"/>
    <n v="383.58"/>
    <n v="0.1"/>
    <s v="OK"/>
    <n v="1035.67"/>
    <n v="595.41999999999996"/>
    <n v="440.25"/>
    <x v="0"/>
    <x v="0"/>
    <s v="OK"/>
    <n v="0.1"/>
    <n v="1035.67"/>
    <n v="440.25"/>
    <n v="0.42509999999999998"/>
    <x v="4"/>
    <x v="0"/>
    <s v="CLEAN"/>
  </r>
  <r>
    <x v="261"/>
    <d v="2024-06-09T00:00:00"/>
    <d v="2024-06-13T00:00:00"/>
    <n v="4"/>
    <s v="OK"/>
    <s v="CUST-4838"/>
    <s v="Mira Das"/>
    <x v="3"/>
    <x v="4"/>
    <s v="Uttar Pradesh"/>
    <s v="Noida"/>
    <x v="2"/>
    <x v="12"/>
    <s v="Classic Machines 561"/>
    <x v="1"/>
    <n v="7"/>
    <n v="4079.71"/>
    <n v="0.1"/>
    <s v="OK"/>
    <n v="25702.17"/>
    <n v="14571.48"/>
    <n v="11130.69"/>
    <x v="2"/>
    <x v="1"/>
    <s v="OK"/>
    <n v="0.1"/>
    <n v="25702.17"/>
    <n v="11130.69"/>
    <n v="0.43309999999999998"/>
    <x v="2"/>
    <x v="0"/>
    <s v="WARNING"/>
  </r>
  <r>
    <x v="262"/>
    <d v="2024-02-23T00:00:00"/>
    <d v="2024-02-20T00:00:00"/>
    <n v="-3"/>
    <s v="INVALID"/>
    <s v="CUST-7520"/>
    <s v="Arjun Bose"/>
    <x v="2"/>
    <x v="1"/>
    <s v="Odisha"/>
    <s v="Bhubaneswar"/>
    <x v="1"/>
    <x v="10"/>
    <s v="Max Chairs 594"/>
    <x v="0"/>
    <n v="1"/>
    <n v="2202.5500000000002"/>
    <n v="0"/>
    <s v="OK"/>
    <n v="1651.91"/>
    <n v="1034.57"/>
    <n v="617.34"/>
    <x v="0"/>
    <x v="0"/>
    <s v="OK"/>
    <n v="0"/>
    <n v="2202.5500000000002"/>
    <n v="1167.98"/>
    <n v="0.53029999999999999"/>
    <x v="8"/>
    <x v="0"/>
    <s v="INVALID"/>
  </r>
  <r>
    <x v="263"/>
    <d v="2024-07-22T00:00:00"/>
    <d v="2024-07-22T00:00:00"/>
    <n v="0"/>
    <s v="OK"/>
    <s v="CUST-3583"/>
    <s v="Priya Menon"/>
    <x v="0"/>
    <x v="2"/>
    <s v="Karnataka"/>
    <s v="Bengaluru"/>
    <x v="2"/>
    <x v="4"/>
    <s v="Basic Accessories 518"/>
    <x v="0"/>
    <n v="3"/>
    <n v="1286.22"/>
    <n v="0.25"/>
    <s v="OK"/>
    <n v="2893.99"/>
    <n v="1856.03"/>
    <n v="1037.96"/>
    <x v="0"/>
    <x v="0"/>
    <s v="OK"/>
    <n v="0.25"/>
    <n v="2894"/>
    <n v="1037.97"/>
    <n v="0.35870000000000002"/>
    <x v="0"/>
    <x v="0"/>
    <s v="CLEAN"/>
  </r>
  <r>
    <x v="264"/>
    <d v="2024-12-25T00:00:00"/>
    <d v="2024-12-25T00:00:00"/>
    <n v="0"/>
    <s v="OK"/>
    <s v="CUST-9432"/>
    <s v="Mira Das"/>
    <x v="2"/>
    <x v="1"/>
    <s v="Bihar"/>
    <s v="Patna"/>
    <x v="2"/>
    <x v="6"/>
    <s v="Pro Copiers 984"/>
    <x v="3"/>
    <n v="1"/>
    <n v="829.66"/>
    <n v="0.15"/>
    <s v="OK"/>
    <n v="705.21"/>
    <n v="438.32"/>
    <n v="266.89"/>
    <x v="0"/>
    <x v="0"/>
    <s v="OK"/>
    <n v="0.15"/>
    <n v="705.21"/>
    <n v="266.89"/>
    <n v="0.3785"/>
    <x v="5"/>
    <x v="0"/>
    <s v="CLEAN"/>
  </r>
  <r>
    <x v="265"/>
    <d v="2024-12-28T00:00:00"/>
    <d v="2024-12-31T00:00:00"/>
    <n v="3"/>
    <s v="OK"/>
    <s v="CUST-1801"/>
    <s v="Mira Das"/>
    <x v="1"/>
    <x v="2"/>
    <s v="Andhra Pradesh"/>
    <s v="Vijayawada"/>
    <x v="1"/>
    <x v="3"/>
    <s v="Max Furnishings 297"/>
    <x v="2"/>
    <n v="6"/>
    <n v="3641.22"/>
    <n v="0.25"/>
    <s v="OK"/>
    <n v="16385.490000000002"/>
    <n v="13679.24"/>
    <n v="2706.25"/>
    <x v="0"/>
    <x v="0"/>
    <s v="OK"/>
    <n v="0.25"/>
    <n v="16385.490000000002"/>
    <n v="2706.25"/>
    <n v="0.16520000000000001"/>
    <x v="5"/>
    <x v="0"/>
    <s v="CLEAN"/>
  </r>
  <r>
    <x v="266"/>
    <d v="2024-10-14T00:00:00"/>
    <d v="2024-10-20T00:00:00"/>
    <n v="6"/>
    <s v="OK"/>
    <s v="CUST-2183"/>
    <s v="Aditi Sen"/>
    <x v="1"/>
    <x v="0"/>
    <s v="Rajasthan"/>
    <s v="Jaipur"/>
    <x v="1"/>
    <x v="1"/>
    <s v="Eco Tables 487"/>
    <x v="1"/>
    <n v="7"/>
    <n v="1547.6"/>
    <n v="0.2"/>
    <s v="OK"/>
    <n v="8666.56"/>
    <n v="5967.44"/>
    <n v="2699.12"/>
    <x v="0"/>
    <x v="0"/>
    <s v="OK"/>
    <n v="0.2"/>
    <n v="8666.56"/>
    <n v="2699.12"/>
    <n v="0.31140000000000001"/>
    <x v="9"/>
    <x v="0"/>
    <s v="CLEAN"/>
  </r>
  <r>
    <x v="267"/>
    <d v="2024-02-07T00:00:00"/>
    <d v="2024-02-12T00:00:00"/>
    <n v="5"/>
    <s v="OK"/>
    <s v="CUST-1636"/>
    <s v="Arjun Bose"/>
    <x v="3"/>
    <x v="1"/>
    <s v="West Bengal"/>
    <s v="Kolkata"/>
    <x v="2"/>
    <x v="4"/>
    <s v="Prime Accessories 960"/>
    <x v="0"/>
    <n v="1"/>
    <n v="452.19"/>
    <n v="0.2"/>
    <s v="OK"/>
    <n v="361.75"/>
    <n v="262.52999999999997"/>
    <n v="99.22"/>
    <x v="0"/>
    <x v="0"/>
    <s v="OK"/>
    <n v="0.2"/>
    <n v="361.75"/>
    <n v="99.22"/>
    <n v="0.27429999999999999"/>
    <x v="8"/>
    <x v="0"/>
    <s v="CLEAN"/>
  </r>
  <r>
    <x v="268"/>
    <d v="2024-09-16T00:00:00"/>
    <d v="2024-09-19T00:00:00"/>
    <n v="3"/>
    <s v="OK"/>
    <s v="CUST-1350"/>
    <s v="Aditi Sen"/>
    <x v="0"/>
    <x v="3"/>
    <s v="Rajasthan"/>
    <s v="Udaipur"/>
    <x v="0"/>
    <x v="11"/>
    <s v="Smart Binders 191"/>
    <x v="2"/>
    <n v="7"/>
    <n v="406.42"/>
    <n v="0.15"/>
    <s v="OK"/>
    <n v="2418.1999999999998"/>
    <n v="1613.82"/>
    <n v="804.38"/>
    <x v="0"/>
    <x v="0"/>
    <s v="OK"/>
    <n v="0.15"/>
    <n v="2418.1999999999998"/>
    <n v="804.38"/>
    <n v="0.33260000000000001"/>
    <x v="11"/>
    <x v="0"/>
    <s v="CLEAN"/>
  </r>
  <r>
    <x v="269"/>
    <d v="2024-11-14T00:00:00"/>
    <d v="2024-11-22T00:00:00"/>
    <n v="8"/>
    <s v="OK"/>
    <s v="CUST-9056"/>
    <s v="Isha Nair"/>
    <x v="0"/>
    <x v="3"/>
    <s v="Madhya Pradesh"/>
    <s v="Indore"/>
    <x v="2"/>
    <x v="8"/>
    <s v="Smart Phones 125"/>
    <x v="3"/>
    <n v="3"/>
    <n v="671.68"/>
    <n v="-0.13"/>
    <s v="INVALID-NEGATIVE"/>
    <n v="1712.78"/>
    <n v="1569.38"/>
    <n v="360.66"/>
    <x v="3"/>
    <x v="2"/>
    <s v="OK"/>
    <n v="0"/>
    <n v="2015.04"/>
    <n v="445.66"/>
    <n v="0.22120000000000001"/>
    <x v="3"/>
    <x v="0"/>
    <s v="INVALID"/>
  </r>
  <r>
    <x v="270"/>
    <d v="2024-05-09T00:00:00"/>
    <d v="2024-05-15T00:00:00"/>
    <n v="6"/>
    <s v="OK"/>
    <s v="CUST-9801"/>
    <s v="Mira Das"/>
    <x v="1"/>
    <x v="1"/>
    <s v="Assam"/>
    <s v="Guwahati"/>
    <x v="2"/>
    <x v="8"/>
    <s v="Eco Phones 220"/>
    <x v="0"/>
    <n v="4"/>
    <n v="995.98"/>
    <n v="0.05"/>
    <s v="OK"/>
    <n v="3784.72"/>
    <n v="2419.2399999999998"/>
    <n v="1365.48"/>
    <x v="2"/>
    <x v="1"/>
    <s v="OK"/>
    <n v="0.05"/>
    <n v="3784.72"/>
    <n v="1365.48"/>
    <n v="0.36080000000000001"/>
    <x v="4"/>
    <x v="0"/>
    <s v="CLEAN"/>
  </r>
  <r>
    <x v="271"/>
    <d v="2024-08-29T00:00:00"/>
    <d v="2024-08-29T00:00:00"/>
    <n v="0"/>
    <s v="OK"/>
    <s v="CUST-1567"/>
    <s v="Sneha Kapoor"/>
    <x v="1"/>
    <x v="0"/>
    <s v="Uttar Pradesh"/>
    <s v="Noida"/>
    <x v="2"/>
    <x v="4"/>
    <s v="Smart Accessories 896"/>
    <x v="0"/>
    <n v="1"/>
    <n v="3106.88"/>
    <n v="0.2"/>
    <s v="OK"/>
    <n v="2485.5"/>
    <n v="2028.43"/>
    <n v="457.07"/>
    <x v="0"/>
    <x v="2"/>
    <s v="OK"/>
    <n v="0.2"/>
    <n v="2485.5"/>
    <n v="457.07"/>
    <n v="0.18390000000000001"/>
    <x v="1"/>
    <x v="0"/>
    <s v="CLEAN"/>
  </r>
  <r>
    <x v="272"/>
    <d v="2024-12-22T00:00:00"/>
    <d v="2024-12-26T00:00:00"/>
    <n v="4"/>
    <s v="OK"/>
    <s v="CUST-5604"/>
    <s v="Rahul Verma"/>
    <x v="3"/>
    <x v="0"/>
    <s v="Uttar Pradesh"/>
    <s v="Noida"/>
    <x v="1"/>
    <x v="10"/>
    <s v="Eco Chairs 210"/>
    <x v="3"/>
    <n v="9"/>
    <n v="1110.8699999999999"/>
    <n v="0"/>
    <s v="OK"/>
    <n v="7498.37"/>
    <n v="6059.07"/>
    <n v="1439.3"/>
    <x v="0"/>
    <x v="2"/>
    <s v="OK"/>
    <n v="0"/>
    <n v="9997.83"/>
    <n v="3938.76"/>
    <n v="0.39400000000000002"/>
    <x v="5"/>
    <x v="0"/>
    <s v="CLEAN"/>
  </r>
  <r>
    <x v="273"/>
    <d v="2024-05-17T00:00:00"/>
    <d v="2024-05-22T00:00:00"/>
    <n v="5"/>
    <s v="OK"/>
    <s v="CUST-7661"/>
    <s v="Sneha Kapoor"/>
    <x v="0"/>
    <x v="2"/>
    <s v="Kerala"/>
    <s v="Kochi"/>
    <x v="2"/>
    <x v="8"/>
    <s v="Prime Phones 533"/>
    <x v="1"/>
    <n v="9"/>
    <n v="3795.99"/>
    <s v="85%"/>
    <s v="INVALID-ABOVE"/>
    <n v="34163.910000000003"/>
    <n v="28577.15"/>
    <n v="5586.76"/>
    <x v="0"/>
    <x v="0"/>
    <s v="OK"/>
    <n v="0.85"/>
    <n v="5124.59"/>
    <n v="-23452.560000000001"/>
    <n v="-4.5765000000000002"/>
    <x v="4"/>
    <x v="0"/>
    <s v="INVALID"/>
  </r>
  <r>
    <x v="274"/>
    <d v="2024-08-11T00:00:00"/>
    <d v="2024-08-17T00:00:00"/>
    <n v="6"/>
    <s v="OK"/>
    <s v="CUST-3710"/>
    <s v="Neha Gupta"/>
    <x v="0"/>
    <x v="1"/>
    <s v="Jharkhand"/>
    <s v="Ranchi"/>
    <x v="0"/>
    <x v="2"/>
    <s v="Elite Art 325"/>
    <x v="0"/>
    <n v="6"/>
    <n v="3497.54"/>
    <n v="0.15"/>
    <s v="OK"/>
    <n v="17837.45"/>
    <n v="13627.02"/>
    <n v="4210.43"/>
    <x v="0"/>
    <x v="0"/>
    <s v="OK"/>
    <n v="0.15"/>
    <n v="17837.45"/>
    <n v="4210.43"/>
    <n v="0.23599999999999999"/>
    <x v="1"/>
    <x v="0"/>
    <s v="CLEAN"/>
  </r>
  <r>
    <x v="275"/>
    <d v="2024-04-01T00:00:00"/>
    <d v="2024-04-09T00:00:00"/>
    <n v="8"/>
    <s v="OK"/>
    <s v="CUST-1534"/>
    <s v="Priya Menon"/>
    <x v="1"/>
    <x v="1"/>
    <s v="Odisha"/>
    <s v="Bhubaneswar"/>
    <x v="2"/>
    <x v="6"/>
    <s v="Prime Copiers 557"/>
    <x v="0"/>
    <n v="6"/>
    <n v="826.93"/>
    <n v="0.1"/>
    <s v="OK"/>
    <n v="4465.42"/>
    <n v="3377.1"/>
    <n v="1088.32"/>
    <x v="0"/>
    <x v="0"/>
    <s v="OK"/>
    <n v="0.1"/>
    <n v="4465.42"/>
    <n v="1088.32"/>
    <n v="0.2437"/>
    <x v="10"/>
    <x v="0"/>
    <s v="CLEAN"/>
  </r>
  <r>
    <x v="276"/>
    <d v="2024-09-28T00:00:00"/>
    <d v="2024-10-05T00:00:00"/>
    <n v="7"/>
    <s v="OK"/>
    <s v="CUST-7422"/>
    <s v="Aarav Sharma"/>
    <x v="0"/>
    <x v="2"/>
    <s v="Tamil Nadu"/>
    <s v="Chennai"/>
    <x v="2"/>
    <x v="8"/>
    <s v="Smart Phones 674"/>
    <x v="3"/>
    <n v="7"/>
    <n v="1681.6"/>
    <n v="0.1"/>
    <s v="OK"/>
    <n v="10594.08"/>
    <n v="7160.31"/>
    <n v="3433.77"/>
    <x v="0"/>
    <x v="0"/>
    <s v="OK"/>
    <n v="0.1"/>
    <n v="10594.08"/>
    <n v="3433.77"/>
    <n v="0.3241"/>
    <x v="11"/>
    <x v="0"/>
    <s v="CLEAN"/>
  </r>
  <r>
    <x v="277"/>
    <d v="2024-11-09T00:00:00"/>
    <d v="2024-11-14T00:00:00"/>
    <n v="5"/>
    <s v="OK"/>
    <s v="CUST-5458"/>
    <s v="Neha Gupta"/>
    <x v="2"/>
    <x v="3"/>
    <s v="Madhya Pradesh"/>
    <s v="Indore"/>
    <x v="0"/>
    <x v="2"/>
    <s v="Classic Art 339"/>
    <x v="2"/>
    <n v="9"/>
    <n v="2438.29"/>
    <n v="0.2"/>
    <s v="OK"/>
    <n v="17555.689999999999"/>
    <n v="13293.2"/>
    <n v="4262.49"/>
    <x v="0"/>
    <x v="2"/>
    <s v="OK"/>
    <n v="0.2"/>
    <n v="17555.689999999999"/>
    <n v="4262.49"/>
    <n v="0.24279999999999999"/>
    <x v="3"/>
    <x v="0"/>
    <s v="CLEAN"/>
  </r>
  <r>
    <x v="278"/>
    <d v="2024-12-15T00:00:00"/>
    <d v="2024-12-15T00:00:00"/>
    <n v="0"/>
    <s v="OK"/>
    <s v="CUST-3011"/>
    <s v="Aarav Sharma"/>
    <x v="1"/>
    <x v="0"/>
    <s v="Punjab"/>
    <s v="Ludhiana"/>
    <x v="1"/>
    <x v="3"/>
    <s v="Smart Furnishings 352"/>
    <x v="2"/>
    <n v="2"/>
    <n v="669.8"/>
    <n v="0.1"/>
    <s v="OK"/>
    <n v="1205.6400000000001"/>
    <n v="842.07"/>
    <n v="363.57"/>
    <x v="2"/>
    <x v="1"/>
    <s v="OK"/>
    <n v="0.1"/>
    <n v="1205.6400000000001"/>
    <n v="363.57"/>
    <n v="0.30159999999999998"/>
    <x v="5"/>
    <x v="0"/>
    <s v="CLEAN"/>
  </r>
  <r>
    <x v="279"/>
    <d v="2024-03-31T00:00:00"/>
    <d v="2024-07-04T00:00:00"/>
    <n v="95"/>
    <s v="OK"/>
    <s v="CUST-3333"/>
    <s v="Isha Nair"/>
    <x v="1"/>
    <x v="0"/>
    <s v="Haryana"/>
    <s v="Gurugram"/>
    <x v="2"/>
    <x v="12"/>
    <s v="Smart Machines 853"/>
    <x v="0"/>
    <n v="4"/>
    <n v="1831"/>
    <n v="0"/>
    <s v="OK"/>
    <n v="7324"/>
    <n v="4179.63"/>
    <n v="3144.37"/>
    <x v="0"/>
    <x v="0"/>
    <s v="OK"/>
    <n v="0"/>
    <n v="7324"/>
    <n v="3144.37"/>
    <n v="0.42930000000000001"/>
    <x v="7"/>
    <x v="0"/>
    <s v="CLEAN"/>
  </r>
  <r>
    <x v="280"/>
    <d v="2024-10-18T00:00:00"/>
    <d v="2024-10-21T00:00:00"/>
    <n v="3"/>
    <s v="OK"/>
    <s v="CUST-9759"/>
    <s v="Aarav Sharma"/>
    <x v="0"/>
    <x v="2"/>
    <s v="Karnataka"/>
    <s v="Bengaluru"/>
    <x v="0"/>
    <x v="7"/>
    <s v="Pro Storage 373"/>
    <x v="0"/>
    <n v="2"/>
    <n v="4238.51"/>
    <n v="0"/>
    <s v="OK"/>
    <n v="8477.02"/>
    <n v="6884.96"/>
    <n v="1592.06"/>
    <x v="0"/>
    <x v="0"/>
    <s v="OK"/>
    <n v="0"/>
    <n v="8477.02"/>
    <n v="1592.06"/>
    <n v="0.18779999999999999"/>
    <x v="9"/>
    <x v="0"/>
    <s v="CLEAN"/>
  </r>
  <r>
    <x v="281"/>
    <d v="2024-10-23T00:00:00"/>
    <d v="2024-10-26T00:00:00"/>
    <n v="3"/>
    <s v="OK"/>
    <s v="CUST-7232"/>
    <s v="Sneha Kapoor"/>
    <x v="0"/>
    <x v="3"/>
    <s v="Madhya Pradesh"/>
    <s v="Indore"/>
    <x v="1"/>
    <x v="9"/>
    <s v="Smart Bookcases 920"/>
    <x v="3"/>
    <n v="9"/>
    <n v="544.27"/>
    <n v="0.25"/>
    <s v="OK"/>
    <n v="3673.82"/>
    <n v="2088.15"/>
    <n v="1585.67"/>
    <x v="0"/>
    <x v="0"/>
    <s v="OK"/>
    <n v="0.25"/>
    <n v="3673.82"/>
    <n v="1585.67"/>
    <n v="0.43159999999999998"/>
    <x v="9"/>
    <x v="0"/>
    <s v="CLEAN"/>
  </r>
  <r>
    <x v="282"/>
    <d v="2024-11-18T00:00:00"/>
    <d v="2024-11-22T00:00:00"/>
    <n v="4"/>
    <s v="OK"/>
    <s v="CUST-7729"/>
    <s v="Karan Malhotra"/>
    <x v="3"/>
    <x v="2"/>
    <s v="Kerala"/>
    <s v="Kochi"/>
    <x v="2"/>
    <x v="4"/>
    <s v="Smart Accessories 388"/>
    <x v="3"/>
    <n v="6"/>
    <n v="3872.94"/>
    <n v="0.1"/>
    <s v="OK"/>
    <n v="20913.88"/>
    <n v="11684.68"/>
    <n v="9229.2000000000007"/>
    <x v="0"/>
    <x v="0"/>
    <s v="OK"/>
    <n v="0.1"/>
    <n v="20913.88"/>
    <n v="9229.2000000000007"/>
    <n v="0.44130000000000003"/>
    <x v="3"/>
    <x v="0"/>
    <s v="CLEAN"/>
  </r>
  <r>
    <x v="283"/>
    <d v="2024-09-28T00:00:00"/>
    <d v="2024-10-04T00:00:00"/>
    <n v="6"/>
    <s v="OK"/>
    <s v="CUST-2731"/>
    <s v="Kabir Singh"/>
    <x v="3"/>
    <x v="0"/>
    <s v="Delhi"/>
    <s v="New Delhi"/>
    <x v="2"/>
    <x v="6"/>
    <s v="Classic Copiers 143"/>
    <x v="3"/>
    <n v="1"/>
    <n v="2233.1799999999998"/>
    <n v="0"/>
    <s v="OK"/>
    <n v="2233.1799999999998"/>
    <n v="1585.82"/>
    <n v="647.36"/>
    <x v="3"/>
    <x v="1"/>
    <s v="OK"/>
    <n v="0"/>
    <n v="2233.1799999999998"/>
    <n v="647.36"/>
    <n v="0.28989999999999999"/>
    <x v="11"/>
    <x v="0"/>
    <s v="INVALID"/>
  </r>
  <r>
    <x v="284"/>
    <d v="2024-07-16T00:00:00"/>
    <d v="2024-07-23T00:00:00"/>
    <n v="7"/>
    <s v="OK"/>
    <s v="CUST-2155"/>
    <s v="Aarav Sharma"/>
    <x v="3"/>
    <x v="2"/>
    <s v="Karnataka"/>
    <s v="Bengaluru"/>
    <x v="2"/>
    <x v="12"/>
    <s v="Prime Machines 393"/>
    <x v="1"/>
    <n v="1"/>
    <n v="1695.91"/>
    <n v="0.05"/>
    <s v="OK"/>
    <n v="1611.11"/>
    <n v="895.15"/>
    <n v="715.96"/>
    <x v="0"/>
    <x v="0"/>
    <s v="OK"/>
    <n v="0.05"/>
    <n v="1611.11"/>
    <n v="715.96"/>
    <n v="0.44440000000000002"/>
    <x v="0"/>
    <x v="0"/>
    <s v="CLEAN"/>
  </r>
  <r>
    <x v="285"/>
    <d v="2024-02-04T00:00:00"/>
    <d v="2024-04-03T00:00:00"/>
    <n v="59"/>
    <s v="OK"/>
    <s v="CUST-4653"/>
    <s v="Kabir Singh"/>
    <x v="3"/>
    <x v="3"/>
    <s v="Goa"/>
    <s v="Panaji"/>
    <x v="0"/>
    <x v="0"/>
    <s v="Basic Paper 315"/>
    <x v="0"/>
    <n v="2"/>
    <n v="2902.63"/>
    <n v="0"/>
    <s v="OK"/>
    <n v="5805.26"/>
    <n v="4654.3599999999997"/>
    <n v="1150.9000000000001"/>
    <x v="0"/>
    <x v="1"/>
    <s v="OK"/>
    <n v="0"/>
    <n v="5805.26"/>
    <n v="1150.9000000000001"/>
    <n v="0.1983"/>
    <x v="8"/>
    <x v="0"/>
    <s v="CLEAN"/>
  </r>
  <r>
    <x v="286"/>
    <d v="2024-11-30T00:00:00"/>
    <d v="2024-12-01T00:00:00"/>
    <n v="1"/>
    <s v="OK"/>
    <s v="CUST-3311"/>
    <s v="Ananya Rao"/>
    <x v="2"/>
    <x v="3"/>
    <s v="Gujarat"/>
    <s v="Ahmedabad"/>
    <x v="1"/>
    <x v="10"/>
    <s v="Basic Chairs 333"/>
    <x v="2"/>
    <n v="9"/>
    <n v="4207.3599999999997"/>
    <n v="0.1"/>
    <s v="OK"/>
    <n v="34079.620000000003"/>
    <n v="21871.39"/>
    <n v="12208.23"/>
    <x v="0"/>
    <x v="0"/>
    <s v="OK"/>
    <n v="0.1"/>
    <n v="34079.620000000003"/>
    <n v="12208.23"/>
    <n v="0.35820000000000002"/>
    <x v="3"/>
    <x v="0"/>
    <s v="CLEAN"/>
  </r>
  <r>
    <x v="287"/>
    <d v="2024-10-17T00:00:00"/>
    <d v="2024-10-17T00:00:00"/>
    <n v="0"/>
    <s v="OK"/>
    <s v="CUST-2924"/>
    <s v="Priya Menon"/>
    <x v="3"/>
    <x v="1"/>
    <s v="West Bengal"/>
    <s v="Kolkata"/>
    <x v="1"/>
    <x v="10"/>
    <s v="Prime Chairs 215"/>
    <x v="3"/>
    <n v="5"/>
    <n v="2524.4"/>
    <n v="0.1"/>
    <s v="OK"/>
    <n v="11359.8"/>
    <n v="7062.44"/>
    <n v="4297.3599999999997"/>
    <x v="0"/>
    <x v="0"/>
    <s v="OK"/>
    <n v="0.1"/>
    <n v="11359.8"/>
    <n v="4297.3599999999997"/>
    <n v="0.37830000000000003"/>
    <x v="9"/>
    <x v="0"/>
    <s v="CLEAN"/>
  </r>
  <r>
    <x v="288"/>
    <d v="2024-10-07T00:00:00"/>
    <d v="2024-09-10T00:00:00"/>
    <n v="-27"/>
    <s v="INVALID"/>
    <s v="CUST-2390"/>
    <s v="Diya Patel"/>
    <x v="0"/>
    <x v="2"/>
    <s v="Tamil Nadu"/>
    <s v="Chennai"/>
    <x v="0"/>
    <x v="11"/>
    <s v="Eco Binders 855"/>
    <x v="3"/>
    <n v="9"/>
    <n v="3457.09"/>
    <n v="0.05"/>
    <s v="OK"/>
    <n v="29558.12"/>
    <n v="21302.13"/>
    <n v="8255.99"/>
    <x v="1"/>
    <x v="1"/>
    <s v="OK"/>
    <n v="0.05"/>
    <n v="29558.12"/>
    <n v="8255.99"/>
    <n v="0.27929999999999999"/>
    <x v="9"/>
    <x v="0"/>
    <s v="INVALID"/>
  </r>
  <r>
    <x v="289"/>
    <d v="2024-02-06T00:00:00"/>
    <d v="2024-02-08T00:00:00"/>
    <n v="2"/>
    <s v="OK"/>
    <s v="CUST-3362"/>
    <s v="Karan Malhotra"/>
    <x v="0"/>
    <x v="1"/>
    <s v="Jharkhand"/>
    <s v="Ranchi"/>
    <x v="1"/>
    <x v="9"/>
    <s v="Classic Bookcases 947"/>
    <x v="0"/>
    <n v="9"/>
    <n v="1822.25"/>
    <n v="0"/>
    <s v="OK"/>
    <n v="16400.25"/>
    <n v="12146.96"/>
    <n v="4253.29"/>
    <x v="0"/>
    <x v="0"/>
    <s v="OK"/>
    <n v="0"/>
    <n v="16400.25"/>
    <n v="4253.29"/>
    <n v="0.25929999999999997"/>
    <x v="8"/>
    <x v="0"/>
    <s v="CLEAN"/>
  </r>
  <r>
    <x v="290"/>
    <d v="2024-08-01T00:00:00"/>
    <d v="2024-08-08T00:00:00"/>
    <n v="7"/>
    <s v="OK"/>
    <s v="CUST-6357"/>
    <s v="Diya Patel"/>
    <x v="1"/>
    <x v="3"/>
    <s v="Maharashtra"/>
    <s v="Mumbai"/>
    <x v="0"/>
    <x v="7"/>
    <s v="Pro Storage 364"/>
    <x v="4"/>
    <n v="1"/>
    <n v="442.97"/>
    <n v="0.1"/>
    <s v="OK"/>
    <n v="398.67"/>
    <n v="311.66000000000003"/>
    <n v="87.01"/>
    <x v="0"/>
    <x v="0"/>
    <s v="OK"/>
    <n v="0.1"/>
    <n v="398.67"/>
    <n v="87.01"/>
    <n v="0.21829999999999999"/>
    <x v="1"/>
    <x v="0"/>
    <s v="WARNING"/>
  </r>
  <r>
    <x v="291"/>
    <d v="2024-08-25T00:00:00"/>
    <d v="2024-09-01T00:00:00"/>
    <n v="7"/>
    <s v="OK"/>
    <s v="CUST-4487"/>
    <s v="Isha Nair"/>
    <x v="3"/>
    <x v="0"/>
    <s v="Rajasthan"/>
    <s v="Jaipur"/>
    <x v="1"/>
    <x v="1"/>
    <s v="Smart Tables 659"/>
    <x v="1"/>
    <n v="6"/>
    <n v="481.3"/>
    <n v="0.25"/>
    <s v="OK"/>
    <n v="2165.85"/>
    <n v="2124.48"/>
    <n v="430.45"/>
    <x v="0"/>
    <x v="0"/>
    <s v="OK"/>
    <n v="0.25"/>
    <n v="2165.85"/>
    <n v="41.37"/>
    <n v="1.9099999999999999E-2"/>
    <x v="1"/>
    <x v="0"/>
    <s v="CLEAN"/>
  </r>
  <r>
    <x v="292"/>
    <d v="2024-05-19T00:00:00"/>
    <d v="2024-05-21T00:00:00"/>
    <n v="2"/>
    <s v="OK"/>
    <s v="CUST-1729"/>
    <s v="Diya Patel"/>
    <x v="1"/>
    <x v="3"/>
    <s v="Maharashtra"/>
    <s v="Mumbai"/>
    <x v="2"/>
    <x v="6"/>
    <s v="Eco Copiers 243"/>
    <x v="2"/>
    <n v="3"/>
    <n v="4000.98"/>
    <n v="0.2"/>
    <s v="OK"/>
    <n v="9602.35"/>
    <n v="7387.57"/>
    <n v="2214.7800000000002"/>
    <x v="0"/>
    <x v="0"/>
    <s v="OK"/>
    <n v="0.2"/>
    <n v="9602.35"/>
    <n v="2214.7800000000002"/>
    <n v="0.2306"/>
    <x v="4"/>
    <x v="0"/>
    <s v="CLEAN"/>
  </r>
  <r>
    <x v="293"/>
    <d v="2024-01-22T00:00:00"/>
    <d v="2024-01-30T00:00:00"/>
    <n v="8"/>
    <s v="OK"/>
    <s v="CUST-1370"/>
    <s v="Ananya Rao"/>
    <x v="1"/>
    <x v="0"/>
    <s v="Haryana"/>
    <s v="Gurugram"/>
    <x v="0"/>
    <x v="2"/>
    <s v="Classic Art 772"/>
    <x v="1"/>
    <n v="3"/>
    <n v="676.37"/>
    <n v="0.05"/>
    <s v="OK"/>
    <n v="1927.65"/>
    <n v="1460.6"/>
    <n v="467.05"/>
    <x v="3"/>
    <x v="2"/>
    <s v="OK"/>
    <n v="0.05"/>
    <n v="1927.65"/>
    <n v="467.05"/>
    <n v="0.24229999999999999"/>
    <x v="6"/>
    <x v="0"/>
    <s v="INVALID"/>
  </r>
  <r>
    <x v="294"/>
    <d v="2024-09-25T00:00:00"/>
    <d v="2024-01-10T00:00:00"/>
    <n v="-259"/>
    <s v="INVALID"/>
    <s v="CUST-5381"/>
    <s v="Diya Patel"/>
    <x v="1"/>
    <x v="1"/>
    <s v="Jharkhand"/>
    <s v="Ranchi"/>
    <x v="1"/>
    <x v="1"/>
    <s v="Elite Tables 888"/>
    <x v="0"/>
    <n v="9"/>
    <n v="3908.6"/>
    <n v="0.15"/>
    <s v="OK"/>
    <n v="29900.79"/>
    <n v="24650.67"/>
    <n v="5250.12"/>
    <x v="0"/>
    <x v="0"/>
    <s v="OK"/>
    <n v="0.15"/>
    <n v="29900.79"/>
    <n v="5250.12"/>
    <n v="0.17560000000000001"/>
    <x v="11"/>
    <x v="0"/>
    <s v="INVALID"/>
  </r>
  <r>
    <x v="295"/>
    <d v="2024-02-26T00:00:00"/>
    <d v="2024-02-23T00:00:00"/>
    <n v="-3"/>
    <s v="INVALID"/>
    <s v="CUST-7563"/>
    <s v="Kabir Singh"/>
    <x v="0"/>
    <x v="3"/>
    <s v="Gujarat"/>
    <s v="Ahmedabad"/>
    <x v="1"/>
    <x v="3"/>
    <s v="Basic Furnishings 350"/>
    <x v="3"/>
    <n v="7"/>
    <n v="3852.07"/>
    <n v="0.2"/>
    <s v="OK"/>
    <n v="21571.59"/>
    <n v="17118.07"/>
    <n v="4453.5200000000004"/>
    <x v="0"/>
    <x v="0"/>
    <s v="OK"/>
    <n v="0.2"/>
    <n v="21571.59"/>
    <n v="4453.5200000000004"/>
    <n v="0.20649999999999999"/>
    <x v="8"/>
    <x v="0"/>
    <s v="INVALID"/>
  </r>
  <r>
    <x v="296"/>
    <d v="2024-09-17T00:00:00"/>
    <d v="2024-09-23T00:00:00"/>
    <n v="6"/>
    <s v="OK"/>
    <s v="CUST-9376"/>
    <s v="Rahul Verma"/>
    <x v="3"/>
    <x v="2"/>
    <s v="Kerala"/>
    <s v="Kochi"/>
    <x v="1"/>
    <x v="9"/>
    <s v="Eco Bookcases 759"/>
    <x v="0"/>
    <n v="3"/>
    <n v="4067.62"/>
    <n v="0.2"/>
    <s v="OK"/>
    <n v="9988.5300000000007"/>
    <n v="8368.24"/>
    <n v="1394.05"/>
    <x v="0"/>
    <x v="2"/>
    <s v="OK"/>
    <n v="0.2"/>
    <n v="9762.2900000000009"/>
    <n v="1394.05"/>
    <n v="0.14280000000000001"/>
    <x v="11"/>
    <x v="0"/>
    <s v="CLEAN"/>
  </r>
  <r>
    <x v="297"/>
    <d v="2024-07-14T00:00:00"/>
    <d v="2024-07-20T00:00:00"/>
    <n v="6"/>
    <s v="OK"/>
    <s v="CUST-9094"/>
    <s v="Mira Das"/>
    <x v="0"/>
    <x v="1"/>
    <s v="Bihar"/>
    <s v="Patna"/>
    <x v="2"/>
    <x v="6"/>
    <s v="Max Copiers 440"/>
    <x v="1"/>
    <n v="1"/>
    <n v="492.67"/>
    <n v="0.15"/>
    <s v="OK"/>
    <n v="418.77"/>
    <n v="313.72000000000003"/>
    <n v="105.05"/>
    <x v="0"/>
    <x v="0"/>
    <s v="OK"/>
    <n v="0.15"/>
    <n v="418.77"/>
    <n v="105.05"/>
    <n v="0.25090000000000001"/>
    <x v="0"/>
    <x v="0"/>
    <s v="CLEAN"/>
  </r>
  <r>
    <x v="298"/>
    <d v="2024-05-27T00:00:00"/>
    <d v="2024-05-30T00:00:00"/>
    <n v="3"/>
    <s v="OK"/>
    <s v="CUST-7168"/>
    <s v="Kabir Singh"/>
    <x v="1"/>
    <x v="1"/>
    <s v="Jharkhand"/>
    <s v="Ranchi"/>
    <x v="0"/>
    <x v="7"/>
    <s v="Classic Storage 755"/>
    <x v="1"/>
    <n v="7"/>
    <n v="2900.86"/>
    <n v="0.15"/>
    <s v="OK"/>
    <n v="17260.12"/>
    <n v="13513.51"/>
    <n v="3746.61"/>
    <x v="0"/>
    <x v="0"/>
    <s v="OK"/>
    <n v="0.15"/>
    <n v="17260.12"/>
    <n v="3746.61"/>
    <n v="0.21709999999999999"/>
    <x v="4"/>
    <x v="0"/>
    <s v="CLEAN"/>
  </r>
  <r>
    <x v="299"/>
    <d v="2024-05-16T00:00:00"/>
    <d v="2024-05-23T00:00:00"/>
    <n v="7"/>
    <s v="OK"/>
    <s v="CUST-9146"/>
    <s v="Neha Gupta"/>
    <x v="1"/>
    <x v="0"/>
    <s v="Uttar Pradesh"/>
    <s v="Noida"/>
    <x v="2"/>
    <x v="6"/>
    <s v="Max Copiers 607"/>
    <x v="3"/>
    <n v="9"/>
    <n v="3722.09"/>
    <n v="0.1"/>
    <s v="OK"/>
    <n v="30148.93"/>
    <n v="25155.07"/>
    <n v="4993.8599999999997"/>
    <x v="0"/>
    <x v="0"/>
    <s v="OK"/>
    <n v="0.1"/>
    <n v="30148.93"/>
    <n v="4993.8599999999997"/>
    <n v="0.1656"/>
    <x v="4"/>
    <x v="0"/>
    <s v="CLEAN"/>
  </r>
  <r>
    <x v="300"/>
    <d v="2024-05-29T00:00:00"/>
    <d v="2024-05-29T00:00:00"/>
    <n v="0"/>
    <s v="OK"/>
    <s v="CUST-5129"/>
    <s v="Rohan Mehta"/>
    <x v="2"/>
    <x v="1"/>
    <s v="Bihar"/>
    <s v="Patna"/>
    <x v="1"/>
    <x v="9"/>
    <s v="Prime Bookcases 402"/>
    <x v="1"/>
    <n v="1"/>
    <n v="1072.01"/>
    <n v="0"/>
    <s v="OK"/>
    <n v="1072.01"/>
    <n v="852.62"/>
    <n v="219.39"/>
    <x v="1"/>
    <x v="2"/>
    <s v="OK"/>
    <n v="0"/>
    <n v="1072.01"/>
    <n v="219.39"/>
    <n v="0.20469999999999999"/>
    <x v="4"/>
    <x v="0"/>
    <s v="CLEAN"/>
  </r>
  <r>
    <x v="301"/>
    <d v="2024-02-08T00:00:00"/>
    <d v="2024-08-10T00:00:00"/>
    <n v="184"/>
    <s v="OK"/>
    <s v="CUST-8687"/>
    <s v="Mira Das"/>
    <x v="3"/>
    <x v="1"/>
    <s v="Odisha"/>
    <s v="Bhubaneswar"/>
    <x v="2"/>
    <x v="4"/>
    <s v="Max Accessories 591"/>
    <x v="3"/>
    <n v="6"/>
    <n v="2126.44"/>
    <n v="0.2"/>
    <s v="OK"/>
    <n v="10206.91"/>
    <n v="6764.53"/>
    <n v="3442.38"/>
    <x v="0"/>
    <x v="0"/>
    <s v="OK"/>
    <n v="0.2"/>
    <n v="10206.91"/>
    <n v="3442.38"/>
    <n v="0.33729999999999999"/>
    <x v="8"/>
    <x v="0"/>
    <s v="CLEAN"/>
  </r>
  <r>
    <x v="302"/>
    <d v="2024-02-27T00:00:00"/>
    <d v="2024-02-27T00:00:00"/>
    <n v="0"/>
    <s v="OK"/>
    <s v="CUST-8172"/>
    <s v="Sneha Kapoor"/>
    <x v="0"/>
    <x v="1"/>
    <s v="Jharkhand"/>
    <s v="Ranchi"/>
    <x v="1"/>
    <x v="10"/>
    <s v="Elite Chairs 314"/>
    <x v="0"/>
    <n v="3"/>
    <n v="3148.09"/>
    <n v="0.15"/>
    <s v="OK"/>
    <n v="8027.63"/>
    <n v="5496.09"/>
    <n v="2531.54"/>
    <x v="0"/>
    <x v="0"/>
    <s v="OK"/>
    <n v="0.15"/>
    <n v="8027.63"/>
    <n v="2531.54"/>
    <n v="0.31540000000000001"/>
    <x v="8"/>
    <x v="0"/>
    <s v="CLEAN"/>
  </r>
  <r>
    <x v="303"/>
    <d v="2024-10-12T00:00:00"/>
    <d v="2024-10-17T00:00:00"/>
    <n v="5"/>
    <s v="OK"/>
    <s v="CUST-2126"/>
    <s v="Arjun Bose"/>
    <x v="0"/>
    <x v="4"/>
    <s v="Jharkhand"/>
    <s v="Ranchi"/>
    <x v="1"/>
    <x v="3"/>
    <s v="Prime Furnishings 892"/>
    <x v="3"/>
    <n v="4"/>
    <n v="1071.22"/>
    <n v="0.05"/>
    <s v="OK"/>
    <n v="4070.64"/>
    <n v="2831.62"/>
    <n v="1239.02"/>
    <x v="0"/>
    <x v="0"/>
    <s v="OK"/>
    <n v="0.05"/>
    <n v="4070.64"/>
    <n v="1239.02"/>
    <n v="0.3044"/>
    <x v="9"/>
    <x v="0"/>
    <s v="WARNING"/>
  </r>
  <r>
    <x v="304"/>
    <d v="2024-06-23T00:00:00"/>
    <d v="2024-06-29T00:00:00"/>
    <n v="6"/>
    <s v="OK"/>
    <s v="CUST-1992"/>
    <s v="Neha Gupta"/>
    <x v="0"/>
    <x v="0"/>
    <s v="Haryana"/>
    <s v="Gurugram"/>
    <x v="1"/>
    <x v="1"/>
    <s v="Classic Tables 769"/>
    <x v="2"/>
    <n v="1"/>
    <n v="4426.66"/>
    <n v="0"/>
    <s v="OK"/>
    <n v="4426.66"/>
    <n v="3035.2"/>
    <n v="1816.23"/>
    <x v="0"/>
    <x v="1"/>
    <s v="OK"/>
    <n v="0"/>
    <n v="4426.66"/>
    <n v="1391.46"/>
    <n v="0.31430000000000002"/>
    <x v="2"/>
    <x v="0"/>
    <s v="CLEAN"/>
  </r>
  <r>
    <x v="305"/>
    <d v="2024-05-08T00:00:00"/>
    <d v="2024-05-14T00:00:00"/>
    <n v="6"/>
    <s v="OK"/>
    <s v="CUST-8848"/>
    <s v="Vikram Iyer"/>
    <x v="3"/>
    <x v="0"/>
    <s v="Haryana"/>
    <s v="Gurugram"/>
    <x v="2"/>
    <x v="8"/>
    <s v="Prime Phones 503"/>
    <x v="2"/>
    <n v="9"/>
    <n v="3769.46"/>
    <n v="0.05"/>
    <s v="OK"/>
    <n v="32228.880000000001"/>
    <n v="24971.360000000001"/>
    <n v="7257.52"/>
    <x v="0"/>
    <x v="2"/>
    <s v="OK"/>
    <n v="0.05"/>
    <n v="32228.880000000001"/>
    <n v="7257.52"/>
    <n v="0.22520000000000001"/>
    <x v="4"/>
    <x v="0"/>
    <s v="CLEAN"/>
  </r>
  <r>
    <x v="306"/>
    <d v="2024-01-16T00:00:00"/>
    <d v="2024-01-22T00:00:00"/>
    <n v="6"/>
    <s v="OK"/>
    <s v="CUST-9333"/>
    <s v="Arjun Bose"/>
    <x v="0"/>
    <x v="3"/>
    <s v="Goa"/>
    <s v="Panaji"/>
    <x v="0"/>
    <x v="7"/>
    <s v="Smart Storage 767"/>
    <x v="3"/>
    <n v="4"/>
    <n v="282.52999999999997"/>
    <n v="0"/>
    <s v="OK"/>
    <n v="1130.1199999999999"/>
    <n v="848.62"/>
    <n v="281.5"/>
    <x v="0"/>
    <x v="2"/>
    <s v="OK"/>
    <n v="0"/>
    <n v="1130.1199999999999"/>
    <n v="281.5"/>
    <n v="0.24909999999999999"/>
    <x v="6"/>
    <x v="0"/>
    <s v="CLEAN"/>
  </r>
  <r>
    <x v="307"/>
    <d v="2024-05-10T00:00:00"/>
    <d v="2024-05-16T00:00:00"/>
    <n v="6"/>
    <s v="OK"/>
    <s v="CUST-8622"/>
    <s v="Karan Malhotra"/>
    <x v="0"/>
    <x v="0"/>
    <s v="Punjab"/>
    <s v="Ludhiana"/>
    <x v="0"/>
    <x v="11"/>
    <s v="Elite Binders 143"/>
    <x v="1"/>
    <n v="7"/>
    <n v="121.54"/>
    <n v="0.2"/>
    <s v="OK"/>
    <n v="680.62"/>
    <n v="463.49"/>
    <n v="217.13"/>
    <x v="3"/>
    <x v="1"/>
    <s v="OK"/>
    <n v="0.2"/>
    <n v="680.62"/>
    <n v="217.13"/>
    <n v="0.31900000000000001"/>
    <x v="4"/>
    <x v="0"/>
    <s v="INVALID"/>
  </r>
  <r>
    <x v="308"/>
    <d v="2024-05-06T00:00:00"/>
    <d v="2024-12-05T00:00:00"/>
    <n v="213"/>
    <s v="OK"/>
    <s v="CUST-8776"/>
    <s v="Arjun Bose"/>
    <x v="2"/>
    <x v="3"/>
    <s v="Goa"/>
    <s v="Panaji"/>
    <x v="1"/>
    <x v="1"/>
    <s v="Classic Tables 560"/>
    <x v="3"/>
    <n v="9"/>
    <n v="790.97"/>
    <n v="0.2"/>
    <s v="OK"/>
    <n v="5694.98"/>
    <n v="4618.33"/>
    <n v="1076.6500000000001"/>
    <x v="1"/>
    <x v="2"/>
    <s v="OK"/>
    <n v="0.2"/>
    <n v="5694.98"/>
    <n v="1076.6500000000001"/>
    <n v="0.18909999999999999"/>
    <x v="4"/>
    <x v="0"/>
    <s v="CLEAN"/>
  </r>
  <r>
    <x v="309"/>
    <d v="2024-11-10T00:00:00"/>
    <d v="2024-11-14T00:00:00"/>
    <n v="4"/>
    <s v="OK"/>
    <s v="CUST-9100"/>
    <s v="Sneha Kapoor"/>
    <x v="2"/>
    <x v="2"/>
    <s v="Andhra Pradesh"/>
    <s v="Vijayawada"/>
    <x v="1"/>
    <x v="1"/>
    <s v="Basic Tables 759"/>
    <x v="2"/>
    <n v="2"/>
    <n v="921.34"/>
    <n v="0.2"/>
    <s v="OK"/>
    <n v="1474.14"/>
    <n v="968.46"/>
    <n v="505.68"/>
    <x v="0"/>
    <x v="0"/>
    <s v="OK"/>
    <n v="0.2"/>
    <n v="1474.14"/>
    <n v="505.68"/>
    <n v="0.34300000000000003"/>
    <x v="3"/>
    <x v="0"/>
    <s v="CLEAN"/>
  </r>
  <r>
    <x v="310"/>
    <d v="2024-08-11T00:00:00"/>
    <d v="2024-08-19T00:00:00"/>
    <n v="8"/>
    <s v="OK"/>
    <s v="CUST-5246"/>
    <s v="Sneha Kapoor"/>
    <x v="1"/>
    <x v="3"/>
    <s v="Maharashtra"/>
    <s v="Mumbai"/>
    <x v="0"/>
    <x v="0"/>
    <s v="Smart Paper 807"/>
    <x v="1"/>
    <n v="2"/>
    <n v="2617.89"/>
    <n v="0.1"/>
    <s v="OK"/>
    <n v="4712.2"/>
    <n v="3851.91"/>
    <n v="860.29"/>
    <x v="3"/>
    <x v="1"/>
    <s v="OK"/>
    <n v="0.1"/>
    <n v="4712.2"/>
    <n v="860.29"/>
    <n v="0.18260000000000001"/>
    <x v="1"/>
    <x v="0"/>
    <s v="INVALID"/>
  </r>
  <r>
    <x v="311"/>
    <d v="2024-02-06T00:00:00"/>
    <d v="2024-10-02T00:00:00"/>
    <n v="239"/>
    <s v="OK"/>
    <s v="CUST-3128"/>
    <s v="Arjun Bose"/>
    <x v="3"/>
    <x v="0"/>
    <s v="Uttar Pradesh"/>
    <s v="Noida"/>
    <x v="1"/>
    <x v="3"/>
    <s v="Pro Furnishings 108"/>
    <x v="1"/>
    <n v="1"/>
    <n v="1374.06"/>
    <n v="0.05"/>
    <s v="OK"/>
    <n v="1305.3599999999999"/>
    <n v="731.89"/>
    <n v="573.47"/>
    <x v="0"/>
    <x v="0"/>
    <s v="OK"/>
    <n v="0.05"/>
    <n v="1305.3599999999999"/>
    <n v="573.47"/>
    <n v="0.43930000000000002"/>
    <x v="8"/>
    <x v="0"/>
    <s v="CLEAN"/>
  </r>
  <r>
    <x v="312"/>
    <d v="2024-01-21T00:00:00"/>
    <d v="2024-01-24T00:00:00"/>
    <n v="3"/>
    <s v="OK"/>
    <s v="CUST-4604"/>
    <s v="Kabir Singh"/>
    <x v="2"/>
    <x v="0"/>
    <s v="Punjab"/>
    <s v="Ludhiana"/>
    <x v="2"/>
    <x v="12"/>
    <s v="Classic Machines 522"/>
    <x v="1"/>
    <n v="1"/>
    <n v="3806.3"/>
    <n v="0.25"/>
    <s v="OK"/>
    <n v="2854.73"/>
    <n v="1968.12"/>
    <n v="886.61"/>
    <x v="0"/>
    <x v="0"/>
    <s v="OK"/>
    <n v="0.25"/>
    <n v="2854.73"/>
    <n v="886.61"/>
    <n v="0.31059999999999999"/>
    <x v="6"/>
    <x v="0"/>
    <s v="CLEAN"/>
  </r>
  <r>
    <x v="313"/>
    <d v="2024-01-02T00:00:00"/>
    <d v="2024-09-01T00:00:00"/>
    <n v="243"/>
    <s v="OK"/>
    <s v="CUST-8633"/>
    <s v="Diya Patel"/>
    <x v="2"/>
    <x v="0"/>
    <s v="Delhi"/>
    <s v="New Delhi"/>
    <x v="2"/>
    <x v="8"/>
    <s v="Eco Phones 368"/>
    <x v="3"/>
    <n v="3"/>
    <n v="739.56"/>
    <n v="0.2"/>
    <s v="OK"/>
    <n v="1774.94"/>
    <n v="1007.4"/>
    <n v="767.54"/>
    <x v="0"/>
    <x v="0"/>
    <s v="OK"/>
    <n v="0.2"/>
    <n v="1774.94"/>
    <n v="767.54"/>
    <n v="0.43240000000000001"/>
    <x v="6"/>
    <x v="0"/>
    <s v="CLEAN"/>
  </r>
  <r>
    <x v="314"/>
    <d v="2024-02-20T00:00:00"/>
    <d v="2024-02-25T00:00:00"/>
    <n v="5"/>
    <s v="OK"/>
    <s v="CUST-9139"/>
    <s v="Diya Patel"/>
    <x v="3"/>
    <x v="0"/>
    <s v="Punjab"/>
    <s v="Ludhiana"/>
    <x v="2"/>
    <x v="12"/>
    <s v="Smart Machines 566"/>
    <x v="3"/>
    <n v="4"/>
    <n v="1355.8"/>
    <n v="0"/>
    <s v="OK"/>
    <n v="5423.2"/>
    <n v="4072.44"/>
    <n v="1350.76"/>
    <x v="0"/>
    <x v="0"/>
    <s v="OK"/>
    <n v="0"/>
    <n v="5423.2"/>
    <n v="1350.76"/>
    <n v="0.24909999999999999"/>
    <x v="8"/>
    <x v="0"/>
    <s v="CLEAN"/>
  </r>
  <r>
    <x v="315"/>
    <d v="2024-02-17T00:00:00"/>
    <d v="2024-02-23T00:00:00"/>
    <n v="6"/>
    <s v="OK"/>
    <s v="CUST-2228"/>
    <s v="Rohan Mehta"/>
    <x v="3"/>
    <x v="4"/>
    <s v="Bihar"/>
    <s v="Patna"/>
    <x v="0"/>
    <x v="11"/>
    <s v="Smart Binders 417"/>
    <x v="3"/>
    <n v="9"/>
    <n v="2614.46"/>
    <n v="0"/>
    <s v="OK"/>
    <n v="23530.14"/>
    <n v="19537.79"/>
    <n v="3992.35"/>
    <x v="2"/>
    <x v="1"/>
    <s v="OK"/>
    <n v="0"/>
    <n v="23530.14"/>
    <n v="3992.35"/>
    <n v="0.16969999999999999"/>
    <x v="8"/>
    <x v="0"/>
    <s v="WARNING"/>
  </r>
  <r>
    <x v="316"/>
    <d v="2024-02-21T00:00:00"/>
    <d v="2024-02-23T00:00:00"/>
    <n v="2"/>
    <s v="OK"/>
    <s v="CUST-4900"/>
    <s v="Neha Gupta"/>
    <x v="1"/>
    <x v="3"/>
    <s v="Gujarat"/>
    <s v="Ahmedabad"/>
    <x v="2"/>
    <x v="6"/>
    <s v="Elite Copiers 682"/>
    <x v="2"/>
    <n v="6"/>
    <n v="2633.65"/>
    <n v="0.05"/>
    <s v="OK"/>
    <n v="15011.81"/>
    <n v="9660.36"/>
    <n v="5351.45"/>
    <x v="0"/>
    <x v="0"/>
    <s v="OK"/>
    <n v="0.05"/>
    <n v="15011.81"/>
    <n v="5351.45"/>
    <n v="0.35649999999999998"/>
    <x v="8"/>
    <x v="0"/>
    <s v="CLEAN"/>
  </r>
  <r>
    <x v="317"/>
    <d v="2024-06-19T00:00:00"/>
    <d v="2024-06-24T00:00:00"/>
    <n v="5"/>
    <s v="OK"/>
    <s v="CUST-9617"/>
    <s v="Aarav Sharma"/>
    <x v="1"/>
    <x v="2"/>
    <s v="Tamil Nadu"/>
    <s v="Chennai"/>
    <x v="0"/>
    <x v="7"/>
    <s v="Pro Storage 482"/>
    <x v="1"/>
    <n v="1"/>
    <n v="3202.41"/>
    <n v="0"/>
    <s v="OK"/>
    <n v="3202.41"/>
    <n v="2608.44"/>
    <n v="593.97"/>
    <x v="0"/>
    <x v="0"/>
    <s v="OK"/>
    <n v="0"/>
    <n v="3202.41"/>
    <n v="593.97"/>
    <n v="0.1855"/>
    <x v="2"/>
    <x v="0"/>
    <s v="CLEAN"/>
  </r>
  <r>
    <x v="318"/>
    <d v="2024-10-15T00:00:00"/>
    <d v="2024-10-20T00:00:00"/>
    <n v="5"/>
    <s v="OK"/>
    <s v="CUST-2088"/>
    <s v="Ananya Rao"/>
    <x v="0"/>
    <x v="1"/>
    <s v="Odisha"/>
    <s v="Bhubaneswar"/>
    <x v="0"/>
    <x v="2"/>
    <s v="Basic Art 174"/>
    <x v="2"/>
    <n v="5"/>
    <n v="671.24"/>
    <n v="0"/>
    <s v="OK"/>
    <n v="3356.2"/>
    <n v="2205.7199999999998"/>
    <n v="1150.48"/>
    <x v="1"/>
    <x v="1"/>
    <s v="OK"/>
    <n v="0"/>
    <n v="3356.2"/>
    <n v="1150.48"/>
    <n v="0.34279999999999999"/>
    <x v="9"/>
    <x v="0"/>
    <s v="CLEAN"/>
  </r>
  <r>
    <x v="319"/>
    <d v="2024-02-28T00:00:00"/>
    <d v="2024-02-28T00:00:00"/>
    <n v="0"/>
    <s v="OK"/>
    <s v="CUST-1686"/>
    <s v="Rohan Mehta"/>
    <x v="1"/>
    <x v="1"/>
    <s v="West Bengal"/>
    <s v="Kolkata"/>
    <x v="0"/>
    <x v="7"/>
    <s v="Classic Storage 451"/>
    <x v="2"/>
    <n v="1"/>
    <n v="2626.84"/>
    <n v="0.2"/>
    <s v="OK"/>
    <n v="2101.4699999999998"/>
    <n v="1217.83"/>
    <n v="883.64"/>
    <x v="3"/>
    <x v="1"/>
    <s v="OK"/>
    <n v="0.2"/>
    <n v="2101.4699999999998"/>
    <n v="883.64"/>
    <n v="0.42049999999999998"/>
    <x v="8"/>
    <x v="0"/>
    <s v="INVALID"/>
  </r>
  <r>
    <x v="320"/>
    <d v="2024-08-04T00:00:00"/>
    <d v="2024-10-08T00:00:00"/>
    <n v="65"/>
    <s v="OK"/>
    <s v="CUST-4894"/>
    <s v="Vikram Iyer"/>
    <x v="0"/>
    <x v="1"/>
    <s v="Bihar"/>
    <s v="Patna"/>
    <x v="0"/>
    <x v="2"/>
    <s v="Pro Art 172"/>
    <x v="1"/>
    <n v="1"/>
    <n v="984.93"/>
    <n v="0.15"/>
    <s v="OK"/>
    <n v="837.19"/>
    <n v="583.79"/>
    <n v="253.4"/>
    <x v="1"/>
    <x v="1"/>
    <s v="OK"/>
    <n v="0.15"/>
    <n v="837.19"/>
    <n v="253.4"/>
    <n v="0.30270000000000002"/>
    <x v="1"/>
    <x v="0"/>
    <s v="CLEAN"/>
  </r>
  <r>
    <x v="321"/>
    <d v="2024-12-06T00:00:00"/>
    <d v="2024-12-12T00:00:00"/>
    <n v="6"/>
    <s v="OK"/>
    <s v="CUST-7846"/>
    <s v="Rohan Mehta"/>
    <x v="2"/>
    <x v="0"/>
    <s v="Uttar Pradesh"/>
    <s v="Noida"/>
    <x v="2"/>
    <x v="8"/>
    <s v="Max Phones 318"/>
    <x v="2"/>
    <n v="3"/>
    <n v="524.75"/>
    <n v="0"/>
    <s v="OK"/>
    <n v="1574.25"/>
    <n v="1326.12"/>
    <n v="248.13"/>
    <x v="0"/>
    <x v="0"/>
    <s v="OK"/>
    <n v="0"/>
    <n v="1574.25"/>
    <n v="248.13"/>
    <n v="0.15759999999999999"/>
    <x v="5"/>
    <x v="0"/>
    <s v="CLEAN"/>
  </r>
  <r>
    <x v="322"/>
    <d v="2024-05-29T00:00:00"/>
    <d v="2024-05-29T00:00:00"/>
    <n v="0"/>
    <s v="OK"/>
    <s v="CUST-3433"/>
    <s v="Aarav Sharma"/>
    <x v="3"/>
    <x v="0"/>
    <s v="Delhi"/>
    <s v="New Delhi"/>
    <x v="1"/>
    <x v="10"/>
    <s v="Elite Chairs 372"/>
    <x v="1"/>
    <n v="6"/>
    <n v="3430.35"/>
    <n v="0"/>
    <s v="OK"/>
    <n v="20582.099999999999"/>
    <n v="15897.65"/>
    <n v="4684.45"/>
    <x v="1"/>
    <x v="2"/>
    <s v="OK"/>
    <n v="0"/>
    <n v="20582.099999999999"/>
    <n v="4684.45"/>
    <n v="0.2276"/>
    <x v="4"/>
    <x v="0"/>
    <s v="CLEAN"/>
  </r>
  <r>
    <x v="323"/>
    <d v="2024-02-22T00:00:00"/>
    <d v="2024-02-24T00:00:00"/>
    <n v="2"/>
    <s v="OK"/>
    <s v="CUST-2423"/>
    <s v="Sneha Kapoor"/>
    <x v="0"/>
    <x v="2"/>
    <s v="Karnataka"/>
    <s v="Bengaluru"/>
    <x v="2"/>
    <x v="6"/>
    <s v="Eco Copiers 324"/>
    <x v="2"/>
    <n v="3"/>
    <n v="3545.08"/>
    <n v="0"/>
    <s v="OK"/>
    <n v="10635.24"/>
    <n v="6031.88"/>
    <n v="4603.3599999999997"/>
    <x v="3"/>
    <x v="1"/>
    <s v="OK"/>
    <n v="0"/>
    <n v="10635.24"/>
    <n v="4603.3599999999997"/>
    <n v="0.43280000000000002"/>
    <x v="8"/>
    <x v="0"/>
    <s v="INVALID"/>
  </r>
  <r>
    <x v="324"/>
    <d v="2024-04-03T00:00:00"/>
    <d v="2024-03-09T00:00:00"/>
    <n v="-25"/>
    <s v="INVALID"/>
    <s v="CUST-3559"/>
    <s v="Mira Das"/>
    <x v="0"/>
    <x v="1"/>
    <s v="West Bengal"/>
    <s v="Kolkata"/>
    <x v="2"/>
    <x v="4"/>
    <s v="Classic Accessories 131"/>
    <x v="1"/>
    <n v="8"/>
    <n v="4401.41"/>
    <n v="0.15"/>
    <s v="OK"/>
    <n v="29929.59"/>
    <n v="22436.03"/>
    <n v="7493.56"/>
    <x v="0"/>
    <x v="0"/>
    <s v="OK"/>
    <n v="0.15"/>
    <n v="29929.59"/>
    <n v="7493.56"/>
    <n v="0.25040000000000001"/>
    <x v="10"/>
    <x v="0"/>
    <s v="INVALID"/>
  </r>
  <r>
    <x v="325"/>
    <d v="2024-09-19T00:00:00"/>
    <d v="2024-09-21T00:00:00"/>
    <n v="2"/>
    <s v="OK"/>
    <s v="CUST-6850"/>
    <s v="Karan Malhotra"/>
    <x v="1"/>
    <x v="1"/>
    <s v="West Bengal"/>
    <s v="Kolkata"/>
    <x v="1"/>
    <x v="10"/>
    <s v="Basic Chairs 932"/>
    <x v="2"/>
    <n v="3"/>
    <n v="3981.76"/>
    <n v="0"/>
    <s v="OK"/>
    <n v="11945.28"/>
    <n v="9700.31"/>
    <n v="2244.9699999999998"/>
    <x v="0"/>
    <x v="0"/>
    <s v="OK"/>
    <n v="0"/>
    <n v="11945.28"/>
    <n v="2244.9699999999998"/>
    <n v="0.18790000000000001"/>
    <x v="11"/>
    <x v="0"/>
    <s v="CLEAN"/>
  </r>
  <r>
    <x v="326"/>
    <d v="2024-04-10T00:00:00"/>
    <d v="2024-04-16T00:00:00"/>
    <n v="6"/>
    <s v="OK"/>
    <s v="CUST-2593"/>
    <s v="Aditi Sen"/>
    <x v="0"/>
    <x v="2"/>
    <s v="Kerala"/>
    <s v="Kochi"/>
    <x v="1"/>
    <x v="10"/>
    <s v="Elite Chairs 700"/>
    <x v="0"/>
    <n v="9"/>
    <n v="2723.26"/>
    <n v="0.25"/>
    <s v="OK"/>
    <n v="18382.009999999998"/>
    <n v="13108.2"/>
    <n v="5273.81"/>
    <x v="0"/>
    <x v="0"/>
    <s v="OK"/>
    <n v="0.25"/>
    <n v="18382.009999999998"/>
    <n v="5273.81"/>
    <n v="0.28689999999999999"/>
    <x v="10"/>
    <x v="0"/>
    <s v="CLEAN"/>
  </r>
  <r>
    <x v="327"/>
    <d v="2024-08-17T00:00:00"/>
    <d v="2024-08-24T00:00:00"/>
    <n v="7"/>
    <s v="OK"/>
    <s v="CUST-8498"/>
    <s v="Ananya Rao"/>
    <x v="2"/>
    <x v="1"/>
    <s v="West Bengal"/>
    <s v="Kolkata"/>
    <x v="2"/>
    <x v="6"/>
    <s v="Eco Copiers 268"/>
    <x v="1"/>
    <n v="3"/>
    <n v="1490.69"/>
    <n v="0.25"/>
    <s v="OK"/>
    <n v="3354.05"/>
    <n v="2672.67"/>
    <n v="681.38"/>
    <x v="0"/>
    <x v="0"/>
    <s v="OK"/>
    <n v="0.25"/>
    <n v="3354.05"/>
    <n v="681.38"/>
    <n v="0.20319999999999999"/>
    <x v="1"/>
    <x v="0"/>
    <s v="CLEAN"/>
  </r>
  <r>
    <x v="328"/>
    <d v="2024-08-19T00:00:00"/>
    <d v="2024-08-21T00:00:00"/>
    <n v="2"/>
    <s v="OK"/>
    <s v="CUST-2612"/>
    <s v="Arjun Bose"/>
    <x v="0"/>
    <x v="0"/>
    <s v="Punjab"/>
    <s v="Ludhiana"/>
    <x v="2"/>
    <x v="8"/>
    <s v="Pro Phones 588"/>
    <x v="2"/>
    <n v="3"/>
    <n v="1103.54"/>
    <n v="0.25"/>
    <s v="OK"/>
    <n v="2482.9699999999998"/>
    <n v="1621.72"/>
    <n v="861.25"/>
    <x v="0"/>
    <x v="0"/>
    <s v="OK"/>
    <n v="0.25"/>
    <n v="2482.9699999999998"/>
    <n v="861.25"/>
    <n v="0.34689999999999999"/>
    <x v="1"/>
    <x v="0"/>
    <s v="CLEAN"/>
  </r>
  <r>
    <x v="329"/>
    <d v="2024-01-26T00:00:00"/>
    <d v="2024-01-31T00:00:00"/>
    <n v="5"/>
    <s v="OK"/>
    <s v="CUST-8289"/>
    <s v="Ananya Rao"/>
    <x v="3"/>
    <x v="1"/>
    <s v="West Bengal"/>
    <s v="Kolkata"/>
    <x v="0"/>
    <x v="0"/>
    <s v="Basic Paper 452"/>
    <x v="0"/>
    <n v="5"/>
    <n v="1615.03"/>
    <n v="0.2"/>
    <s v="OK"/>
    <n v="6460.12"/>
    <n v="3604.03"/>
    <n v="2856.09"/>
    <x v="0"/>
    <x v="0"/>
    <s v="OK"/>
    <n v="0.2"/>
    <n v="6460.12"/>
    <n v="2856.09"/>
    <n v="0.44209999999999999"/>
    <x v="6"/>
    <x v="0"/>
    <s v="CLEAN"/>
  </r>
  <r>
    <x v="330"/>
    <d v="2024-10-23T00:00:00"/>
    <d v="2024-10-30T00:00:00"/>
    <n v="7"/>
    <s v="OK"/>
    <s v="CUST-5668"/>
    <s v="Aarav Sharma"/>
    <x v="0"/>
    <x v="1"/>
    <s v="Jharkhand"/>
    <s v="Ranchi"/>
    <x v="2"/>
    <x v="6"/>
    <s v="Max Copiers 477"/>
    <x v="0"/>
    <n v="9"/>
    <n v="3423.82"/>
    <n v="0.15"/>
    <s v="OK"/>
    <n v="26192.22"/>
    <n v="20795.55"/>
    <n v="5396.67"/>
    <x v="0"/>
    <x v="0"/>
    <s v="OK"/>
    <n v="0.15"/>
    <n v="26192.22"/>
    <n v="5396.67"/>
    <n v="0.20599999999999999"/>
    <x v="9"/>
    <x v="0"/>
    <s v="CLEAN"/>
  </r>
  <r>
    <x v="331"/>
    <d v="2024-06-21T00:00:00"/>
    <d v="2024-06-23T00:00:00"/>
    <n v="2"/>
    <s v="OK"/>
    <s v="CUST-7690"/>
    <s v="Karan Malhotra"/>
    <x v="3"/>
    <x v="3"/>
    <s v="Goa"/>
    <s v="Panaji"/>
    <x v="1"/>
    <x v="3"/>
    <s v="Elite Furnishings 706"/>
    <x v="0"/>
    <n v="9"/>
    <n v="2153.75"/>
    <n v="0"/>
    <s v="OK"/>
    <n v="19383.75"/>
    <n v="11667.43"/>
    <n v="7716.32"/>
    <x v="0"/>
    <x v="0"/>
    <s v="OK"/>
    <n v="0"/>
    <n v="19383.75"/>
    <n v="7716.32"/>
    <n v="0.39810000000000001"/>
    <x v="2"/>
    <x v="0"/>
    <s v="CLEAN"/>
  </r>
  <r>
    <x v="332"/>
    <d v="2024-05-20T00:00:00"/>
    <d v="2024-05-20T00:00:00"/>
    <n v="0"/>
    <s v="OK"/>
    <s v="CUST-2779"/>
    <s v="Karan Malhotra"/>
    <x v="3"/>
    <x v="3"/>
    <s v="Madhya Pradesh"/>
    <s v="Indore"/>
    <x v="1"/>
    <x v="10"/>
    <s v="Pro Chairs 712"/>
    <x v="3"/>
    <n v="1"/>
    <n v="3032.95"/>
    <n v="0.1"/>
    <s v="OK"/>
    <n v="2729.65"/>
    <n v="1715.36"/>
    <n v="1014.29"/>
    <x v="0"/>
    <x v="0"/>
    <s v="OK"/>
    <n v="0.1"/>
    <n v="2729.66"/>
    <n v="1014.3"/>
    <n v="0.37159999999999999"/>
    <x v="4"/>
    <x v="0"/>
    <s v="CLEAN"/>
  </r>
  <r>
    <x v="333"/>
    <d v="2024-10-05T00:00:00"/>
    <d v="2024-10-10T00:00:00"/>
    <n v="5"/>
    <s v="OK"/>
    <s v="CUST-9311"/>
    <s v="Diya Patel"/>
    <x v="3"/>
    <x v="3"/>
    <s v="Gujarat"/>
    <s v="Ahmedabad"/>
    <x v="2"/>
    <x v="12"/>
    <s v="Basic Machines 413"/>
    <x v="1"/>
    <n v="9"/>
    <n v="3361.3"/>
    <n v="0.25"/>
    <s v="OK"/>
    <n v="22688.78"/>
    <n v="14672.41"/>
    <n v="8016.37"/>
    <x v="0"/>
    <x v="0"/>
    <s v="OK"/>
    <n v="0.25"/>
    <n v="22688.78"/>
    <n v="8016.37"/>
    <n v="0.3533"/>
    <x v="9"/>
    <x v="0"/>
    <s v="CLEAN"/>
  </r>
  <r>
    <x v="334"/>
    <d v="2024-11-02T00:00:00"/>
    <d v="2024-02-19T00:00:00"/>
    <n v="-257"/>
    <s v="INVALID"/>
    <s v="CUST-8154"/>
    <s v="Ananya Rao"/>
    <x v="3"/>
    <x v="2"/>
    <s v="Telangana"/>
    <s v="Hyderabad"/>
    <x v="1"/>
    <x v="10"/>
    <s v="Elite Chairs 140"/>
    <x v="3"/>
    <n v="8"/>
    <n v="3398.32"/>
    <n v="0.25"/>
    <s v="OK"/>
    <n v="20389.919999999998"/>
    <n v="16661.080000000002"/>
    <n v="3728.84"/>
    <x v="2"/>
    <x v="2"/>
    <s v="OK"/>
    <n v="0.25"/>
    <n v="20389.919999999998"/>
    <n v="3728.84"/>
    <n v="0.18290000000000001"/>
    <x v="3"/>
    <x v="0"/>
    <s v="INVALID"/>
  </r>
  <r>
    <x v="335"/>
    <d v="2024-10-04T00:00:00"/>
    <d v="2024-10-07T00:00:00"/>
    <n v="3"/>
    <s v="OK"/>
    <s v="CUST-4462"/>
    <s v="Rahul Verma"/>
    <x v="2"/>
    <x v="2"/>
    <s v="Kerala"/>
    <s v="Kochi"/>
    <x v="0"/>
    <x v="2"/>
    <s v="Basic Art 771"/>
    <x v="0"/>
    <n v="2"/>
    <n v="3144.38"/>
    <n v="0.1"/>
    <s v="OK"/>
    <n v="5904.57"/>
    <n v="4337.79"/>
    <n v="1322.09"/>
    <x v="0"/>
    <x v="0"/>
    <s v="OK"/>
    <n v="0.1"/>
    <n v="5659.88"/>
    <n v="1322.09"/>
    <n v="0.2336"/>
    <x v="9"/>
    <x v="0"/>
    <s v="CLEAN"/>
  </r>
  <r>
    <x v="336"/>
    <d v="2024-08-16T00:00:00"/>
    <d v="2024-08-19T00:00:00"/>
    <n v="3"/>
    <s v="OK"/>
    <s v="CUST-4660"/>
    <s v="Kabir Singh"/>
    <x v="0"/>
    <x v="2"/>
    <s v="Telangana"/>
    <s v="Hyderabad"/>
    <x v="0"/>
    <x v="0"/>
    <s v="Prime Paper 664"/>
    <x v="3"/>
    <n v="6"/>
    <n v="3925.55"/>
    <n v="0.2"/>
    <s v="OK"/>
    <n v="18842.64"/>
    <n v="11840.58"/>
    <n v="7002.06"/>
    <x v="0"/>
    <x v="0"/>
    <s v="OK"/>
    <n v="0.2"/>
    <n v="18842.64"/>
    <n v="7002.06"/>
    <n v="0.37159999999999999"/>
    <x v="1"/>
    <x v="0"/>
    <s v="CLEAN"/>
  </r>
  <r>
    <x v="337"/>
    <d v="2024-09-29T00:00:00"/>
    <d v="2024-09-30T00:00:00"/>
    <n v="1"/>
    <s v="OK"/>
    <s v="CUST-9002"/>
    <s v="Mira Das"/>
    <x v="3"/>
    <x v="2"/>
    <s v="Telangana"/>
    <s v="Hyderabad"/>
    <x v="2"/>
    <x v="8"/>
    <s v="Pro Phones 226"/>
    <x v="3"/>
    <n v="9"/>
    <n v="2741.91"/>
    <n v="0"/>
    <s v="OK"/>
    <n v="24677.19"/>
    <n v="20350.849999999999"/>
    <n v="4326.34"/>
    <x v="0"/>
    <x v="0"/>
    <s v="OK"/>
    <n v="0"/>
    <n v="24677.19"/>
    <n v="4326.34"/>
    <n v="0.17530000000000001"/>
    <x v="11"/>
    <x v="0"/>
    <s v="CLEAN"/>
  </r>
  <r>
    <x v="338"/>
    <d v="2024-07-23T00:00:00"/>
    <d v="2024-07-30T00:00:00"/>
    <n v="7"/>
    <s v="OK"/>
    <s v="CUST-1057"/>
    <s v="Kabir Singh"/>
    <x v="2"/>
    <x v="0"/>
    <s v="Rajasthan"/>
    <s v="Jaipur"/>
    <x v="1"/>
    <x v="1"/>
    <s v="Basic Tables 684"/>
    <x v="1"/>
    <n v="9"/>
    <n v="1870.11"/>
    <n v="0.25"/>
    <s v="OK"/>
    <n v="12623.24"/>
    <n v="10540.8"/>
    <n v="2082.44"/>
    <x v="3"/>
    <x v="2"/>
    <s v="OK"/>
    <n v="0.25"/>
    <n v="12623.24"/>
    <n v="2082.44"/>
    <n v="0.16500000000000001"/>
    <x v="0"/>
    <x v="0"/>
    <s v="INVALID"/>
  </r>
  <r>
    <x v="339"/>
    <d v="2024-11-22T00:00:00"/>
    <d v="2024-11-27T00:00:00"/>
    <n v="5"/>
    <s v="OK"/>
    <s v="CUST-9596"/>
    <s v="Priya Menon"/>
    <x v="2"/>
    <x v="2"/>
    <s v="Tamil Nadu"/>
    <s v="Chennai"/>
    <x v="0"/>
    <x v="11"/>
    <s v="Prime Binders 938"/>
    <x v="2"/>
    <n v="1"/>
    <n v="4251.26"/>
    <n v="0.2"/>
    <s v="OK"/>
    <n v="3401.01"/>
    <n v="2917.54"/>
    <n v="483.47"/>
    <x v="2"/>
    <x v="1"/>
    <s v="OK"/>
    <n v="0.2"/>
    <n v="3401.01"/>
    <n v="483.47"/>
    <n v="0.14219999999999999"/>
    <x v="3"/>
    <x v="0"/>
    <s v="CLEAN"/>
  </r>
  <r>
    <x v="340"/>
    <d v="2024-08-18T00:00:00"/>
    <d v="2024-08-21T00:00:00"/>
    <n v="3"/>
    <s v="OK"/>
    <s v="CUST-6947"/>
    <s v="Vikram Iyer"/>
    <x v="0"/>
    <x v="0"/>
    <s v="Uttar Pradesh"/>
    <s v="Noida"/>
    <x v="2"/>
    <x v="12"/>
    <s v="Classic Machines 337"/>
    <x v="3"/>
    <n v="9"/>
    <n v="734.34"/>
    <n v="0"/>
    <s v="OK"/>
    <n v="6609.06"/>
    <n v="4946.78"/>
    <n v="1662.28"/>
    <x v="0"/>
    <x v="0"/>
    <s v="OK"/>
    <n v="0"/>
    <n v="6609.06"/>
    <n v="1662.28"/>
    <n v="0.2515"/>
    <x v="1"/>
    <x v="0"/>
    <s v="CLEAN"/>
  </r>
  <r>
    <x v="341"/>
    <d v="2024-11-28T00:00:00"/>
    <d v="2024-06-12T00:00:00"/>
    <n v="-169"/>
    <s v="INVALID"/>
    <s v="CUST-7236"/>
    <s v="Aditi Sen"/>
    <x v="0"/>
    <x v="3"/>
    <s v="Maharashtra"/>
    <s v="Mumbai"/>
    <x v="1"/>
    <x v="10"/>
    <s v="Max Chairs 748"/>
    <x v="1"/>
    <n v="5"/>
    <n v="1092.8399999999999"/>
    <n v="0"/>
    <s v="OK"/>
    <n v="5464.2"/>
    <n v="3318.09"/>
    <n v="2146.11"/>
    <x v="0"/>
    <x v="0"/>
    <s v="OK"/>
    <n v="0"/>
    <n v="5464.2"/>
    <n v="2146.11"/>
    <n v="0.39279999999999998"/>
    <x v="3"/>
    <x v="0"/>
    <s v="INVALID"/>
  </r>
  <r>
    <x v="342"/>
    <d v="2024-08-08T00:00:00"/>
    <d v="2024-08-14T00:00:00"/>
    <n v="6"/>
    <s v="OK"/>
    <s v="CUST-6262"/>
    <s v="Vikram Iyer"/>
    <x v="3"/>
    <x v="0"/>
    <s v="Punjab"/>
    <s v="Ludhiana"/>
    <x v="0"/>
    <x v="7"/>
    <s v="Pro Storage 509"/>
    <x v="0"/>
    <n v="8"/>
    <n v="1359.19"/>
    <n v="0.05"/>
    <s v="OK"/>
    <n v="10329.84"/>
    <n v="7512.22"/>
    <n v="2817.62"/>
    <x v="0"/>
    <x v="0"/>
    <s v="OK"/>
    <n v="0.05"/>
    <n v="10329.84"/>
    <n v="2817.62"/>
    <n v="0.27279999999999999"/>
    <x v="1"/>
    <x v="0"/>
    <s v="CLEAN"/>
  </r>
  <r>
    <x v="343"/>
    <d v="2024-01-30T00:00:00"/>
    <d v="2024-02-01T00:00:00"/>
    <n v="2"/>
    <s v="OK"/>
    <s v="CUST-5070"/>
    <s v="Neha Gupta"/>
    <x v="3"/>
    <x v="1"/>
    <s v="Assam"/>
    <s v="Guwahati"/>
    <x v="1"/>
    <x v="10"/>
    <s v="Prime Chairs 765"/>
    <x v="2"/>
    <n v="2"/>
    <n v="4451.03"/>
    <n v="0.05"/>
    <s v="OK"/>
    <n v="8456.9599999999991"/>
    <n v="5462.85"/>
    <n v="2994.11"/>
    <x v="0"/>
    <x v="0"/>
    <s v="OK"/>
    <n v="0.05"/>
    <n v="8456.9599999999991"/>
    <n v="2994.11"/>
    <n v="0.35399999999999998"/>
    <x v="6"/>
    <x v="0"/>
    <s v="CLEAN"/>
  </r>
  <r>
    <x v="344"/>
    <d v="2024-12-15T00:00:00"/>
    <d v="2024-12-21T00:00:00"/>
    <n v="6"/>
    <s v="OK"/>
    <s v="CUST-7946"/>
    <s v="Diya Patel"/>
    <x v="2"/>
    <x v="3"/>
    <s v="Rajasthan"/>
    <s v="Udaipur"/>
    <x v="1"/>
    <x v="10"/>
    <s v="Elite Chairs 358"/>
    <x v="1"/>
    <n v="3"/>
    <n v="527.66999999999996"/>
    <n v="0.2"/>
    <s v="OK"/>
    <n v="1266.4100000000001"/>
    <n v="983.92"/>
    <n v="282.49"/>
    <x v="0"/>
    <x v="0"/>
    <s v="OK"/>
    <n v="0.2"/>
    <n v="1266.4100000000001"/>
    <n v="282.49"/>
    <n v="0.22309999999999999"/>
    <x v="5"/>
    <x v="0"/>
    <s v="CLEAN"/>
  </r>
  <r>
    <x v="345"/>
    <d v="2024-04-09T00:00:00"/>
    <d v="2024-04-10T00:00:00"/>
    <n v="1"/>
    <s v="OK"/>
    <s v="CUST-6075"/>
    <s v="Priya Menon"/>
    <x v="2"/>
    <x v="1"/>
    <s v="Assam"/>
    <s v="Guwahati"/>
    <x v="0"/>
    <x v="0"/>
    <s v="Elite Paper 239"/>
    <x v="3"/>
    <n v="4"/>
    <n v="3047.05"/>
    <n v="0.1"/>
    <s v="OK"/>
    <n v="10969.38"/>
    <n v="9254.4599999999991"/>
    <n v="1714.92"/>
    <x v="0"/>
    <x v="0"/>
    <s v="OK"/>
    <n v="0.1"/>
    <n v="10969.38"/>
    <n v="1714.92"/>
    <n v="0.15629999999999999"/>
    <x v="10"/>
    <x v="0"/>
    <s v="CLEAN"/>
  </r>
  <r>
    <x v="346"/>
    <d v="2024-04-10T00:00:00"/>
    <d v="2024-04-15T00:00:00"/>
    <n v="5"/>
    <s v="OK"/>
    <s v="CUST-6381"/>
    <s v="Aarav Sharma"/>
    <x v="3"/>
    <x v="3"/>
    <s v="Rajasthan"/>
    <s v="Udaipur"/>
    <x v="1"/>
    <x v="10"/>
    <s v="Eco Chairs 452"/>
    <x v="3"/>
    <n v="8"/>
    <n v="4362.4799999999996"/>
    <n v="0.1"/>
    <s v="OK"/>
    <n v="31409.86"/>
    <n v="22523.54"/>
    <n v="8886.32"/>
    <x v="0"/>
    <x v="0"/>
    <s v="OK"/>
    <n v="0.1"/>
    <n v="31409.86"/>
    <n v="8886.32"/>
    <n v="0.28289999999999998"/>
    <x v="10"/>
    <x v="0"/>
    <s v="CLEAN"/>
  </r>
  <r>
    <x v="347"/>
    <d v="2024-05-20T00:00:00"/>
    <d v="2024-05-25T00:00:00"/>
    <n v="5"/>
    <s v="OK"/>
    <s v="CUST-7931"/>
    <s v="Mira Das"/>
    <x v="2"/>
    <x v="2"/>
    <s v="Andhra Pradesh"/>
    <s v="Vijayawada"/>
    <x v="1"/>
    <x v="10"/>
    <s v="Max Chairs 305"/>
    <x v="1"/>
    <n v="7"/>
    <n v="3122.85"/>
    <n v="0.25"/>
    <s v="OK"/>
    <n v="16394.96"/>
    <n v="10404.17"/>
    <n v="5990.79"/>
    <x v="0"/>
    <x v="0"/>
    <s v="OK"/>
    <n v="0.25"/>
    <n v="16394.96"/>
    <n v="5990.79"/>
    <n v="0.3654"/>
    <x v="4"/>
    <x v="0"/>
    <s v="CLEAN"/>
  </r>
  <r>
    <x v="348"/>
    <d v="2024-10-02T00:00:00"/>
    <d v="2024-10-09T00:00:00"/>
    <n v="7"/>
    <s v="OK"/>
    <s v="CUST-7221"/>
    <s v="Ananya Rao"/>
    <x v="0"/>
    <x v="2"/>
    <s v="Tamil Nadu"/>
    <s v="Chennai"/>
    <x v="0"/>
    <x v="0"/>
    <s v="Smart Paper 872"/>
    <x v="3"/>
    <n v="8"/>
    <n v="1910.31"/>
    <n v="0.15"/>
    <s v="OK"/>
    <n v="12990.11"/>
    <n v="10200.799999999999"/>
    <n v="2789.31"/>
    <x v="0"/>
    <x v="0"/>
    <s v="OK"/>
    <n v="0.15"/>
    <n v="12990.11"/>
    <n v="2789.31"/>
    <n v="0.2147"/>
    <x v="9"/>
    <x v="0"/>
    <s v="CLEAN"/>
  </r>
  <r>
    <x v="349"/>
    <d v="2024-05-26T00:00:00"/>
    <d v="2024-05-26T00:00:00"/>
    <n v="0"/>
    <s v="OK"/>
    <s v="CUST-2594"/>
    <s v="Rahul Verma"/>
    <x v="1"/>
    <x v="3"/>
    <s v="Goa"/>
    <s v="Panaji"/>
    <x v="2"/>
    <x v="6"/>
    <s v="Max Copiers 994"/>
    <x v="2"/>
    <n v="2"/>
    <n v="3192.47"/>
    <n v="0.2"/>
    <s v="OK"/>
    <n v="5107.95"/>
    <n v="3133.08"/>
    <n v="1974.87"/>
    <x v="0"/>
    <x v="0"/>
    <s v="OK"/>
    <n v="0.2"/>
    <n v="5107.95"/>
    <n v="1974.87"/>
    <n v="0.3866"/>
    <x v="4"/>
    <x v="0"/>
    <s v="CLEAN"/>
  </r>
  <r>
    <x v="350"/>
    <d v="2024-01-26T00:00:00"/>
    <d v="2024-01-31T00:00:00"/>
    <n v="5"/>
    <s v="OK"/>
    <s v="CUST-2111"/>
    <s v="Karan Malhotra"/>
    <x v="2"/>
    <x v="2"/>
    <s v="Kerala"/>
    <s v="Kochi"/>
    <x v="0"/>
    <x v="7"/>
    <s v="Pro Storage 744"/>
    <x v="0"/>
    <n v="3"/>
    <n v="3224.32"/>
    <n v="0.2"/>
    <s v="OK"/>
    <n v="7738.37"/>
    <n v="4626.8500000000004"/>
    <n v="3111.52"/>
    <x v="3"/>
    <x v="1"/>
    <s v="OK"/>
    <n v="0.2"/>
    <n v="7738.37"/>
    <n v="3111.52"/>
    <n v="0.40210000000000001"/>
    <x v="6"/>
    <x v="0"/>
    <s v="INVALID"/>
  </r>
  <r>
    <x v="351"/>
    <d v="2024-12-27T00:00:00"/>
    <d v="2024-12-31T00:00:00"/>
    <n v="4"/>
    <s v="OK"/>
    <s v="CUST-6829"/>
    <s v="Isha Nair"/>
    <x v="1"/>
    <x v="1"/>
    <s v="Odisha"/>
    <s v="Bhubaneswar"/>
    <x v="1"/>
    <x v="10"/>
    <s v="Elite Chairs 744"/>
    <x v="0"/>
    <n v="1"/>
    <n v="1594.7"/>
    <n v="0.05"/>
    <s v="OK"/>
    <n v="1514.96"/>
    <n v="1046.17"/>
    <n v="468.79"/>
    <x v="0"/>
    <x v="0"/>
    <s v="OK"/>
    <n v="0.05"/>
    <n v="1514.97"/>
    <n v="468.8"/>
    <n v="0.30940000000000001"/>
    <x v="5"/>
    <x v="0"/>
    <s v="CLEAN"/>
  </r>
  <r>
    <x v="352"/>
    <d v="2024-08-29T00:00:00"/>
    <d v="2024-08-31T00:00:00"/>
    <n v="2"/>
    <s v="OK"/>
    <s v="CUST-1940"/>
    <s v="Isha Nair"/>
    <x v="3"/>
    <x v="1"/>
    <s v="Assam"/>
    <s v="Guwahati"/>
    <x v="0"/>
    <x v="11"/>
    <s v="Prime Binders 287"/>
    <x v="0"/>
    <n v="9"/>
    <n v="1275.21"/>
    <n v="0.25"/>
    <s v="OK"/>
    <n v="8607.67"/>
    <n v="5337.64"/>
    <n v="3270.03"/>
    <x v="3"/>
    <x v="1"/>
    <s v="OK"/>
    <n v="0.25"/>
    <n v="8607.67"/>
    <n v="3270.03"/>
    <n v="0.37990000000000002"/>
    <x v="1"/>
    <x v="0"/>
    <s v="INVALID"/>
  </r>
  <r>
    <x v="353"/>
    <d v="2024-05-02T00:00:00"/>
    <d v="2024-02-13T00:00:00"/>
    <n v="-79"/>
    <s v="INVALID"/>
    <s v="CUST-1986"/>
    <s v="Aarav Sharma"/>
    <x v="3"/>
    <x v="0"/>
    <s v="Uttar Pradesh"/>
    <s v="Noida"/>
    <x v="0"/>
    <x v="5"/>
    <s v="Elite Labels 654"/>
    <x v="3"/>
    <n v="8"/>
    <n v="3871.18"/>
    <n v="0.15"/>
    <s v="OK"/>
    <n v="26324.02"/>
    <n v="16277.96"/>
    <n v="10046.06"/>
    <x v="3"/>
    <x v="1"/>
    <s v="OK"/>
    <n v="0.15"/>
    <n v="26324.02"/>
    <n v="10046.06"/>
    <n v="0.38159999999999999"/>
    <x v="4"/>
    <x v="0"/>
    <s v="INVALID"/>
  </r>
  <r>
    <x v="354"/>
    <d v="2024-01-04T00:00:00"/>
    <d v="2024-09-01T00:00:00"/>
    <n v="241"/>
    <s v="OK"/>
    <s v="CUST-2314"/>
    <s v="Kabir Singh"/>
    <x v="0"/>
    <x v="1"/>
    <s v="Bihar"/>
    <s v="Patna"/>
    <x v="1"/>
    <x v="10"/>
    <s v="Basic Chairs 480"/>
    <x v="0"/>
    <n v="6"/>
    <n v="2423.61"/>
    <n v="0.1"/>
    <s v="OK"/>
    <n v="13087.49"/>
    <n v="7608.89"/>
    <n v="5133.22"/>
    <x v="0"/>
    <x v="0"/>
    <s v="OK"/>
    <n v="0.1"/>
    <n v="13087.49"/>
    <n v="5478.6"/>
    <n v="0.41860000000000003"/>
    <x v="6"/>
    <x v="0"/>
    <s v="CLEAN"/>
  </r>
  <r>
    <x v="355"/>
    <d v="2024-09-18T00:00:00"/>
    <d v="2024-09-24T00:00:00"/>
    <n v="6"/>
    <s v="OK"/>
    <s v="CUST-6360"/>
    <s v="Vikram Iyer"/>
    <x v="1"/>
    <x v="1"/>
    <s v="Jharkhand"/>
    <s v="Ranchi"/>
    <x v="2"/>
    <x v="12"/>
    <s v="Elite Machines 955"/>
    <x v="2"/>
    <n v="3"/>
    <n v="729.14"/>
    <n v="0.25"/>
    <s v="OK"/>
    <n v="1640.57"/>
    <n v="1136.98"/>
    <n v="503.59"/>
    <x v="0"/>
    <x v="0"/>
    <s v="OK"/>
    <n v="0.25"/>
    <n v="1640.57"/>
    <n v="503.59"/>
    <n v="0.307"/>
    <x v="11"/>
    <x v="0"/>
    <s v="CLEAN"/>
  </r>
  <r>
    <x v="356"/>
    <d v="2024-04-21T00:00:00"/>
    <d v="2024-04-24T00:00:00"/>
    <n v="3"/>
    <s v="OK"/>
    <s v="CUST-1808"/>
    <s v="Neha Gupta"/>
    <x v="1"/>
    <x v="2"/>
    <s v="Andhra Pradesh"/>
    <s v="Vijayawada"/>
    <x v="0"/>
    <x v="2"/>
    <s v="Prime Art 301"/>
    <x v="1"/>
    <n v="9"/>
    <n v="703.59"/>
    <n v="0.2"/>
    <s v="OK"/>
    <n v="5065.8500000000004"/>
    <n v="3517.23"/>
    <n v="1548.62"/>
    <x v="3"/>
    <x v="1"/>
    <s v="OK"/>
    <n v="0.2"/>
    <n v="5065.8500000000004"/>
    <n v="1548.62"/>
    <n v="0.30570000000000003"/>
    <x v="10"/>
    <x v="0"/>
    <s v="INVALID"/>
  </r>
  <r>
    <x v="357"/>
    <d v="2024-04-13T00:00:00"/>
    <d v="2024-04-21T00:00:00"/>
    <n v="8"/>
    <s v="OK"/>
    <s v="CUST-7744"/>
    <s v="Aarav Sharma"/>
    <x v="3"/>
    <x v="1"/>
    <s v="Bihar"/>
    <s v="Patna"/>
    <x v="2"/>
    <x v="4"/>
    <s v="Basic Accessories 210"/>
    <x v="1"/>
    <n v="7"/>
    <n v="2648.76"/>
    <n v="0.15"/>
    <s v="OK"/>
    <n v="15760.12"/>
    <n v="9931.5300000000007"/>
    <n v="5828.59"/>
    <x v="3"/>
    <x v="1"/>
    <s v="OK"/>
    <n v="0.15"/>
    <n v="15760.12"/>
    <n v="5828.59"/>
    <n v="0.36980000000000002"/>
    <x v="10"/>
    <x v="0"/>
    <s v="INVALID"/>
  </r>
  <r>
    <x v="358"/>
    <d v="2024-07-05T00:00:00"/>
    <d v="2024-05-14T00:00:00"/>
    <n v="-52"/>
    <s v="INVALID"/>
    <s v="CUST-4446"/>
    <s v="Neha Gupta"/>
    <x v="1"/>
    <x v="0"/>
    <s v="Haryana"/>
    <s v="Gurugram"/>
    <x v="2"/>
    <x v="12"/>
    <s v="Pro Machines 589"/>
    <x v="1"/>
    <n v="4"/>
    <n v="2751.1"/>
    <n v="-0.05"/>
    <s v="INVALID-NEGATIVE"/>
    <n v="9903.9599999999991"/>
    <n v="7696.28"/>
    <n v="2207.6799999999998"/>
    <x v="0"/>
    <x v="0"/>
    <s v="OK"/>
    <n v="0"/>
    <n v="11004.4"/>
    <n v="3308.12"/>
    <n v="0.30059999999999998"/>
    <x v="0"/>
    <x v="0"/>
    <s v="INVALID"/>
  </r>
  <r>
    <x v="359"/>
    <d v="2024-05-17T00:00:00"/>
    <d v="2024-05-22T00:00:00"/>
    <n v="5"/>
    <s v="OK"/>
    <s v="CUST-4537"/>
    <s v="Sneha Kapoor"/>
    <x v="0"/>
    <x v="2"/>
    <s v="Andhra Pradesh"/>
    <s v="Vijayawada"/>
    <x v="2"/>
    <x v="12"/>
    <s v="Max Machines 595"/>
    <x v="0"/>
    <n v="7"/>
    <n v="232.5"/>
    <n v="0"/>
    <s v="OK"/>
    <n v="1627.5"/>
    <n v="939.9"/>
    <n v="687.6"/>
    <x v="0"/>
    <x v="0"/>
    <s v="OK"/>
    <n v="0"/>
    <n v="1627.5"/>
    <n v="687.6"/>
    <n v="0.42249999999999999"/>
    <x v="4"/>
    <x v="0"/>
    <s v="CLEAN"/>
  </r>
  <r>
    <x v="360"/>
    <d v="2024-01-14T00:00:00"/>
    <d v="2024-01-18T00:00:00"/>
    <n v="4"/>
    <s v="OK"/>
    <s v="CUST-3181"/>
    <s v="Mira Das"/>
    <x v="3"/>
    <x v="3"/>
    <s v="Rajasthan"/>
    <s v="Udaipur"/>
    <x v="2"/>
    <x v="12"/>
    <s v="Elite Machines 367"/>
    <x v="1"/>
    <n v="6"/>
    <n v="1784.8"/>
    <n v="0.1"/>
    <s v="OK"/>
    <n v="9637.92"/>
    <n v="7329.29"/>
    <n v="2308.63"/>
    <x v="0"/>
    <x v="0"/>
    <s v="OK"/>
    <n v="0.1"/>
    <n v="9637.92"/>
    <n v="2308.63"/>
    <n v="0.23949999999999999"/>
    <x v="6"/>
    <x v="0"/>
    <s v="CLEAN"/>
  </r>
  <r>
    <x v="361"/>
    <d v="2024-05-02T00:00:00"/>
    <d v="2024-05-08T00:00:00"/>
    <n v="6"/>
    <s v="OK"/>
    <s v="CUST-1015"/>
    <s v="Rahul Verma"/>
    <x v="3"/>
    <x v="1"/>
    <s v="Jharkhand"/>
    <s v="Ranchi"/>
    <x v="2"/>
    <x v="6"/>
    <s v="Basic Copiers 787"/>
    <x v="0"/>
    <n v="2"/>
    <n v="3185.01"/>
    <n v="-0.24"/>
    <s v="INVALID-NEGATIVE"/>
    <n v="4777.5200000000004"/>
    <n v="3152.98"/>
    <n v="1624.54"/>
    <x v="0"/>
    <x v="0"/>
    <s v="OK"/>
    <n v="0"/>
    <n v="6370.02"/>
    <n v="3217.04"/>
    <n v="0.505"/>
    <x v="4"/>
    <x v="0"/>
    <s v="INVALID"/>
  </r>
  <r>
    <x v="362"/>
    <d v="2024-12-07T00:00:00"/>
    <d v="2024-12-10T00:00:00"/>
    <n v="3"/>
    <s v="OK"/>
    <s v="CUST-2709"/>
    <s v="Mira Das"/>
    <x v="3"/>
    <x v="2"/>
    <s v="Telangana"/>
    <s v="Hyderabad"/>
    <x v="2"/>
    <x v="4"/>
    <s v="Max Accessories 903"/>
    <x v="3"/>
    <n v="1"/>
    <n v="1908.83"/>
    <n v="0.2"/>
    <s v="OK"/>
    <n v="1527.06"/>
    <n v="1055.8900000000001"/>
    <n v="471.17"/>
    <x v="0"/>
    <x v="0"/>
    <s v="OK"/>
    <n v="0.2"/>
    <n v="1527.06"/>
    <n v="471.17"/>
    <n v="0.3085"/>
    <x v="5"/>
    <x v="0"/>
    <s v="CLEAN"/>
  </r>
  <r>
    <x v="363"/>
    <d v="2024-06-21T00:00:00"/>
    <d v="2024-06-26T00:00:00"/>
    <n v="5"/>
    <s v="OK"/>
    <s v="CUST-7758"/>
    <s v="Rohan Mehta"/>
    <x v="1"/>
    <x v="0"/>
    <s v="Punjab"/>
    <s v="Ludhiana"/>
    <x v="2"/>
    <x v="6"/>
    <s v="Classic Copiers 908"/>
    <x v="1"/>
    <n v="1"/>
    <n v="279.83"/>
    <n v="0.05"/>
    <s v="OK"/>
    <n v="265.83999999999997"/>
    <n v="223.49"/>
    <n v="42.35"/>
    <x v="0"/>
    <x v="0"/>
    <s v="OK"/>
    <n v="0.05"/>
    <n v="265.83999999999997"/>
    <n v="42.35"/>
    <n v="0.1593"/>
    <x v="2"/>
    <x v="0"/>
    <s v="CLEAN"/>
  </r>
  <r>
    <x v="364"/>
    <d v="2024-11-21T00:00:00"/>
    <d v="2024-11-23T00:00:00"/>
    <n v="2"/>
    <s v="OK"/>
    <s v="CUST-4190"/>
    <s v="Mira Das"/>
    <x v="2"/>
    <x v="3"/>
    <s v="Gujarat"/>
    <s v="Ahmedabad"/>
    <x v="0"/>
    <x v="0"/>
    <s v="Pro Paper 187"/>
    <x v="0"/>
    <n v="5"/>
    <n v="600.46"/>
    <n v="0.2"/>
    <s v="OK"/>
    <n v="2401.84"/>
    <n v="1873.11"/>
    <n v="528.73"/>
    <x v="0"/>
    <x v="0"/>
    <s v="OK"/>
    <n v="0.2"/>
    <n v="2401.84"/>
    <n v="528.73"/>
    <n v="0.22009999999999999"/>
    <x v="3"/>
    <x v="0"/>
    <s v="CLEAN"/>
  </r>
  <r>
    <x v="365"/>
    <d v="2024-03-24T00:00:00"/>
    <d v="2024-04-01T00:00:00"/>
    <n v="8"/>
    <s v="OK"/>
    <s v="CUST-7568"/>
    <s v="Ananya Rao"/>
    <x v="3"/>
    <x v="3"/>
    <s v="Maharashtra"/>
    <s v="Mumbai"/>
    <x v="1"/>
    <x v="1"/>
    <s v="Classic Tables 606"/>
    <x v="0"/>
    <n v="4"/>
    <n v="1700.72"/>
    <n v="0.25"/>
    <s v="OK"/>
    <n v="5102.16"/>
    <n v="3226.45"/>
    <n v="1875.71"/>
    <x v="0"/>
    <x v="0"/>
    <s v="OK"/>
    <n v="0.25"/>
    <n v="5102.16"/>
    <n v="1875.71"/>
    <n v="0.36759999999999998"/>
    <x v="7"/>
    <x v="0"/>
    <s v="CLEAN"/>
  </r>
  <r>
    <x v="366"/>
    <d v="2024-03-22T00:00:00"/>
    <d v="2024-03-27T00:00:00"/>
    <n v="5"/>
    <s v="OK"/>
    <s v="CUST-3293"/>
    <s v="Aditi Sen"/>
    <x v="3"/>
    <x v="3"/>
    <s v="Goa"/>
    <s v="Panaji"/>
    <x v="2"/>
    <x v="6"/>
    <s v="Classic Copiers 583"/>
    <x v="0"/>
    <n v="9"/>
    <n v="3649.51"/>
    <n v="0.05"/>
    <s v="OK"/>
    <n v="31203.31"/>
    <n v="17738.13"/>
    <n v="13465.18"/>
    <x v="0"/>
    <x v="0"/>
    <s v="OK"/>
    <n v="0.05"/>
    <n v="31203.31"/>
    <n v="13465.18"/>
    <n v="0.43149999999999999"/>
    <x v="7"/>
    <x v="0"/>
    <s v="CLEAN"/>
  </r>
  <r>
    <x v="367"/>
    <d v="2024-09-04T00:00:00"/>
    <d v="2024-09-05T00:00:00"/>
    <n v="1"/>
    <s v="OK"/>
    <s v="CUST-8180"/>
    <s v="Aditi Sen"/>
    <x v="2"/>
    <x v="3"/>
    <s v="Madhya Pradesh"/>
    <s v="Indore"/>
    <x v="1"/>
    <x v="10"/>
    <s v="Classic Chairs 460"/>
    <x v="3"/>
    <n v="5"/>
    <n v="2528.5300000000002"/>
    <n v="0.05"/>
    <s v="OK"/>
    <n v="12010.52"/>
    <n v="7864.61"/>
    <n v="4145.91"/>
    <x v="0"/>
    <x v="1"/>
    <s v="OK"/>
    <n v="0.05"/>
    <n v="12010.52"/>
    <n v="4145.91"/>
    <n v="0.34520000000000001"/>
    <x v="11"/>
    <x v="0"/>
    <s v="CLEAN"/>
  </r>
  <r>
    <x v="368"/>
    <d v="2024-05-18T00:00:00"/>
    <d v="2024-05-21T00:00:00"/>
    <n v="3"/>
    <s v="OK"/>
    <s v="CUST-4081"/>
    <s v="Vikram Iyer"/>
    <x v="2"/>
    <x v="1"/>
    <s v="Jharkhand"/>
    <s v="Ranchi"/>
    <x v="2"/>
    <x v="4"/>
    <s v="Basic Accessories 944"/>
    <x v="0"/>
    <n v="1"/>
    <n v="1033.71"/>
    <n v="0"/>
    <s v="OK"/>
    <n v="1033.71"/>
    <n v="630.82000000000005"/>
    <n v="402.89"/>
    <x v="1"/>
    <x v="1"/>
    <s v="OK"/>
    <n v="0"/>
    <n v="1033.71"/>
    <n v="402.89"/>
    <n v="0.38979999999999998"/>
    <x v="4"/>
    <x v="0"/>
    <s v="CLEAN"/>
  </r>
  <r>
    <x v="369"/>
    <d v="2024-06-22T00:00:00"/>
    <d v="2024-06-27T00:00:00"/>
    <n v="5"/>
    <s v="OK"/>
    <s v="CUST-4655"/>
    <s v="Isha Nair"/>
    <x v="3"/>
    <x v="2"/>
    <s v="Karnataka"/>
    <s v="Bengaluru"/>
    <x v="1"/>
    <x v="10"/>
    <s v="Smart Chairs 610"/>
    <x v="1"/>
    <n v="7"/>
    <n v="2623.48"/>
    <n v="0"/>
    <s v="OK"/>
    <n v="18364.36"/>
    <n v="15445.81"/>
    <n v="2918.55"/>
    <x v="0"/>
    <x v="0"/>
    <s v="OK"/>
    <n v="0"/>
    <n v="18364.36"/>
    <n v="2918.55"/>
    <n v="0.15890000000000001"/>
    <x v="2"/>
    <x v="0"/>
    <s v="CLEAN"/>
  </r>
  <r>
    <x v="370"/>
    <d v="2024-11-24T00:00:00"/>
    <d v="2024-12-01T00:00:00"/>
    <n v="7"/>
    <s v="OK"/>
    <s v="CUST-1674"/>
    <s v="Kabir Singh"/>
    <x v="2"/>
    <x v="2"/>
    <s v="Karnataka"/>
    <s v="Bengaluru"/>
    <x v="1"/>
    <x v="1"/>
    <s v="Prime Tables 123"/>
    <x v="0"/>
    <n v="9"/>
    <n v="2763.61"/>
    <n v="0.15"/>
    <s v="OK"/>
    <n v="21141.62"/>
    <n v="11676.33"/>
    <n v="9465.2900000000009"/>
    <x v="0"/>
    <x v="0"/>
    <s v="OK"/>
    <n v="0.15"/>
    <n v="21141.62"/>
    <n v="9465.2900000000009"/>
    <n v="0.44769999999999999"/>
    <x v="3"/>
    <x v="0"/>
    <s v="CLEAN"/>
  </r>
  <r>
    <x v="371"/>
    <d v="2024-05-29T00:00:00"/>
    <d v="2024-06-05T00:00:00"/>
    <n v="7"/>
    <s v="OK"/>
    <s v="CUST-1136"/>
    <s v="Kabir Singh"/>
    <x v="2"/>
    <x v="2"/>
    <s v="Tamil Nadu"/>
    <s v="Chennai"/>
    <x v="2"/>
    <x v="4"/>
    <s v="Eco Accessories 658"/>
    <x v="2"/>
    <n v="4"/>
    <n v="3700.24"/>
    <n v="0"/>
    <s v="OK"/>
    <n v="14800.96"/>
    <n v="12048.39"/>
    <n v="2752.57"/>
    <x v="0"/>
    <x v="0"/>
    <s v="OK"/>
    <n v="0"/>
    <n v="14800.96"/>
    <n v="2752.57"/>
    <n v="0.186"/>
    <x v="4"/>
    <x v="0"/>
    <s v="CLEAN"/>
  </r>
  <r>
    <x v="372"/>
    <d v="2024-07-04T00:00:00"/>
    <d v="2024-07-10T00:00:00"/>
    <n v="6"/>
    <s v="OK"/>
    <s v="CUST-1376"/>
    <s v="Vikram Iyer"/>
    <x v="2"/>
    <x v="0"/>
    <s v="Delhi"/>
    <s v="New Delhi"/>
    <x v="1"/>
    <x v="1"/>
    <s v="Smart Tables 777"/>
    <x v="0"/>
    <n v="5"/>
    <n v="1200.27"/>
    <n v="0"/>
    <s v="OK"/>
    <n v="6001.35"/>
    <n v="4182.99"/>
    <n v="1818.36"/>
    <x v="0"/>
    <x v="2"/>
    <s v="OK"/>
    <n v="0"/>
    <n v="6001.35"/>
    <n v="1818.36"/>
    <n v="0.30299999999999999"/>
    <x v="0"/>
    <x v="0"/>
    <s v="CLEAN"/>
  </r>
  <r>
    <x v="373"/>
    <d v="2024-03-25T00:00:00"/>
    <d v="2024-04-02T00:00:00"/>
    <n v="8"/>
    <s v="OK"/>
    <s v="CUST-3127"/>
    <s v="Sneha Kapoor"/>
    <x v="3"/>
    <x v="2"/>
    <s v="Tamil Nadu"/>
    <s v="Chennai"/>
    <x v="2"/>
    <x v="6"/>
    <s v="Pro Copiers 502"/>
    <x v="3"/>
    <n v="2"/>
    <n v="2349.13"/>
    <n v="0"/>
    <s v="OK"/>
    <n v="4698.26"/>
    <n v="2654.92"/>
    <n v="2043.34"/>
    <x v="0"/>
    <x v="0"/>
    <s v="OK"/>
    <n v="0"/>
    <n v="4698.26"/>
    <n v="2043.34"/>
    <n v="0.43490000000000001"/>
    <x v="7"/>
    <x v="0"/>
    <s v="CLEAN"/>
  </r>
  <r>
    <x v="374"/>
    <d v="2024-05-10T00:00:00"/>
    <d v="2024-10-06T00:00:00"/>
    <n v="149"/>
    <s v="OK"/>
    <s v="CUST-4382"/>
    <s v="Rohan Mehta"/>
    <x v="1"/>
    <x v="0"/>
    <s v="Punjab"/>
    <s v="Ludhiana"/>
    <x v="1"/>
    <x v="1"/>
    <s v="Elite Tables 717"/>
    <x v="3"/>
    <n v="9"/>
    <n v="489.58"/>
    <n v="0.15"/>
    <s v="OK"/>
    <n v="3745.29"/>
    <n v="2302.65"/>
    <n v="1442.64"/>
    <x v="3"/>
    <x v="2"/>
    <s v="OK"/>
    <n v="0.15"/>
    <n v="3745.29"/>
    <n v="1442.64"/>
    <n v="0.38519999999999999"/>
    <x v="4"/>
    <x v="0"/>
    <s v="INVALID"/>
  </r>
  <r>
    <x v="375"/>
    <d v="2024-09-11T00:00:00"/>
    <d v="2024-09-15T00:00:00"/>
    <n v="4"/>
    <s v="OK"/>
    <s v="CUST-6815"/>
    <s v="Sneha Kapoor"/>
    <x v="2"/>
    <x v="2"/>
    <s v="Tamil Nadu"/>
    <s v="Chennai"/>
    <x v="0"/>
    <x v="2"/>
    <s v="Max Art 725"/>
    <x v="3"/>
    <n v="4"/>
    <n v="865.63"/>
    <n v="0"/>
    <s v="OK"/>
    <n v="3462.52"/>
    <n v="2797.29"/>
    <n v="665.23"/>
    <x v="3"/>
    <x v="1"/>
    <s v="OK"/>
    <n v="0"/>
    <n v="3462.52"/>
    <n v="665.23"/>
    <n v="0.19209999999999999"/>
    <x v="11"/>
    <x v="0"/>
    <s v="INVALID"/>
  </r>
  <r>
    <x v="376"/>
    <d v="2024-12-15T00:00:00"/>
    <d v="2024-12-16T00:00:00"/>
    <n v="1"/>
    <s v="OK"/>
    <s v="CUST-7309"/>
    <s v="Rohan Mehta"/>
    <x v="0"/>
    <x v="1"/>
    <s v="Odisha"/>
    <s v="Bhubaneswar"/>
    <x v="2"/>
    <x v="6"/>
    <s v="Smart Copiers 456"/>
    <x v="0"/>
    <n v="6"/>
    <n v="1538.1"/>
    <n v="0.05"/>
    <s v="OK"/>
    <n v="8767.17"/>
    <n v="5098.2"/>
    <n v="3668.97"/>
    <x v="0"/>
    <x v="0"/>
    <s v="OK"/>
    <n v="0.05"/>
    <n v="8767.17"/>
    <n v="3668.97"/>
    <n v="0.41849999999999998"/>
    <x v="5"/>
    <x v="0"/>
    <s v="CLEAN"/>
  </r>
  <r>
    <x v="377"/>
    <d v="2024-07-01T00:00:00"/>
    <d v="2024-01-07T00:00:00"/>
    <n v="-176"/>
    <s v="INVALID"/>
    <s v="CUST-6257"/>
    <s v="Aarav Sharma"/>
    <x v="0"/>
    <x v="3"/>
    <s v="Madhya Pradesh"/>
    <s v="Indore"/>
    <x v="2"/>
    <x v="12"/>
    <s v="Prime Machines 102"/>
    <x v="3"/>
    <n v="4"/>
    <n v="257.39"/>
    <n v="0"/>
    <s v="OK"/>
    <n v="1029.56"/>
    <n v="626.33000000000004"/>
    <n v="403.23"/>
    <x v="0"/>
    <x v="0"/>
    <s v="OK"/>
    <n v="0"/>
    <n v="1029.56"/>
    <n v="403.23"/>
    <n v="0.39169999999999999"/>
    <x v="0"/>
    <x v="0"/>
    <s v="INVALID"/>
  </r>
  <r>
    <x v="378"/>
    <d v="2024-09-14T00:00:00"/>
    <d v="2024-09-14T00:00:00"/>
    <n v="0"/>
    <s v="OK"/>
    <s v="CUST-5357"/>
    <s v="Mira Das"/>
    <x v="2"/>
    <x v="0"/>
    <s v="Rajasthan"/>
    <s v="Jaipur"/>
    <x v="2"/>
    <x v="12"/>
    <s v="Classic Machines 648"/>
    <x v="3"/>
    <n v="8"/>
    <n v="4081.66"/>
    <n v="0.15"/>
    <s v="OK"/>
    <n v="28208.1"/>
    <n v="23751.91"/>
    <n v="4003.38"/>
    <x v="0"/>
    <x v="1"/>
    <s v="OK"/>
    <n v="0.15"/>
    <n v="27755.29"/>
    <n v="4003.38"/>
    <n v="0.14419999999999999"/>
    <x v="11"/>
    <x v="0"/>
    <s v="CLEAN"/>
  </r>
  <r>
    <x v="379"/>
    <d v="2024-06-11T00:00:00"/>
    <d v="2024-06-11T00:00:00"/>
    <n v="0"/>
    <s v="OK"/>
    <s v="CUST-9802"/>
    <s v="Arjun Bose"/>
    <x v="1"/>
    <x v="2"/>
    <s v="Karnataka"/>
    <s v="Bengaluru"/>
    <x v="1"/>
    <x v="9"/>
    <s v="Max Bookcases 565"/>
    <x v="3"/>
    <n v="9"/>
    <n v="1400.11"/>
    <n v="0.25"/>
    <s v="OK"/>
    <n v="9450.74"/>
    <n v="7798.56"/>
    <n v="1652.18"/>
    <x v="0"/>
    <x v="0"/>
    <s v="OK"/>
    <n v="0.25"/>
    <n v="9450.74"/>
    <n v="1652.18"/>
    <n v="0.17480000000000001"/>
    <x v="2"/>
    <x v="0"/>
    <s v="CLEAN"/>
  </r>
  <r>
    <x v="380"/>
    <d v="2024-09-18T00:00:00"/>
    <d v="2024-09-21T00:00:00"/>
    <n v="3"/>
    <s v="OK"/>
    <s v="CUST-5646"/>
    <s v="Neha Gupta"/>
    <x v="2"/>
    <x v="1"/>
    <s v="West Bengal"/>
    <s v="Kolkata"/>
    <x v="2"/>
    <x v="12"/>
    <s v="Basic Machines 220"/>
    <x v="3"/>
    <n v="3"/>
    <n v="3055.9"/>
    <n v="0.15"/>
    <s v="OK"/>
    <n v="7792.55"/>
    <n v="4691.7299999999996"/>
    <n v="3100.82"/>
    <x v="0"/>
    <x v="0"/>
    <s v="OK"/>
    <n v="0.15"/>
    <n v="7792.55"/>
    <n v="3100.82"/>
    <n v="0.39789999999999998"/>
    <x v="11"/>
    <x v="0"/>
    <s v="CLEAN"/>
  </r>
  <r>
    <x v="381"/>
    <d v="2024-04-30T00:00:00"/>
    <d v="2024-05-04T00:00:00"/>
    <n v="4"/>
    <s v="OK"/>
    <s v="CUST-7171"/>
    <s v="Rohan Mehta"/>
    <x v="1"/>
    <x v="3"/>
    <s v="Gujarat"/>
    <s v="Ahmedabad"/>
    <x v="0"/>
    <x v="2"/>
    <s v="Pro Art 151"/>
    <x v="1"/>
    <n v="7"/>
    <n v="1224.94"/>
    <n v="0"/>
    <s v="OK"/>
    <n v="8574.58"/>
    <n v="6685.81"/>
    <n v="1888.77"/>
    <x v="0"/>
    <x v="1"/>
    <s v="OK"/>
    <n v="0"/>
    <n v="8574.58"/>
    <n v="1888.77"/>
    <n v="0.2203"/>
    <x v="10"/>
    <x v="0"/>
    <s v="CLEAN"/>
  </r>
  <r>
    <x v="382"/>
    <d v="2024-10-19T00:00:00"/>
    <d v="2024-10-20T00:00:00"/>
    <n v="1"/>
    <s v="OK"/>
    <s v="CUST-8734"/>
    <s v="Aditi Sen"/>
    <x v="2"/>
    <x v="0"/>
    <s v="Rajasthan"/>
    <s v="Jaipur"/>
    <x v="1"/>
    <x v="1"/>
    <s v="Classic Tables 997"/>
    <x v="2"/>
    <n v="1"/>
    <n v="1150.03"/>
    <n v="0.1"/>
    <s v="OK"/>
    <n v="1035.03"/>
    <n v="854.35"/>
    <n v="180.68"/>
    <x v="0"/>
    <x v="0"/>
    <s v="OK"/>
    <n v="0.1"/>
    <n v="1035.03"/>
    <n v="180.68"/>
    <n v="0.17460000000000001"/>
    <x v="9"/>
    <x v="0"/>
    <s v="CLEAN"/>
  </r>
  <r>
    <x v="383"/>
    <d v="2024-03-13T00:00:00"/>
    <d v="2024-03-20T00:00:00"/>
    <n v="7"/>
    <s v="OK"/>
    <s v="CUST-4916"/>
    <s v="Priya Menon"/>
    <x v="3"/>
    <x v="2"/>
    <s v="Tamil Nadu"/>
    <s v="Chennai"/>
    <x v="1"/>
    <x v="9"/>
    <s v="Max Bookcases 738"/>
    <x v="4"/>
    <n v="1"/>
    <n v="2825.63"/>
    <n v="0.15"/>
    <s v="OK"/>
    <n v="2401.79"/>
    <n v="1820.34"/>
    <n v="581.45000000000005"/>
    <x v="0"/>
    <x v="0"/>
    <s v="OK"/>
    <n v="0.15"/>
    <n v="2401.79"/>
    <n v="581.45000000000005"/>
    <n v="0.24210000000000001"/>
    <x v="7"/>
    <x v="0"/>
    <s v="WARNING"/>
  </r>
  <r>
    <x v="384"/>
    <d v="2024-09-08T00:00:00"/>
    <d v="2024-09-14T00:00:00"/>
    <n v="6"/>
    <s v="OK"/>
    <s v="CUST-3289"/>
    <s v="Rohan Mehta"/>
    <x v="0"/>
    <x v="0"/>
    <s v="Rajasthan"/>
    <s v="Jaipur"/>
    <x v="0"/>
    <x v="11"/>
    <s v="Max Binders 411"/>
    <x v="3"/>
    <n v="5"/>
    <n v="3371.75"/>
    <n v="0.05"/>
    <s v="OK"/>
    <n v="16015.81"/>
    <n v="11352.38"/>
    <n v="4663.43"/>
    <x v="0"/>
    <x v="0"/>
    <s v="OK"/>
    <n v="0.05"/>
    <n v="16015.81"/>
    <n v="4663.43"/>
    <n v="0.29120000000000001"/>
    <x v="11"/>
    <x v="0"/>
    <s v="CLEAN"/>
  </r>
  <r>
    <x v="385"/>
    <d v="2024-06-24T00:00:00"/>
    <d v="2024-06-28T00:00:00"/>
    <n v="4"/>
    <s v="OK"/>
    <s v="CUST-4928"/>
    <s v="Isha Nair"/>
    <x v="1"/>
    <x v="1"/>
    <s v="Odisha"/>
    <s v="Bhubaneswar"/>
    <x v="0"/>
    <x v="0"/>
    <s v="Max Paper 343"/>
    <x v="1"/>
    <n v="1"/>
    <n v="2112.75"/>
    <n v="0.1"/>
    <s v="OK"/>
    <n v="1901.48"/>
    <n v="1354.28"/>
    <n v="547.20000000000005"/>
    <x v="0"/>
    <x v="0"/>
    <s v="OK"/>
    <n v="0.1"/>
    <n v="1901.48"/>
    <n v="547.20000000000005"/>
    <n v="0.2878"/>
    <x v="2"/>
    <x v="0"/>
    <s v="CLEAN"/>
  </r>
  <r>
    <x v="386"/>
    <d v="2024-07-12T00:00:00"/>
    <d v="2024-07-19T00:00:00"/>
    <n v="7"/>
    <s v="OK"/>
    <s v="CUST-7199"/>
    <s v="Vikram Iyer"/>
    <x v="2"/>
    <x v="0"/>
    <s v="Punjab"/>
    <s v="Ludhiana"/>
    <x v="0"/>
    <x v="2"/>
    <s v="Smart Art 279"/>
    <x v="0"/>
    <n v="5"/>
    <n v="1559.16"/>
    <n v="0.05"/>
    <s v="OK"/>
    <n v="7406.01"/>
    <n v="5941.74"/>
    <n v="1464.27"/>
    <x v="0"/>
    <x v="0"/>
    <s v="OK"/>
    <n v="0.05"/>
    <n v="7406.01"/>
    <n v="1464.27"/>
    <n v="0.19769999999999999"/>
    <x v="0"/>
    <x v="0"/>
    <s v="CLEAN"/>
  </r>
  <r>
    <x v="387"/>
    <d v="2024-02-10T00:00:00"/>
    <d v="2024-02-18T00:00:00"/>
    <n v="8"/>
    <s v="OK"/>
    <s v="CUST-5127"/>
    <s v="Isha Nair"/>
    <x v="3"/>
    <x v="3"/>
    <s v="Madhya Pradesh"/>
    <s v="Indore"/>
    <x v="1"/>
    <x v="10"/>
    <s v="Smart Chairs 259"/>
    <x v="2"/>
    <n v="7"/>
    <n v="1382.86"/>
    <n v="0"/>
    <s v="OK"/>
    <n v="9680.02"/>
    <n v="6876.66"/>
    <n v="2803.36"/>
    <x v="0"/>
    <x v="0"/>
    <s v="OK"/>
    <n v="0"/>
    <n v="9680.02"/>
    <n v="2803.36"/>
    <n v="0.28960000000000002"/>
    <x v="8"/>
    <x v="0"/>
    <s v="CLEAN"/>
  </r>
  <r>
    <x v="388"/>
    <d v="2024-09-06T00:00:00"/>
    <d v="2024-09-09T00:00:00"/>
    <n v="3"/>
    <s v="OK"/>
    <s v="CUST-3918"/>
    <s v="Mira Das"/>
    <x v="0"/>
    <x v="3"/>
    <s v="Maharashtra"/>
    <s v="Mumbai"/>
    <x v="0"/>
    <x v="2"/>
    <s v="Smart Art 866"/>
    <x v="1"/>
    <n v="3"/>
    <n v="1972.27"/>
    <n v="0.2"/>
    <s v="OK"/>
    <n v="4733.45"/>
    <n v="3672.32"/>
    <n v="1061.1300000000001"/>
    <x v="0"/>
    <x v="0"/>
    <s v="OK"/>
    <n v="0.2"/>
    <n v="4733.45"/>
    <n v="1061.1300000000001"/>
    <n v="0.22420000000000001"/>
    <x v="11"/>
    <x v="0"/>
    <s v="CLEAN"/>
  </r>
  <r>
    <x v="389"/>
    <d v="2024-07-16T00:00:00"/>
    <d v="2024-07-16T00:00:00"/>
    <n v="0"/>
    <s v="OK"/>
    <s v="CUST-1991"/>
    <s v="Aditi Sen"/>
    <x v="3"/>
    <x v="3"/>
    <s v="Madhya Pradesh"/>
    <s v="Indore"/>
    <x v="2"/>
    <x v="6"/>
    <s v="Smart Copiers 196"/>
    <x v="1"/>
    <n v="4"/>
    <n v="4479.92"/>
    <n v="0.15"/>
    <s v="OK"/>
    <n v="15231.73"/>
    <n v="12451.46"/>
    <n v="2780.27"/>
    <x v="0"/>
    <x v="0"/>
    <s v="OK"/>
    <n v="0.15"/>
    <n v="15231.73"/>
    <n v="2780.27"/>
    <n v="0.1825"/>
    <x v="0"/>
    <x v="0"/>
    <s v="CLEAN"/>
  </r>
  <r>
    <x v="390"/>
    <d v="2024-10-07T00:00:00"/>
    <d v="2024-10-10T00:00:00"/>
    <n v="3"/>
    <s v="OK"/>
    <s v="CUST-8844"/>
    <s v="Vikram Iyer"/>
    <x v="0"/>
    <x v="1"/>
    <s v="West Bengal"/>
    <s v="Kolkata"/>
    <x v="1"/>
    <x v="10"/>
    <s v="Eco Chairs 442"/>
    <x v="0"/>
    <n v="9"/>
    <n v="481.51"/>
    <n v="0"/>
    <s v="OK"/>
    <n v="4333.59"/>
    <n v="2533.59"/>
    <n v="1800"/>
    <x v="2"/>
    <x v="2"/>
    <s v="OK"/>
    <n v="0"/>
    <n v="4333.59"/>
    <n v="1800"/>
    <n v="0.41539999999999999"/>
    <x v="9"/>
    <x v="0"/>
    <s v="CLEAN"/>
  </r>
  <r>
    <x v="391"/>
    <d v="2024-02-10T00:00:00"/>
    <d v="2024-02-16T00:00:00"/>
    <n v="6"/>
    <s v="OK"/>
    <s v="CUST-5891"/>
    <s v="Karan Malhotra"/>
    <x v="0"/>
    <x v="3"/>
    <s v="Goa"/>
    <s v="Panaji"/>
    <x v="1"/>
    <x v="3"/>
    <s v="Elite Furnishings 921"/>
    <x v="0"/>
    <n v="3"/>
    <n v="253.43"/>
    <n v="0"/>
    <s v="OK"/>
    <n v="760.29"/>
    <n v="497.77"/>
    <n v="262.52"/>
    <x v="0"/>
    <x v="0"/>
    <s v="OK"/>
    <n v="0"/>
    <n v="760.29"/>
    <n v="262.52"/>
    <n v="0.3453"/>
    <x v="8"/>
    <x v="0"/>
    <s v="CLEAN"/>
  </r>
  <r>
    <x v="392"/>
    <d v="2024-01-17T00:00:00"/>
    <d v="2024-01-23T00:00:00"/>
    <n v="6"/>
    <s v="OK"/>
    <s v="CUST-6655"/>
    <s v="Kabir Singh"/>
    <x v="3"/>
    <x v="3"/>
    <s v="Gujarat"/>
    <s v="Ahmedabad"/>
    <x v="2"/>
    <x v="8"/>
    <s v="Pro Phones 857"/>
    <x v="3"/>
    <n v="5"/>
    <n v="2018"/>
    <n v="0.2"/>
    <s v="OK"/>
    <n v="8072"/>
    <n v="5379.22"/>
    <n v="2692.78"/>
    <x v="1"/>
    <x v="1"/>
    <s v="OK"/>
    <n v="0.2"/>
    <n v="8072"/>
    <n v="2692.78"/>
    <n v="0.33360000000000001"/>
    <x v="6"/>
    <x v="0"/>
    <s v="CLEAN"/>
  </r>
  <r>
    <x v="393"/>
    <d v="2024-10-13T00:00:00"/>
    <d v="2024-10-13T00:00:00"/>
    <n v="0"/>
    <s v="OK"/>
    <s v="CUST-6492"/>
    <s v="Aarav Sharma"/>
    <x v="1"/>
    <x v="1"/>
    <s v="Assam"/>
    <s v="Guwahati"/>
    <x v="2"/>
    <x v="4"/>
    <s v="Max Accessories 567"/>
    <x v="0"/>
    <n v="8"/>
    <n v="3730.66"/>
    <n v="0.05"/>
    <s v="OK"/>
    <n v="28353.02"/>
    <n v="19257.849999999999"/>
    <n v="9095.17"/>
    <x v="0"/>
    <x v="0"/>
    <s v="OK"/>
    <n v="0.05"/>
    <n v="28353.02"/>
    <n v="9095.17"/>
    <n v="0.32079999999999997"/>
    <x v="9"/>
    <x v="0"/>
    <s v="CLEAN"/>
  </r>
  <r>
    <x v="394"/>
    <d v="2024-01-04T00:00:00"/>
    <d v="2024-07-01T00:00:00"/>
    <n v="179"/>
    <s v="OK"/>
    <s v="CUST-1154"/>
    <s v="Sneha Kapoor"/>
    <x v="1"/>
    <x v="2"/>
    <s v="Karnataka"/>
    <s v="Bengaluru"/>
    <x v="2"/>
    <x v="12"/>
    <s v="Max Machines 200"/>
    <x v="2"/>
    <n v="1"/>
    <n v="2363.02"/>
    <n v="0.15"/>
    <s v="OK"/>
    <n v="2008.57"/>
    <n v="1194.83"/>
    <n v="813.74"/>
    <x v="0"/>
    <x v="0"/>
    <s v="OK"/>
    <n v="0.15"/>
    <n v="2008.57"/>
    <n v="813.74"/>
    <n v="0.40510000000000002"/>
    <x v="6"/>
    <x v="0"/>
    <s v="CLEAN"/>
  </r>
  <r>
    <x v="395"/>
    <d v="2024-03-17T00:00:00"/>
    <d v="2024-03-19T00:00:00"/>
    <n v="2"/>
    <s v="OK"/>
    <s v="CUST-6849"/>
    <s v="Ananya Rao"/>
    <x v="2"/>
    <x v="1"/>
    <s v="Odisha"/>
    <s v="Bhubaneswar"/>
    <x v="0"/>
    <x v="11"/>
    <s v="Eco Binders 178"/>
    <x v="2"/>
    <n v="4"/>
    <n v="4376.68"/>
    <n v="0.1"/>
    <s v="OK"/>
    <n v="15756.05"/>
    <n v="10245.44"/>
    <n v="5510.61"/>
    <x v="0"/>
    <x v="0"/>
    <s v="OK"/>
    <n v="0.1"/>
    <n v="15756.05"/>
    <n v="5510.61"/>
    <n v="0.34970000000000001"/>
    <x v="7"/>
    <x v="0"/>
    <s v="CLEAN"/>
  </r>
  <r>
    <x v="396"/>
    <d v="2024-11-28T00:00:00"/>
    <d v="2024-12-06T00:00:00"/>
    <n v="8"/>
    <s v="OK"/>
    <s v="CUST-4973"/>
    <s v="Arjun Bose"/>
    <x v="1"/>
    <x v="0"/>
    <s v="Punjab"/>
    <s v="Ludhiana"/>
    <x v="2"/>
    <x v="8"/>
    <s v="Max Phones 678"/>
    <x v="3"/>
    <n v="6"/>
    <n v="2464.63"/>
    <n v="0"/>
    <s v="OK"/>
    <n v="14787.78"/>
    <n v="8596.65"/>
    <n v="6191.13"/>
    <x v="0"/>
    <x v="0"/>
    <s v="OK"/>
    <n v="0"/>
    <n v="14787.78"/>
    <n v="6191.13"/>
    <n v="0.41870000000000002"/>
    <x v="3"/>
    <x v="0"/>
    <s v="CLEAN"/>
  </r>
  <r>
    <x v="397"/>
    <d v="2024-06-21T00:00:00"/>
    <d v="2024-06-28T00:00:00"/>
    <n v="7"/>
    <s v="OK"/>
    <s v="CUST-2394"/>
    <s v="Aarav Sharma"/>
    <x v="3"/>
    <x v="0"/>
    <s v="Rajasthan"/>
    <s v="Jaipur"/>
    <x v="1"/>
    <x v="3"/>
    <s v="Classic Furnishings 582"/>
    <x v="2"/>
    <n v="9"/>
    <n v="2797.96"/>
    <n v="0"/>
    <s v="OK"/>
    <n v="25181.64"/>
    <n v="15337.9"/>
    <n v="9843.74"/>
    <x v="0"/>
    <x v="0"/>
    <s v="OK"/>
    <n v="0"/>
    <n v="25181.64"/>
    <n v="9843.74"/>
    <n v="0.39090000000000003"/>
    <x v="2"/>
    <x v="0"/>
    <s v="CLEAN"/>
  </r>
  <r>
    <x v="398"/>
    <d v="2024-08-24T00:00:00"/>
    <d v="2024-08-24T00:00:00"/>
    <n v="0"/>
    <s v="OK"/>
    <s v="CUST-5406"/>
    <s v="Ananya Rao"/>
    <x v="1"/>
    <x v="0"/>
    <s v="Rajasthan"/>
    <s v="Jaipur"/>
    <x v="2"/>
    <x v="4"/>
    <s v="Classic Accessories 981"/>
    <x v="2"/>
    <n v="4"/>
    <n v="2761.86"/>
    <n v="0.2"/>
    <s v="OK"/>
    <n v="8837.9500000000007"/>
    <n v="6157.27"/>
    <n v="2680.68"/>
    <x v="0"/>
    <x v="0"/>
    <s v="OK"/>
    <n v="0.2"/>
    <n v="8837.9500000000007"/>
    <n v="2680.68"/>
    <n v="0.30330000000000001"/>
    <x v="1"/>
    <x v="0"/>
    <s v="CLEAN"/>
  </r>
  <r>
    <x v="399"/>
    <d v="2024-08-11T00:00:00"/>
    <d v="2024-08-19T00:00:00"/>
    <n v="8"/>
    <s v="OK"/>
    <s v="CUST-1963"/>
    <s v="Mira Das"/>
    <x v="0"/>
    <x v="3"/>
    <s v="Maharashtra"/>
    <s v="Mumbai"/>
    <x v="1"/>
    <x v="1"/>
    <s v="Classic Tables 534"/>
    <x v="3"/>
    <n v="6"/>
    <n v="1515.79"/>
    <n v="0.2"/>
    <s v="OK"/>
    <n v="7275.79"/>
    <n v="6152.87"/>
    <n v="1122.92"/>
    <x v="0"/>
    <x v="0"/>
    <s v="OK"/>
    <n v="0.2"/>
    <n v="7275.79"/>
    <n v="1122.92"/>
    <n v="0.15429999999999999"/>
    <x v="1"/>
    <x v="0"/>
    <s v="CLEAN"/>
  </r>
  <r>
    <x v="400"/>
    <d v="2024-12-06T00:00:00"/>
    <d v="2024-09-12T00:00:00"/>
    <n v="-85"/>
    <s v="INVALID"/>
    <s v="CUST-9017"/>
    <s v="Aditi Sen"/>
    <x v="0"/>
    <x v="3"/>
    <s v="Maharashtra"/>
    <s v="Mumbai"/>
    <x v="1"/>
    <x v="10"/>
    <s v="Pro Chairs 383"/>
    <x v="0"/>
    <n v="9"/>
    <n v="290.75"/>
    <n v="0.1"/>
    <s v="OK"/>
    <n v="2355.08"/>
    <n v="1350.03"/>
    <n v="1005.05"/>
    <x v="0"/>
    <x v="0"/>
    <s v="OK"/>
    <n v="0.1"/>
    <n v="2355.08"/>
    <n v="1005.05"/>
    <n v="0.42680000000000001"/>
    <x v="5"/>
    <x v="0"/>
    <s v="INVALID"/>
  </r>
  <r>
    <x v="401"/>
    <d v="2024-02-10T00:00:00"/>
    <d v="2024-02-10T00:00:00"/>
    <n v="0"/>
    <s v="OK"/>
    <s v="CUST-7967"/>
    <s v="Isha Nair"/>
    <x v="3"/>
    <x v="3"/>
    <s v="Maharashtra"/>
    <s v="Mumbai"/>
    <x v="1"/>
    <x v="10"/>
    <s v="Max Chairs 845"/>
    <x v="1"/>
    <n v="6"/>
    <n v="601.52"/>
    <n v="0"/>
    <s v="OK"/>
    <n v="3609.12"/>
    <n v="2645.5"/>
    <n v="963.62"/>
    <x v="0"/>
    <x v="0"/>
    <s v="OK"/>
    <n v="0"/>
    <n v="3609.12"/>
    <n v="963.62"/>
    <n v="0.26700000000000002"/>
    <x v="8"/>
    <x v="0"/>
    <s v="CLEAN"/>
  </r>
  <r>
    <x v="402"/>
    <d v="2024-12-03T00:00:00"/>
    <d v="2024-12-10T00:00:00"/>
    <n v="7"/>
    <s v="OK"/>
    <s v="CUST-5846"/>
    <s v="Neha Gupta"/>
    <x v="2"/>
    <x v="0"/>
    <s v="Rajasthan"/>
    <s v="Jaipur"/>
    <x v="2"/>
    <x v="8"/>
    <s v="Basic Phones 859"/>
    <x v="3"/>
    <n v="5"/>
    <n v="2393.86"/>
    <n v="0.05"/>
    <s v="OK"/>
    <n v="11370.84"/>
    <n v="7469.58"/>
    <n v="3901.26"/>
    <x v="0"/>
    <x v="0"/>
    <s v="OK"/>
    <n v="0.05"/>
    <n v="11370.84"/>
    <n v="3901.26"/>
    <n v="0.34310000000000002"/>
    <x v="5"/>
    <x v="0"/>
    <s v="CLEAN"/>
  </r>
  <r>
    <x v="403"/>
    <d v="2024-04-02T00:00:00"/>
    <d v="2024-04-02T00:00:00"/>
    <n v="0"/>
    <s v="OK"/>
    <s v="CUST-7932"/>
    <s v="Sneha Kapoor"/>
    <x v="1"/>
    <x v="3"/>
    <s v="Maharashtra"/>
    <s v="Mumbai"/>
    <x v="1"/>
    <x v="10"/>
    <s v="Eco Chairs 883"/>
    <x v="2"/>
    <n v="4"/>
    <n v="2583"/>
    <n v="0.1"/>
    <s v="OK"/>
    <n v="9298.7999999999993"/>
    <n v="6548.5"/>
    <n v="2750.3"/>
    <x v="0"/>
    <x v="0"/>
    <s v="OK"/>
    <n v="0.1"/>
    <n v="9298.7999999999993"/>
    <n v="2750.3"/>
    <n v="0.29580000000000001"/>
    <x v="10"/>
    <x v="0"/>
    <s v="CLEAN"/>
  </r>
  <r>
    <x v="404"/>
    <d v="2024-10-15T00:00:00"/>
    <d v="2024-10-22T00:00:00"/>
    <n v="7"/>
    <s v="OK"/>
    <s v="CUST-6368"/>
    <s v="Karan Malhotra"/>
    <x v="2"/>
    <x v="1"/>
    <s v="Odisha"/>
    <s v="Bhubaneswar"/>
    <x v="0"/>
    <x v="0"/>
    <s v="Prime Paper 768"/>
    <x v="3"/>
    <n v="4"/>
    <n v="2260.9499999999998"/>
    <n v="0"/>
    <s v="OK"/>
    <n v="9043.7999999999993"/>
    <n v="5913.38"/>
    <n v="3130.42"/>
    <x v="0"/>
    <x v="0"/>
    <s v="OK"/>
    <n v="0"/>
    <n v="9043.7999999999993"/>
    <n v="3130.42"/>
    <n v="0.34610000000000002"/>
    <x v="9"/>
    <x v="0"/>
    <s v="CLEAN"/>
  </r>
  <r>
    <x v="405"/>
    <d v="2024-10-24T00:00:00"/>
    <d v="2024-10-28T00:00:00"/>
    <n v="4"/>
    <s v="OK"/>
    <s v="CUST-1493"/>
    <s v="Mira Das"/>
    <x v="1"/>
    <x v="1"/>
    <s v="Assam"/>
    <s v="Guwahati"/>
    <x v="2"/>
    <x v="6"/>
    <s v="Max Copiers 866"/>
    <x v="3"/>
    <n v="3"/>
    <n v="723.59"/>
    <n v="0.2"/>
    <s v="OK"/>
    <n v="1736.62"/>
    <n v="1059.52"/>
    <n v="677.1"/>
    <x v="0"/>
    <x v="0"/>
    <s v="OK"/>
    <n v="0.2"/>
    <n v="1736.62"/>
    <n v="677.1"/>
    <n v="0.38990000000000002"/>
    <x v="9"/>
    <x v="0"/>
    <s v="CLEAN"/>
  </r>
  <r>
    <x v="406"/>
    <d v="2024-05-01T00:00:00"/>
    <d v="2024-05-07T00:00:00"/>
    <n v="6"/>
    <s v="OK"/>
    <s v="CUST-8416"/>
    <s v="Isha Nair"/>
    <x v="3"/>
    <x v="1"/>
    <s v="Odisha"/>
    <s v="Bhubaneswar"/>
    <x v="0"/>
    <x v="0"/>
    <s v="Classic Paper 388"/>
    <x v="1"/>
    <n v="8"/>
    <n v="1473.83"/>
    <n v="0.15"/>
    <s v="OK"/>
    <n v="10022.040000000001"/>
    <n v="5576.98"/>
    <n v="4445.0600000000004"/>
    <x v="0"/>
    <x v="0"/>
    <s v="OK"/>
    <n v="0.15"/>
    <n v="10022.040000000001"/>
    <n v="4445.0600000000004"/>
    <n v="0.44350000000000001"/>
    <x v="4"/>
    <x v="0"/>
    <s v="CLEAN"/>
  </r>
  <r>
    <x v="407"/>
    <d v="2024-05-30T00:00:00"/>
    <d v="2024-05-30T00:00:00"/>
    <n v="0"/>
    <s v="OK"/>
    <s v="CUST-3103"/>
    <s v="Diya Patel"/>
    <x v="3"/>
    <x v="0"/>
    <s v="Haryana"/>
    <s v="Gurugram"/>
    <x v="2"/>
    <x v="8"/>
    <s v="Pro Phones 765"/>
    <x v="0"/>
    <n v="1"/>
    <n v="3848.04"/>
    <n v="0.25"/>
    <s v="OK"/>
    <n v="2886.03"/>
    <n v="2064.83"/>
    <n v="821.2"/>
    <x v="0"/>
    <x v="0"/>
    <s v="OK"/>
    <n v="0.25"/>
    <n v="2886.03"/>
    <n v="821.2"/>
    <n v="0.28449999999999998"/>
    <x v="4"/>
    <x v="0"/>
    <s v="CLEAN"/>
  </r>
  <r>
    <x v="408"/>
    <d v="2024-03-21T00:00:00"/>
    <d v="2024-03-25T00:00:00"/>
    <n v="4"/>
    <s v="OK"/>
    <s v="CUST-4457"/>
    <s v="Aditi Sen"/>
    <x v="3"/>
    <x v="1"/>
    <s v="Assam"/>
    <s v="Guwahati"/>
    <x v="2"/>
    <x v="12"/>
    <s v="Classic Machines 543"/>
    <x v="3"/>
    <n v="1"/>
    <n v="1716.7"/>
    <n v="0.15"/>
    <s v="OK"/>
    <n v="1459.19"/>
    <n v="1055.79"/>
    <n v="403.4"/>
    <x v="0"/>
    <x v="0"/>
    <s v="OK"/>
    <n v="0.15"/>
    <n v="1459.2"/>
    <n v="403.41"/>
    <n v="0.27650000000000002"/>
    <x v="7"/>
    <x v="0"/>
    <s v="CLEAN"/>
  </r>
  <r>
    <x v="409"/>
    <d v="2024-03-24T00:00:00"/>
    <d v="2024-03-27T00:00:00"/>
    <n v="3"/>
    <s v="OK"/>
    <s v="CUST-6345"/>
    <s v="Aditi Sen"/>
    <x v="2"/>
    <x v="3"/>
    <s v="Gujarat"/>
    <s v="Ahmedabad"/>
    <x v="0"/>
    <x v="7"/>
    <s v="Basic Storage 273"/>
    <x v="2"/>
    <n v="5"/>
    <n v="2465.2199999999998"/>
    <n v="0.05"/>
    <s v="OK"/>
    <n v="11709.79"/>
    <n v="8372.2900000000009"/>
    <n v="3337.5"/>
    <x v="0"/>
    <x v="0"/>
    <s v="OK"/>
    <n v="0.05"/>
    <n v="11709.8"/>
    <n v="3337.51"/>
    <n v="0.28499999999999998"/>
    <x v="7"/>
    <x v="0"/>
    <s v="CLEAN"/>
  </r>
  <r>
    <x v="410"/>
    <d v="2024-08-11T00:00:00"/>
    <d v="2024-10-08T00:00:00"/>
    <n v="58"/>
    <s v="OK"/>
    <s v="CUST-4505"/>
    <s v="Aditi Sen"/>
    <x v="2"/>
    <x v="0"/>
    <s v="Delhi"/>
    <s v="New Delhi"/>
    <x v="1"/>
    <x v="3"/>
    <s v="Elite Furnishings 588"/>
    <x v="0"/>
    <n v="3"/>
    <n v="1017.22"/>
    <n v="0.15"/>
    <s v="OK"/>
    <n v="2593.91"/>
    <n v="1848.48"/>
    <n v="745.43"/>
    <x v="3"/>
    <x v="1"/>
    <s v="OK"/>
    <n v="0.15"/>
    <n v="2593.91"/>
    <n v="745.43"/>
    <n v="0.28739999999999999"/>
    <x v="1"/>
    <x v="0"/>
    <s v="INVALID"/>
  </r>
  <r>
    <x v="411"/>
    <d v="2024-10-27T00:00:00"/>
    <d v="2024-11-01T00:00:00"/>
    <n v="5"/>
    <s v="OK"/>
    <s v="CUST-1557"/>
    <s v="Rohan Mehta"/>
    <x v="0"/>
    <x v="0"/>
    <s v="Rajasthan"/>
    <s v="Jaipur"/>
    <x v="2"/>
    <x v="4"/>
    <s v="Smart Accessories 362"/>
    <x v="1"/>
    <n v="7"/>
    <n v="2177.1"/>
    <n v="0.2"/>
    <s v="OK"/>
    <n v="12191.76"/>
    <n v="10457.49"/>
    <n v="1734.27"/>
    <x v="0"/>
    <x v="1"/>
    <s v="OK"/>
    <n v="0.2"/>
    <n v="12191.76"/>
    <n v="1734.27"/>
    <n v="0.14219999999999999"/>
    <x v="9"/>
    <x v="0"/>
    <s v="CLEAN"/>
  </r>
  <r>
    <x v="412"/>
    <d v="2024-05-02T00:00:00"/>
    <d v="2024-05-10T00:00:00"/>
    <n v="8"/>
    <s v="OK"/>
    <s v="CUST-6076"/>
    <s v="Aarav Sharma"/>
    <x v="1"/>
    <x v="2"/>
    <s v="Karnataka"/>
    <s v="Bengaluru"/>
    <x v="1"/>
    <x v="10"/>
    <s v="Prime Chairs 721"/>
    <x v="3"/>
    <n v="1"/>
    <n v="4166.91"/>
    <n v="0"/>
    <s v="OK"/>
    <n v="4166.91"/>
    <n v="3412.63"/>
    <n v="754.28"/>
    <x v="0"/>
    <x v="0"/>
    <s v="OK"/>
    <n v="0"/>
    <n v="4166.91"/>
    <n v="754.28"/>
    <n v="0.18099999999999999"/>
    <x v="4"/>
    <x v="0"/>
    <s v="CLEAN"/>
  </r>
  <r>
    <x v="413"/>
    <d v="2024-07-19T00:00:00"/>
    <d v="2024-07-26T00:00:00"/>
    <n v="7"/>
    <s v="OK"/>
    <s v="CUST-2098"/>
    <s v="Arjun Bose"/>
    <x v="3"/>
    <x v="2"/>
    <s v="Karnataka"/>
    <s v="Bengaluru"/>
    <x v="1"/>
    <x v="1"/>
    <s v="Prime Tables 797"/>
    <x v="0"/>
    <n v="5"/>
    <n v="3986.01"/>
    <n v="0.25"/>
    <s v="OK"/>
    <n v="14947.54"/>
    <n v="9438.4599999999991"/>
    <n v="5509.08"/>
    <x v="0"/>
    <x v="0"/>
    <s v="OK"/>
    <n v="0.25"/>
    <n v="14947.54"/>
    <n v="5509.08"/>
    <n v="0.36859999999999998"/>
    <x v="0"/>
    <x v="0"/>
    <s v="CLEAN"/>
  </r>
  <r>
    <x v="414"/>
    <d v="2024-08-28T00:00:00"/>
    <d v="2024-09-02T00:00:00"/>
    <n v="5"/>
    <s v="OK"/>
    <s v="CUST-7193"/>
    <s v="Aditi Sen"/>
    <x v="3"/>
    <x v="1"/>
    <s v="Assam"/>
    <s v="Guwahati"/>
    <x v="0"/>
    <x v="2"/>
    <s v="Max Art 926"/>
    <x v="0"/>
    <n v="4"/>
    <n v="3365.53"/>
    <n v="0"/>
    <s v="OK"/>
    <n v="13462.12"/>
    <n v="7600.63"/>
    <n v="5861.49"/>
    <x v="1"/>
    <x v="1"/>
    <s v="OK"/>
    <n v="0"/>
    <n v="13462.12"/>
    <n v="5861.49"/>
    <n v="0.43540000000000001"/>
    <x v="1"/>
    <x v="0"/>
    <s v="CLEAN"/>
  </r>
  <r>
    <x v="415"/>
    <d v="2024-01-01T00:00:00"/>
    <d v="2024-01-05T00:00:00"/>
    <n v="4"/>
    <s v="OK"/>
    <s v="CUST-6921"/>
    <s v="Diya Patel"/>
    <x v="2"/>
    <x v="3"/>
    <s v="Madhya Pradesh"/>
    <s v="Indore"/>
    <x v="2"/>
    <x v="12"/>
    <s v="Classic Machines 122"/>
    <x v="0"/>
    <n v="2"/>
    <n v="3694.12"/>
    <n v="0.2"/>
    <s v="OK"/>
    <n v="5910.59"/>
    <n v="4775.4399999999996"/>
    <n v="1135.1500000000001"/>
    <x v="2"/>
    <x v="1"/>
    <s v="OK"/>
    <n v="0.2"/>
    <n v="5910.59"/>
    <n v="1135.1500000000001"/>
    <n v="0.19209999999999999"/>
    <x v="6"/>
    <x v="0"/>
    <s v="CLEAN"/>
  </r>
  <r>
    <x v="416"/>
    <d v="2024-09-17T00:00:00"/>
    <d v="2024-09-24T00:00:00"/>
    <n v="7"/>
    <s v="OK"/>
    <s v="CUST-3156"/>
    <s v="Mira Das"/>
    <x v="2"/>
    <x v="3"/>
    <s v="Gujarat"/>
    <s v="Ahmedabad"/>
    <x v="0"/>
    <x v="2"/>
    <s v="Prime Art 380"/>
    <x v="0"/>
    <n v="9"/>
    <n v="2307.96"/>
    <n v="0.2"/>
    <s v="OK"/>
    <n v="16617.310000000001"/>
    <n v="9195.73"/>
    <n v="7421.58"/>
    <x v="0"/>
    <x v="2"/>
    <s v="OK"/>
    <n v="0.2"/>
    <n v="16617.310000000001"/>
    <n v="7421.58"/>
    <n v="0.4466"/>
    <x v="11"/>
    <x v="0"/>
    <s v="CLEAN"/>
  </r>
  <r>
    <x v="417"/>
    <d v="2024-05-03T00:00:00"/>
    <d v="2024-05-06T00:00:00"/>
    <n v="3"/>
    <s v="OK"/>
    <s v="CUST-2043"/>
    <s v="Ananya Rao"/>
    <x v="3"/>
    <x v="0"/>
    <s v="Uttar Pradesh"/>
    <s v="Noida"/>
    <x v="0"/>
    <x v="11"/>
    <s v="Classic Binders 234"/>
    <x v="3"/>
    <n v="1"/>
    <n v="1244.58"/>
    <n v="0.25"/>
    <s v="OK"/>
    <n v="933.43"/>
    <n v="583.09"/>
    <n v="350.34"/>
    <x v="0"/>
    <x v="0"/>
    <s v="OK"/>
    <n v="0.25"/>
    <n v="933.44"/>
    <n v="350.35"/>
    <n v="0.37530000000000002"/>
    <x v="4"/>
    <x v="0"/>
    <s v="CLEAN"/>
  </r>
  <r>
    <x v="418"/>
    <d v="2024-05-11T00:00:00"/>
    <d v="2024-05-13T00:00:00"/>
    <n v="2"/>
    <s v="OK"/>
    <s v="CUST-1293"/>
    <s v="Priya Menon"/>
    <x v="3"/>
    <x v="3"/>
    <s v="Goa"/>
    <s v="Panaji"/>
    <x v="1"/>
    <x v="9"/>
    <s v="Classic Bookcases 922"/>
    <x v="1"/>
    <n v="3"/>
    <n v="3612.75"/>
    <n v="0.25"/>
    <s v="OK"/>
    <n v="8128.69"/>
    <n v="5071.66"/>
    <n v="3057.03"/>
    <x v="0"/>
    <x v="0"/>
    <s v="OK"/>
    <n v="0.25"/>
    <n v="8128.69"/>
    <n v="3057.03"/>
    <n v="0.37609999999999999"/>
    <x v="4"/>
    <x v="0"/>
    <s v="CLEAN"/>
  </r>
  <r>
    <x v="419"/>
    <d v="2024-02-15T00:00:00"/>
    <d v="2024-02-17T00:00:00"/>
    <n v="2"/>
    <s v="OK"/>
    <s v="CUST-8384"/>
    <s v="Neha Gupta"/>
    <x v="0"/>
    <x v="0"/>
    <s v="Uttar Pradesh"/>
    <s v="Noida"/>
    <x v="2"/>
    <x v="6"/>
    <s v="Eco Copiers 396"/>
    <x v="2"/>
    <n v="4"/>
    <n v="863"/>
    <n v="0"/>
    <s v="OK"/>
    <n v="3106.8"/>
    <n v="2376.62"/>
    <n v="730.18"/>
    <x v="0"/>
    <x v="0"/>
    <s v="OK"/>
    <n v="0"/>
    <n v="3452"/>
    <n v="1075.3800000000001"/>
    <n v="0.3115"/>
    <x v="8"/>
    <x v="0"/>
    <s v="CLEAN"/>
  </r>
  <r>
    <x v="420"/>
    <d v="2024-07-12T00:00:00"/>
    <d v="2024-07-14T00:00:00"/>
    <n v="2"/>
    <s v="OK"/>
    <s v="CUST-7861"/>
    <s v="Ananya Rao"/>
    <x v="0"/>
    <x v="0"/>
    <s v="Haryana"/>
    <s v="Gurugram"/>
    <x v="2"/>
    <x v="12"/>
    <s v="Basic Machines 401"/>
    <x v="0"/>
    <n v="4"/>
    <n v="2131.41"/>
    <n v="0"/>
    <s v="OK"/>
    <n v="6394.23"/>
    <n v="3520.69"/>
    <n v="2873.54"/>
    <x v="0"/>
    <x v="0"/>
    <s v="OK"/>
    <n v="0"/>
    <n v="8525.64"/>
    <n v="5004.95"/>
    <n v="0.58699999999999997"/>
    <x v="0"/>
    <x v="0"/>
    <s v="CLEAN"/>
  </r>
  <r>
    <x v="421"/>
    <d v="2024-04-14T00:00:00"/>
    <d v="2024-04-22T00:00:00"/>
    <n v="8"/>
    <s v="OK"/>
    <s v="CUST-4461"/>
    <s v="Arjun Bose"/>
    <x v="0"/>
    <x v="0"/>
    <s v="Haryana"/>
    <s v="Gurugram"/>
    <x v="2"/>
    <x v="4"/>
    <s v="Elite Accessories 312"/>
    <x v="3"/>
    <n v="8"/>
    <n v="3956.12"/>
    <n v="0.25"/>
    <s v="OK"/>
    <n v="23736.720000000001"/>
    <n v="13890.9"/>
    <n v="9845.82"/>
    <x v="0"/>
    <x v="0"/>
    <s v="OK"/>
    <n v="0.25"/>
    <n v="23736.720000000001"/>
    <n v="9845.82"/>
    <n v="0.4148"/>
    <x v="10"/>
    <x v="0"/>
    <s v="CLEAN"/>
  </r>
  <r>
    <x v="422"/>
    <d v="2024-04-02T00:00:00"/>
    <d v="2024-02-06T00:00:00"/>
    <n v="-56"/>
    <s v="INVALID"/>
    <s v="CUST-6879"/>
    <s v="Kabir Singh"/>
    <x v="1"/>
    <x v="3"/>
    <s v="Madhya Pradesh"/>
    <s v="Indore"/>
    <x v="2"/>
    <x v="4"/>
    <s v="Elite Accessories 226"/>
    <x v="0"/>
    <n v="4"/>
    <n v="1489.74"/>
    <n v="0.15"/>
    <s v="OK"/>
    <n v="5065.12"/>
    <n v="3530.12"/>
    <n v="1535"/>
    <x v="3"/>
    <x v="2"/>
    <s v="OK"/>
    <n v="0.15"/>
    <n v="5065.12"/>
    <n v="1535"/>
    <n v="0.30309999999999998"/>
    <x v="10"/>
    <x v="0"/>
    <s v="INVALID"/>
  </r>
  <r>
    <x v="423"/>
    <d v="2024-07-24T00:00:00"/>
    <d v="2024-07-24T00:00:00"/>
    <n v="0"/>
    <s v="OK"/>
    <s v="CUST-4714"/>
    <s v="Karan Malhotra"/>
    <x v="1"/>
    <x v="0"/>
    <s v="Haryana"/>
    <s v="Gurugram"/>
    <x v="2"/>
    <x v="6"/>
    <s v="Pro Copiers 298"/>
    <x v="0"/>
    <n v="4"/>
    <n v="1676.88"/>
    <n v="0"/>
    <s v="OK"/>
    <n v="6707.52"/>
    <n v="5672.57"/>
    <n v="1034.95"/>
    <x v="0"/>
    <x v="0"/>
    <s v="OK"/>
    <n v="0"/>
    <n v="6707.52"/>
    <n v="1034.95"/>
    <n v="0.15429999999999999"/>
    <x v="0"/>
    <x v="0"/>
    <s v="CLEAN"/>
  </r>
  <r>
    <x v="424"/>
    <d v="2024-01-15T00:00:00"/>
    <d v="2024-01-20T00:00:00"/>
    <n v="5"/>
    <s v="OK"/>
    <s v="CUST-7547"/>
    <s v="Priya Menon"/>
    <x v="1"/>
    <x v="2"/>
    <s v="Andhra Pradesh"/>
    <s v="Vijayawada"/>
    <x v="1"/>
    <x v="10"/>
    <s v="Prime Chairs 331"/>
    <x v="3"/>
    <n v="4"/>
    <n v="3153.54"/>
    <n v="0.05"/>
    <s v="OK"/>
    <n v="11983.45"/>
    <n v="8572.9"/>
    <n v="3410.55"/>
    <x v="0"/>
    <x v="0"/>
    <s v="OK"/>
    <n v="0.05"/>
    <n v="11983.45"/>
    <n v="3410.55"/>
    <n v="0.28460000000000002"/>
    <x v="6"/>
    <x v="0"/>
    <s v="CLEAN"/>
  </r>
  <r>
    <x v="425"/>
    <d v="2024-08-04T00:00:00"/>
    <d v="2024-08-10T00:00:00"/>
    <n v="6"/>
    <s v="OK"/>
    <s v="CUST-3288"/>
    <s v="Diya Patel"/>
    <x v="1"/>
    <x v="3"/>
    <s v="Rajasthan"/>
    <s v="Udaipur"/>
    <x v="1"/>
    <x v="10"/>
    <s v="Classic Chairs 798"/>
    <x v="1"/>
    <n v="4"/>
    <n v="426.43"/>
    <n v="0.2"/>
    <s v="OK"/>
    <n v="1364.58"/>
    <n v="978.16"/>
    <n v="386.42"/>
    <x v="0"/>
    <x v="0"/>
    <s v="OK"/>
    <n v="0.2"/>
    <n v="1364.58"/>
    <n v="386.42"/>
    <n v="0.28320000000000001"/>
    <x v="1"/>
    <x v="0"/>
    <s v="CLEAN"/>
  </r>
  <r>
    <x v="426"/>
    <d v="2024-02-02T00:00:00"/>
    <d v="2024-02-10T00:00:00"/>
    <n v="8"/>
    <s v="OK"/>
    <s v="CUST-8597"/>
    <s v="Karan Malhotra"/>
    <x v="3"/>
    <x v="3"/>
    <s v="Rajasthan"/>
    <s v="Udaipur"/>
    <x v="0"/>
    <x v="5"/>
    <s v="Classic Labels 204"/>
    <x v="2"/>
    <n v="3"/>
    <n v="383.4"/>
    <n v="0.25"/>
    <s v="OK"/>
    <n v="862.65"/>
    <n v="603.73"/>
    <n v="258.92"/>
    <x v="1"/>
    <x v="1"/>
    <s v="OK"/>
    <n v="0.25"/>
    <n v="862.65"/>
    <n v="258.92"/>
    <n v="0.30009999999999998"/>
    <x v="8"/>
    <x v="0"/>
    <s v="CLEAN"/>
  </r>
  <r>
    <x v="427"/>
    <d v="2024-06-07T00:00:00"/>
    <d v="2024-06-07T00:00:00"/>
    <n v="0"/>
    <s v="OK"/>
    <s v="CUST-7746"/>
    <s v="Aarav Sharma"/>
    <x v="1"/>
    <x v="1"/>
    <s v="Bihar"/>
    <s v="Patna"/>
    <x v="0"/>
    <x v="2"/>
    <s v="Basic Art 709"/>
    <x v="0"/>
    <n v="1"/>
    <n v="2581.9299999999998"/>
    <n v="0.05"/>
    <s v="OK"/>
    <n v="2452.83"/>
    <n v="1906.7"/>
    <n v="546.13"/>
    <x v="0"/>
    <x v="0"/>
    <s v="OK"/>
    <n v="0.05"/>
    <n v="2452.83"/>
    <n v="546.13"/>
    <n v="0.22270000000000001"/>
    <x v="2"/>
    <x v="0"/>
    <s v="CLEAN"/>
  </r>
  <r>
    <x v="428"/>
    <d v="2024-05-23T00:00:00"/>
    <d v="2024-05-29T00:00:00"/>
    <n v="6"/>
    <s v="OK"/>
    <s v="CUST-7518"/>
    <s v="Diya Patel"/>
    <x v="1"/>
    <x v="0"/>
    <s v="Haryana"/>
    <s v="Gurugram"/>
    <x v="0"/>
    <x v="7"/>
    <s v="Eco Storage 183"/>
    <x v="1"/>
    <n v="2"/>
    <n v="3012.94"/>
    <n v="0.25"/>
    <s v="OK"/>
    <n v="4519.41"/>
    <n v="3504.16"/>
    <n v="1275.55"/>
    <x v="3"/>
    <x v="2"/>
    <s v="OK"/>
    <n v="0.25"/>
    <n v="4519.41"/>
    <n v="1015.25"/>
    <n v="0.22459999999999999"/>
    <x v="4"/>
    <x v="0"/>
    <s v="INVALID"/>
  </r>
  <r>
    <x v="429"/>
    <d v="2024-09-12T00:00:00"/>
    <d v="2024-09-18T00:00:00"/>
    <n v="6"/>
    <s v="OK"/>
    <s v="CUST-7548"/>
    <s v="Ananya Rao"/>
    <x v="3"/>
    <x v="1"/>
    <s v="Bihar"/>
    <s v="Patna"/>
    <x v="0"/>
    <x v="0"/>
    <s v="Prime Paper 878"/>
    <x v="0"/>
    <n v="2"/>
    <n v="3718.77"/>
    <n v="0.05"/>
    <s v="OK"/>
    <n v="7065.66"/>
    <n v="4915.2700000000004"/>
    <n v="2150.39"/>
    <x v="0"/>
    <x v="0"/>
    <s v="OK"/>
    <n v="0.05"/>
    <n v="7065.66"/>
    <n v="2150.39"/>
    <n v="0.30430000000000001"/>
    <x v="11"/>
    <x v="0"/>
    <s v="CLEAN"/>
  </r>
  <r>
    <x v="430"/>
    <d v="2024-08-01T00:00:00"/>
    <d v="2024-02-08T00:00:00"/>
    <n v="-175"/>
    <s v="INVALID"/>
    <s v="CUST-3631"/>
    <s v="Isha Nair"/>
    <x v="2"/>
    <x v="0"/>
    <s v="Uttar Pradesh"/>
    <s v="Noida"/>
    <x v="1"/>
    <x v="10"/>
    <s v="Smart Chairs 353"/>
    <x v="3"/>
    <n v="8"/>
    <n v="2487.64"/>
    <n v="0.1"/>
    <s v="OK"/>
    <n v="17911.009999999998"/>
    <n v="11546.05"/>
    <n v="6364.96"/>
    <x v="3"/>
    <x v="1"/>
    <s v="OK"/>
    <n v="0.1"/>
    <n v="17911.009999999998"/>
    <n v="6364.96"/>
    <n v="0.35539999999999999"/>
    <x v="1"/>
    <x v="0"/>
    <s v="INVALID"/>
  </r>
  <r>
    <x v="431"/>
    <d v="2024-05-31T00:00:00"/>
    <d v="2024-06-02T00:00:00"/>
    <n v="2"/>
    <s v="OK"/>
    <s v="CUST-1951"/>
    <s v="Rahul Verma"/>
    <x v="2"/>
    <x v="2"/>
    <s v="Andhra Pradesh"/>
    <s v="Vijayawada"/>
    <x v="0"/>
    <x v="2"/>
    <s v="Classic Art 781"/>
    <x v="3"/>
    <n v="8"/>
    <n v="667.59"/>
    <n v="0.2"/>
    <s v="OK"/>
    <n v="4272.58"/>
    <n v="3328.92"/>
    <n v="943.66"/>
    <x v="0"/>
    <x v="0"/>
    <s v="OK"/>
    <n v="0.2"/>
    <n v="4272.58"/>
    <n v="943.66"/>
    <n v="0.22090000000000001"/>
    <x v="4"/>
    <x v="0"/>
    <s v="CLEAN"/>
  </r>
  <r>
    <x v="432"/>
    <d v="2024-10-02T00:00:00"/>
    <d v="2024-10-06T00:00:00"/>
    <n v="4"/>
    <s v="OK"/>
    <s v="CUST-6300"/>
    <s v="Rahul Verma"/>
    <x v="3"/>
    <x v="2"/>
    <s v="Karnataka"/>
    <s v="Bengaluru"/>
    <x v="1"/>
    <x v="9"/>
    <s v="Eco Bookcases 144"/>
    <x v="1"/>
    <n v="8"/>
    <n v="1558.77"/>
    <n v="0.25"/>
    <s v="OK"/>
    <n v="9352.6200000000008"/>
    <n v="5269.41"/>
    <n v="4083.21"/>
    <x v="0"/>
    <x v="0"/>
    <s v="OK"/>
    <n v="0.25"/>
    <n v="9352.6200000000008"/>
    <n v="4083.21"/>
    <n v="0.43659999999999999"/>
    <x v="9"/>
    <x v="0"/>
    <s v="CLEAN"/>
  </r>
  <r>
    <x v="433"/>
    <d v="2024-05-28T00:00:00"/>
    <d v="2024-06-03T00:00:00"/>
    <n v="6"/>
    <s v="OK"/>
    <s v="CUST-5421"/>
    <s v="Vikram Iyer"/>
    <x v="2"/>
    <x v="0"/>
    <s v="Rajasthan"/>
    <s v="Jaipur"/>
    <x v="2"/>
    <x v="6"/>
    <s v="Basic Copiers 238"/>
    <x v="0"/>
    <n v="5"/>
    <n v="4302.32"/>
    <n v="0"/>
    <s v="OK"/>
    <n v="21511.599999999999"/>
    <n v="15408.47"/>
    <n v="6103.13"/>
    <x v="0"/>
    <x v="0"/>
    <s v="OK"/>
    <n v="0"/>
    <n v="21511.599999999999"/>
    <n v="6103.13"/>
    <n v="0.28370000000000001"/>
    <x v="4"/>
    <x v="0"/>
    <s v="CLEAN"/>
  </r>
  <r>
    <x v="434"/>
    <d v="2024-07-30T00:00:00"/>
    <d v="2024-07-30T00:00:00"/>
    <n v="0"/>
    <s v="OK"/>
    <s v="CUST-6529"/>
    <s v="Diya Patel"/>
    <x v="3"/>
    <x v="1"/>
    <s v="Odisha"/>
    <s v="Bhubaneswar"/>
    <x v="2"/>
    <x v="6"/>
    <s v="Pro Copiers 653"/>
    <x v="1"/>
    <n v="9"/>
    <n v="2894.66"/>
    <n v="0"/>
    <s v="OK"/>
    <n v="26051.94"/>
    <n v="16883.59"/>
    <n v="9168.35"/>
    <x v="2"/>
    <x v="2"/>
    <s v="OK"/>
    <n v="0"/>
    <n v="26051.94"/>
    <n v="9168.35"/>
    <n v="0.35189999999999999"/>
    <x v="0"/>
    <x v="0"/>
    <s v="CLEAN"/>
  </r>
  <r>
    <x v="435"/>
    <d v="2024-03-23T00:00:00"/>
    <d v="2024-03-30T00:00:00"/>
    <n v="7"/>
    <s v="OK"/>
    <s v="CUST-3126"/>
    <s v="Rohan Mehta"/>
    <x v="1"/>
    <x v="2"/>
    <s v="Andhra Pradesh"/>
    <s v="Vijayawada"/>
    <x v="2"/>
    <x v="12"/>
    <s v="Elite Machines 459"/>
    <x v="2"/>
    <n v="6"/>
    <n v="1894.44"/>
    <n v="0.15"/>
    <s v="OK"/>
    <n v="9661.64"/>
    <n v="6303.77"/>
    <n v="3357.87"/>
    <x v="0"/>
    <x v="0"/>
    <s v="OK"/>
    <n v="0.15"/>
    <n v="9661.64"/>
    <n v="3357.87"/>
    <n v="0.34749999999999998"/>
    <x v="7"/>
    <x v="0"/>
    <s v="CLEAN"/>
  </r>
  <r>
    <x v="436"/>
    <d v="2024-04-18T00:00:00"/>
    <d v="2024-04-22T00:00:00"/>
    <n v="4"/>
    <s v="OK"/>
    <s v="CUST-3991"/>
    <s v="Aarav Sharma"/>
    <x v="0"/>
    <x v="1"/>
    <s v="Odisha"/>
    <s v="Bhubaneswar"/>
    <x v="0"/>
    <x v="11"/>
    <s v="Elite Binders 764"/>
    <x v="2"/>
    <n v="8"/>
    <n v="1714.37"/>
    <n v="0"/>
    <s v="OK"/>
    <n v="13714.96"/>
    <n v="10550.47"/>
    <n v="3164.49"/>
    <x v="3"/>
    <x v="2"/>
    <s v="OK"/>
    <n v="0"/>
    <n v="13714.96"/>
    <n v="3164.49"/>
    <n v="0.23069999999999999"/>
    <x v="10"/>
    <x v="0"/>
    <s v="INVALID"/>
  </r>
  <r>
    <x v="437"/>
    <d v="2024-10-10T00:00:00"/>
    <d v="2024-10-17T00:00:00"/>
    <n v="7"/>
    <s v="OK"/>
    <s v="CUST-8527"/>
    <s v="Isha Nair"/>
    <x v="3"/>
    <x v="0"/>
    <s v="Haryana"/>
    <s v="Gurugram"/>
    <x v="2"/>
    <x v="4"/>
    <s v="Smart Accessories 487"/>
    <x v="4"/>
    <n v="5"/>
    <n v="967.41"/>
    <n v="0.05"/>
    <s v="OK"/>
    <n v="4595.2"/>
    <n v="3887.41"/>
    <n v="707.79"/>
    <x v="0"/>
    <x v="1"/>
    <s v="OK"/>
    <n v="0.05"/>
    <n v="4595.2"/>
    <n v="707.79"/>
    <n v="0.154"/>
    <x v="9"/>
    <x v="0"/>
    <s v="WARNING"/>
  </r>
  <r>
    <x v="438"/>
    <d v="2024-03-01T00:00:00"/>
    <d v="2024-03-07T00:00:00"/>
    <n v="6"/>
    <s v="OK"/>
    <s v="CUST-5015"/>
    <s v="Vikram Iyer"/>
    <x v="1"/>
    <x v="3"/>
    <s v="Maharashtra"/>
    <s v="Mumbai"/>
    <x v="0"/>
    <x v="7"/>
    <s v="Elite Storage 825"/>
    <x v="0"/>
    <n v="6"/>
    <n v="4163.72"/>
    <n v="0.15"/>
    <s v="OK"/>
    <n v="21234.97"/>
    <n v="16736.09"/>
    <n v="4498.88"/>
    <x v="0"/>
    <x v="0"/>
    <s v="OK"/>
    <n v="0.15"/>
    <n v="21234.97"/>
    <n v="4498.88"/>
    <n v="0.21190000000000001"/>
    <x v="7"/>
    <x v="0"/>
    <s v="CLEAN"/>
  </r>
  <r>
    <x v="439"/>
    <d v="2024-12-09T00:00:00"/>
    <d v="2024-12-13T00:00:00"/>
    <n v="4"/>
    <s v="OK"/>
    <s v="CUST-7180"/>
    <s v="Rohan Mehta"/>
    <x v="0"/>
    <x v="4"/>
    <s v="Jharkhand"/>
    <s v="Ranchi"/>
    <x v="0"/>
    <x v="5"/>
    <s v="Basic Labels 359"/>
    <x v="2"/>
    <n v="1"/>
    <n v="4306.6499999999996"/>
    <n v="0"/>
    <s v="OK"/>
    <n v="4306.6499999999996"/>
    <n v="2568.8200000000002"/>
    <n v="1737.83"/>
    <x v="0"/>
    <x v="0"/>
    <s v="OK"/>
    <n v="0"/>
    <n v="4306.6499999999996"/>
    <n v="1737.83"/>
    <n v="0.40350000000000003"/>
    <x v="5"/>
    <x v="0"/>
    <s v="WARNING"/>
  </r>
  <r>
    <x v="440"/>
    <d v="2024-09-11T00:00:00"/>
    <d v="2024-11-15T00:00:00"/>
    <n v="65"/>
    <s v="OK"/>
    <s v="CUST-3704"/>
    <s v="Isha Nair"/>
    <x v="3"/>
    <x v="0"/>
    <s v="Rajasthan"/>
    <s v="Jaipur"/>
    <x v="2"/>
    <x v="6"/>
    <s v="Max Copiers 560"/>
    <x v="3"/>
    <n v="1"/>
    <n v="3665.97"/>
    <n v="0.2"/>
    <s v="OK"/>
    <n v="2932.78"/>
    <n v="1900.35"/>
    <n v="1032.43"/>
    <x v="3"/>
    <x v="2"/>
    <s v="OK"/>
    <n v="0.2"/>
    <n v="2932.78"/>
    <n v="1032.43"/>
    <n v="0.35199999999999998"/>
    <x v="11"/>
    <x v="0"/>
    <s v="INVALID"/>
  </r>
  <r>
    <x v="441"/>
    <d v="2024-04-03T00:00:00"/>
    <d v="2024-08-04T00:00:00"/>
    <n v="123"/>
    <s v="OK"/>
    <s v="CUST-4653"/>
    <s v="Kabir Singh"/>
    <x v="3"/>
    <x v="3"/>
    <s v="Gujarat"/>
    <s v="Ahmedabad"/>
    <x v="2"/>
    <x v="6"/>
    <s v="Pro Copiers 867"/>
    <x v="2"/>
    <n v="1"/>
    <n v="3151.85"/>
    <n v="0.25"/>
    <s v="OK"/>
    <n v="2363.89"/>
    <n v="1471.51"/>
    <n v="892.38"/>
    <x v="0"/>
    <x v="0"/>
    <s v="OK"/>
    <n v="0.25"/>
    <n v="2363.89"/>
    <n v="892.38"/>
    <n v="0.3775"/>
    <x v="10"/>
    <x v="0"/>
    <s v="CLEAN"/>
  </r>
  <r>
    <x v="442"/>
    <d v="2024-12-12T00:00:00"/>
    <d v="2024-12-19T00:00:00"/>
    <n v="7"/>
    <s v="OK"/>
    <s v="CUST-3303"/>
    <s v="Rohan Mehta"/>
    <x v="3"/>
    <x v="0"/>
    <s v="Haryana"/>
    <s v="Gurugram"/>
    <x v="2"/>
    <x v="4"/>
    <s v="Eco Accessories 122"/>
    <x v="2"/>
    <n v="2"/>
    <n v="1610.75"/>
    <n v="0.2"/>
    <s v="OK"/>
    <n v="2577.1999999999998"/>
    <n v="1475.87"/>
    <n v="1101.33"/>
    <x v="0"/>
    <x v="0"/>
    <s v="OK"/>
    <n v="0.2"/>
    <n v="2577.1999999999998"/>
    <n v="1101.33"/>
    <n v="0.42730000000000001"/>
    <x v="5"/>
    <x v="0"/>
    <s v="CLEAN"/>
  </r>
  <r>
    <x v="443"/>
    <d v="2024-06-15T00:00:00"/>
    <d v="2024-06-20T00:00:00"/>
    <n v="5"/>
    <s v="OK"/>
    <s v="CUST-5754"/>
    <s v="Sneha Kapoor"/>
    <x v="1"/>
    <x v="1"/>
    <s v="Jharkhand"/>
    <s v="Ranchi"/>
    <x v="1"/>
    <x v="1"/>
    <s v="Basic Tables 127"/>
    <x v="2"/>
    <n v="8"/>
    <n v="2228.4699999999998"/>
    <n v="0"/>
    <s v="OK"/>
    <n v="17827.759999999998"/>
    <n v="14122.13"/>
    <n v="3705.63"/>
    <x v="0"/>
    <x v="0"/>
    <s v="OK"/>
    <n v="0"/>
    <n v="17827.759999999998"/>
    <n v="3705.63"/>
    <n v="0.2079"/>
    <x v="2"/>
    <x v="0"/>
    <s v="CLEAN"/>
  </r>
  <r>
    <x v="444"/>
    <d v="2024-04-01T00:00:00"/>
    <d v="2024-04-08T00:00:00"/>
    <n v="7"/>
    <s v="OK"/>
    <s v="CUST-2951"/>
    <s v="Diya Patel"/>
    <x v="0"/>
    <x v="1"/>
    <s v="Odisha"/>
    <s v="Bhubaneswar"/>
    <x v="2"/>
    <x v="12"/>
    <s v="Max Machines 569"/>
    <x v="3"/>
    <n v="7"/>
    <n v="715.81"/>
    <n v="0.15"/>
    <s v="OK"/>
    <n v="4259.07"/>
    <n v="3130.32"/>
    <n v="1128.75"/>
    <x v="1"/>
    <x v="2"/>
    <s v="OK"/>
    <n v="0.15"/>
    <n v="4259.07"/>
    <n v="1128.75"/>
    <n v="0.26500000000000001"/>
    <x v="10"/>
    <x v="0"/>
    <s v="CLEAN"/>
  </r>
  <r>
    <x v="445"/>
    <d v="2024-11-27T00:00:00"/>
    <d v="2024-11-30T00:00:00"/>
    <n v="3"/>
    <s v="OK"/>
    <s v="CUST-3072"/>
    <s v="Rahul Verma"/>
    <x v="1"/>
    <x v="1"/>
    <s v="Jharkhand"/>
    <s v="Ranchi"/>
    <x v="1"/>
    <x v="3"/>
    <s v="Basic Furnishings 306"/>
    <x v="2"/>
    <n v="1"/>
    <n v="874.3"/>
    <n v="0.1"/>
    <s v="OK"/>
    <n v="786.87"/>
    <n v="498.5"/>
    <n v="288.37"/>
    <x v="0"/>
    <x v="0"/>
    <s v="OK"/>
    <n v="0.1"/>
    <n v="786.87"/>
    <n v="288.37"/>
    <n v="0.36649999999999999"/>
    <x v="3"/>
    <x v="0"/>
    <s v="CLEAN"/>
  </r>
  <r>
    <x v="446"/>
    <d v="2024-09-29T00:00:00"/>
    <d v="2024-05-10T00:00:00"/>
    <n v="-142"/>
    <s v="INVALID"/>
    <s v="CUST-3943"/>
    <s v="Priya Menon"/>
    <x v="1"/>
    <x v="3"/>
    <s v="Maharashtra"/>
    <s v="Mumbai"/>
    <x v="0"/>
    <x v="5"/>
    <s v="Pro Labels 611"/>
    <x v="2"/>
    <n v="8"/>
    <n v="1981.04"/>
    <n v="-0.14000000000000001"/>
    <s v="INVALID-NEGATIVE"/>
    <n v="12678.66"/>
    <n v="10088.65"/>
    <n v="2590.0100000000002"/>
    <x v="0"/>
    <x v="0"/>
    <s v="OK"/>
    <n v="0"/>
    <n v="15848.32"/>
    <n v="5759.67"/>
    <n v="0.3634"/>
    <x v="11"/>
    <x v="0"/>
    <s v="INVALID"/>
  </r>
  <r>
    <x v="447"/>
    <d v="2024-07-31T00:00:00"/>
    <d v="2024-07-31T00:00:00"/>
    <n v="0"/>
    <s v="OK"/>
    <s v="CUST-7510"/>
    <s v="Karan Malhotra"/>
    <x v="3"/>
    <x v="2"/>
    <s v="Kerala"/>
    <s v="Kochi"/>
    <x v="2"/>
    <x v="12"/>
    <s v="Prime Machines 524"/>
    <x v="3"/>
    <n v="8"/>
    <n v="4246.01"/>
    <n v="0"/>
    <s v="OK"/>
    <n v="33968.080000000002"/>
    <n v="26902.44"/>
    <n v="7065.64"/>
    <x v="3"/>
    <x v="2"/>
    <s v="OK"/>
    <n v="0"/>
    <n v="33968.080000000002"/>
    <n v="7065.64"/>
    <n v="0.20799999999999999"/>
    <x v="0"/>
    <x v="0"/>
    <s v="INVALID"/>
  </r>
  <r>
    <x v="448"/>
    <d v="2024-07-03T00:00:00"/>
    <d v="2024-06-07T00:00:00"/>
    <n v="-26"/>
    <s v="INVALID"/>
    <s v="CUST-4466"/>
    <s v="Aarav Sharma"/>
    <x v="2"/>
    <x v="2"/>
    <s v="Karnataka"/>
    <s v="Bengaluru"/>
    <x v="2"/>
    <x v="4"/>
    <s v="Classic Accessories 471"/>
    <x v="2"/>
    <n v="7"/>
    <n v="1942.49"/>
    <n v="0.2"/>
    <s v="OK"/>
    <n v="10877.94"/>
    <n v="9110.14"/>
    <n v="1767.8"/>
    <x v="0"/>
    <x v="0"/>
    <s v="OK"/>
    <n v="0.2"/>
    <n v="10877.94"/>
    <n v="1767.8"/>
    <n v="0.16250000000000001"/>
    <x v="0"/>
    <x v="0"/>
    <s v="INVALID"/>
  </r>
  <r>
    <x v="449"/>
    <d v="2024-10-12T00:00:00"/>
    <d v="2024-10-08T00:00:00"/>
    <n v="-4"/>
    <s v="INVALID"/>
    <s v="CUST-3188"/>
    <s v="Mira Das"/>
    <x v="2"/>
    <x v="1"/>
    <s v="Assam"/>
    <s v="Guwahati"/>
    <x v="1"/>
    <x v="3"/>
    <s v="Smart Furnishings 175"/>
    <x v="0"/>
    <n v="4"/>
    <n v="3202.04"/>
    <n v="0.2"/>
    <s v="OK"/>
    <n v="10246.530000000001"/>
    <n v="8634.42"/>
    <n v="1612.11"/>
    <x v="1"/>
    <x v="1"/>
    <s v="OK"/>
    <n v="0.2"/>
    <n v="10246.530000000001"/>
    <n v="1612.11"/>
    <n v="0.1573"/>
    <x v="9"/>
    <x v="0"/>
    <s v="INVALID"/>
  </r>
  <r>
    <x v="450"/>
    <d v="2024-11-24T00:00:00"/>
    <d v="2024-01-12T00:00:00"/>
    <n v="-317"/>
    <s v="INVALID"/>
    <s v="CUST-5125"/>
    <s v="Priya Menon"/>
    <x v="3"/>
    <x v="2"/>
    <s v="Tamil Nadu"/>
    <s v="Chennai"/>
    <x v="0"/>
    <x v="0"/>
    <s v="Basic Paper 707"/>
    <x v="1"/>
    <n v="1"/>
    <n v="844.89"/>
    <n v="0.25"/>
    <s v="OK"/>
    <n v="633.66999999999996"/>
    <n v="520.47"/>
    <n v="113.2"/>
    <x v="0"/>
    <x v="2"/>
    <s v="OK"/>
    <n v="0.25"/>
    <n v="633.66999999999996"/>
    <n v="113.2"/>
    <n v="0.17860000000000001"/>
    <x v="3"/>
    <x v="0"/>
    <s v="INVALID"/>
  </r>
  <r>
    <x v="451"/>
    <d v="2024-02-26T00:00:00"/>
    <d v="2024-02-28T00:00:00"/>
    <n v="2"/>
    <s v="OK"/>
    <s v="CUST-9036"/>
    <s v="Aditi Sen"/>
    <x v="1"/>
    <x v="3"/>
    <s v="Goa"/>
    <s v="Panaji"/>
    <x v="1"/>
    <x v="3"/>
    <s v="Pro Furnishings 192"/>
    <x v="0"/>
    <n v="7"/>
    <n v="1035.1400000000001"/>
    <n v="0.1"/>
    <s v="OK"/>
    <n v="6521.38"/>
    <n v="4511.1000000000004"/>
    <n v="2010.28"/>
    <x v="0"/>
    <x v="0"/>
    <s v="OK"/>
    <n v="0.1"/>
    <n v="6521.38"/>
    <n v="2010.28"/>
    <n v="0.30830000000000002"/>
    <x v="8"/>
    <x v="0"/>
    <s v="CLEAN"/>
  </r>
  <r>
    <x v="452"/>
    <d v="2024-06-04T00:00:00"/>
    <d v="2024-06-04T00:00:00"/>
    <n v="0"/>
    <s v="OK"/>
    <s v="CUST-2689"/>
    <s v="Rahul Verma"/>
    <x v="3"/>
    <x v="1"/>
    <s v="West Bengal"/>
    <s v="Kolkata"/>
    <x v="1"/>
    <x v="9"/>
    <s v="Basic Bookcases 499"/>
    <x v="2"/>
    <n v="6"/>
    <n v="3949.4"/>
    <n v="0"/>
    <s v="OK"/>
    <n v="23696.400000000001"/>
    <n v="18109.77"/>
    <n v="5586.63"/>
    <x v="0"/>
    <x v="0"/>
    <s v="OK"/>
    <n v="0"/>
    <n v="23696.400000000001"/>
    <n v="5586.63"/>
    <n v="0.23580000000000001"/>
    <x v="2"/>
    <x v="0"/>
    <s v="CLEAN"/>
  </r>
  <r>
    <x v="453"/>
    <d v="2024-10-18T00:00:00"/>
    <d v="2024-10-22T00:00:00"/>
    <n v="4"/>
    <s v="OK"/>
    <s v="CUST-2879"/>
    <s v="Aarav Sharma"/>
    <x v="3"/>
    <x v="2"/>
    <s v="Telangana"/>
    <s v="Hyderabad"/>
    <x v="0"/>
    <x v="2"/>
    <s v="Basic Art 143"/>
    <x v="2"/>
    <n v="6"/>
    <n v="674.61"/>
    <n v="0"/>
    <s v="OK"/>
    <n v="4047.66"/>
    <n v="3078.93"/>
    <n v="1279.79"/>
    <x v="0"/>
    <x v="0"/>
    <s v="OK"/>
    <n v="0"/>
    <n v="4047.66"/>
    <n v="968.73"/>
    <n v="0.23930000000000001"/>
    <x v="9"/>
    <x v="0"/>
    <s v="CLEAN"/>
  </r>
  <r>
    <x v="454"/>
    <d v="2024-12-15T00:00:00"/>
    <d v="2024-12-18T00:00:00"/>
    <n v="3"/>
    <s v="OK"/>
    <s v="CUST-9776"/>
    <s v="Isha Nair"/>
    <x v="1"/>
    <x v="0"/>
    <s v="Rajasthan"/>
    <s v="Jaipur"/>
    <x v="0"/>
    <x v="5"/>
    <s v="Smart Labels 814"/>
    <x v="0"/>
    <n v="2"/>
    <n v="537.11"/>
    <n v="0"/>
    <s v="OK"/>
    <n v="1074.22"/>
    <n v="850.86"/>
    <n v="223.36"/>
    <x v="0"/>
    <x v="0"/>
    <s v="OK"/>
    <n v="0"/>
    <n v="1074.22"/>
    <n v="223.36"/>
    <n v="0.2079"/>
    <x v="5"/>
    <x v="0"/>
    <s v="CLEAN"/>
  </r>
  <r>
    <x v="455"/>
    <d v="2024-09-20T00:00:00"/>
    <d v="2024-09-22T00:00:00"/>
    <n v="2"/>
    <s v="OK"/>
    <s v="CUST-8206"/>
    <s v="Rohan Mehta"/>
    <x v="3"/>
    <x v="1"/>
    <s v="Odisha"/>
    <s v="Bhubaneswar"/>
    <x v="2"/>
    <x v="8"/>
    <s v="Basic Phones 398"/>
    <x v="3"/>
    <n v="8"/>
    <n v="531.42999999999995"/>
    <n v="0.1"/>
    <s v="OK"/>
    <n v="3826.3"/>
    <n v="2194.12"/>
    <n v="1632.18"/>
    <x v="0"/>
    <x v="0"/>
    <s v="OK"/>
    <n v="0.1"/>
    <n v="3826.3"/>
    <n v="1632.18"/>
    <n v="0.42659999999999998"/>
    <x v="11"/>
    <x v="0"/>
    <s v="CLEAN"/>
  </r>
  <r>
    <x v="456"/>
    <d v="2024-03-31T00:00:00"/>
    <d v="2024-03-30T00:00:00"/>
    <n v="-1"/>
    <s v="INVALID"/>
    <s v="CUST-1798"/>
    <s v="Kabir Singh"/>
    <x v="0"/>
    <x v="0"/>
    <s v="Haryana"/>
    <s v="Gurugram"/>
    <x v="2"/>
    <x v="12"/>
    <s v="Smart Machines 581"/>
    <x v="2"/>
    <n v="4"/>
    <n v="2192.08"/>
    <n v="0.15"/>
    <s v="OK"/>
    <n v="7453.07"/>
    <n v="5133.78"/>
    <n v="2319.29"/>
    <x v="0"/>
    <x v="1"/>
    <s v="OK"/>
    <n v="0.15"/>
    <n v="7453.07"/>
    <n v="2319.29"/>
    <n v="0.31119999999999998"/>
    <x v="7"/>
    <x v="0"/>
    <s v="INVALID"/>
  </r>
  <r>
    <x v="457"/>
    <d v="2024-02-23T00:00:00"/>
    <d v="2024-02-27T00:00:00"/>
    <n v="4"/>
    <s v="OK"/>
    <s v="CUST-2367"/>
    <s v="Karan Malhotra"/>
    <x v="0"/>
    <x v="1"/>
    <s v="Odisha"/>
    <s v="Bhubaneswar"/>
    <x v="1"/>
    <x v="1"/>
    <s v="Eco Tables 792"/>
    <x v="2"/>
    <n v="9"/>
    <n v="3616.23"/>
    <n v="0.25"/>
    <s v="OK"/>
    <n v="24409.55"/>
    <n v="17157.580000000002"/>
    <n v="7251.97"/>
    <x v="1"/>
    <x v="1"/>
    <s v="OK"/>
    <n v="0.25"/>
    <n v="24409.55"/>
    <n v="7251.97"/>
    <n v="0.29709999999999998"/>
    <x v="8"/>
    <x v="0"/>
    <s v="CLEAN"/>
  </r>
  <r>
    <x v="458"/>
    <d v="2024-04-14T00:00:00"/>
    <d v="2024-04-22T00:00:00"/>
    <n v="8"/>
    <s v="OK"/>
    <s v="CUST-6522"/>
    <s v="Priya Menon"/>
    <x v="1"/>
    <x v="3"/>
    <s v="Gujarat"/>
    <s v="Ahmedabad"/>
    <x v="1"/>
    <x v="9"/>
    <s v="Prime Bookcases 177"/>
    <x v="3"/>
    <n v="2"/>
    <n v="3977.52"/>
    <n v="0"/>
    <s v="OK"/>
    <n v="7955.04"/>
    <n v="5580.68"/>
    <n v="2374.36"/>
    <x v="1"/>
    <x v="1"/>
    <s v="OK"/>
    <n v="0"/>
    <n v="7955.04"/>
    <n v="2374.36"/>
    <n v="0.29849999999999999"/>
    <x v="10"/>
    <x v="0"/>
    <s v="CLEAN"/>
  </r>
  <r>
    <x v="459"/>
    <d v="2024-03-06T00:00:00"/>
    <d v="2024-12-03T00:00:00"/>
    <n v="272"/>
    <s v="OK"/>
    <s v="CUST-3360"/>
    <s v="Isha Nair"/>
    <x v="3"/>
    <x v="3"/>
    <s v="Gujarat"/>
    <s v="Ahmedabad"/>
    <x v="1"/>
    <x v="9"/>
    <s v="Prime Bookcases 755"/>
    <x v="3"/>
    <n v="3"/>
    <n v="679.63"/>
    <n v="0.2"/>
    <s v="OK"/>
    <n v="1631.11"/>
    <n v="898.73"/>
    <n v="396.58"/>
    <x v="0"/>
    <x v="0"/>
    <s v="OK"/>
    <n v="0.2"/>
    <n v="1631.11"/>
    <n v="732.38"/>
    <n v="0.44900000000000001"/>
    <x v="7"/>
    <x v="0"/>
    <s v="CLEAN"/>
  </r>
  <r>
    <x v="460"/>
    <d v="2024-06-30T00:00:00"/>
    <d v="2024-07-03T00:00:00"/>
    <n v="3"/>
    <s v="OK"/>
    <s v="CUST-2623"/>
    <s v="Priya Menon"/>
    <x v="3"/>
    <x v="1"/>
    <s v="West Bengal"/>
    <s v="Kolkata"/>
    <x v="0"/>
    <x v="0"/>
    <s v="Prime Paper 317"/>
    <x v="2"/>
    <n v="6"/>
    <n v="1211.01"/>
    <n v="0"/>
    <s v="OK"/>
    <n v="7266.06"/>
    <n v="6216.89"/>
    <n v="1049.17"/>
    <x v="0"/>
    <x v="0"/>
    <s v="OK"/>
    <n v="0"/>
    <n v="7266.06"/>
    <n v="1049.17"/>
    <n v="0.1444"/>
    <x v="2"/>
    <x v="0"/>
    <s v="CLEAN"/>
  </r>
  <r>
    <x v="461"/>
    <d v="2024-03-26T00:00:00"/>
    <d v="2024-04-01T00:00:00"/>
    <n v="6"/>
    <s v="OK"/>
    <s v="CUST-3175"/>
    <s v="Karan Malhotra"/>
    <x v="1"/>
    <x v="3"/>
    <s v="Gujarat"/>
    <s v="Ahmedabad"/>
    <x v="2"/>
    <x v="4"/>
    <s v="Classic Accessories 933"/>
    <x v="2"/>
    <n v="2"/>
    <n v="1161.3"/>
    <n v="0.2"/>
    <s v="OK"/>
    <n v="1858.08"/>
    <n v="1590.75"/>
    <n v="267.33"/>
    <x v="0"/>
    <x v="0"/>
    <s v="OK"/>
    <n v="0.2"/>
    <n v="1858.08"/>
    <n v="267.33"/>
    <n v="0.1439"/>
    <x v="7"/>
    <x v="0"/>
    <s v="CLEAN"/>
  </r>
  <r>
    <x v="462"/>
    <d v="2024-01-04T00:00:00"/>
    <d v="2024-08-04T00:00:00"/>
    <n v="213"/>
    <s v="OK"/>
    <s v="CUST-9630"/>
    <s v="Ananya Rao"/>
    <x v="0"/>
    <x v="1"/>
    <s v="Assam"/>
    <s v="Guwahati"/>
    <x v="1"/>
    <x v="1"/>
    <s v="Smart Tables 513"/>
    <x v="0"/>
    <n v="7"/>
    <n v="4205.3500000000004"/>
    <n v="0.15"/>
    <s v="OK"/>
    <n v="25021.83"/>
    <n v="15544.44"/>
    <n v="9477.39"/>
    <x v="1"/>
    <x v="2"/>
    <s v="OK"/>
    <n v="0.15"/>
    <n v="25021.83"/>
    <n v="9477.39"/>
    <n v="0.37880000000000003"/>
    <x v="6"/>
    <x v="0"/>
    <s v="CLEAN"/>
  </r>
  <r>
    <x v="463"/>
    <d v="2024-07-25T00:00:00"/>
    <d v="2024-08-02T00:00:00"/>
    <n v="8"/>
    <s v="OK"/>
    <s v="CUST-2752"/>
    <s v="Rahul Verma"/>
    <x v="0"/>
    <x v="0"/>
    <s v="Rajasthan"/>
    <s v="Jaipur"/>
    <x v="0"/>
    <x v="5"/>
    <s v="Classic Labels 215"/>
    <x v="0"/>
    <n v="2"/>
    <n v="2073.5300000000002"/>
    <n v="0.25"/>
    <s v="OK"/>
    <n v="3110.3"/>
    <n v="2101.0300000000002"/>
    <n v="1009.27"/>
    <x v="0"/>
    <x v="0"/>
    <s v="OK"/>
    <n v="0.25"/>
    <n v="3110.3"/>
    <n v="1009.27"/>
    <n v="0.32450000000000001"/>
    <x v="0"/>
    <x v="0"/>
    <s v="CLEAN"/>
  </r>
  <r>
    <x v="464"/>
    <d v="2024-06-12T00:00:00"/>
    <d v="2024-06-19T00:00:00"/>
    <n v="7"/>
    <s v="OK"/>
    <s v="CUST-5647"/>
    <s v="Rohan Mehta"/>
    <x v="3"/>
    <x v="2"/>
    <s v="Tamil Nadu"/>
    <s v="Chennai"/>
    <x v="0"/>
    <x v="7"/>
    <s v="Classic Storage 918"/>
    <x v="3"/>
    <n v="4"/>
    <n v="395.1"/>
    <n v="-0.16"/>
    <s v="INVALID-NEGATIVE"/>
    <n v="1185.3"/>
    <n v="966.55"/>
    <n v="218.75"/>
    <x v="3"/>
    <x v="2"/>
    <s v="OK"/>
    <n v="0"/>
    <n v="1580.4"/>
    <n v="613.85"/>
    <n v="0.38840000000000002"/>
    <x v="2"/>
    <x v="0"/>
    <s v="INVALID"/>
  </r>
  <r>
    <x v="465"/>
    <d v="2024-06-04T00:00:00"/>
    <d v="2024-04-06T00:00:00"/>
    <n v="-59"/>
    <s v="INVALID"/>
    <s v="CUST-8575"/>
    <s v="Sneha Kapoor"/>
    <x v="3"/>
    <x v="2"/>
    <s v="Kerala"/>
    <s v="Kochi"/>
    <x v="0"/>
    <x v="7"/>
    <s v="Max Storage 223"/>
    <x v="2"/>
    <n v="6"/>
    <n v="2708.97"/>
    <n v="0.25"/>
    <s v="OK"/>
    <n v="12190.36"/>
    <n v="10176.99"/>
    <n v="2013.37"/>
    <x v="0"/>
    <x v="0"/>
    <s v="OK"/>
    <n v="0.25"/>
    <n v="12190.37"/>
    <n v="2013.38"/>
    <n v="0.16520000000000001"/>
    <x v="2"/>
    <x v="0"/>
    <s v="INVALID"/>
  </r>
  <r>
    <x v="466"/>
    <d v="2024-05-02T00:00:00"/>
    <d v="2024-05-09T00:00:00"/>
    <n v="7"/>
    <s v="OK"/>
    <s v="CUST-9576"/>
    <s v="Arjun Bose"/>
    <x v="0"/>
    <x v="1"/>
    <s v="Odisha"/>
    <s v="Bhubaneswar"/>
    <x v="2"/>
    <x v="4"/>
    <s v="Basic Accessories 602"/>
    <x v="0"/>
    <n v="4"/>
    <n v="2904.86"/>
    <n v="0"/>
    <s v="OK"/>
    <n v="11619.44"/>
    <n v="7184.32"/>
    <n v="4494.6400000000003"/>
    <x v="0"/>
    <x v="0"/>
    <s v="OK"/>
    <n v="0"/>
    <n v="11619.44"/>
    <n v="4435.12"/>
    <n v="0.38169999999999998"/>
    <x v="4"/>
    <x v="0"/>
    <s v="CLEAN"/>
  </r>
  <r>
    <x v="467"/>
    <d v="2024-10-27T00:00:00"/>
    <d v="2024-11-01T00:00:00"/>
    <n v="5"/>
    <s v="OK"/>
    <s v="CUST-2395"/>
    <s v="Aditi Sen"/>
    <x v="2"/>
    <x v="2"/>
    <s v="Tamil Nadu"/>
    <s v="Chennai"/>
    <x v="2"/>
    <x v="8"/>
    <s v="Elite Phones 394"/>
    <x v="3"/>
    <n v="6"/>
    <n v="4399.2"/>
    <n v="0.05"/>
    <s v="OK"/>
    <n v="25075.439999999999"/>
    <n v="16282.74"/>
    <n v="8792.7000000000007"/>
    <x v="0"/>
    <x v="0"/>
    <s v="OK"/>
    <n v="0.05"/>
    <n v="25075.439999999999"/>
    <n v="8792.7000000000007"/>
    <n v="0.35060000000000002"/>
    <x v="9"/>
    <x v="0"/>
    <s v="CLEAN"/>
  </r>
  <r>
    <x v="468"/>
    <d v="2024-02-02T00:00:00"/>
    <d v="2024-02-04T00:00:00"/>
    <n v="2"/>
    <s v="OK"/>
    <s v="CUST-8941"/>
    <s v="Vikram Iyer"/>
    <x v="3"/>
    <x v="0"/>
    <s v="Uttar Pradesh"/>
    <s v="Noida"/>
    <x v="0"/>
    <x v="7"/>
    <s v="Classic Storage 194"/>
    <x v="0"/>
    <n v="1"/>
    <n v="4397.32"/>
    <n v="0.05"/>
    <s v="OK"/>
    <n v="4177.45"/>
    <n v="2299.5"/>
    <n v="1877.95"/>
    <x v="0"/>
    <x v="0"/>
    <s v="OK"/>
    <n v="0.05"/>
    <n v="4177.45"/>
    <n v="1877.95"/>
    <n v="0.44950000000000001"/>
    <x v="8"/>
    <x v="0"/>
    <s v="CLEAN"/>
  </r>
  <r>
    <x v="469"/>
    <d v="2024-11-21T00:00:00"/>
    <d v="2024-11-22T00:00:00"/>
    <n v="1"/>
    <s v="OK"/>
    <s v="CUST-2328"/>
    <s v="Rahul Verma"/>
    <x v="3"/>
    <x v="2"/>
    <s v="Andhra Pradesh"/>
    <s v="Vijayawada"/>
    <x v="2"/>
    <x v="4"/>
    <s v="Eco Accessories 389"/>
    <x v="1"/>
    <n v="6"/>
    <n v="1043.49"/>
    <n v="0.25"/>
    <s v="OK"/>
    <n v="4695.7"/>
    <n v="3871.69"/>
    <n v="824.01"/>
    <x v="3"/>
    <x v="2"/>
    <s v="OK"/>
    <n v="0.25"/>
    <n v="4695.71"/>
    <n v="824.02"/>
    <n v="0.17549999999999999"/>
    <x v="3"/>
    <x v="0"/>
    <s v="INVALID"/>
  </r>
  <r>
    <x v="470"/>
    <d v="2024-02-20T00:00:00"/>
    <d v="2024-02-22T00:00:00"/>
    <n v="2"/>
    <s v="OK"/>
    <s v="CUST-4375"/>
    <s v="Neha Gupta"/>
    <x v="1"/>
    <x v="2"/>
    <s v="Telangana"/>
    <s v="Hyderabad"/>
    <x v="2"/>
    <x v="4"/>
    <s v="Pro Accessories 325"/>
    <x v="2"/>
    <n v="9"/>
    <n v="2186.23"/>
    <n v="0"/>
    <s v="OK"/>
    <n v="19676.07"/>
    <n v="12458.62"/>
    <n v="7217.45"/>
    <x v="2"/>
    <x v="2"/>
    <s v="OK"/>
    <n v="0"/>
    <n v="19676.07"/>
    <n v="7217.45"/>
    <n v="0.36680000000000001"/>
    <x v="8"/>
    <x v="0"/>
    <s v="CLEAN"/>
  </r>
  <r>
    <x v="471"/>
    <d v="2024-11-01T00:00:00"/>
    <d v="2024-11-02T00:00:00"/>
    <n v="1"/>
    <s v="OK"/>
    <s v="CUST-6262"/>
    <s v="Karan Malhotra"/>
    <x v="2"/>
    <x v="1"/>
    <s v="West Bengal"/>
    <s v="Kolkata"/>
    <x v="1"/>
    <x v="3"/>
    <s v="Prime Furnishings 178"/>
    <x v="3"/>
    <n v="5"/>
    <n v="2212.02"/>
    <n v="0.2"/>
    <s v="OK"/>
    <n v="8848.08"/>
    <n v="5691.56"/>
    <n v="3156.52"/>
    <x v="0"/>
    <x v="0"/>
    <s v="OK"/>
    <n v="0.2"/>
    <n v="8848.08"/>
    <n v="3156.52"/>
    <n v="0.35670000000000002"/>
    <x v="3"/>
    <x v="0"/>
    <s v="CLEAN"/>
  </r>
  <r>
    <x v="472"/>
    <d v="2024-08-10T00:00:00"/>
    <d v="2024-08-11T00:00:00"/>
    <n v="1"/>
    <s v="OK"/>
    <s v="CUST-6928"/>
    <s v="Mira Das"/>
    <x v="2"/>
    <x v="3"/>
    <s v="Maharashtra"/>
    <s v="Mumbai"/>
    <x v="2"/>
    <x v="6"/>
    <s v="Elite Copiers 752"/>
    <x v="2"/>
    <n v="7"/>
    <n v="3852.62"/>
    <n v="0.2"/>
    <s v="OK"/>
    <n v="21574.67"/>
    <n v="14672.83"/>
    <n v="6901.84"/>
    <x v="0"/>
    <x v="0"/>
    <s v="OK"/>
    <n v="0.2"/>
    <n v="21574.67"/>
    <n v="6901.84"/>
    <n v="0.31990000000000002"/>
    <x v="1"/>
    <x v="0"/>
    <s v="CLEAN"/>
  </r>
  <r>
    <x v="473"/>
    <d v="2024-11-18T00:00:00"/>
    <d v="2024-11-20T00:00:00"/>
    <n v="2"/>
    <s v="OK"/>
    <s v="CUST-9044"/>
    <s v="Priya Menon"/>
    <x v="0"/>
    <x v="3"/>
    <s v="Rajasthan"/>
    <s v="Udaipur"/>
    <x v="1"/>
    <x v="10"/>
    <s v="Pro Chairs 316"/>
    <x v="2"/>
    <n v="6"/>
    <n v="3790.22"/>
    <n v="0"/>
    <s v="OK"/>
    <n v="22741.32"/>
    <n v="16388.57"/>
    <n v="6352.75"/>
    <x v="0"/>
    <x v="0"/>
    <s v="OK"/>
    <n v="0"/>
    <n v="22741.32"/>
    <n v="6352.75"/>
    <n v="0.27929999999999999"/>
    <x v="3"/>
    <x v="0"/>
    <s v="CLEAN"/>
  </r>
  <r>
    <x v="474"/>
    <d v="2024-01-22T00:00:00"/>
    <d v="2024-01-22T00:00:00"/>
    <n v="0"/>
    <s v="OK"/>
    <s v="CUST-8534"/>
    <s v="Karan Malhotra"/>
    <x v="2"/>
    <x v="1"/>
    <s v="West Bengal"/>
    <s v="Kolkata"/>
    <x v="0"/>
    <x v="0"/>
    <s v="Basic Paper 904"/>
    <x v="2"/>
    <n v="8"/>
    <n v="1557.21"/>
    <n v="0.05"/>
    <s v="OK"/>
    <n v="11834.8"/>
    <n v="9322.36"/>
    <n v="2512.44"/>
    <x v="0"/>
    <x v="0"/>
    <s v="OK"/>
    <n v="0.05"/>
    <n v="11834.8"/>
    <n v="2512.44"/>
    <n v="0.21229999999999999"/>
    <x v="6"/>
    <x v="0"/>
    <s v="CLEAN"/>
  </r>
  <r>
    <x v="475"/>
    <d v="2024-08-03T00:00:00"/>
    <d v="2024-03-15T00:00:00"/>
    <n v="-141"/>
    <s v="INVALID"/>
    <s v="CUST-5287"/>
    <s v="Aarav Sharma"/>
    <x v="1"/>
    <x v="4"/>
    <s v="Punjab"/>
    <s v="Ludhiana"/>
    <x v="1"/>
    <x v="10"/>
    <s v="Basic Chairs 327"/>
    <x v="2"/>
    <n v="5"/>
    <n v="3234.77"/>
    <n v="0"/>
    <s v="OK"/>
    <n v="16173.85"/>
    <n v="13636.34"/>
    <n v="2537.5100000000002"/>
    <x v="0"/>
    <x v="0"/>
    <s v="OK"/>
    <n v="0"/>
    <n v="16173.85"/>
    <n v="2537.5100000000002"/>
    <n v="0.15690000000000001"/>
    <x v="1"/>
    <x v="0"/>
    <s v="INVALID"/>
  </r>
  <r>
    <x v="476"/>
    <d v="2024-12-01T00:00:00"/>
    <d v="2024-05-12T00:00:00"/>
    <n v="-203"/>
    <s v="INVALID"/>
    <s v="CUST-3445"/>
    <s v="Ananya Rao"/>
    <x v="1"/>
    <x v="2"/>
    <s v="Andhra Pradesh"/>
    <s v="Vijayawada"/>
    <x v="2"/>
    <x v="6"/>
    <s v="Eco Copiers 987"/>
    <x v="0"/>
    <n v="9"/>
    <n v="3726.75"/>
    <n v="0.25"/>
    <s v="OK"/>
    <n v="25155.56"/>
    <n v="17592.689999999999"/>
    <n v="7562.87"/>
    <x v="0"/>
    <x v="0"/>
    <s v="OK"/>
    <n v="0.25"/>
    <n v="25155.56"/>
    <n v="7562.87"/>
    <n v="0.30059999999999998"/>
    <x v="5"/>
    <x v="0"/>
    <s v="INVALID"/>
  </r>
  <r>
    <x v="477"/>
    <d v="2024-01-05T00:00:00"/>
    <d v="2024-01-05T00:00:00"/>
    <n v="0"/>
    <s v="OK"/>
    <s v="CUST-3446"/>
    <s v="Diya Patel"/>
    <x v="0"/>
    <x v="0"/>
    <s v="Rajasthan"/>
    <s v="Jaipur"/>
    <x v="1"/>
    <x v="1"/>
    <s v="Pro Tables 866"/>
    <x v="3"/>
    <n v="1"/>
    <n v="2167.08"/>
    <n v="0.25"/>
    <s v="OK"/>
    <n v="1625.31"/>
    <n v="1157.8900000000001"/>
    <n v="467.42"/>
    <x v="0"/>
    <x v="0"/>
    <s v="OK"/>
    <n v="0.25"/>
    <n v="1625.31"/>
    <n v="467.42"/>
    <n v="0.28760000000000002"/>
    <x v="6"/>
    <x v="0"/>
    <s v="CLEAN"/>
  </r>
  <r>
    <x v="478"/>
    <d v="2024-06-12T00:00:00"/>
    <d v="2024-06-18T00:00:00"/>
    <n v="6"/>
    <s v="OK"/>
    <s v="CUST-2795"/>
    <s v="Aarav Sharma"/>
    <x v="1"/>
    <x v="2"/>
    <s v="Andhra Pradesh"/>
    <s v="Vijayawada"/>
    <x v="0"/>
    <x v="2"/>
    <s v="Prime Art 596"/>
    <x v="3"/>
    <n v="4"/>
    <n v="4176.13"/>
    <n v="0"/>
    <s v="OK"/>
    <n v="16704.52"/>
    <n v="10158.280000000001"/>
    <n v="6546.24"/>
    <x v="0"/>
    <x v="0"/>
    <s v="OK"/>
    <n v="0"/>
    <n v="16704.52"/>
    <n v="6546.24"/>
    <n v="0.39190000000000003"/>
    <x v="2"/>
    <x v="0"/>
    <s v="CLEAN"/>
  </r>
  <r>
    <x v="479"/>
    <d v="2024-05-15T00:00:00"/>
    <d v="2024-05-21T00:00:00"/>
    <n v="6"/>
    <s v="OK"/>
    <s v="CUST-3992"/>
    <s v="Karan Malhotra"/>
    <x v="0"/>
    <x v="3"/>
    <s v="Goa"/>
    <s v="Panaji"/>
    <x v="0"/>
    <x v="7"/>
    <s v="Smart Storage 288"/>
    <x v="3"/>
    <n v="6"/>
    <n v="2909.56"/>
    <n v="0.2"/>
    <s v="OK"/>
    <n v="13965.89"/>
    <n v="11646.12"/>
    <n v="2319.77"/>
    <x v="0"/>
    <x v="0"/>
    <s v="OK"/>
    <n v="0.2"/>
    <n v="13965.89"/>
    <n v="2319.77"/>
    <n v="0.1661"/>
    <x v="4"/>
    <x v="0"/>
    <s v="CLEAN"/>
  </r>
  <r>
    <x v="480"/>
    <d v="2024-10-08T00:00:00"/>
    <d v="2024-09-10T00:00:00"/>
    <n v="-28"/>
    <s v="INVALID"/>
    <s v="CUST-6647"/>
    <s v="Kabir Singh"/>
    <x v="2"/>
    <x v="2"/>
    <s v="Tamil Nadu"/>
    <s v="Chennai"/>
    <x v="2"/>
    <x v="12"/>
    <s v="Elite Machines 281"/>
    <x v="1"/>
    <n v="5"/>
    <n v="2407.9699999999998"/>
    <n v="0.1"/>
    <s v="OK"/>
    <n v="10835.86"/>
    <n v="6419.92"/>
    <n v="4415.9399999999996"/>
    <x v="3"/>
    <x v="2"/>
    <s v="OK"/>
    <n v="0.1"/>
    <n v="10835.87"/>
    <n v="4415.95"/>
    <n v="0.40749999999999997"/>
    <x v="9"/>
    <x v="0"/>
    <s v="INVALID"/>
  </r>
  <r>
    <x v="481"/>
    <d v="2024-06-06T00:00:00"/>
    <d v="2024-06-08T00:00:00"/>
    <n v="2"/>
    <s v="OK"/>
    <s v="CUST-9297"/>
    <s v="Aarav Sharma"/>
    <x v="2"/>
    <x v="2"/>
    <s v="Karnataka"/>
    <s v="Bengaluru"/>
    <x v="1"/>
    <x v="1"/>
    <s v="Max Tables 291"/>
    <x v="0"/>
    <n v="3"/>
    <n v="395.49"/>
    <n v="0.05"/>
    <s v="OK"/>
    <n v="1127.1500000000001"/>
    <n v="845.62"/>
    <n v="281.52999999999997"/>
    <x v="0"/>
    <x v="1"/>
    <s v="OK"/>
    <n v="0.05"/>
    <n v="1127.1500000000001"/>
    <n v="281.52999999999997"/>
    <n v="0.24979999999999999"/>
    <x v="2"/>
    <x v="0"/>
    <s v="CLEAN"/>
  </r>
  <r>
    <x v="482"/>
    <d v="2024-02-22T00:00:00"/>
    <d v="2024-02-29T00:00:00"/>
    <n v="7"/>
    <s v="OK"/>
    <s v="CUST-7996"/>
    <s v="Isha Nair"/>
    <x v="3"/>
    <x v="2"/>
    <s v="Telangana"/>
    <s v="Hyderabad"/>
    <x v="1"/>
    <x v="1"/>
    <s v="Classic Tables 638"/>
    <x v="2"/>
    <n v="6"/>
    <n v="4254.05"/>
    <n v="0"/>
    <s v="OK"/>
    <n v="25524.3"/>
    <n v="16711.93"/>
    <n v="8812.3700000000008"/>
    <x v="0"/>
    <x v="0"/>
    <s v="OK"/>
    <n v="0"/>
    <n v="25524.3"/>
    <n v="8812.3700000000008"/>
    <n v="0.3453"/>
    <x v="8"/>
    <x v="0"/>
    <s v="CLEAN"/>
  </r>
  <r>
    <x v="483"/>
    <d v="2024-11-05T00:00:00"/>
    <d v="2024-11-10T00:00:00"/>
    <n v="5"/>
    <s v="OK"/>
    <s v="CUST-4117"/>
    <s v="Arjun Bose"/>
    <x v="0"/>
    <x v="2"/>
    <s v="Kerala"/>
    <s v="Kochi"/>
    <x v="1"/>
    <x v="10"/>
    <s v="Basic Chairs 212"/>
    <x v="1"/>
    <n v="4"/>
    <n v="711.18"/>
    <n v="0.15"/>
    <s v="OK"/>
    <n v="2418.0100000000002"/>
    <n v="1441.89"/>
    <n v="976.12"/>
    <x v="1"/>
    <x v="1"/>
    <s v="OK"/>
    <n v="0.15"/>
    <n v="2418.0100000000002"/>
    <n v="976.12"/>
    <n v="0.4037"/>
    <x v="3"/>
    <x v="0"/>
    <s v="CLEAN"/>
  </r>
  <r>
    <x v="484"/>
    <d v="2024-12-24T00:00:00"/>
    <d v="2024-12-25T00:00:00"/>
    <n v="1"/>
    <s v="OK"/>
    <s v="CUST-4848"/>
    <s v="Ananya Rao"/>
    <x v="1"/>
    <x v="2"/>
    <s v="Tamil Nadu"/>
    <s v="Chennai"/>
    <x v="2"/>
    <x v="6"/>
    <s v="Max Copiers 121"/>
    <x v="0"/>
    <n v="1"/>
    <n v="3693.03"/>
    <n v="0.05"/>
    <s v="OK"/>
    <n v="3508.38"/>
    <n v="2828.06"/>
    <n v="680.32"/>
    <x v="3"/>
    <x v="1"/>
    <s v="OK"/>
    <n v="0.05"/>
    <n v="3508.38"/>
    <n v="680.32"/>
    <n v="0.19389999999999999"/>
    <x v="5"/>
    <x v="0"/>
    <s v="INVALID"/>
  </r>
  <r>
    <x v="485"/>
    <d v="2024-06-02T00:00:00"/>
    <d v="2024-06-08T00:00:00"/>
    <n v="6"/>
    <s v="OK"/>
    <s v="CUST-6046"/>
    <s v="Vikram Iyer"/>
    <x v="0"/>
    <x v="0"/>
    <s v="Delhi"/>
    <s v="New Delhi"/>
    <x v="1"/>
    <x v="1"/>
    <s v="Classic Tables 535"/>
    <x v="2"/>
    <n v="4"/>
    <n v="1536.7"/>
    <n v="0.2"/>
    <s v="OK"/>
    <n v="4917.4399999999996"/>
    <n v="3846.77"/>
    <n v="1070.67"/>
    <x v="0"/>
    <x v="0"/>
    <s v="OK"/>
    <n v="0.2"/>
    <n v="4917.4399999999996"/>
    <n v="1070.67"/>
    <n v="0.2177"/>
    <x v="2"/>
    <x v="0"/>
    <s v="CLEAN"/>
  </r>
  <r>
    <x v="486"/>
    <d v="2025-08-29T00:00:00"/>
    <d v="2025-09-01T00:00:00"/>
    <n v="3"/>
    <s v="OK"/>
    <s v="CUST-8130"/>
    <s v="Ananya Rao"/>
    <x v="1"/>
    <x v="3"/>
    <s v="Maharashtra"/>
    <s v="Mumbai"/>
    <x v="1"/>
    <x v="10"/>
    <s v="Elite Chairs 543"/>
    <x v="2"/>
    <n v="7"/>
    <n v="2973.76"/>
    <n v="0"/>
    <s v="OK"/>
    <n v="20816.32"/>
    <n v="17705.37"/>
    <n v="3110.95"/>
    <x v="0"/>
    <x v="2"/>
    <s v="OK"/>
    <n v="0"/>
    <n v="20816.32"/>
    <n v="3110.95"/>
    <n v="0.14940000000000001"/>
    <x v="1"/>
    <x v="1"/>
    <s v="CLEAN"/>
  </r>
  <r>
    <x v="487"/>
    <d v="2025-04-10T00:00:00"/>
    <d v="2025-04-16T00:00:00"/>
    <n v="6"/>
    <s v="OK"/>
    <s v="CUST-3656"/>
    <s v="Neha Gupta"/>
    <x v="0"/>
    <x v="1"/>
    <s v="Odisha"/>
    <s v="Bhubaneswar"/>
    <x v="2"/>
    <x v="6"/>
    <s v="Eco Copiers 790"/>
    <x v="3"/>
    <n v="4"/>
    <n v="1719.87"/>
    <n v="0.15"/>
    <s v="OK"/>
    <n v="5847.56"/>
    <n v="4727.25"/>
    <n v="1120.31"/>
    <x v="0"/>
    <x v="0"/>
    <s v="OK"/>
    <n v="0.15"/>
    <n v="5847.56"/>
    <n v="1120.31"/>
    <n v="0.19159999999999999"/>
    <x v="10"/>
    <x v="1"/>
    <s v="CLEAN"/>
  </r>
  <r>
    <x v="488"/>
    <d v="2025-02-23T00:00:00"/>
    <d v="2025-02-26T00:00:00"/>
    <n v="3"/>
    <s v="OK"/>
    <s v="CUST-4683"/>
    <s v="Isha Nair"/>
    <x v="1"/>
    <x v="2"/>
    <s v="Andhra Pradesh"/>
    <s v="Vijayawada"/>
    <x v="0"/>
    <x v="2"/>
    <s v="Eco Art 848"/>
    <x v="2"/>
    <n v="1"/>
    <n v="2980.71"/>
    <n v="0"/>
    <s v="OK"/>
    <n v="2980.71"/>
    <n v="2357.2199999999998"/>
    <n v="623.49"/>
    <x v="0"/>
    <x v="0"/>
    <s v="OK"/>
    <n v="0"/>
    <n v="2980.71"/>
    <n v="623.49"/>
    <n v="0.2092"/>
    <x v="8"/>
    <x v="1"/>
    <s v="CLEAN"/>
  </r>
  <r>
    <x v="489"/>
    <d v="2025-07-09T00:00:00"/>
    <d v="2025-09-12T00:00:00"/>
    <n v="65"/>
    <s v="OK"/>
    <s v="CUST-2483"/>
    <s v="Mira Das"/>
    <x v="3"/>
    <x v="2"/>
    <s v="Telangana"/>
    <s v="Hyderabad"/>
    <x v="0"/>
    <x v="0"/>
    <s v="Pro Paper 622"/>
    <x v="0"/>
    <n v="9"/>
    <n v="852.04"/>
    <n v="0.2"/>
    <s v="OK"/>
    <n v="6134.69"/>
    <n v="3800.19"/>
    <n v="2334.5"/>
    <x v="0"/>
    <x v="0"/>
    <s v="OK"/>
    <n v="0.2"/>
    <n v="6134.69"/>
    <n v="2334.5"/>
    <n v="0.3805"/>
    <x v="0"/>
    <x v="1"/>
    <s v="CLEAN"/>
  </r>
  <r>
    <x v="490"/>
    <d v="2025-05-20T00:00:00"/>
    <d v="2025-05-20T00:00:00"/>
    <n v="0"/>
    <s v="OK"/>
    <s v="CUST-8092"/>
    <s v="Ananya Rao"/>
    <x v="2"/>
    <x v="1"/>
    <s v="West Bengal"/>
    <s v="Kolkata"/>
    <x v="0"/>
    <x v="5"/>
    <s v="Prime Labels 644"/>
    <x v="0"/>
    <n v="3"/>
    <n v="3534.83"/>
    <n v="0.05"/>
    <s v="OK"/>
    <n v="10074.27"/>
    <n v="6048.27"/>
    <n v="4026"/>
    <x v="2"/>
    <x v="1"/>
    <s v="OK"/>
    <n v="0.05"/>
    <n v="10074.27"/>
    <n v="4026"/>
    <n v="0.39960000000000001"/>
    <x v="4"/>
    <x v="1"/>
    <s v="CLEAN"/>
  </r>
  <r>
    <x v="491"/>
    <d v="2025-10-12T00:00:00"/>
    <d v="2025-10-16T00:00:00"/>
    <n v="4"/>
    <s v="OK"/>
    <s v="CUST-7482"/>
    <s v="Priya Menon"/>
    <x v="1"/>
    <x v="3"/>
    <s v="Maharashtra"/>
    <s v="Mumbai"/>
    <x v="0"/>
    <x v="2"/>
    <s v="Smart Art 795"/>
    <x v="0"/>
    <n v="7"/>
    <n v="3964.72"/>
    <n v="0.05"/>
    <s v="OK"/>
    <n v="26365.39"/>
    <n v="22306.240000000002"/>
    <n v="4059.15"/>
    <x v="0"/>
    <x v="0"/>
    <s v="OK"/>
    <n v="0.05"/>
    <n v="26365.39"/>
    <n v="4059.15"/>
    <n v="0.154"/>
    <x v="9"/>
    <x v="1"/>
    <s v="CLEAN"/>
  </r>
  <r>
    <x v="492"/>
    <d v="2025-07-15T00:00:00"/>
    <d v="2025-07-17T00:00:00"/>
    <n v="2"/>
    <s v="OK"/>
    <s v="CUST-2110"/>
    <s v="Aarav Sharma"/>
    <x v="3"/>
    <x v="0"/>
    <s v="Uttar Pradesh"/>
    <s v="Noida"/>
    <x v="2"/>
    <x v="6"/>
    <s v="Eco Copiers 755"/>
    <x v="2"/>
    <n v="2"/>
    <n v="1997.99"/>
    <n v="0"/>
    <s v="OK"/>
    <n v="3995.98"/>
    <n v="2633.2"/>
    <n v="1362.78"/>
    <x v="2"/>
    <x v="2"/>
    <s v="OK"/>
    <n v="0"/>
    <n v="3995.98"/>
    <n v="1362.78"/>
    <n v="0.34100000000000003"/>
    <x v="0"/>
    <x v="1"/>
    <s v="CLEAN"/>
  </r>
  <r>
    <x v="493"/>
    <d v="2025-01-21T00:00:00"/>
    <d v="2025-01-23T00:00:00"/>
    <n v="2"/>
    <s v="OK"/>
    <s v="CUST-3190"/>
    <s v="Aditi Sen"/>
    <x v="3"/>
    <x v="1"/>
    <s v="Bihar"/>
    <s v="Patna"/>
    <x v="2"/>
    <x v="6"/>
    <s v="Elite Copiers 233"/>
    <x v="2"/>
    <n v="5"/>
    <n v="4373.0600000000004"/>
    <n v="0.25"/>
    <s v="OK"/>
    <n v="16398.98"/>
    <n v="9556.52"/>
    <n v="6842.46"/>
    <x v="0"/>
    <x v="0"/>
    <s v="OK"/>
    <n v="0.25"/>
    <n v="16398.98"/>
    <n v="6842.46"/>
    <n v="0.41720000000000002"/>
    <x v="6"/>
    <x v="1"/>
    <s v="CLEAN"/>
  </r>
  <r>
    <x v="494"/>
    <d v="2025-01-24T00:00:00"/>
    <d v="2025-01-30T00:00:00"/>
    <n v="6"/>
    <s v="OK"/>
    <s v="CUST-3036"/>
    <s v="Sneha Kapoor"/>
    <x v="0"/>
    <x v="3"/>
    <s v="Madhya Pradesh"/>
    <s v="Indore"/>
    <x v="1"/>
    <x v="3"/>
    <s v="Eco Furnishings 897"/>
    <x v="0"/>
    <n v="4"/>
    <n v="697.69"/>
    <n v="-0.23"/>
    <s v="INVALID-NEGATIVE"/>
    <n v="2790.76"/>
    <n v="2037.71"/>
    <n v="753.05"/>
    <x v="0"/>
    <x v="0"/>
    <s v="OK"/>
    <n v="0"/>
    <n v="2790.76"/>
    <n v="753.05"/>
    <n v="0.26979999999999998"/>
    <x v="6"/>
    <x v="1"/>
    <s v="INVALID"/>
  </r>
  <r>
    <x v="495"/>
    <d v="2025-01-19T00:00:00"/>
    <d v="2025-01-21T00:00:00"/>
    <n v="2"/>
    <s v="OK"/>
    <s v="CUST-3588"/>
    <s v="Mira Das"/>
    <x v="0"/>
    <x v="2"/>
    <s v="Telangana"/>
    <s v="Hyderabad"/>
    <x v="0"/>
    <x v="11"/>
    <s v="Max Binders 355"/>
    <x v="3"/>
    <n v="8"/>
    <n v="1219.3399999999999"/>
    <n v="0.15"/>
    <s v="OK"/>
    <n v="8291.51"/>
    <n v="6685.03"/>
    <n v="1606.48"/>
    <x v="3"/>
    <x v="1"/>
    <s v="OK"/>
    <n v="0.15"/>
    <n v="8291.51"/>
    <n v="1606.48"/>
    <n v="0.19370000000000001"/>
    <x v="6"/>
    <x v="1"/>
    <s v="INVALID"/>
  </r>
  <r>
    <x v="496"/>
    <d v="2025-08-29T00:00:00"/>
    <d v="2025-08-31T00:00:00"/>
    <n v="2"/>
    <s v="OK"/>
    <s v="CUST-7098"/>
    <s v="Rahul Verma"/>
    <x v="3"/>
    <x v="1"/>
    <s v="Bihar"/>
    <s v="Patna"/>
    <x v="1"/>
    <x v="9"/>
    <s v="Pro Bookcases 394"/>
    <x v="2"/>
    <n v="4"/>
    <n v="1958.01"/>
    <n v="0.2"/>
    <s v="OK"/>
    <n v="6265.63"/>
    <n v="4321.8599999999997"/>
    <n v="1943.77"/>
    <x v="0"/>
    <x v="0"/>
    <s v="OK"/>
    <n v="0.2"/>
    <n v="6265.63"/>
    <n v="1943.77"/>
    <n v="0.31019999999999998"/>
    <x v="1"/>
    <x v="1"/>
    <s v="CLEAN"/>
  </r>
  <r>
    <x v="497"/>
    <d v="2025-09-29T00:00:00"/>
    <d v="2025-05-10T00:00:00"/>
    <n v="-142"/>
    <s v="INVALID"/>
    <s v="CUST-9875"/>
    <s v="Arjun Bose"/>
    <x v="1"/>
    <x v="2"/>
    <s v="Karnataka"/>
    <s v="Bengaluru"/>
    <x v="0"/>
    <x v="0"/>
    <s v="Basic Paper 613"/>
    <x v="0"/>
    <n v="5"/>
    <n v="1806.51"/>
    <n v="0.25"/>
    <s v="OK"/>
    <n v="6774.41"/>
    <n v="4710.3599999999997"/>
    <n v="2064.0500000000002"/>
    <x v="3"/>
    <x v="1"/>
    <s v="OK"/>
    <n v="0.25"/>
    <n v="6774.41"/>
    <n v="2064.0500000000002"/>
    <n v="0.30470000000000003"/>
    <x v="11"/>
    <x v="1"/>
    <s v="INVALID"/>
  </r>
  <r>
    <x v="498"/>
    <d v="2025-08-13T00:00:00"/>
    <d v="2025-08-13T00:00:00"/>
    <n v="0"/>
    <s v="OK"/>
    <s v="CUST-5936"/>
    <s v="Rohan Mehta"/>
    <x v="3"/>
    <x v="2"/>
    <s v="Kerala"/>
    <s v="Kochi"/>
    <x v="2"/>
    <x v="8"/>
    <s v="Pro Phones 442"/>
    <x v="3"/>
    <n v="1"/>
    <n v="256.01"/>
    <n v="0.15"/>
    <s v="OK"/>
    <n v="217.61"/>
    <n v="119.77"/>
    <n v="97.84"/>
    <x v="0"/>
    <x v="0"/>
    <s v="OK"/>
    <n v="0.15"/>
    <n v="217.61"/>
    <n v="97.84"/>
    <n v="0.4496"/>
    <x v="1"/>
    <x v="1"/>
    <s v="CLEAN"/>
  </r>
  <r>
    <x v="499"/>
    <d v="2025-06-15T00:00:00"/>
    <d v="2025-06-19T00:00:00"/>
    <n v="4"/>
    <s v="OK"/>
    <s v="CUST-7867"/>
    <s v="Karan Malhotra"/>
    <x v="1"/>
    <x v="3"/>
    <s v="Madhya Pradesh"/>
    <s v="Indore"/>
    <x v="0"/>
    <x v="0"/>
    <s v="Pro Paper 959"/>
    <x v="0"/>
    <n v="9"/>
    <n v="3092.55"/>
    <n v="0"/>
    <s v="OK"/>
    <n v="27832.95"/>
    <n v="17769.75"/>
    <n v="10063.200000000001"/>
    <x v="3"/>
    <x v="1"/>
    <s v="OK"/>
    <n v="0"/>
    <n v="27832.95"/>
    <n v="10063.200000000001"/>
    <n v="0.36159999999999998"/>
    <x v="2"/>
    <x v="1"/>
    <s v="INVALID"/>
  </r>
  <r>
    <x v="500"/>
    <d v="2025-01-31T00:00:00"/>
    <d v="2025-02-05T00:00:00"/>
    <n v="5"/>
    <s v="OK"/>
    <s v="CUST-2392"/>
    <s v="Priya Menon"/>
    <x v="3"/>
    <x v="1"/>
    <s v="West Bengal"/>
    <s v="Kolkata"/>
    <x v="1"/>
    <x v="10"/>
    <s v="Elite Chairs 862"/>
    <x v="4"/>
    <n v="2"/>
    <n v="4159.6899999999996"/>
    <n v="0.2"/>
    <s v="OK"/>
    <n v="6655.5"/>
    <n v="4340.21"/>
    <n v="2607.3200000000002"/>
    <x v="0"/>
    <x v="0"/>
    <s v="OK"/>
    <n v="0.2"/>
    <n v="6655.5"/>
    <n v="2315.29"/>
    <n v="0.34789999999999999"/>
    <x v="6"/>
    <x v="1"/>
    <s v="WARNING"/>
  </r>
  <r>
    <x v="501"/>
    <d v="2025-07-29T00:00:00"/>
    <d v="2025-07-29T00:00:00"/>
    <n v="0"/>
    <s v="OK"/>
    <s v="CUST-4646"/>
    <s v="Diya Patel"/>
    <x v="0"/>
    <x v="3"/>
    <s v="Maharashtra"/>
    <s v="Mumbai"/>
    <x v="2"/>
    <x v="6"/>
    <s v="Pro Copiers 830"/>
    <x v="3"/>
    <n v="4"/>
    <n v="1327.54"/>
    <n v="0.2"/>
    <s v="OK"/>
    <n v="4248.13"/>
    <n v="3321.09"/>
    <n v="927.04"/>
    <x v="0"/>
    <x v="0"/>
    <s v="OK"/>
    <n v="0.2"/>
    <n v="4248.13"/>
    <n v="927.04"/>
    <n v="0.21820000000000001"/>
    <x v="0"/>
    <x v="1"/>
    <s v="CLEAN"/>
  </r>
  <r>
    <x v="502"/>
    <d v="2025-10-10T00:00:00"/>
    <d v="2025-10-15T00:00:00"/>
    <n v="5"/>
    <s v="OK"/>
    <s v="CUST-6708"/>
    <s v="Arjun Bose"/>
    <x v="2"/>
    <x v="1"/>
    <s v="Jharkhand"/>
    <s v="Ranchi"/>
    <x v="2"/>
    <x v="8"/>
    <s v="Eco Phones 702"/>
    <x v="3"/>
    <n v="8"/>
    <n v="979.87"/>
    <n v="0.05"/>
    <s v="OK"/>
    <n v="7447.01"/>
    <n v="4496.22"/>
    <n v="2950.79"/>
    <x v="0"/>
    <x v="0"/>
    <s v="OK"/>
    <n v="0.05"/>
    <n v="7447.01"/>
    <n v="2950.79"/>
    <n v="0.3962"/>
    <x v="9"/>
    <x v="1"/>
    <s v="CLEAN"/>
  </r>
  <r>
    <x v="503"/>
    <d v="2025-01-30T00:00:00"/>
    <d v="2025-02-05T00:00:00"/>
    <n v="6"/>
    <s v="OK"/>
    <s v="CUST-8183"/>
    <s v="Neha Gupta"/>
    <x v="2"/>
    <x v="3"/>
    <s v="Maharashtra"/>
    <s v="Mumbai"/>
    <x v="1"/>
    <x v="10"/>
    <s v="Basic Chairs 837"/>
    <x v="0"/>
    <n v="7"/>
    <n v="4063.66"/>
    <n v="0"/>
    <s v="OK"/>
    <n v="28445.62"/>
    <n v="20938.59"/>
    <n v="7507.03"/>
    <x v="0"/>
    <x v="0"/>
    <s v="OK"/>
    <n v="0"/>
    <n v="28445.62"/>
    <n v="7507.03"/>
    <n v="0.26390000000000002"/>
    <x v="6"/>
    <x v="1"/>
    <s v="CLEAN"/>
  </r>
  <r>
    <x v="504"/>
    <d v="2025-05-11T00:00:00"/>
    <d v="2025-05-19T00:00:00"/>
    <n v="8"/>
    <s v="OK"/>
    <s v="CUST-8787"/>
    <s v="Sneha Kapoor"/>
    <x v="0"/>
    <x v="1"/>
    <s v="West Bengal"/>
    <s v="Kolkata"/>
    <x v="2"/>
    <x v="6"/>
    <s v="Pro Copiers 963"/>
    <x v="3"/>
    <n v="1"/>
    <n v="2382.8000000000002"/>
    <n v="0.15"/>
    <s v="OK"/>
    <n v="2025.38"/>
    <n v="1140.6500000000001"/>
    <n v="884.73"/>
    <x v="0"/>
    <x v="0"/>
    <s v="OK"/>
    <n v="0.15"/>
    <n v="2025.38"/>
    <n v="884.73"/>
    <n v="0.43680000000000002"/>
    <x v="4"/>
    <x v="1"/>
    <s v="CLEAN"/>
  </r>
  <r>
    <x v="505"/>
    <d v="2025-03-31T00:00:00"/>
    <d v="2025-03-31T00:00:00"/>
    <n v="0"/>
    <s v="OK"/>
    <s v="CUST-7195"/>
    <s v="Kabir Singh"/>
    <x v="3"/>
    <x v="3"/>
    <s v="Gujarat"/>
    <s v="Ahmedabad"/>
    <x v="0"/>
    <x v="7"/>
    <s v="Elite Storage 924"/>
    <x v="2"/>
    <n v="5"/>
    <n v="1207.47"/>
    <n v="0.15"/>
    <s v="OK"/>
    <n v="5131.75"/>
    <n v="2838.68"/>
    <n v="2293.0700000000002"/>
    <x v="0"/>
    <x v="0"/>
    <s v="OK"/>
    <n v="0.15"/>
    <n v="5131.75"/>
    <n v="2293.0700000000002"/>
    <n v="0.44679999999999997"/>
    <x v="7"/>
    <x v="1"/>
    <s v="CLEAN"/>
  </r>
  <r>
    <x v="506"/>
    <d v="2025-05-30T00:00:00"/>
    <d v="2025-06-02T00:00:00"/>
    <n v="3"/>
    <s v="OK"/>
    <s v="CUST-9039"/>
    <s v="Arjun Bose"/>
    <x v="2"/>
    <x v="2"/>
    <s v="Tamil Nadu"/>
    <s v="Chennai"/>
    <x v="0"/>
    <x v="5"/>
    <s v="Pro Labels 957"/>
    <x v="1"/>
    <n v="8"/>
    <n v="474.37"/>
    <n v="0.1"/>
    <s v="OK"/>
    <n v="3415.46"/>
    <n v="1993.23"/>
    <n v="1422.23"/>
    <x v="3"/>
    <x v="2"/>
    <s v="OK"/>
    <n v="0.1"/>
    <n v="3415.46"/>
    <n v="1422.23"/>
    <n v="0.41639999999999999"/>
    <x v="4"/>
    <x v="1"/>
    <s v="INVALID"/>
  </r>
  <r>
    <x v="507"/>
    <d v="2025-01-07T00:00:00"/>
    <d v="2025-03-07T00:00:00"/>
    <n v="59"/>
    <s v="OK"/>
    <s v="CUST-9821"/>
    <s v="Mira Das"/>
    <x v="1"/>
    <x v="2"/>
    <s v="Andhra Pradesh"/>
    <s v="Vijayawada"/>
    <x v="2"/>
    <x v="12"/>
    <s v="Classic Machines 310"/>
    <x v="1"/>
    <n v="3"/>
    <n v="1516.24"/>
    <n v="0.25"/>
    <s v="OK"/>
    <n v="3411.54"/>
    <n v="2803.13"/>
    <n v="608.41"/>
    <x v="0"/>
    <x v="0"/>
    <s v="OK"/>
    <n v="0.25"/>
    <n v="3411.54"/>
    <n v="608.41"/>
    <n v="0.17829999999999999"/>
    <x v="6"/>
    <x v="1"/>
    <s v="CLEAN"/>
  </r>
  <r>
    <x v="508"/>
    <d v="2025-01-05T00:00:00"/>
    <d v="2025-06-01T00:00:00"/>
    <n v="147"/>
    <s v="OK"/>
    <s v="CUST-8701"/>
    <s v="Karan Malhotra"/>
    <x v="0"/>
    <x v="2"/>
    <s v="Karnataka"/>
    <s v="Bengaluru"/>
    <x v="0"/>
    <x v="11"/>
    <s v="Smart Binders 393"/>
    <x v="0"/>
    <n v="3"/>
    <n v="3155.61"/>
    <n v="0"/>
    <s v="OK"/>
    <n v="9466.83"/>
    <n v="6557.83"/>
    <n v="2909"/>
    <x v="2"/>
    <x v="2"/>
    <s v="OK"/>
    <n v="0"/>
    <n v="9466.83"/>
    <n v="2909"/>
    <n v="0.30730000000000002"/>
    <x v="6"/>
    <x v="1"/>
    <s v="CLEAN"/>
  </r>
  <r>
    <x v="509"/>
    <d v="2025-08-28T00:00:00"/>
    <d v="2025-09-01T00:00:00"/>
    <n v="4"/>
    <s v="OK"/>
    <s v="CUST-1504"/>
    <s v="Karan Malhotra"/>
    <x v="1"/>
    <x v="2"/>
    <s v="Tamil Nadu"/>
    <s v="Chennai"/>
    <x v="2"/>
    <x v="4"/>
    <s v="Elite Accessories 187"/>
    <x v="1"/>
    <n v="7"/>
    <n v="1057.46"/>
    <n v="0.05"/>
    <s v="OK"/>
    <n v="7032.11"/>
    <n v="4610.34"/>
    <n v="2421.77"/>
    <x v="0"/>
    <x v="0"/>
    <s v="OK"/>
    <n v="0.05"/>
    <n v="7032.11"/>
    <n v="2421.77"/>
    <n v="0.34439999999999998"/>
    <x v="1"/>
    <x v="1"/>
    <s v="CLEAN"/>
  </r>
  <r>
    <x v="510"/>
    <d v="2025-02-03T00:00:00"/>
    <d v="2025-07-02T00:00:00"/>
    <n v="149"/>
    <s v="OK"/>
    <s v="CUST-8282"/>
    <s v="Kabir Singh"/>
    <x v="0"/>
    <x v="0"/>
    <s v="Haryana"/>
    <s v="Gurugram"/>
    <x v="0"/>
    <x v="0"/>
    <s v="Eco Paper 922"/>
    <x v="2"/>
    <n v="7"/>
    <n v="3609.34"/>
    <n v="0.05"/>
    <s v="OK"/>
    <n v="24002.11"/>
    <n v="18707.57"/>
    <n v="5294.54"/>
    <x v="0"/>
    <x v="0"/>
    <s v="OK"/>
    <n v="0.05"/>
    <n v="24002.11"/>
    <n v="5294.54"/>
    <n v="0.22059999999999999"/>
    <x v="8"/>
    <x v="1"/>
    <s v="CLEAN"/>
  </r>
  <r>
    <x v="511"/>
    <d v="2025-08-22T00:00:00"/>
    <d v="2025-08-27T00:00:00"/>
    <n v="5"/>
    <s v="OK"/>
    <s v="CUST-5582"/>
    <s v="Karan Malhotra"/>
    <x v="2"/>
    <x v="2"/>
    <s v="Andhra Pradesh"/>
    <s v="Vijayawada"/>
    <x v="2"/>
    <x v="8"/>
    <s v="Max Phones 661"/>
    <x v="2"/>
    <n v="2"/>
    <n v="905.87"/>
    <n v="0.15"/>
    <s v="OK"/>
    <n v="1539.98"/>
    <n v="1070.2"/>
    <n v="469.78"/>
    <x v="0"/>
    <x v="0"/>
    <s v="OK"/>
    <n v="0.15"/>
    <n v="1539.98"/>
    <n v="469.78"/>
    <n v="0.30509999999999998"/>
    <x v="1"/>
    <x v="1"/>
    <s v="CLEAN"/>
  </r>
  <r>
    <x v="512"/>
    <d v="2025-04-16T00:00:00"/>
    <d v="2025-04-23T00:00:00"/>
    <n v="7"/>
    <s v="OK"/>
    <s v="CUST-3308"/>
    <s v="Mira Das"/>
    <x v="1"/>
    <x v="3"/>
    <s v="Goa"/>
    <s v="Panaji"/>
    <x v="2"/>
    <x v="12"/>
    <s v="Elite Machines 836"/>
    <x v="3"/>
    <n v="6"/>
    <n v="2027.32"/>
    <n v="0.1"/>
    <s v="OK"/>
    <n v="10947.53"/>
    <n v="6447.36"/>
    <n v="4500.17"/>
    <x v="0"/>
    <x v="0"/>
    <s v="OK"/>
    <n v="0.1"/>
    <n v="10947.53"/>
    <n v="4500.17"/>
    <n v="0.41110000000000002"/>
    <x v="10"/>
    <x v="1"/>
    <s v="CLEAN"/>
  </r>
  <r>
    <x v="513"/>
    <d v="2025-03-29T00:00:00"/>
    <d v="2025-04-03T00:00:00"/>
    <n v="5"/>
    <s v="OK"/>
    <s v="CUST-2342"/>
    <s v="Sneha Kapoor"/>
    <x v="2"/>
    <x v="1"/>
    <s v="West Bengal"/>
    <s v="Kolkata"/>
    <x v="1"/>
    <x v="9"/>
    <s v="Smart Bookcases 167"/>
    <x v="2"/>
    <n v="5"/>
    <n v="1425.74"/>
    <n v="0"/>
    <s v="OK"/>
    <n v="7128.7"/>
    <n v="4382.1499999999996"/>
    <n v="2746.55"/>
    <x v="0"/>
    <x v="0"/>
    <s v="OK"/>
    <n v="0"/>
    <n v="7128.7"/>
    <n v="2746.55"/>
    <n v="0.38529999999999998"/>
    <x v="7"/>
    <x v="1"/>
    <s v="CLEAN"/>
  </r>
  <r>
    <x v="514"/>
    <d v="2025-02-27T00:00:00"/>
    <d v="2025-03-01T00:00:00"/>
    <n v="2"/>
    <s v="OK"/>
    <s v="CUST-6201"/>
    <s v="Vikram Iyer"/>
    <x v="1"/>
    <x v="1"/>
    <s v="West Bengal"/>
    <s v="Kolkata"/>
    <x v="1"/>
    <x v="10"/>
    <s v="Max Chairs 244"/>
    <x v="3"/>
    <n v="6"/>
    <n v="551.64"/>
    <n v="0"/>
    <s v="OK"/>
    <n v="3309.84"/>
    <n v="2671.08"/>
    <n v="638.76"/>
    <x v="0"/>
    <x v="0"/>
    <s v="OK"/>
    <n v="0"/>
    <n v="3309.84"/>
    <n v="638.76"/>
    <n v="0.193"/>
    <x v="8"/>
    <x v="1"/>
    <s v="CLEAN"/>
  </r>
  <r>
    <x v="515"/>
    <d v="2025-08-22T00:00:00"/>
    <d v="2025-08-27T00:00:00"/>
    <n v="5"/>
    <s v="OK"/>
    <s v="CUST-5808"/>
    <s v="Priya Menon"/>
    <x v="1"/>
    <x v="1"/>
    <s v="Odisha"/>
    <s v="Bhubaneswar"/>
    <x v="0"/>
    <x v="5"/>
    <s v="Eco Labels 653"/>
    <x v="2"/>
    <n v="3"/>
    <n v="3294.82"/>
    <n v="0.2"/>
    <s v="OK"/>
    <n v="7907.57"/>
    <n v="5391.18"/>
    <n v="2516.39"/>
    <x v="0"/>
    <x v="0"/>
    <s v="OK"/>
    <n v="0.2"/>
    <n v="7907.57"/>
    <n v="2516.39"/>
    <n v="0.31819999999999998"/>
    <x v="1"/>
    <x v="1"/>
    <s v="CLEAN"/>
  </r>
  <r>
    <x v="516"/>
    <d v="2025-07-08T00:00:00"/>
    <d v="2025-12-07T00:00:00"/>
    <n v="152"/>
    <s v="OK"/>
    <s v="CUST-4385"/>
    <s v="Rohan Mehta"/>
    <x v="3"/>
    <x v="0"/>
    <s v="Uttar Pradesh"/>
    <s v="Noida"/>
    <x v="1"/>
    <x v="3"/>
    <s v="Pro Furnishings 529"/>
    <x v="3"/>
    <n v="1"/>
    <n v="2582.1999999999998"/>
    <n v="0.15"/>
    <s v="OK"/>
    <n v="2194.87"/>
    <n v="1223.17"/>
    <n v="971.7"/>
    <x v="2"/>
    <x v="2"/>
    <s v="OK"/>
    <n v="0.15"/>
    <n v="2194.87"/>
    <n v="971.7"/>
    <n v="0.44269999999999998"/>
    <x v="0"/>
    <x v="1"/>
    <s v="CLEAN"/>
  </r>
  <r>
    <x v="517"/>
    <d v="2025-07-16T00:00:00"/>
    <d v="2025-07-21T00:00:00"/>
    <n v="5"/>
    <s v="OK"/>
    <s v="CUST-8043"/>
    <s v="Sneha Kapoor"/>
    <x v="2"/>
    <x v="1"/>
    <s v="West Bengal"/>
    <s v="Kolkata"/>
    <x v="1"/>
    <x v="1"/>
    <s v="Smart Tables 561"/>
    <x v="2"/>
    <n v="5"/>
    <n v="2129.5100000000002"/>
    <n v="0.15"/>
    <s v="OK"/>
    <n v="9050.42"/>
    <n v="6778.85"/>
    <n v="2271.5700000000002"/>
    <x v="0"/>
    <x v="0"/>
    <s v="OK"/>
    <n v="0.15"/>
    <n v="9050.42"/>
    <n v="2271.5700000000002"/>
    <n v="0.251"/>
    <x v="0"/>
    <x v="1"/>
    <s v="CLEAN"/>
  </r>
  <r>
    <x v="518"/>
    <d v="2025-09-27T00:00:00"/>
    <d v="2025-10-03T00:00:00"/>
    <n v="6"/>
    <s v="OK"/>
    <s v="CUST-9978"/>
    <s v="Diya Patel"/>
    <x v="3"/>
    <x v="2"/>
    <s v="Tamil Nadu"/>
    <s v="Chennai"/>
    <x v="1"/>
    <x v="10"/>
    <s v="Prime Chairs 838"/>
    <x v="1"/>
    <n v="9"/>
    <n v="4131.5200000000004"/>
    <n v="0.1"/>
    <s v="OK"/>
    <n v="33465.31"/>
    <n v="24781.26"/>
    <n v="8684.0499999999993"/>
    <x v="0"/>
    <x v="0"/>
    <s v="OK"/>
    <n v="0.1"/>
    <n v="33465.31"/>
    <n v="8684.0499999999993"/>
    <n v="0.25950000000000001"/>
    <x v="11"/>
    <x v="1"/>
    <s v="CLEAN"/>
  </r>
  <r>
    <x v="519"/>
    <d v="2025-03-16T00:00:00"/>
    <d v="2025-03-17T00:00:00"/>
    <n v="1"/>
    <s v="OK"/>
    <s v="CUST-7907"/>
    <s v="Karan Malhotra"/>
    <x v="3"/>
    <x v="3"/>
    <s v="Goa"/>
    <s v="Panaji"/>
    <x v="0"/>
    <x v="5"/>
    <s v="Eco Labels 662"/>
    <x v="1"/>
    <n v="3"/>
    <n v="1841.91"/>
    <n v="0"/>
    <s v="OK"/>
    <n v="5525.73"/>
    <n v="3093.42"/>
    <n v="2432.31"/>
    <x v="0"/>
    <x v="0"/>
    <s v="OK"/>
    <n v="0"/>
    <n v="5525.73"/>
    <n v="2432.31"/>
    <n v="0.44019999999999998"/>
    <x v="7"/>
    <x v="1"/>
    <s v="CLEAN"/>
  </r>
  <r>
    <x v="520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s v="OK"/>
    <n v="9445.1"/>
    <n v="5586.28"/>
    <n v="3858.82"/>
    <x v="0"/>
    <x v="0"/>
    <s v=" ORIGINAL"/>
    <n v="0.15"/>
    <n v="9445.1"/>
    <n v="3858.82"/>
    <n v="0.40860000000000002"/>
    <x v="1"/>
    <x v="1"/>
    <s v="CLEAN"/>
  </r>
  <r>
    <x v="520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s v="OK"/>
    <n v="9549.44"/>
    <n v="5586.28"/>
    <n v="3858.82"/>
    <x v="0"/>
    <x v="1"/>
    <s v="CONFLICTING DUPLICATE - REVIEW"/>
    <n v="0.15"/>
    <n v="9445.1"/>
    <n v="3858.82"/>
    <n v="0.40860000000000002"/>
    <x v="1"/>
    <x v="1"/>
    <s v="CLEAN"/>
  </r>
  <r>
    <x v="521"/>
    <d v="2025-02-03T00:00:00"/>
    <d v="2025-03-08T00:00:00"/>
    <n v="33"/>
    <s v="OK"/>
    <s v="CUST-6409"/>
    <s v="Sneha Kapoor"/>
    <x v="2"/>
    <x v="3"/>
    <s v="Madhya Pradesh"/>
    <s v="Indore"/>
    <x v="2"/>
    <x v="6"/>
    <s v="Prime Copiers 575"/>
    <x v="0"/>
    <n v="9"/>
    <n v="269.68"/>
    <n v="0"/>
    <s v="OK"/>
    <n v="2427.12"/>
    <n v="1538.35"/>
    <n v="804.53"/>
    <x v="0"/>
    <x v="0"/>
    <s v="OK"/>
    <n v="0"/>
    <n v="2427.12"/>
    <n v="888.77"/>
    <n v="0.36620000000000003"/>
    <x v="8"/>
    <x v="1"/>
    <s v="CLEAN"/>
  </r>
  <r>
    <x v="522"/>
    <d v="2025-01-23T00:00:00"/>
    <d v="2025-01-26T00:00:00"/>
    <n v="3"/>
    <s v="OK"/>
    <s v="CUST-3014"/>
    <s v="Aarav Sharma"/>
    <x v="0"/>
    <x v="3"/>
    <s v="Madhya Pradesh"/>
    <s v="Indore"/>
    <x v="0"/>
    <x v="0"/>
    <s v="Elite Paper 669"/>
    <x v="3"/>
    <n v="9"/>
    <n v="4458.26"/>
    <n v="0.1"/>
    <s v="OK"/>
    <n v="36111.910000000003"/>
    <n v="29194.5"/>
    <n v="6917.41"/>
    <x v="0"/>
    <x v="0"/>
    <s v="OK"/>
    <n v="0.1"/>
    <n v="36111.910000000003"/>
    <n v="6917.41"/>
    <n v="0.19159999999999999"/>
    <x v="6"/>
    <x v="1"/>
    <s v="CLEAN"/>
  </r>
  <r>
    <x v="523"/>
    <d v="2025-05-09T00:00:00"/>
    <d v="2025-09-10T00:00:00"/>
    <n v="124"/>
    <s v="OK"/>
    <s v="CUST-2687"/>
    <s v="Sneha Kapoor"/>
    <x v="2"/>
    <x v="3"/>
    <s v="Goa"/>
    <s v="Panaji"/>
    <x v="1"/>
    <x v="9"/>
    <s v="Classic Bookcases 988"/>
    <x v="1"/>
    <n v="6"/>
    <n v="1754.13"/>
    <n v="0"/>
    <s v="OK"/>
    <n v="10524.78"/>
    <n v="8841.0499999999993"/>
    <n v="1683.73"/>
    <x v="0"/>
    <x v="0"/>
    <s v="OK"/>
    <n v="0"/>
    <n v="10524.78"/>
    <n v="1683.73"/>
    <n v="0.16"/>
    <x v="4"/>
    <x v="1"/>
    <s v="CLEAN"/>
  </r>
  <r>
    <x v="524"/>
    <d v="2025-08-08T00:00:00"/>
    <d v="2025-08-11T00:00:00"/>
    <n v="3"/>
    <s v="OK"/>
    <s v="CUST-8111"/>
    <s v="Diya Patel"/>
    <x v="1"/>
    <x v="3"/>
    <s v="Gujarat"/>
    <s v="Ahmedabad"/>
    <x v="0"/>
    <x v="7"/>
    <s v="Basic Storage 656"/>
    <x v="1"/>
    <n v="5"/>
    <n v="3602.36"/>
    <n v="0.2"/>
    <s v="OK"/>
    <n v="14409.44"/>
    <n v="8809.9699999999993"/>
    <n v="5599.47"/>
    <x v="1"/>
    <x v="1"/>
    <s v="OK"/>
    <n v="0.2"/>
    <n v="14409.44"/>
    <n v="5599.47"/>
    <n v="0.3886"/>
    <x v="1"/>
    <x v="1"/>
    <s v="CLEAN"/>
  </r>
  <r>
    <x v="525"/>
    <d v="2025-11-01T00:00:00"/>
    <d v="2025-11-01T00:00:00"/>
    <n v="0"/>
    <s v="OK"/>
    <s v="CUST-3865"/>
    <s v="Aditi Sen"/>
    <x v="1"/>
    <x v="3"/>
    <s v="Rajasthan"/>
    <s v="Udaipur"/>
    <x v="2"/>
    <x v="4"/>
    <s v="Smart Accessories 542"/>
    <x v="1"/>
    <n v="3"/>
    <n v="2165.29"/>
    <n v="0"/>
    <s v="OK"/>
    <n v="6495.87"/>
    <n v="4700.8900000000003"/>
    <n v="1794.98"/>
    <x v="0"/>
    <x v="0"/>
    <s v="OK"/>
    <n v="0"/>
    <n v="6495.87"/>
    <n v="1794.98"/>
    <n v="0.27629999999999999"/>
    <x v="3"/>
    <x v="1"/>
    <s v="CLEAN"/>
  </r>
  <r>
    <x v="526"/>
    <d v="2025-09-12T00:00:00"/>
    <d v="2025-09-18T00:00:00"/>
    <n v="6"/>
    <s v="OK"/>
    <s v="CUST-6015"/>
    <s v="Aarav Sharma"/>
    <x v="3"/>
    <x v="2"/>
    <s v="Kerala"/>
    <s v="Kochi"/>
    <x v="0"/>
    <x v="7"/>
    <s v="Eco Storage 936"/>
    <x v="3"/>
    <n v="6"/>
    <n v="1673.8"/>
    <n v="0.05"/>
    <s v="OK"/>
    <n v="9540.66"/>
    <n v="5561.49"/>
    <n v="3979.17"/>
    <x v="0"/>
    <x v="0"/>
    <s v="OK"/>
    <n v="0.05"/>
    <n v="9540.66"/>
    <n v="3979.17"/>
    <n v="0.41710000000000003"/>
    <x v="11"/>
    <x v="1"/>
    <s v="CLEAN"/>
  </r>
  <r>
    <x v="527"/>
    <d v="2025-07-12T00:00:00"/>
    <d v="2025-07-16T00:00:00"/>
    <n v="4"/>
    <s v="OK"/>
    <s v="CUST-9603"/>
    <s v="Vikram Iyer"/>
    <x v="0"/>
    <x v="2"/>
    <s v="Karnataka"/>
    <s v="Bengaluru"/>
    <x v="1"/>
    <x v="10"/>
    <s v="Classic Chairs 604"/>
    <x v="2"/>
    <n v="4"/>
    <n v="2865.71"/>
    <n v="0"/>
    <s v="OK"/>
    <n v="11462.84"/>
    <n v="8979.7800000000007"/>
    <n v="2483.06"/>
    <x v="2"/>
    <x v="2"/>
    <s v="OK"/>
    <n v="0"/>
    <n v="11462.84"/>
    <n v="2483.06"/>
    <n v="0.21659999999999999"/>
    <x v="0"/>
    <x v="1"/>
    <s v="CLEAN"/>
  </r>
  <r>
    <x v="528"/>
    <d v="2025-05-02T00:00:00"/>
    <d v="2025-05-10T00:00:00"/>
    <n v="8"/>
    <s v="OK"/>
    <s v="CUST-6263"/>
    <s v="Kabir Singh"/>
    <x v="2"/>
    <x v="3"/>
    <s v="Maharashtra"/>
    <s v="Mumbai"/>
    <x v="1"/>
    <x v="1"/>
    <s v="Prime Tables 377"/>
    <x v="2"/>
    <n v="4"/>
    <n v="2440.34"/>
    <n v="0.2"/>
    <s v="OK"/>
    <n v="7809.09"/>
    <n v="6657.75"/>
    <n v="1151.3399999999999"/>
    <x v="0"/>
    <x v="0"/>
    <s v="OK"/>
    <n v="0.2"/>
    <n v="7809.09"/>
    <n v="1151.3399999999999"/>
    <n v="0.1474"/>
    <x v="4"/>
    <x v="1"/>
    <s v="CLEAN"/>
  </r>
  <r>
    <x v="529"/>
    <d v="2025-02-01T00:00:00"/>
    <d v="2025-02-08T00:00:00"/>
    <n v="7"/>
    <s v="OK"/>
    <s v="CUST-1576"/>
    <s v="Ananya Rao"/>
    <x v="0"/>
    <x v="2"/>
    <s v="Karnataka"/>
    <s v="Bengaluru"/>
    <x v="0"/>
    <x v="5"/>
    <s v="Prime Labels 807"/>
    <x v="1"/>
    <n v="5"/>
    <n v="2112.54"/>
    <n v="0.25"/>
    <s v="OK"/>
    <n v="8260.4599999999991"/>
    <n v="5619.95"/>
    <n v="2302.08"/>
    <x v="0"/>
    <x v="2"/>
    <s v="OK"/>
    <n v="0.25"/>
    <n v="7922.03"/>
    <n v="2302.08"/>
    <n v="0.29060000000000002"/>
    <x v="8"/>
    <x v="1"/>
    <s v="CLEAN"/>
  </r>
  <r>
    <x v="530"/>
    <d v="2025-08-23T00:00:00"/>
    <d v="2025-08-27T00:00:00"/>
    <n v="4"/>
    <s v="OK"/>
    <s v="CUST-3740"/>
    <s v="Sneha Kapoor"/>
    <x v="0"/>
    <x v="0"/>
    <s v="Delhi"/>
    <s v="New Delhi"/>
    <x v="0"/>
    <x v="11"/>
    <s v="Classic Binders 660"/>
    <x v="0"/>
    <n v="1"/>
    <n v="2788.62"/>
    <n v="0.25"/>
    <s v="OK"/>
    <n v="2091.4699999999998"/>
    <n v="1317.22"/>
    <n v="774.25"/>
    <x v="0"/>
    <x v="0"/>
    <s v="OK"/>
    <n v="0.25"/>
    <n v="2091.4699999999998"/>
    <n v="774.25"/>
    <n v="0.37019999999999997"/>
    <x v="1"/>
    <x v="1"/>
    <s v="CLEAN"/>
  </r>
  <r>
    <x v="531"/>
    <d v="2025-06-27T00:00:00"/>
    <d v="2025-06-30T00:00:00"/>
    <n v="3"/>
    <s v="OK"/>
    <s v="CUST-4743"/>
    <s v="Neha Gupta"/>
    <x v="2"/>
    <x v="1"/>
    <s v="Bihar"/>
    <s v="Patna"/>
    <x v="2"/>
    <x v="4"/>
    <s v="Basic Accessories 187"/>
    <x v="2"/>
    <n v="1"/>
    <n v="1708.44"/>
    <n v="0.05"/>
    <s v="OK"/>
    <n v="1623.02"/>
    <n v="1077.46"/>
    <n v="545.55999999999995"/>
    <x v="1"/>
    <x v="2"/>
    <s v="OK"/>
    <n v="0.05"/>
    <n v="1623.02"/>
    <n v="545.55999999999995"/>
    <n v="0.33610000000000001"/>
    <x v="2"/>
    <x v="1"/>
    <s v="CLEAN"/>
  </r>
  <r>
    <x v="532"/>
    <d v="2025-02-15T00:00:00"/>
    <d v="2025-02-19T00:00:00"/>
    <n v="4"/>
    <s v="OK"/>
    <s v="CUST-3632"/>
    <s v="Ananya Rao"/>
    <x v="1"/>
    <x v="4"/>
    <s v="Madhya Pradesh"/>
    <s v="Indore"/>
    <x v="0"/>
    <x v="11"/>
    <s v="Basic Binders 859"/>
    <x v="2"/>
    <n v="9"/>
    <n v="531.99"/>
    <n v="0.25"/>
    <s v="OK"/>
    <n v="3590.93"/>
    <n v="3061.39"/>
    <n v="529.54"/>
    <x v="3"/>
    <x v="2"/>
    <s v="OK"/>
    <n v="0.25"/>
    <n v="3590.93"/>
    <n v="529.54"/>
    <n v="0.14749999999999999"/>
    <x v="8"/>
    <x v="1"/>
    <s v="INVALID"/>
  </r>
  <r>
    <x v="533"/>
    <d v="2025-08-22T00:00:00"/>
    <d v="2025-08-26T00:00:00"/>
    <n v="4"/>
    <s v="OK"/>
    <s v="CUST-2044"/>
    <s v="Kabir Singh"/>
    <x v="1"/>
    <x v="2"/>
    <s v="Andhra Pradesh"/>
    <s v="Vijayawada"/>
    <x v="2"/>
    <x v="12"/>
    <s v="Max Machines 948"/>
    <x v="0"/>
    <n v="5"/>
    <n v="3482.92"/>
    <n v="0"/>
    <s v="OK"/>
    <n v="17414.599999999999"/>
    <n v="11760.91"/>
    <n v="5653.69"/>
    <x v="2"/>
    <x v="2"/>
    <s v="OK"/>
    <n v="0"/>
    <n v="17414.599999999999"/>
    <n v="5653.69"/>
    <n v="0.32469999999999999"/>
    <x v="1"/>
    <x v="1"/>
    <s v="CLEAN"/>
  </r>
  <r>
    <x v="534"/>
    <d v="2025-07-17T00:00:00"/>
    <d v="2025-07-18T00:00:00"/>
    <n v="1"/>
    <s v="OK"/>
    <s v="CUST-7924"/>
    <s v="Neha Gupta"/>
    <x v="1"/>
    <x v="3"/>
    <s v="Rajasthan"/>
    <s v="Udaipur"/>
    <x v="1"/>
    <x v="1"/>
    <s v="Basic Tables 753"/>
    <x v="1"/>
    <n v="6"/>
    <n v="3235.27"/>
    <n v="0.25"/>
    <s v="OK"/>
    <n v="14558.72"/>
    <n v="9591.48"/>
    <n v="4967.24"/>
    <x v="2"/>
    <x v="1"/>
    <s v="OK"/>
    <n v="0.25"/>
    <n v="14558.72"/>
    <n v="4967.24"/>
    <n v="0.3412"/>
    <x v="0"/>
    <x v="1"/>
    <s v="CLEAN"/>
  </r>
  <r>
    <x v="535"/>
    <d v="2025-09-24T00:00:00"/>
    <d v="2025-09-26T00:00:00"/>
    <n v="2"/>
    <s v="OK"/>
    <s v="CUST-1715"/>
    <s v="Priya Menon"/>
    <x v="2"/>
    <x v="0"/>
    <s v="Delhi"/>
    <s v="New Delhi"/>
    <x v="2"/>
    <x v="6"/>
    <s v="Prime Copiers 651"/>
    <x v="3"/>
    <n v="3"/>
    <n v="1593.86"/>
    <n v="0.1"/>
    <s v="OK"/>
    <n v="4303.42"/>
    <n v="2568.5700000000002"/>
    <n v="1734.85"/>
    <x v="0"/>
    <x v="0"/>
    <s v="OK"/>
    <n v="0.1"/>
    <n v="4303.42"/>
    <n v="1734.85"/>
    <n v="0.40310000000000001"/>
    <x v="11"/>
    <x v="1"/>
    <s v="CLEAN"/>
  </r>
  <r>
    <x v="536"/>
    <d v="2025-01-30T00:00:00"/>
    <d v="2025-01-26T00:00:00"/>
    <n v="-4"/>
    <s v="INVALID"/>
    <s v="CUST-6802"/>
    <s v="Priya Menon"/>
    <x v="2"/>
    <x v="3"/>
    <s v="Madhya Pradesh"/>
    <s v="Indore"/>
    <x v="0"/>
    <x v="7"/>
    <s v="Basic Storage 321"/>
    <x v="0"/>
    <n v="2"/>
    <n v="3039.3"/>
    <n v="0.05"/>
    <s v="OK"/>
    <n v="5774.67"/>
    <n v="3518.36"/>
    <n v="2256.31"/>
    <x v="0"/>
    <x v="0"/>
    <s v="OK"/>
    <n v="0.05"/>
    <n v="5774.67"/>
    <n v="2256.31"/>
    <n v="0.39069999999999999"/>
    <x v="6"/>
    <x v="1"/>
    <s v="INVALID"/>
  </r>
  <r>
    <x v="537"/>
    <d v="2025-09-29T00:00:00"/>
    <d v="2025-10-04T00:00:00"/>
    <n v="5"/>
    <s v="OK"/>
    <s v="CUST-7637"/>
    <s v="Ananya Rao"/>
    <x v="3"/>
    <x v="1"/>
    <s v="Jharkhand"/>
    <s v="Ranchi"/>
    <x v="0"/>
    <x v="0"/>
    <s v="Pro Paper 934"/>
    <x v="1"/>
    <n v="9"/>
    <n v="373.91"/>
    <n v="0.2"/>
    <s v="OK"/>
    <n v="2692.15"/>
    <n v="2044.49"/>
    <n v="647.66"/>
    <x v="0"/>
    <x v="0"/>
    <s v="OK"/>
    <n v="0.2"/>
    <n v="2692.15"/>
    <n v="647.66"/>
    <n v="0.24060000000000001"/>
    <x v="11"/>
    <x v="1"/>
    <s v="CLEAN"/>
  </r>
  <r>
    <x v="538"/>
    <d v="2025-07-14T00:00:00"/>
    <d v="2025-07-14T00:00:00"/>
    <n v="0"/>
    <s v="OK"/>
    <s v="CUST-7361"/>
    <s v="Vikram Iyer"/>
    <x v="3"/>
    <x v="1"/>
    <s v="West Bengal"/>
    <s v="Kolkata"/>
    <x v="1"/>
    <x v="9"/>
    <s v="Elite Bookcases 266"/>
    <x v="4"/>
    <n v="5"/>
    <n v="383.1"/>
    <n v="0.25"/>
    <s v="OK"/>
    <n v="1436.62"/>
    <n v="912.52"/>
    <n v="524.1"/>
    <x v="1"/>
    <x v="2"/>
    <s v="OK"/>
    <n v="0.25"/>
    <n v="1436.63"/>
    <n v="524.11"/>
    <n v="0.36480000000000001"/>
    <x v="0"/>
    <x v="1"/>
    <s v="WARNING"/>
  </r>
  <r>
    <x v="539"/>
    <d v="2025-08-24T00:00:00"/>
    <d v="2025-08-24T00:00:00"/>
    <n v="0"/>
    <s v="OK"/>
    <s v="CUST-1148"/>
    <s v="Diya Patel"/>
    <x v="1"/>
    <x v="2"/>
    <s v="Kerala"/>
    <s v="Kochi"/>
    <x v="1"/>
    <x v="9"/>
    <s v="Prime Bookcases 954"/>
    <x v="3"/>
    <n v="1"/>
    <n v="3424.78"/>
    <n v="0"/>
    <s v="OK"/>
    <n v="3424.78"/>
    <n v="1951.45"/>
    <n v="1473.33"/>
    <x v="0"/>
    <x v="0"/>
    <s v="OK"/>
    <n v="0"/>
    <n v="3424.78"/>
    <n v="1473.33"/>
    <n v="0.43020000000000003"/>
    <x v="1"/>
    <x v="1"/>
    <s v="CLEAN"/>
  </r>
  <r>
    <x v="540"/>
    <d v="2025-09-02T00:00:00"/>
    <d v="2025-02-15T00:00:00"/>
    <n v="-199"/>
    <s v="INVALID"/>
    <s v="CUST-3350"/>
    <s v="Mira Das"/>
    <x v="3"/>
    <x v="1"/>
    <s v="Jharkhand"/>
    <s v="Ranchi"/>
    <x v="0"/>
    <x v="11"/>
    <s v="Max Binders 362"/>
    <x v="3"/>
    <n v="9"/>
    <n v="4330.33"/>
    <n v="0.2"/>
    <s v="OK"/>
    <n v="31178.38"/>
    <n v="21421.09"/>
    <n v="9757.2900000000009"/>
    <x v="0"/>
    <x v="0"/>
    <s v="OK"/>
    <n v="0.2"/>
    <n v="31178.38"/>
    <n v="9757.2900000000009"/>
    <n v="0.313"/>
    <x v="11"/>
    <x v="1"/>
    <s v="INVALID"/>
  </r>
  <r>
    <x v="541"/>
    <d v="2025-01-09T00:00:00"/>
    <d v="2025-01-09T00:00:00"/>
    <n v="0"/>
    <s v="OK"/>
    <s v="CUST-7932"/>
    <s v="Sneha Kapoor"/>
    <x v="1"/>
    <x v="0"/>
    <s v="Rajasthan"/>
    <s v="Jaipur"/>
    <x v="1"/>
    <x v="10"/>
    <s v="Prime Chairs 261"/>
    <x v="1"/>
    <n v="8"/>
    <n v="2667.07"/>
    <n v="0.1"/>
    <s v="OK"/>
    <n v="19202.900000000001"/>
    <n v="15526.62"/>
    <n v="3676.28"/>
    <x v="0"/>
    <x v="0"/>
    <s v="OK"/>
    <n v="0.1"/>
    <n v="19202.900000000001"/>
    <n v="3676.28"/>
    <n v="0.19139999999999999"/>
    <x v="6"/>
    <x v="1"/>
    <s v="CLEAN"/>
  </r>
  <r>
    <x v="542"/>
    <d v="2025-03-02T00:00:00"/>
    <d v="2025-07-03T00:00:00"/>
    <n v="123"/>
    <s v="OK"/>
    <s v="CUST-4225"/>
    <s v="Neha Gupta"/>
    <x v="3"/>
    <x v="2"/>
    <s v="Karnataka"/>
    <s v="Bengaluru"/>
    <x v="0"/>
    <x v="5"/>
    <s v="Basic Labels 509"/>
    <x v="3"/>
    <n v="8"/>
    <n v="1287.6300000000001"/>
    <n v="0"/>
    <s v="OK"/>
    <n v="10301.040000000001"/>
    <n v="6564.06"/>
    <n v="3736.98"/>
    <x v="0"/>
    <x v="0"/>
    <s v="OK"/>
    <n v="0"/>
    <n v="10301.040000000001"/>
    <n v="3736.98"/>
    <n v="0.36280000000000001"/>
    <x v="7"/>
    <x v="1"/>
    <s v="CLEAN"/>
  </r>
  <r>
    <x v="543"/>
    <d v="2025-11-04T00:00:00"/>
    <d v="2025-04-13T00:00:00"/>
    <n v="-205"/>
    <s v="INVALID"/>
    <s v="CUST-6161"/>
    <s v="Mira Das"/>
    <x v="1"/>
    <x v="3"/>
    <s v="Goa"/>
    <s v="Panaji"/>
    <x v="0"/>
    <x v="0"/>
    <s v="Smart Paper 899"/>
    <x v="3"/>
    <n v="4"/>
    <n v="4182.1499999999996"/>
    <n v="0.1"/>
    <s v="OK"/>
    <n v="15055.74"/>
    <n v="9808.83"/>
    <n v="5246.91"/>
    <x v="0"/>
    <x v="0"/>
    <s v="OK"/>
    <n v="0.1"/>
    <n v="15055.74"/>
    <n v="5246.91"/>
    <n v="0.34849999999999998"/>
    <x v="3"/>
    <x v="1"/>
    <s v="INVALID"/>
  </r>
  <r>
    <x v="544"/>
    <d v="2025-07-30T00:00:00"/>
    <d v="2025-08-01T00:00:00"/>
    <n v="2"/>
    <s v="OK"/>
    <s v="CUST-1460"/>
    <s v="Sneha Kapoor"/>
    <x v="1"/>
    <x v="2"/>
    <s v="Tamil Nadu"/>
    <s v="Chennai"/>
    <x v="0"/>
    <x v="7"/>
    <s v="Classic Storage 423"/>
    <x v="1"/>
    <n v="9"/>
    <n v="3165.43"/>
    <n v="0.1"/>
    <s v="OK"/>
    <n v="25639.98"/>
    <n v="21635.08"/>
    <n v="4004.9"/>
    <x v="0"/>
    <x v="0"/>
    <s v="OK"/>
    <n v="0.1"/>
    <n v="25639.98"/>
    <n v="4004.9"/>
    <n v="0.15620000000000001"/>
    <x v="0"/>
    <x v="1"/>
    <s v="CLEAN"/>
  </r>
  <r>
    <x v="545"/>
    <d v="2025-02-09T00:00:00"/>
    <d v="2025-02-13T00:00:00"/>
    <n v="4"/>
    <s v="OK"/>
    <s v="CUST-2822"/>
    <s v="Mira Das"/>
    <x v="3"/>
    <x v="3"/>
    <s v="Madhya Pradesh"/>
    <s v="Indore"/>
    <x v="2"/>
    <x v="8"/>
    <s v="Smart Phones 336"/>
    <x v="4"/>
    <n v="8"/>
    <n v="1696.07"/>
    <n v="0.25"/>
    <s v="OK"/>
    <n v="10176.42"/>
    <n v="7604.47"/>
    <n v="2571.9499999999998"/>
    <x v="0"/>
    <x v="0"/>
    <s v="OK"/>
    <n v="0.25"/>
    <n v="10176.42"/>
    <n v="2571.9499999999998"/>
    <n v="0.25269999999999998"/>
    <x v="8"/>
    <x v="1"/>
    <s v="WARNING"/>
  </r>
  <r>
    <x v="546"/>
    <d v="2025-09-23T00:00:00"/>
    <d v="2025-09-25T00:00:00"/>
    <n v="2"/>
    <s v="OK"/>
    <s v="CUST-6971"/>
    <s v="Aditi Sen"/>
    <x v="0"/>
    <x v="1"/>
    <s v="Odisha"/>
    <s v="Bhubaneswar"/>
    <x v="0"/>
    <x v="5"/>
    <s v="Prime Labels 559"/>
    <x v="3"/>
    <n v="7"/>
    <n v="3280.31"/>
    <n v="0"/>
    <s v="OK"/>
    <n v="22962.17"/>
    <n v="15716.5"/>
    <n v="7245.67"/>
    <x v="2"/>
    <x v="1"/>
    <s v="OK"/>
    <n v="0"/>
    <n v="22962.17"/>
    <n v="7245.67"/>
    <n v="0.3155"/>
    <x v="11"/>
    <x v="1"/>
    <s v="CLEAN"/>
  </r>
  <r>
    <x v="547"/>
    <d v="2025-01-26T00:00:00"/>
    <d v="2025-02-03T00:00:00"/>
    <n v="8"/>
    <s v="OK"/>
    <s v="CUST-8327"/>
    <s v="Karan Malhotra"/>
    <x v="2"/>
    <x v="3"/>
    <s v="Rajasthan"/>
    <s v="Udaipur"/>
    <x v="1"/>
    <x v="3"/>
    <s v="Classic Furnishings 655"/>
    <x v="1"/>
    <n v="3"/>
    <n v="2859.32"/>
    <n v="0.1"/>
    <s v="OK"/>
    <n v="7720.16"/>
    <n v="5881"/>
    <n v="1839.16"/>
    <x v="2"/>
    <x v="1"/>
    <s v="OK"/>
    <n v="0.1"/>
    <n v="7720.16"/>
    <n v="1839.16"/>
    <n v="0.2382"/>
    <x v="6"/>
    <x v="1"/>
    <s v="CLEAN"/>
  </r>
  <r>
    <x v="548"/>
    <d v="2025-03-27T00:00:00"/>
    <d v="2025-03-27T00:00:00"/>
    <n v="0"/>
    <s v="OK"/>
    <s v="CUST-4058"/>
    <s v="Vikram Iyer"/>
    <x v="1"/>
    <x v="1"/>
    <s v="Bihar"/>
    <s v="Patna"/>
    <x v="2"/>
    <x v="12"/>
    <s v="Eco Machines 657"/>
    <x v="0"/>
    <n v="7"/>
    <n v="2305.37"/>
    <n v="0.25"/>
    <s v="OK"/>
    <n v="12103.19"/>
    <n v="6717.87"/>
    <n v="5385.32"/>
    <x v="0"/>
    <x v="0"/>
    <s v="OK"/>
    <n v="0.25"/>
    <n v="12103.19"/>
    <n v="5385.32"/>
    <n v="0.44500000000000001"/>
    <x v="7"/>
    <x v="1"/>
    <s v="CLEAN"/>
  </r>
  <r>
    <x v="549"/>
    <d v="2025-01-30T00:00:00"/>
    <d v="2025-04-02T00:00:00"/>
    <n v="62"/>
    <s v="OK"/>
    <s v="CUST-7717"/>
    <s v="Priya Menon"/>
    <x v="2"/>
    <x v="0"/>
    <s v="Haryana"/>
    <s v="Gurugram"/>
    <x v="1"/>
    <x v="10"/>
    <s v="Elite Chairs 998"/>
    <x v="1"/>
    <n v="9"/>
    <n v="4430.5"/>
    <n v="0.15"/>
    <s v="OK"/>
    <n v="33893.32"/>
    <n v="25750.35"/>
    <n v="8142.97"/>
    <x v="1"/>
    <x v="2"/>
    <s v="OK"/>
    <n v="0.15"/>
    <n v="33893.33"/>
    <n v="8142.98"/>
    <n v="0.24030000000000001"/>
    <x v="6"/>
    <x v="1"/>
    <s v="CLEAN"/>
  </r>
  <r>
    <x v="550"/>
    <d v="2025-08-10T00:00:00"/>
    <d v="2025-10-06T00:00:00"/>
    <n v="57"/>
    <s v="OK"/>
    <s v="CUST-4932"/>
    <s v="Vikram Iyer"/>
    <x v="1"/>
    <x v="3"/>
    <s v="Maharashtra"/>
    <s v="Mumbai"/>
    <x v="0"/>
    <x v="0"/>
    <s v="Max Paper 113"/>
    <x v="0"/>
    <n v="4"/>
    <n v="1260.42"/>
    <n v="0.05"/>
    <s v="OK"/>
    <n v="4789.6000000000004"/>
    <n v="4037.64"/>
    <n v="751.96"/>
    <x v="1"/>
    <x v="2"/>
    <s v="OK"/>
    <n v="0.05"/>
    <n v="4789.6000000000004"/>
    <n v="751.96"/>
    <n v="0.157"/>
    <x v="1"/>
    <x v="1"/>
    <s v="CLEAN"/>
  </r>
  <r>
    <x v="551"/>
    <d v="2025-07-24T00:00:00"/>
    <d v="2025-07-30T00:00:00"/>
    <n v="6"/>
    <s v="OK"/>
    <s v="CUST-2367"/>
    <s v="Arjun Bose"/>
    <x v="0"/>
    <x v="3"/>
    <s v="Rajasthan"/>
    <s v="Udaipur"/>
    <x v="0"/>
    <x v="11"/>
    <s v="Smart Binders 267"/>
    <x v="3"/>
    <n v="1"/>
    <n v="1643.41"/>
    <n v="0"/>
    <s v="OK"/>
    <n v="1643.41"/>
    <n v="907.4"/>
    <n v="736.01"/>
    <x v="1"/>
    <x v="2"/>
    <s v="OK"/>
    <n v="0"/>
    <n v="1643.41"/>
    <n v="736.01"/>
    <n v="0.44790000000000002"/>
    <x v="0"/>
    <x v="1"/>
    <s v="CLEAN"/>
  </r>
  <r>
    <x v="552"/>
    <d v="2025-09-21T00:00:00"/>
    <d v="2025-09-26T00:00:00"/>
    <n v="5"/>
    <s v="OK"/>
    <s v="CUST-2548"/>
    <s v="Rohan Mehta"/>
    <x v="3"/>
    <x v="3"/>
    <s v="Gujarat"/>
    <s v="Ahmedabad"/>
    <x v="1"/>
    <x v="1"/>
    <s v="Elite Tables 389"/>
    <x v="4"/>
    <n v="6"/>
    <n v="2903.58"/>
    <n v="0.1"/>
    <s v="OK"/>
    <n v="15679.33"/>
    <n v="12477.82"/>
    <n v="3201.51"/>
    <x v="1"/>
    <x v="1"/>
    <s v="OK"/>
    <n v="0.1"/>
    <n v="15679.33"/>
    <n v="3201.51"/>
    <n v="0.20419999999999999"/>
    <x v="11"/>
    <x v="1"/>
    <s v="WARNING"/>
  </r>
  <r>
    <x v="553"/>
    <d v="2025-09-09T00:00:00"/>
    <d v="2025-09-14T00:00:00"/>
    <n v="5"/>
    <s v="OK"/>
    <s v="CUST-3833"/>
    <s v="Rahul Verma"/>
    <x v="1"/>
    <x v="1"/>
    <s v="West Bengal"/>
    <s v="Kolkata"/>
    <x v="1"/>
    <x v="9"/>
    <s v="Pro Bookcases 595"/>
    <x v="0"/>
    <n v="1"/>
    <n v="3154.42"/>
    <n v="0.25"/>
    <s v="OK"/>
    <n v="2365.8200000000002"/>
    <n v="1547.99"/>
    <n v="817.83"/>
    <x v="0"/>
    <x v="0"/>
    <s v="OK"/>
    <n v="0.25"/>
    <n v="2365.8200000000002"/>
    <n v="817.83"/>
    <n v="0.34570000000000001"/>
    <x v="11"/>
    <x v="1"/>
    <s v="CLEAN"/>
  </r>
  <r>
    <x v="554"/>
    <d v="2025-02-20T00:00:00"/>
    <d v="2025-02-26T00:00:00"/>
    <n v="6"/>
    <s v="OK"/>
    <s v="CUST-7215"/>
    <s v="Karan Malhotra"/>
    <x v="1"/>
    <x v="3"/>
    <s v="Gujarat"/>
    <s v="Ahmedabad"/>
    <x v="0"/>
    <x v="5"/>
    <s v="Basic Labels 671"/>
    <x v="2"/>
    <n v="1"/>
    <n v="2557.85"/>
    <n v="0.2"/>
    <s v="OK"/>
    <n v="2046.28"/>
    <n v="1449.54"/>
    <n v="596.74"/>
    <x v="0"/>
    <x v="0"/>
    <s v="OK"/>
    <n v="0.2"/>
    <n v="2046.28"/>
    <n v="596.74"/>
    <n v="0.29160000000000003"/>
    <x v="8"/>
    <x v="1"/>
    <s v="CLEAN"/>
  </r>
  <r>
    <x v="555"/>
    <d v="2025-08-18T00:00:00"/>
    <d v="2025-08-18T00:00:00"/>
    <n v="0"/>
    <s v="OK"/>
    <s v="CUST-7770"/>
    <s v="Arjun Bose"/>
    <x v="3"/>
    <x v="2"/>
    <s v="Karnataka"/>
    <s v="Bengaluru"/>
    <x v="0"/>
    <x v="7"/>
    <s v="Elite Storage 628"/>
    <x v="2"/>
    <n v="9"/>
    <n v="3030.93"/>
    <n v="0.15"/>
    <s v="OK"/>
    <n v="23186.61"/>
    <n v="17906.54"/>
    <n v="5280.07"/>
    <x v="0"/>
    <x v="1"/>
    <s v="OK"/>
    <n v="0.15"/>
    <n v="23186.61"/>
    <n v="5280.07"/>
    <n v="0.22770000000000001"/>
    <x v="1"/>
    <x v="1"/>
    <s v="CLEAN"/>
  </r>
  <r>
    <x v="556"/>
    <d v="2025-01-20T00:00:00"/>
    <d v="2025-01-23T00:00:00"/>
    <n v="3"/>
    <s v="OK"/>
    <s v="CUST-9756"/>
    <s v="Kabir Singh"/>
    <x v="0"/>
    <x v="3"/>
    <s v="Maharashtra"/>
    <s v="Mumbai"/>
    <x v="2"/>
    <x v="4"/>
    <s v="Eco Accessories 590"/>
    <x v="1"/>
    <n v="5"/>
    <n v="639.27"/>
    <n v="0.2"/>
    <s v="OK"/>
    <n v="2557.08"/>
    <n v="2025.69"/>
    <n v="531.39"/>
    <x v="0"/>
    <x v="2"/>
    <s v="OK"/>
    <n v="0.2"/>
    <n v="2557.08"/>
    <n v="531.39"/>
    <n v="0.20780000000000001"/>
    <x v="6"/>
    <x v="1"/>
    <s v="CLEAN"/>
  </r>
  <r>
    <x v="557"/>
    <d v="2025-09-13T00:00:00"/>
    <d v="2025-09-13T00:00:00"/>
    <n v="0"/>
    <s v="OK"/>
    <s v="CUST-2261"/>
    <s v="Diya Patel"/>
    <x v="0"/>
    <x v="1"/>
    <s v="Assam"/>
    <s v="Guwahati"/>
    <x v="0"/>
    <x v="2"/>
    <s v="Pro Art 734"/>
    <x v="3"/>
    <n v="8"/>
    <n v="733.9"/>
    <n v="0.05"/>
    <s v="OK"/>
    <n v="5577.64"/>
    <n v="3541.29"/>
    <n v="2036.35"/>
    <x v="1"/>
    <x v="1"/>
    <s v="OK"/>
    <n v="0.05"/>
    <n v="5577.64"/>
    <n v="2036.35"/>
    <n v="0.36509999999999998"/>
    <x v="11"/>
    <x v="1"/>
    <s v="CLEAN"/>
  </r>
  <r>
    <x v="558"/>
    <d v="2025-07-09T00:00:00"/>
    <d v="2025-09-15T00:00:00"/>
    <n v="68"/>
    <s v="OK"/>
    <s v="CUST-3734"/>
    <s v="Rohan Mehta"/>
    <x v="2"/>
    <x v="1"/>
    <s v="Bihar"/>
    <s v="Patna"/>
    <x v="2"/>
    <x v="6"/>
    <s v="Eco Copiers 102"/>
    <x v="3"/>
    <n v="3"/>
    <n v="1711.32"/>
    <n v="0"/>
    <s v="OK"/>
    <n v="5133.96"/>
    <n v="3930"/>
    <n v="1203.96"/>
    <x v="0"/>
    <x v="0"/>
    <s v=" ORIGINAL"/>
    <n v="0"/>
    <n v="5133.96"/>
    <n v="1203.96"/>
    <n v="0.23449999999999999"/>
    <x v="0"/>
    <x v="1"/>
    <s v="CLEAN"/>
  </r>
  <r>
    <x v="558"/>
    <d v="2025-07-09T00:00:00"/>
    <d v="2025-09-15T00:00:00"/>
    <n v="68"/>
    <s v="OK"/>
    <s v="CUST-3734"/>
    <s v="Rohan Mehta"/>
    <x v="2"/>
    <x v="1"/>
    <s v="Bihar"/>
    <s v="Patna"/>
    <x v="2"/>
    <x v="6"/>
    <s v="Eco Copiers 102"/>
    <x v="3"/>
    <n v="3"/>
    <n v="1711.32"/>
    <n v="0"/>
    <s v="OK"/>
    <n v="5206.53"/>
    <n v="3930"/>
    <n v="1203.96"/>
    <x v="0"/>
    <x v="1"/>
    <s v="CONFLICTING DUPLICATE - REVIEW"/>
    <n v="0"/>
    <n v="5133.96"/>
    <n v="1203.96"/>
    <n v="0.23449999999999999"/>
    <x v="0"/>
    <x v="1"/>
    <s v="CLEAN"/>
  </r>
  <r>
    <x v="559"/>
    <d v="2025-02-23T00:00:00"/>
    <d v="2025-02-25T00:00:00"/>
    <n v="2"/>
    <s v="OK"/>
    <s v="CUST-3436"/>
    <s v="Karan Malhotra"/>
    <x v="2"/>
    <x v="1"/>
    <s v="Bihar"/>
    <s v="Patna"/>
    <x v="0"/>
    <x v="5"/>
    <s v="Basic Labels 876"/>
    <x v="1"/>
    <n v="5"/>
    <n v="4246.2700000000004"/>
    <n v="0.25"/>
    <s v="OK"/>
    <n v="15923.51"/>
    <n v="11291.8"/>
    <n v="4631.71"/>
    <x v="0"/>
    <x v="0"/>
    <s v="OK"/>
    <n v="0.25"/>
    <n v="15923.51"/>
    <n v="4631.71"/>
    <n v="0.29089999999999999"/>
    <x v="8"/>
    <x v="1"/>
    <s v="CLEAN"/>
  </r>
  <r>
    <x v="560"/>
    <d v="2025-02-08T00:00:00"/>
    <d v="2025-10-08T00:00:00"/>
    <n v="242"/>
    <s v="OK"/>
    <s v="CUST-4845"/>
    <s v="Karan Malhotra"/>
    <x v="2"/>
    <x v="0"/>
    <s v="Delhi"/>
    <s v="New Delhi"/>
    <x v="1"/>
    <x v="3"/>
    <s v="Prime Furnishings 381"/>
    <x v="1"/>
    <n v="9"/>
    <n v="2962.62"/>
    <n v="0.1"/>
    <s v="OK"/>
    <n v="23997.22"/>
    <n v="16134.63"/>
    <n v="7862.59"/>
    <x v="2"/>
    <x v="1"/>
    <s v="OK"/>
    <n v="0.1"/>
    <n v="23997.22"/>
    <n v="7862.59"/>
    <n v="0.3276"/>
    <x v="8"/>
    <x v="1"/>
    <s v="CLEAN"/>
  </r>
  <r>
    <x v="561"/>
    <d v="2025-09-28T00:00:00"/>
    <d v="2025-04-10T00:00:00"/>
    <n v="-171"/>
    <s v="INVALID"/>
    <s v="CUST-5475"/>
    <s v="Karan Malhotra"/>
    <x v="1"/>
    <x v="2"/>
    <s v="Karnataka"/>
    <s v="Bengaluru"/>
    <x v="1"/>
    <x v="9"/>
    <s v="Pro Bookcases 319"/>
    <x v="2"/>
    <n v="6"/>
    <n v="1620.53"/>
    <n v="0.15"/>
    <s v="OK"/>
    <n v="8264.7000000000007"/>
    <n v="4768.75"/>
    <n v="3495.95"/>
    <x v="1"/>
    <x v="1"/>
    <s v="OK"/>
    <n v="0.15"/>
    <n v="8264.7000000000007"/>
    <n v="3495.95"/>
    <n v="0.42299999999999999"/>
    <x v="11"/>
    <x v="1"/>
    <s v="INVALID"/>
  </r>
  <r>
    <x v="562"/>
    <d v="2025-03-18T00:00:00"/>
    <d v="2025-03-26T00:00:00"/>
    <n v="8"/>
    <s v="OK"/>
    <s v="CUST-3027"/>
    <s v="Vikram Iyer"/>
    <x v="2"/>
    <x v="1"/>
    <s v="Jharkhand"/>
    <s v="Ranchi"/>
    <x v="1"/>
    <x v="9"/>
    <s v="Pro Bookcases 612"/>
    <x v="3"/>
    <n v="8"/>
    <n v="3563.09"/>
    <n v="0.15"/>
    <s v="OK"/>
    <n v="24229.01"/>
    <n v="13910.64"/>
    <n v="10318.370000000001"/>
    <x v="0"/>
    <x v="0"/>
    <s v="OK"/>
    <n v="0.15"/>
    <n v="24229.01"/>
    <n v="10318.370000000001"/>
    <n v="0.4259"/>
    <x v="7"/>
    <x v="1"/>
    <s v="CLEAN"/>
  </r>
  <r>
    <x v="563"/>
    <d v="2025-09-09T00:00:00"/>
    <d v="2025-10-09T00:00:00"/>
    <n v="30"/>
    <s v="OK"/>
    <s v="CUST-5119"/>
    <s v="Priya Menon"/>
    <x v="3"/>
    <x v="2"/>
    <s v="Tamil Nadu"/>
    <s v="Chennai"/>
    <x v="0"/>
    <x v="2"/>
    <s v="Pro Art 587"/>
    <x v="0"/>
    <n v="4"/>
    <n v="2551.4499999999998"/>
    <n v="0"/>
    <s v="OK"/>
    <n v="10205.799999999999"/>
    <n v="5986.31"/>
    <n v="4219.49"/>
    <x v="0"/>
    <x v="0"/>
    <s v="OK"/>
    <n v="0"/>
    <n v="10205.799999999999"/>
    <n v="4219.49"/>
    <n v="0.41339999999999999"/>
    <x v="11"/>
    <x v="1"/>
    <s v="CLEAN"/>
  </r>
  <r>
    <x v="564"/>
    <d v="2025-06-24T00:00:00"/>
    <d v="2025-06-27T00:00:00"/>
    <n v="3"/>
    <s v="OK"/>
    <s v="CUST-3366"/>
    <s v="Vikram Iyer"/>
    <x v="3"/>
    <x v="2"/>
    <s v="Telangana"/>
    <s v="Hyderabad"/>
    <x v="2"/>
    <x v="6"/>
    <s v="Elite Copiers 788"/>
    <x v="3"/>
    <n v="7"/>
    <n v="2304.86"/>
    <n v="0.2"/>
    <s v="OK"/>
    <n v="12907.22"/>
    <n v="8327.89"/>
    <n v="4579.33"/>
    <x v="0"/>
    <x v="1"/>
    <s v="OK"/>
    <n v="0.2"/>
    <n v="12907.22"/>
    <n v="4579.33"/>
    <n v="0.3548"/>
    <x v="2"/>
    <x v="1"/>
    <s v="CLEAN"/>
  </r>
  <r>
    <x v="565"/>
    <d v="2025-05-01T00:00:00"/>
    <d v="2025-05-02T00:00:00"/>
    <n v="1"/>
    <s v="OK"/>
    <s v="CUST-3109"/>
    <s v="Mira Das"/>
    <x v="0"/>
    <x v="3"/>
    <s v="Madhya Pradesh"/>
    <s v="Indore"/>
    <x v="1"/>
    <x v="10"/>
    <s v="Pro Chairs 844"/>
    <x v="1"/>
    <n v="3"/>
    <n v="2905.74"/>
    <n v="0"/>
    <s v="OK"/>
    <n v="8717.2199999999993"/>
    <n v="6215.96"/>
    <n v="2501.2600000000002"/>
    <x v="0"/>
    <x v="1"/>
    <s v="OK"/>
    <n v="0"/>
    <n v="8717.2199999999993"/>
    <n v="2501.2600000000002"/>
    <n v="0.28689999999999999"/>
    <x v="4"/>
    <x v="1"/>
    <s v="CLEAN"/>
  </r>
  <r>
    <x v="566"/>
    <d v="2025-05-21T00:00:00"/>
    <d v="2025-05-28T00:00:00"/>
    <n v="7"/>
    <s v="OK"/>
    <s v="CUST-3422"/>
    <s v="Priya Menon"/>
    <x v="2"/>
    <x v="1"/>
    <s v="West Bengal"/>
    <s v="Kolkata"/>
    <x v="1"/>
    <x v="9"/>
    <s v="Elite Bookcases 883"/>
    <x v="1"/>
    <n v="2"/>
    <n v="3559.57"/>
    <n v="0.1"/>
    <s v="OK"/>
    <n v="6553.95"/>
    <n v="4923.09"/>
    <n v="1484.14"/>
    <x v="0"/>
    <x v="0"/>
    <s v="OK"/>
    <n v="0.1"/>
    <n v="6407.23"/>
    <n v="1484.14"/>
    <n v="0.2316"/>
    <x v="4"/>
    <x v="1"/>
    <s v="CLEAN"/>
  </r>
  <r>
    <x v="567"/>
    <d v="2025-05-06T00:00:00"/>
    <d v="2025-05-07T00:00:00"/>
    <n v="1"/>
    <s v="OK"/>
    <s v="CUST-3375"/>
    <s v="Arjun Bose"/>
    <x v="0"/>
    <x v="3"/>
    <s v="Rajasthan"/>
    <s v="Udaipur"/>
    <x v="1"/>
    <x v="9"/>
    <s v="Basic Bookcases 754"/>
    <x v="2"/>
    <n v="9"/>
    <n v="3318.24"/>
    <n v="0"/>
    <s v="OK"/>
    <n v="25384.54"/>
    <n v="16872.39"/>
    <n v="8512.15"/>
    <x v="0"/>
    <x v="0"/>
    <s v="OK"/>
    <n v="0"/>
    <n v="29864.16"/>
    <n v="12991.77"/>
    <n v="0.435"/>
    <x v="4"/>
    <x v="1"/>
    <s v="CLEAN"/>
  </r>
  <r>
    <x v="568"/>
    <d v="2025-04-20T00:00:00"/>
    <d v="2025-04-21T00:00:00"/>
    <n v="1"/>
    <s v="OK"/>
    <s v="CUST-5138"/>
    <s v="Aditi Sen"/>
    <x v="0"/>
    <x v="2"/>
    <s v="Tamil Nadu"/>
    <s v="Chennai"/>
    <x v="0"/>
    <x v="7"/>
    <s v="Eco Storage 158"/>
    <x v="2"/>
    <n v="3"/>
    <n v="540.09"/>
    <n v="0.1"/>
    <s v="OK"/>
    <n v="1458.24"/>
    <n v="943.32"/>
    <n v="514.91999999999996"/>
    <x v="0"/>
    <x v="0"/>
    <s v="OK"/>
    <n v="0.1"/>
    <n v="1458.24"/>
    <n v="514.91999999999996"/>
    <n v="0.35310000000000002"/>
    <x v="10"/>
    <x v="1"/>
    <s v="CLEAN"/>
  </r>
  <r>
    <x v="569"/>
    <d v="2025-01-28T00:00:00"/>
    <d v="2025-01-31T00:00:00"/>
    <n v="3"/>
    <s v="OK"/>
    <s v="CUST-3637"/>
    <s v="Priya Menon"/>
    <x v="0"/>
    <x v="3"/>
    <s v="Maharashtra"/>
    <s v="Mumbai"/>
    <x v="1"/>
    <x v="3"/>
    <s v="Prime Furnishings 433"/>
    <x v="2"/>
    <n v="9"/>
    <n v="858.39"/>
    <n v="0.05"/>
    <s v="OK"/>
    <n v="7339.23"/>
    <n v="5434.12"/>
    <n v="1905.11"/>
    <x v="1"/>
    <x v="1"/>
    <s v="OK"/>
    <n v="0.05"/>
    <n v="7339.23"/>
    <n v="1905.11"/>
    <n v="0.2596"/>
    <x v="6"/>
    <x v="1"/>
    <s v="CLEAN"/>
  </r>
  <r>
    <x v="570"/>
    <d v="2025-07-22T00:00:00"/>
    <d v="2025-07-24T00:00:00"/>
    <n v="2"/>
    <s v="OK"/>
    <s v="CUST-4328"/>
    <s v="Neha Gupta"/>
    <x v="3"/>
    <x v="2"/>
    <s v="Andhra Pradesh"/>
    <s v="Vijayawada"/>
    <x v="1"/>
    <x v="3"/>
    <s v="Smart Furnishings 685"/>
    <x v="1"/>
    <n v="5"/>
    <n v="1922.83"/>
    <n v="0"/>
    <s v="OK"/>
    <n v="9614.15"/>
    <n v="7576.84"/>
    <n v="2037.31"/>
    <x v="0"/>
    <x v="0"/>
    <s v="OK"/>
    <n v="0"/>
    <n v="9614.15"/>
    <n v="2037.31"/>
    <n v="0.21190000000000001"/>
    <x v="0"/>
    <x v="1"/>
    <s v="CLEAN"/>
  </r>
  <r>
    <x v="571"/>
    <d v="2025-03-31T00:00:00"/>
    <d v="2025-07-04T00:00:00"/>
    <n v="95"/>
    <s v="OK"/>
    <s v="CUST-6106"/>
    <s v="Rahul Verma"/>
    <x v="1"/>
    <x v="1"/>
    <s v="Bihar"/>
    <s v="Patna"/>
    <x v="0"/>
    <x v="7"/>
    <s v="Basic Storage 961"/>
    <x v="0"/>
    <n v="5"/>
    <n v="4096.4399999999996"/>
    <n v="0.15"/>
    <s v="OK"/>
    <n v="17409.87"/>
    <n v="14076.25"/>
    <n v="3333.62"/>
    <x v="0"/>
    <x v="0"/>
    <s v="OK"/>
    <n v="0.15"/>
    <n v="17409.87"/>
    <n v="3333.62"/>
    <n v="0.1915"/>
    <x v="7"/>
    <x v="1"/>
    <s v="CLEAN"/>
  </r>
  <r>
    <x v="572"/>
    <d v="2025-06-27T00:00:00"/>
    <d v="2025-07-05T00:00:00"/>
    <n v="8"/>
    <s v="OK"/>
    <s v="CUST-7047"/>
    <s v="Priya Menon"/>
    <x v="1"/>
    <x v="0"/>
    <s v="Rajasthan"/>
    <s v="Jaipur"/>
    <x v="2"/>
    <x v="6"/>
    <s v="Classic Copiers 479"/>
    <x v="2"/>
    <n v="5"/>
    <n v="2868.44"/>
    <n v="0.1"/>
    <s v="OK"/>
    <n v="12907.98"/>
    <n v="9197.08"/>
    <n v="3710.9"/>
    <x v="1"/>
    <x v="2"/>
    <s v="OK"/>
    <n v="0.1"/>
    <n v="12907.98"/>
    <n v="3710.9"/>
    <n v="0.28749999999999998"/>
    <x v="2"/>
    <x v="1"/>
    <s v="CLEAN"/>
  </r>
  <r>
    <x v="573"/>
    <d v="2025-07-26T00:00:00"/>
    <d v="2025-08-03T00:00:00"/>
    <n v="8"/>
    <s v="OK"/>
    <s v="CUST-8005"/>
    <s v="Vikram Iyer"/>
    <x v="0"/>
    <x v="3"/>
    <s v="Madhya Pradesh"/>
    <s v="Indore"/>
    <x v="0"/>
    <x v="5"/>
    <s v="Basic Labels 511"/>
    <x v="0"/>
    <n v="2"/>
    <n v="2503.5300000000002"/>
    <n v="-0.16"/>
    <s v="INVALID-NEGATIVE"/>
    <n v="4756.71"/>
    <n v="2954.86"/>
    <n v="1801.85"/>
    <x v="2"/>
    <x v="2"/>
    <s v="OK"/>
    <n v="0"/>
    <n v="5007.0600000000004"/>
    <n v="2052.1999999999998"/>
    <n v="0.40989999999999999"/>
    <x v="0"/>
    <x v="1"/>
    <s v="INVALID"/>
  </r>
  <r>
    <x v="574"/>
    <d v="2025-03-28T00:00:00"/>
    <d v="2025-03-28T00:00:00"/>
    <n v="0"/>
    <s v="OK"/>
    <s v="CUST-9378"/>
    <s v="Sneha Kapoor"/>
    <x v="2"/>
    <x v="3"/>
    <s v="Goa"/>
    <s v="Panaji"/>
    <x v="2"/>
    <x v="4"/>
    <s v="Prime Accessories 733"/>
    <x v="3"/>
    <n v="8"/>
    <n v="1740.94"/>
    <n v="0.05"/>
    <s v="OK"/>
    <n v="13231.14"/>
    <n v="11290.06"/>
    <n v="1941.08"/>
    <x v="0"/>
    <x v="0"/>
    <s v="OK"/>
    <n v="0.05"/>
    <n v="13231.14"/>
    <n v="1941.08"/>
    <n v="0.1467"/>
    <x v="7"/>
    <x v="1"/>
    <s v="CLEAN"/>
  </r>
  <r>
    <x v="575"/>
    <d v="2025-07-20T00:00:00"/>
    <d v="2025-07-23T00:00:00"/>
    <n v="3"/>
    <s v="OK"/>
    <s v="CUST-1986"/>
    <s v="Mira Das"/>
    <x v="3"/>
    <x v="1"/>
    <s v="West Bengal"/>
    <s v="Kolkata"/>
    <x v="1"/>
    <x v="1"/>
    <s v="Elite Tables 318"/>
    <x v="0"/>
    <n v="4"/>
    <n v="477.69"/>
    <n v="0.15"/>
    <s v="OK"/>
    <n v="1624.15"/>
    <n v="1217.99"/>
    <n v="406.16"/>
    <x v="0"/>
    <x v="0"/>
    <s v="OK"/>
    <n v="0.15"/>
    <n v="1624.15"/>
    <n v="406.16"/>
    <n v="0.25009999999999999"/>
    <x v="0"/>
    <x v="1"/>
    <s v="CLEAN"/>
  </r>
  <r>
    <x v="576"/>
    <d v="2025-04-21T00:00:00"/>
    <d v="2025-04-26T00:00:00"/>
    <n v="5"/>
    <s v="OK"/>
    <s v="CUST-3338"/>
    <s v="Ananya Rao"/>
    <x v="0"/>
    <x v="3"/>
    <s v="Maharashtra"/>
    <s v="Mumbai"/>
    <x v="0"/>
    <x v="5"/>
    <s v="Smart Labels 354"/>
    <x v="1"/>
    <n v="6"/>
    <n v="873.59"/>
    <n v="0.2"/>
    <s v="OK"/>
    <n v="4193.2299999999996"/>
    <n v="3329.99"/>
    <n v="863.24"/>
    <x v="0"/>
    <x v="0"/>
    <s v="OK"/>
    <n v="0.2"/>
    <n v="4193.2299999999996"/>
    <n v="863.24"/>
    <n v="0.2059"/>
    <x v="10"/>
    <x v="1"/>
    <s v="CLEAN"/>
  </r>
  <r>
    <x v="577"/>
    <d v="2025-05-18T00:00:00"/>
    <d v="2025-05-20T00:00:00"/>
    <n v="2"/>
    <s v="OK"/>
    <s v="CUST-2343"/>
    <s v="Diya Patel"/>
    <x v="1"/>
    <x v="0"/>
    <s v="Uttar Pradesh"/>
    <s v="Noida"/>
    <x v="1"/>
    <x v="3"/>
    <s v="Pro Furnishings 981"/>
    <x v="2"/>
    <n v="2"/>
    <n v="215.13"/>
    <n v="0"/>
    <s v="OK"/>
    <n v="430.26"/>
    <n v="286.38"/>
    <n v="143.88"/>
    <x v="0"/>
    <x v="0"/>
    <s v="OK"/>
    <n v="0"/>
    <n v="430.26"/>
    <n v="143.88"/>
    <n v="0.33439999999999998"/>
    <x v="4"/>
    <x v="1"/>
    <s v="CLEAN"/>
  </r>
  <r>
    <x v="578"/>
    <d v="2025-06-29T00:00:00"/>
    <d v="2025-05-07T00:00:00"/>
    <n v="-53"/>
    <s v="INVALID"/>
    <s v="CUST-3662"/>
    <s v="Diya Patel"/>
    <x v="0"/>
    <x v="0"/>
    <s v="Punjab"/>
    <s v="Ludhiana"/>
    <x v="1"/>
    <x v="10"/>
    <s v="Max Chairs 151"/>
    <x v="1"/>
    <n v="1"/>
    <n v="999.83"/>
    <n v="0"/>
    <s v="OK"/>
    <n v="999.83"/>
    <n v="634.91"/>
    <n v="364.92"/>
    <x v="0"/>
    <x v="0"/>
    <s v="OK"/>
    <n v="0"/>
    <n v="999.83"/>
    <n v="364.92"/>
    <n v="0.36499999999999999"/>
    <x v="2"/>
    <x v="1"/>
    <s v="INVALID"/>
  </r>
  <r>
    <x v="579"/>
    <d v="2025-08-13T00:00:00"/>
    <d v="2025-08-14T00:00:00"/>
    <n v="1"/>
    <s v="OK"/>
    <s v="CUST-4947"/>
    <s v="Rohan Mehta"/>
    <x v="1"/>
    <x v="2"/>
    <s v="Andhra Pradesh"/>
    <s v="Vijayawada"/>
    <x v="0"/>
    <x v="0"/>
    <s v="Prime Paper 903"/>
    <x v="2"/>
    <n v="9"/>
    <n v="864.98"/>
    <n v="0.1"/>
    <s v="OK"/>
    <n v="7006.34"/>
    <n v="4640.88"/>
    <n v="2365.46"/>
    <x v="0"/>
    <x v="0"/>
    <s v="OK"/>
    <n v="0.1"/>
    <n v="7006.34"/>
    <n v="2365.46"/>
    <n v="0.33760000000000001"/>
    <x v="1"/>
    <x v="1"/>
    <s v="CLEAN"/>
  </r>
  <r>
    <x v="580"/>
    <d v="2025-04-10T00:00:00"/>
    <d v="2025-04-15T00:00:00"/>
    <n v="5"/>
    <s v="OK"/>
    <s v="CUST-4330"/>
    <s v="Isha Nair"/>
    <x v="0"/>
    <x v="3"/>
    <s v="Gujarat"/>
    <s v="Ahmedabad"/>
    <x v="1"/>
    <x v="1"/>
    <s v="Basic Tables 400"/>
    <x v="3"/>
    <n v="8"/>
    <n v="1839.87"/>
    <n v="0.25"/>
    <s v="OK"/>
    <n v="11039.22"/>
    <n v="7642.91"/>
    <n v="3396.31"/>
    <x v="3"/>
    <x v="1"/>
    <s v="OK"/>
    <n v="0.25"/>
    <n v="11039.22"/>
    <n v="3396.31"/>
    <n v="0.30769999999999997"/>
    <x v="10"/>
    <x v="1"/>
    <s v="INVALID"/>
  </r>
  <r>
    <x v="581"/>
    <d v="2025-01-04T00:00:00"/>
    <d v="2025-04-08T00:00:00"/>
    <n v="94"/>
    <s v="OK"/>
    <s v="CUST-4533"/>
    <s v="Aditi Sen"/>
    <x v="0"/>
    <x v="1"/>
    <s v="Odisha"/>
    <s v="Bhubaneswar"/>
    <x v="1"/>
    <x v="9"/>
    <s v="Basic Bookcases 405"/>
    <x v="0"/>
    <n v="5"/>
    <n v="1021.28"/>
    <n v="0.1"/>
    <s v="OK"/>
    <n v="4595.76"/>
    <n v="3396.8"/>
    <n v="1198.96"/>
    <x v="2"/>
    <x v="2"/>
    <s v="OK"/>
    <n v="0.1"/>
    <n v="4595.76"/>
    <n v="1198.96"/>
    <n v="0.26090000000000002"/>
    <x v="6"/>
    <x v="1"/>
    <s v="CLEAN"/>
  </r>
  <r>
    <x v="582"/>
    <d v="2025-02-26T00:00:00"/>
    <d v="2025-02-27T00:00:00"/>
    <n v="1"/>
    <s v="OK"/>
    <s v="CUST-8270"/>
    <s v="Priya Menon"/>
    <x v="2"/>
    <x v="3"/>
    <s v="Gujarat"/>
    <s v="Ahmedabad"/>
    <x v="1"/>
    <x v="9"/>
    <s v="Classic Bookcases 139"/>
    <x v="3"/>
    <n v="5"/>
    <n v="258.27999999999997"/>
    <n v="0"/>
    <s v="OK"/>
    <n v="1291.4000000000001"/>
    <n v="756.93"/>
    <n v="534.47"/>
    <x v="0"/>
    <x v="0"/>
    <s v="OK"/>
    <n v="0"/>
    <n v="1291.4000000000001"/>
    <n v="534.47"/>
    <n v="0.41389999999999999"/>
    <x v="8"/>
    <x v="1"/>
    <s v="CLEAN"/>
  </r>
  <r>
    <x v="583"/>
    <d v="2025-12-01T00:00:00"/>
    <d v="2025-01-15T00:00:00"/>
    <n v="-320"/>
    <s v="INVALID"/>
    <s v="CUST-2495"/>
    <s v="Mira Das"/>
    <x v="2"/>
    <x v="2"/>
    <s v="Karnataka"/>
    <s v="Bengaluru"/>
    <x v="1"/>
    <x v="10"/>
    <s v="Classic Chairs 231"/>
    <x v="1"/>
    <n v="4"/>
    <n v="1531.53"/>
    <n v="0.2"/>
    <s v="OK"/>
    <n v="4900.8999999999996"/>
    <n v="3552.69"/>
    <n v="1348.21"/>
    <x v="0"/>
    <x v="0"/>
    <s v="OK"/>
    <n v="0.2"/>
    <n v="4900.8999999999996"/>
    <n v="1348.21"/>
    <n v="0.27510000000000001"/>
    <x v="5"/>
    <x v="1"/>
    <s v="INVALID"/>
  </r>
  <r>
    <x v="584"/>
    <d v="2025-04-29T00:00:00"/>
    <d v="2025-05-02T00:00:00"/>
    <n v="3"/>
    <s v="OK"/>
    <s v="CUST-4583"/>
    <s v="Vikram Iyer"/>
    <x v="1"/>
    <x v="3"/>
    <s v="Goa"/>
    <s v="Panaji"/>
    <x v="0"/>
    <x v="7"/>
    <s v="Prime Storage 818"/>
    <x v="2"/>
    <n v="6"/>
    <n v="4308.09"/>
    <n v="0"/>
    <s v="OK"/>
    <n v="25848.54"/>
    <n v="17729.09"/>
    <n v="8119.45"/>
    <x v="0"/>
    <x v="0"/>
    <s v="OK"/>
    <n v="0"/>
    <n v="25848.54"/>
    <n v="8119.45"/>
    <n v="0.31409999999999999"/>
    <x v="10"/>
    <x v="1"/>
    <s v="CLEAN"/>
  </r>
  <r>
    <x v="585"/>
    <d v="2025-02-19T00:00:00"/>
    <d v="2025-02-26T00:00:00"/>
    <n v="7"/>
    <s v="OK"/>
    <s v="CUST-5319"/>
    <s v="Mira Das"/>
    <x v="2"/>
    <x v="3"/>
    <s v="Maharashtra"/>
    <s v="Mumbai"/>
    <x v="1"/>
    <x v="3"/>
    <s v="Elite Furnishings 449"/>
    <x v="2"/>
    <n v="3"/>
    <n v="490.3"/>
    <n v="0.2"/>
    <s v="OK"/>
    <n v="1176.72"/>
    <n v="654.33000000000004"/>
    <n v="522.39"/>
    <x v="1"/>
    <x v="1"/>
    <s v="OK"/>
    <n v="0.2"/>
    <n v="1176.72"/>
    <n v="522.39"/>
    <n v="0.44390000000000002"/>
    <x v="8"/>
    <x v="1"/>
    <s v="CLEAN"/>
  </r>
  <r>
    <x v="586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s v="OK"/>
    <n v="11833.92"/>
    <n v="6682.92"/>
    <n v="5151"/>
    <x v="0"/>
    <x v="2"/>
    <s v=" ORIGINAL"/>
    <n v="0.25"/>
    <n v="11833.92"/>
    <n v="5151"/>
    <n v="0.43530000000000002"/>
    <x v="9"/>
    <x v="1"/>
    <s v="CLEAN"/>
  </r>
  <r>
    <x v="586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s v="OK"/>
    <n v="12116.89"/>
    <n v="6682.92"/>
    <n v="5151"/>
    <x v="0"/>
    <x v="1"/>
    <s v="CONFLICTING DUPLICATE - REVIEW"/>
    <n v="0.25"/>
    <n v="11833.92"/>
    <n v="5151"/>
    <n v="0.43530000000000002"/>
    <x v="9"/>
    <x v="1"/>
    <s v="CLEAN"/>
  </r>
  <r>
    <x v="587"/>
    <d v="2025-10-04T00:00:00"/>
    <d v="2025-04-15T00:00:00"/>
    <n v="-172"/>
    <s v="INVALID"/>
    <s v="CUST-2545"/>
    <s v="Diya Patel"/>
    <x v="3"/>
    <x v="4"/>
    <s v="Kerala"/>
    <s v="Kochi"/>
    <x v="2"/>
    <x v="6"/>
    <s v="Max Copiers 363"/>
    <x v="1"/>
    <n v="1"/>
    <n v="2208.27"/>
    <n v="0.1"/>
    <s v="OK"/>
    <n v="1987.44"/>
    <n v="1110.23"/>
    <n v="877.21"/>
    <x v="0"/>
    <x v="0"/>
    <s v="OK"/>
    <n v="0.1"/>
    <n v="1987.44"/>
    <n v="877.21"/>
    <n v="0.44140000000000001"/>
    <x v="9"/>
    <x v="1"/>
    <s v="INVALID"/>
  </r>
  <r>
    <x v="588"/>
    <d v="2025-06-28T00:00:00"/>
    <d v="2025-07-04T00:00:00"/>
    <n v="6"/>
    <s v="OK"/>
    <s v="CUST-1943"/>
    <s v="Rohan Mehta"/>
    <x v="0"/>
    <x v="2"/>
    <s v="Telangana"/>
    <s v="Hyderabad"/>
    <x v="1"/>
    <x v="9"/>
    <s v="Smart Bookcases 662"/>
    <x v="2"/>
    <n v="3"/>
    <n v="2886.23"/>
    <n v="0"/>
    <s v="OK"/>
    <n v="8658.69"/>
    <n v="5535.94"/>
    <n v="3122.75"/>
    <x v="2"/>
    <x v="1"/>
    <s v="OK"/>
    <n v="0"/>
    <n v="8658.69"/>
    <n v="3122.75"/>
    <n v="0.36059999999999998"/>
    <x v="2"/>
    <x v="1"/>
    <s v="CLEAN"/>
  </r>
  <r>
    <x v="589"/>
    <d v="2025-06-04T00:00:00"/>
    <d v="2025-06-10T00:00:00"/>
    <n v="6"/>
    <s v="OK"/>
    <s v="CUST-5341"/>
    <s v="Rahul Verma"/>
    <x v="0"/>
    <x v="2"/>
    <s v="Andhra Pradesh"/>
    <s v="Vijayawada"/>
    <x v="2"/>
    <x v="8"/>
    <s v="Classic Phones 530"/>
    <x v="3"/>
    <n v="4"/>
    <n v="223.37"/>
    <n v="0.25"/>
    <s v="OK"/>
    <n v="670.11"/>
    <n v="559.57000000000005"/>
    <n v="110.54"/>
    <x v="0"/>
    <x v="0"/>
    <s v="OK"/>
    <n v="0.25"/>
    <n v="670.11"/>
    <n v="110.54"/>
    <n v="0.16500000000000001"/>
    <x v="2"/>
    <x v="1"/>
    <s v="CLEAN"/>
  </r>
  <r>
    <x v="590"/>
    <d v="2025-07-06T00:00:00"/>
    <d v="2025-06-07T00:00:00"/>
    <n v="-29"/>
    <s v="INVALID"/>
    <s v="CUST-6949"/>
    <s v="Sneha Kapoor"/>
    <x v="2"/>
    <x v="0"/>
    <s v="Haryana"/>
    <s v="Gurugram"/>
    <x v="0"/>
    <x v="7"/>
    <s v="Basic Storage 737"/>
    <x v="3"/>
    <n v="1"/>
    <n v="1617.2"/>
    <n v="0.25"/>
    <s v="OK"/>
    <n v="1212.9000000000001"/>
    <n v="690.52"/>
    <n v="522.38"/>
    <x v="1"/>
    <x v="1"/>
    <s v="OK"/>
    <n v="0.25"/>
    <n v="1212.9000000000001"/>
    <n v="522.38"/>
    <n v="0.43070000000000003"/>
    <x v="0"/>
    <x v="1"/>
    <s v="INVALID"/>
  </r>
  <r>
    <x v="591"/>
    <d v="2025-02-07T00:00:00"/>
    <d v="2025-02-07T00:00:00"/>
    <n v="0"/>
    <s v="OK"/>
    <s v="CUST-3430"/>
    <s v="Arjun Bose"/>
    <x v="0"/>
    <x v="0"/>
    <s v="Uttar Pradesh"/>
    <s v="Noida"/>
    <x v="0"/>
    <x v="2"/>
    <s v="Classic Art 126"/>
    <x v="0"/>
    <n v="3"/>
    <n v="1999.24"/>
    <n v="0.05"/>
    <s v="OK"/>
    <n v="5697.83"/>
    <n v="4251.5"/>
    <n v="1446.33"/>
    <x v="0"/>
    <x v="0"/>
    <s v="OK"/>
    <n v="0.05"/>
    <n v="5697.83"/>
    <n v="1446.33"/>
    <n v="0.25380000000000003"/>
    <x v="8"/>
    <x v="1"/>
    <s v="CLEAN"/>
  </r>
  <r>
    <x v="592"/>
    <d v="2025-07-29T00:00:00"/>
    <d v="2025-08-02T00:00:00"/>
    <n v="4"/>
    <s v="OK"/>
    <s v="CUST-6310"/>
    <s v="Sneha Kapoor"/>
    <x v="1"/>
    <x v="4"/>
    <s v="Madhya Pradesh"/>
    <s v="Indore"/>
    <x v="2"/>
    <x v="4"/>
    <s v="Prime Accessories 243"/>
    <x v="2"/>
    <n v="1"/>
    <n v="4499.46"/>
    <n v="0.1"/>
    <s v="OK"/>
    <n v="4049.51"/>
    <n v="2509.1999999999998"/>
    <n v="1540.31"/>
    <x v="0"/>
    <x v="0"/>
    <s v="OK"/>
    <n v="0.1"/>
    <n v="4049.51"/>
    <n v="1540.31"/>
    <n v="0.38040000000000002"/>
    <x v="0"/>
    <x v="1"/>
    <s v="WARNING"/>
  </r>
  <r>
    <x v="593"/>
    <d v="2025-08-01T00:00:00"/>
    <d v="2025-08-02T00:00:00"/>
    <n v="1"/>
    <s v="OK"/>
    <s v="CUST-2305"/>
    <s v="Mira Das"/>
    <x v="2"/>
    <x v="0"/>
    <s v="Rajasthan"/>
    <s v="Jaipur"/>
    <x v="1"/>
    <x v="3"/>
    <s v="Classic Furnishings 378"/>
    <x v="2"/>
    <n v="4"/>
    <n v="2790.29"/>
    <n v="0.2"/>
    <s v="OK"/>
    <n v="8928.93"/>
    <n v="5634.38"/>
    <n v="3294.55"/>
    <x v="0"/>
    <x v="0"/>
    <s v="OK"/>
    <n v="0.2"/>
    <n v="8928.93"/>
    <n v="3294.55"/>
    <n v="0.36899999999999999"/>
    <x v="1"/>
    <x v="1"/>
    <s v="CLEAN"/>
  </r>
  <r>
    <x v="594"/>
    <d v="2025-04-06T00:00:00"/>
    <d v="2025-04-10T00:00:00"/>
    <n v="4"/>
    <s v="OK"/>
    <s v="CUST-6268"/>
    <s v="Ananya Rao"/>
    <x v="2"/>
    <x v="3"/>
    <s v="Gujarat"/>
    <s v="Ahmedabad"/>
    <x v="1"/>
    <x v="1"/>
    <s v="Prime Tables 263"/>
    <x v="0"/>
    <n v="6"/>
    <n v="1022.16"/>
    <n v="0"/>
    <s v="OK"/>
    <n v="6132.96"/>
    <n v="4881.1000000000004"/>
    <n v="1251.8599999999999"/>
    <x v="0"/>
    <x v="0"/>
    <s v="OK"/>
    <n v="0"/>
    <n v="6132.96"/>
    <n v="1251.8599999999999"/>
    <n v="0.2041"/>
    <x v="10"/>
    <x v="1"/>
    <s v="CLEAN"/>
  </r>
  <r>
    <x v="595"/>
    <d v="2025-06-25T00:00:00"/>
    <d v="2025-06-28T00:00:00"/>
    <n v="3"/>
    <s v="OK"/>
    <s v="CUST-2103"/>
    <s v="Arjun Bose"/>
    <x v="2"/>
    <x v="0"/>
    <s v="Haryana"/>
    <s v="Gurugram"/>
    <x v="0"/>
    <x v="7"/>
    <s v="Basic Storage 269"/>
    <x v="2"/>
    <n v="2"/>
    <n v="1455.92"/>
    <n v="0.2"/>
    <s v="OK"/>
    <n v="2329.4699999999998"/>
    <n v="1603.62"/>
    <n v="725.85"/>
    <x v="1"/>
    <x v="1"/>
    <s v="OK"/>
    <n v="0.2"/>
    <n v="2329.4699999999998"/>
    <n v="725.85"/>
    <n v="0.31159999999999999"/>
    <x v="2"/>
    <x v="1"/>
    <s v="CLEAN"/>
  </r>
  <r>
    <x v="596"/>
    <d v="2025-01-01T00:00:00"/>
    <d v="2025-03-01T00:00:00"/>
    <n v="59"/>
    <s v="OK"/>
    <s v="CUST-6853"/>
    <s v="Ananya Rao"/>
    <x v="0"/>
    <x v="3"/>
    <s v="Madhya Pradesh"/>
    <s v="Indore"/>
    <x v="2"/>
    <x v="4"/>
    <s v="Elite Accessories 978"/>
    <x v="1"/>
    <n v="7"/>
    <n v="1000.55"/>
    <n v="0.2"/>
    <s v="OK"/>
    <n v="5603.08"/>
    <n v="3132.52"/>
    <n v="2470.56"/>
    <x v="0"/>
    <x v="1"/>
    <s v="OK"/>
    <n v="0.2"/>
    <n v="5603.08"/>
    <n v="2470.56"/>
    <n v="0.44090000000000001"/>
    <x v="6"/>
    <x v="1"/>
    <s v="CLEAN"/>
  </r>
  <r>
    <x v="597"/>
    <d v="2025-02-04T00:00:00"/>
    <d v="2025-02-10T00:00:00"/>
    <n v="6"/>
    <s v="OK"/>
    <s v="CUST-1549"/>
    <s v="Isha Nair"/>
    <x v="2"/>
    <x v="3"/>
    <s v="Maharashtra"/>
    <s v="Mumbai"/>
    <x v="2"/>
    <x v="8"/>
    <s v="Eco Phones 132"/>
    <x v="2"/>
    <n v="7"/>
    <n v="1830"/>
    <n v="0"/>
    <s v="OK"/>
    <n v="12810"/>
    <n v="9334.1200000000008"/>
    <n v="3475.88"/>
    <x v="0"/>
    <x v="0"/>
    <s v="OK"/>
    <n v="0"/>
    <n v="12810"/>
    <n v="3475.88"/>
    <n v="0.27129999999999999"/>
    <x v="8"/>
    <x v="1"/>
    <s v="CLEAN"/>
  </r>
  <r>
    <x v="598"/>
    <d v="2025-08-09T00:00:00"/>
    <d v="2025-08-12T00:00:00"/>
    <n v="3"/>
    <s v="OK"/>
    <s v="CUST-5615"/>
    <s v="Diya Patel"/>
    <x v="2"/>
    <x v="2"/>
    <s v="Karnataka"/>
    <s v="Bengaluru"/>
    <x v="2"/>
    <x v="4"/>
    <s v="Smart Accessories 180"/>
    <x v="0"/>
    <n v="2"/>
    <n v="3237.27"/>
    <n v="0"/>
    <s v="OK"/>
    <n v="6474.54"/>
    <n v="5095.91"/>
    <n v="1378.63"/>
    <x v="0"/>
    <x v="2"/>
    <s v="OK"/>
    <n v="0"/>
    <n v="6474.54"/>
    <n v="1378.63"/>
    <n v="0.21290000000000001"/>
    <x v="1"/>
    <x v="1"/>
    <s v="CLEAN"/>
  </r>
  <r>
    <x v="599"/>
    <d v="2025-09-23T00:00:00"/>
    <d v="2025-09-27T00:00:00"/>
    <n v="4"/>
    <s v="OK"/>
    <s v="CUST-3543"/>
    <s v="Aditi Sen"/>
    <x v="2"/>
    <x v="1"/>
    <s v="West Bengal"/>
    <s v="Kolkata"/>
    <x v="0"/>
    <x v="11"/>
    <s v="Elite Binders 827"/>
    <x v="1"/>
    <n v="7"/>
    <n v="2897.12"/>
    <n v="0.25"/>
    <s v="OK"/>
    <n v="15209.88"/>
    <n v="10891.15"/>
    <n v="4318.7299999999996"/>
    <x v="3"/>
    <x v="1"/>
    <s v="OK"/>
    <n v="0.25"/>
    <n v="15209.88"/>
    <n v="4318.7299999999996"/>
    <n v="0.28389999999999999"/>
    <x v="11"/>
    <x v="1"/>
    <s v="INVALID"/>
  </r>
  <r>
    <x v="600"/>
    <d v="2025-06-18T00:00:00"/>
    <d v="2025-06-24T00:00:00"/>
    <n v="6"/>
    <s v="OK"/>
    <s v="CUST-7623"/>
    <s v="Sneha Kapoor"/>
    <x v="2"/>
    <x v="0"/>
    <s v="Rajasthan"/>
    <s v="Jaipur"/>
    <x v="0"/>
    <x v="5"/>
    <s v="Prime Labels 326"/>
    <x v="3"/>
    <n v="3"/>
    <n v="686.74"/>
    <n v="0.2"/>
    <s v="OK"/>
    <n v="1648.18"/>
    <n v="987.91"/>
    <n v="660.27"/>
    <x v="3"/>
    <x v="2"/>
    <s v="OK"/>
    <n v="0.2"/>
    <n v="1648.18"/>
    <n v="660.27"/>
    <n v="0.40060000000000001"/>
    <x v="2"/>
    <x v="1"/>
    <s v="INVALID"/>
  </r>
  <r>
    <x v="601"/>
    <d v="2025-05-26T00:00:00"/>
    <d v="2025-06-01T00:00:00"/>
    <n v="6"/>
    <s v="OK"/>
    <s v="CUST-6153"/>
    <s v="Arjun Bose"/>
    <x v="1"/>
    <x v="0"/>
    <s v="Delhi"/>
    <s v="New Delhi"/>
    <x v="2"/>
    <x v="8"/>
    <s v="Eco Phones 245"/>
    <x v="1"/>
    <n v="4"/>
    <n v="3349.86"/>
    <n v="0"/>
    <s v="OK"/>
    <n v="13399.44"/>
    <n v="8581.35"/>
    <n v="4818.09"/>
    <x v="1"/>
    <x v="1"/>
    <s v="OK"/>
    <n v="0"/>
    <n v="13399.44"/>
    <n v="4818.09"/>
    <n v="0.35959999999999998"/>
    <x v="4"/>
    <x v="1"/>
    <s v="CLEAN"/>
  </r>
  <r>
    <x v="602"/>
    <d v="2025-08-06T00:00:00"/>
    <d v="2025-10-08T00:00:00"/>
    <n v="63"/>
    <s v="OK"/>
    <s v="CUST-8265"/>
    <s v="Rohan Mehta"/>
    <x v="1"/>
    <x v="0"/>
    <s v="Delhi"/>
    <s v="New Delhi"/>
    <x v="0"/>
    <x v="11"/>
    <s v="Smart Binders 905"/>
    <x v="0"/>
    <n v="9"/>
    <n v="4042.45"/>
    <n v="0.1"/>
    <s v="OK"/>
    <n v="32743.84"/>
    <n v="22452.05"/>
    <n v="10291.790000000001"/>
    <x v="1"/>
    <x v="1"/>
    <s v="OK"/>
    <n v="0.1"/>
    <n v="32743.85"/>
    <n v="10291.799999999999"/>
    <n v="0.31430000000000002"/>
    <x v="1"/>
    <x v="1"/>
    <s v="CLEAN"/>
  </r>
  <r>
    <x v="603"/>
    <d v="2025-05-03T00:00:00"/>
    <d v="2025-05-10T00:00:00"/>
    <n v="7"/>
    <s v="OK"/>
    <s v="CUST-7114"/>
    <s v="Neha Gupta"/>
    <x v="3"/>
    <x v="3"/>
    <s v="Maharashtra"/>
    <s v="Mumbai"/>
    <x v="0"/>
    <x v="7"/>
    <s v="Classic Storage 926"/>
    <x v="0"/>
    <n v="3"/>
    <n v="4339.24"/>
    <n v="0"/>
    <s v="OK"/>
    <n v="13017.72"/>
    <n v="10170.57"/>
    <n v="2847.15"/>
    <x v="0"/>
    <x v="0"/>
    <s v="OK"/>
    <n v="0"/>
    <n v="13017.72"/>
    <n v="2847.15"/>
    <n v="0.21870000000000001"/>
    <x v="4"/>
    <x v="1"/>
    <s v="CLEAN"/>
  </r>
  <r>
    <x v="604"/>
    <d v="2025-05-28T00:00:00"/>
    <d v="2025-04-06T00:00:00"/>
    <n v="-52"/>
    <s v="INVALID"/>
    <s v="CUST-4431"/>
    <s v="Diya Patel"/>
    <x v="2"/>
    <x v="1"/>
    <s v="Jharkhand"/>
    <s v="Ranchi"/>
    <x v="1"/>
    <x v="3"/>
    <s v="Basic Furnishings 372"/>
    <x v="2"/>
    <n v="4"/>
    <n v="261.8"/>
    <n v="0.25"/>
    <s v="OK"/>
    <n v="785.4"/>
    <n v="557.22"/>
    <n v="228.18"/>
    <x v="0"/>
    <x v="0"/>
    <s v="OK"/>
    <n v="0.25"/>
    <n v="785.4"/>
    <n v="228.18"/>
    <n v="0.29049999999999998"/>
    <x v="4"/>
    <x v="1"/>
    <s v="INVALID"/>
  </r>
  <r>
    <x v="605"/>
    <d v="2025-08-17T00:00:00"/>
    <d v="2025-08-17T00:00:00"/>
    <n v="0"/>
    <s v="OK"/>
    <s v="CUST-1488"/>
    <s v="Aarav Sharma"/>
    <x v="3"/>
    <x v="0"/>
    <s v="Punjab"/>
    <s v="Ludhiana"/>
    <x v="2"/>
    <x v="4"/>
    <s v="Prime Accessories 367"/>
    <x v="2"/>
    <n v="7"/>
    <n v="632.20000000000005"/>
    <n v="0.25"/>
    <s v="OK"/>
    <n v="3319.05"/>
    <n v="2124.6"/>
    <n v="1194.45"/>
    <x v="0"/>
    <x v="0"/>
    <s v="OK"/>
    <n v="0.25"/>
    <n v="3319.05"/>
    <n v="1194.45"/>
    <n v="0.3599"/>
    <x v="1"/>
    <x v="1"/>
    <s v="CLEAN"/>
  </r>
  <r>
    <x v="606"/>
    <d v="2025-02-10T00:00:00"/>
    <d v="2025-02-12T00:00:00"/>
    <n v="2"/>
    <s v="OK"/>
    <s v="CUST-1586"/>
    <s v="Rahul Verma"/>
    <x v="1"/>
    <x v="3"/>
    <s v="Rajasthan"/>
    <s v="Udaipur"/>
    <x v="1"/>
    <x v="1"/>
    <s v="Max Tables 526"/>
    <x v="1"/>
    <n v="1"/>
    <n v="1925.86"/>
    <n v="0"/>
    <s v="OK"/>
    <n v="1925.86"/>
    <n v="1321.89"/>
    <n v="603.97"/>
    <x v="0"/>
    <x v="0"/>
    <s v="OK"/>
    <n v="0"/>
    <n v="1925.86"/>
    <n v="603.97"/>
    <n v="0.31359999999999999"/>
    <x v="8"/>
    <x v="1"/>
    <s v="CLEAN"/>
  </r>
  <r>
    <x v="607"/>
    <d v="2025-02-13T00:00:00"/>
    <d v="2025-02-13T00:00:00"/>
    <n v="0"/>
    <s v="OK"/>
    <s v="CUST-8249"/>
    <s v="Isha Nair"/>
    <x v="0"/>
    <x v="1"/>
    <s v="Bihar"/>
    <s v="Patna"/>
    <x v="0"/>
    <x v="0"/>
    <s v="Basic Paper 657"/>
    <x v="0"/>
    <n v="9"/>
    <n v="2521.63"/>
    <n v="0"/>
    <s v="OK"/>
    <n v="22694.67"/>
    <n v="15405.36"/>
    <n v="7289.31"/>
    <x v="0"/>
    <x v="1"/>
    <s v="OK"/>
    <n v="0"/>
    <n v="22694.67"/>
    <n v="7289.31"/>
    <n v="0.32119999999999999"/>
    <x v="8"/>
    <x v="1"/>
    <s v="CLEAN"/>
  </r>
  <r>
    <x v="608"/>
    <d v="2025-06-04T00:00:00"/>
    <d v="2025-06-04T00:00:00"/>
    <n v="0"/>
    <s v="OK"/>
    <s v="CUST-2819"/>
    <s v="Isha Nair"/>
    <x v="2"/>
    <x v="0"/>
    <s v="Haryana"/>
    <s v="Gurugram"/>
    <x v="2"/>
    <x v="4"/>
    <s v="Elite Accessories 291"/>
    <x v="0"/>
    <n v="1"/>
    <n v="2133.73"/>
    <n v="0.15"/>
    <s v="OK"/>
    <n v="2008.39"/>
    <n v="1002.57"/>
    <n v="811.1"/>
    <x v="1"/>
    <x v="2"/>
    <s v="OK"/>
    <n v="0.15"/>
    <n v="1813.67"/>
    <n v="811.1"/>
    <n v="0.44719999999999999"/>
    <x v="2"/>
    <x v="1"/>
    <s v="CLEAN"/>
  </r>
  <r>
    <x v="609"/>
    <d v="2025-07-03T00:00:00"/>
    <d v="2025-03-14T00:00:00"/>
    <n v="-111"/>
    <s v="INVALID"/>
    <s v="CUST-8242"/>
    <s v="Priya Menon"/>
    <x v="1"/>
    <x v="0"/>
    <s v="Delhi"/>
    <s v="New Delhi"/>
    <x v="2"/>
    <x v="4"/>
    <s v="Pro Accessories 207"/>
    <x v="1"/>
    <n v="1"/>
    <n v="3979.64"/>
    <n v="0.05"/>
    <s v="OK"/>
    <n v="3780.66"/>
    <n v="2148.31"/>
    <n v="1632.35"/>
    <x v="0"/>
    <x v="1"/>
    <s v="OK"/>
    <n v="0.05"/>
    <n v="3780.66"/>
    <n v="1632.35"/>
    <n v="0.43180000000000002"/>
    <x v="0"/>
    <x v="1"/>
    <s v="INVALID"/>
  </r>
  <r>
    <x v="610"/>
    <d v="2025-07-25T00:00:00"/>
    <d v="2025-07-27T00:00:00"/>
    <n v="2"/>
    <s v="OK"/>
    <s v="CUST-2052"/>
    <s v="Kabir Singh"/>
    <x v="0"/>
    <x v="1"/>
    <s v="Jharkhand"/>
    <s v="Ranchi"/>
    <x v="0"/>
    <x v="11"/>
    <s v="Basic Binders 637"/>
    <x v="0"/>
    <n v="6"/>
    <n v="3438.38"/>
    <n v="0.2"/>
    <s v="OK"/>
    <n v="16504.22"/>
    <n v="11262.71"/>
    <n v="5241.51"/>
    <x v="0"/>
    <x v="0"/>
    <s v="OK"/>
    <n v="0.2"/>
    <n v="16504.22"/>
    <n v="5241.51"/>
    <n v="0.31759999999999999"/>
    <x v="0"/>
    <x v="1"/>
    <s v="CLEAN"/>
  </r>
  <r>
    <x v="611"/>
    <d v="2025-03-13T00:00:00"/>
    <d v="2025-03-20T00:00:00"/>
    <n v="7"/>
    <s v="OK"/>
    <s v="CUST-6568"/>
    <s v="Vikram Iyer"/>
    <x v="0"/>
    <x v="3"/>
    <s v="Maharashtra"/>
    <s v="Mumbai"/>
    <x v="1"/>
    <x v="3"/>
    <s v="Classic Furnishings 819"/>
    <x v="2"/>
    <n v="1"/>
    <n v="1814.01"/>
    <n v="0"/>
    <s v="OK"/>
    <n v="1814.01"/>
    <n v="1033.47"/>
    <n v="780.54"/>
    <x v="0"/>
    <x v="0"/>
    <s v="OK"/>
    <n v="0"/>
    <n v="1814.01"/>
    <n v="780.54"/>
    <n v="0.43030000000000002"/>
    <x v="7"/>
    <x v="1"/>
    <s v="CLEAN"/>
  </r>
  <r>
    <x v="612"/>
    <d v="2025-08-15T00:00:00"/>
    <d v="2025-08-20T00:00:00"/>
    <n v="5"/>
    <s v="OK"/>
    <s v="CUST-5610"/>
    <s v="Neha Gupta"/>
    <x v="3"/>
    <x v="0"/>
    <s v="Rajasthan"/>
    <s v="Jaipur"/>
    <x v="0"/>
    <x v="7"/>
    <s v="Basic Storage 771"/>
    <x v="3"/>
    <n v="9"/>
    <n v="4081.77"/>
    <n v="0"/>
    <s v="OK"/>
    <n v="36735.93"/>
    <n v="30820.84"/>
    <n v="5915.09"/>
    <x v="0"/>
    <x v="0"/>
    <s v="OK"/>
    <n v="0"/>
    <n v="36735.93"/>
    <n v="5915.09"/>
    <n v="0.161"/>
    <x v="1"/>
    <x v="1"/>
    <s v="CLEAN"/>
  </r>
  <r>
    <x v="613"/>
    <d v="2025-06-19T00:00:00"/>
    <d v="2025-06-27T00:00:00"/>
    <n v="8"/>
    <s v="OK"/>
    <s v="CUST-9114"/>
    <s v="Karan Malhotra"/>
    <x v="3"/>
    <x v="2"/>
    <s v="Tamil Nadu"/>
    <s v="Chennai"/>
    <x v="1"/>
    <x v="9"/>
    <s v="Basic Bookcases 823"/>
    <x v="2"/>
    <n v="2"/>
    <n v="4346.6899999999996"/>
    <n v="0.05"/>
    <s v="OK"/>
    <n v="8258.7099999999991"/>
    <n v="7018.97"/>
    <n v="1239.74"/>
    <x v="0"/>
    <x v="0"/>
    <s v="OK"/>
    <n v="0.05"/>
    <n v="8258.7099999999991"/>
    <n v="1239.74"/>
    <n v="0.15010000000000001"/>
    <x v="2"/>
    <x v="1"/>
    <s v="CLEAN"/>
  </r>
  <r>
    <x v="614"/>
    <d v="2025-08-22T00:00:00"/>
    <d v="2025-08-26T00:00:00"/>
    <n v="4"/>
    <s v="OK"/>
    <s v="CUST-8557"/>
    <s v="Diya Patel"/>
    <x v="3"/>
    <x v="1"/>
    <s v="Jharkhand"/>
    <s v="Ranchi"/>
    <x v="1"/>
    <x v="1"/>
    <s v="Classic Tables 178"/>
    <x v="3"/>
    <n v="1"/>
    <n v="1842.63"/>
    <n v="0.1"/>
    <s v="OK"/>
    <n v="1658.37"/>
    <n v="971.12"/>
    <n v="687.25"/>
    <x v="0"/>
    <x v="0"/>
    <s v="OK"/>
    <n v="0.1"/>
    <n v="1658.37"/>
    <n v="687.25"/>
    <n v="0.41439999999999999"/>
    <x v="1"/>
    <x v="1"/>
    <s v="CLEAN"/>
  </r>
  <r>
    <x v="615"/>
    <d v="2025-02-28T00:00:00"/>
    <d v="2025-03-03T00:00:00"/>
    <n v="3"/>
    <s v="OK"/>
    <s v="CUST-7837"/>
    <s v="Kabir Singh"/>
    <x v="3"/>
    <x v="0"/>
    <s v="Haryana"/>
    <s v="Gurugram"/>
    <x v="0"/>
    <x v="2"/>
    <s v="Classic Art 183"/>
    <x v="1"/>
    <n v="9"/>
    <n v="3748.95"/>
    <n v="0"/>
    <s v="OK"/>
    <n v="33740.550000000003"/>
    <n v="24621.89"/>
    <n v="9118.66"/>
    <x v="1"/>
    <x v="2"/>
    <s v="OK"/>
    <n v="0"/>
    <n v="33740.550000000003"/>
    <n v="9118.66"/>
    <n v="0.27029999999999998"/>
    <x v="8"/>
    <x v="1"/>
    <s v="CLEAN"/>
  </r>
  <r>
    <x v="616"/>
    <d v="2025-07-16T00:00:00"/>
    <d v="2025-07-22T00:00:00"/>
    <n v="6"/>
    <s v="OK"/>
    <s v="CUST-4755"/>
    <s v="Priya Menon"/>
    <x v="0"/>
    <x v="1"/>
    <s v="Odisha"/>
    <s v="Bhubaneswar"/>
    <x v="2"/>
    <x v="8"/>
    <s v="Basic Phones 326"/>
    <x v="0"/>
    <n v="6"/>
    <n v="4159.33"/>
    <n v="0.25"/>
    <s v="OK"/>
    <n v="18716.990000000002"/>
    <n v="12282.43"/>
    <n v="6434.56"/>
    <x v="0"/>
    <x v="1"/>
    <s v="OK"/>
    <n v="0.25"/>
    <n v="18716.990000000002"/>
    <n v="6434.56"/>
    <n v="0.34379999999999999"/>
    <x v="0"/>
    <x v="1"/>
    <s v="CLEAN"/>
  </r>
  <r>
    <x v="617"/>
    <d v="2025-06-25T00:00:00"/>
    <d v="2025-06-28T00:00:00"/>
    <n v="3"/>
    <s v="OK"/>
    <s v="CUST-6778"/>
    <s v="Aditi Sen"/>
    <x v="1"/>
    <x v="1"/>
    <s v="Assam"/>
    <s v="Guwahati"/>
    <x v="0"/>
    <x v="11"/>
    <s v="Max Binders 587"/>
    <x v="3"/>
    <n v="3"/>
    <n v="3476.05"/>
    <n v="0.1"/>
    <s v="OK"/>
    <n v="9385.34"/>
    <n v="5828.54"/>
    <n v="3556.8"/>
    <x v="0"/>
    <x v="0"/>
    <s v="OK"/>
    <n v="0.1"/>
    <n v="9385.34"/>
    <n v="3556.8"/>
    <n v="0.379"/>
    <x v="2"/>
    <x v="1"/>
    <s v="CLEAN"/>
  </r>
  <r>
    <x v="618"/>
    <d v="2025-05-24T00:00:00"/>
    <d v="2025-05-26T00:00:00"/>
    <n v="2"/>
    <s v="OK"/>
    <s v="CUST-7629"/>
    <s v="Aditi Sen"/>
    <x v="3"/>
    <x v="0"/>
    <s v="Haryana"/>
    <s v="Gurugram"/>
    <x v="1"/>
    <x v="3"/>
    <s v="Basic Furnishings 617"/>
    <x v="1"/>
    <n v="6"/>
    <n v="3495.41"/>
    <n v="0.15"/>
    <s v="OK"/>
    <n v="17826.59"/>
    <n v="10855.35"/>
    <n v="6971.24"/>
    <x v="0"/>
    <x v="0"/>
    <s v="OK"/>
    <n v="0.15"/>
    <n v="17826.59"/>
    <n v="6971.24"/>
    <n v="0.3911"/>
    <x v="4"/>
    <x v="1"/>
    <s v="CLEAN"/>
  </r>
  <r>
    <x v="619"/>
    <d v="2025-01-23T00:00:00"/>
    <d v="2025-01-26T00:00:00"/>
    <n v="3"/>
    <s v="OK"/>
    <s v="CUST-2141"/>
    <s v="Isha Nair"/>
    <x v="0"/>
    <x v="2"/>
    <s v="Kerala"/>
    <s v="Kochi"/>
    <x v="2"/>
    <x v="6"/>
    <s v="Eco Copiers 894"/>
    <x v="2"/>
    <n v="7"/>
    <n v="348.49"/>
    <n v="0.2"/>
    <s v="OK"/>
    <n v="1951.54"/>
    <n v="1609.95"/>
    <n v="341.59"/>
    <x v="3"/>
    <x v="1"/>
    <s v="OK"/>
    <n v="0.2"/>
    <n v="1951.54"/>
    <n v="341.59"/>
    <n v="0.17499999999999999"/>
    <x v="6"/>
    <x v="1"/>
    <s v="INVALID"/>
  </r>
  <r>
    <x v="620"/>
    <d v="2025-05-28T00:00:00"/>
    <d v="2025-01-06T00:00:00"/>
    <n v="-142"/>
    <s v="INVALID"/>
    <s v="CUST-5599"/>
    <s v="Isha Nair"/>
    <x v="3"/>
    <x v="1"/>
    <s v="Bihar"/>
    <s v="Patna"/>
    <x v="2"/>
    <x v="8"/>
    <s v="Elite Phones 202"/>
    <x v="1"/>
    <n v="4"/>
    <n v="1654.11"/>
    <n v="0.05"/>
    <s v="OK"/>
    <n v="6285.62"/>
    <n v="3705.38"/>
    <n v="2580.2399999999998"/>
    <x v="0"/>
    <x v="0"/>
    <s v="OK"/>
    <n v="0.05"/>
    <n v="6285.62"/>
    <n v="2580.2399999999998"/>
    <n v="0.41049999999999998"/>
    <x v="4"/>
    <x v="1"/>
    <s v="INVALID"/>
  </r>
  <r>
    <x v="621"/>
    <d v="2025-04-06T00:00:00"/>
    <d v="2025-06-12T00:00:00"/>
    <n v="67"/>
    <s v="OK"/>
    <s v="CUST-1623"/>
    <s v="Neha Gupta"/>
    <x v="0"/>
    <x v="3"/>
    <s v="Goa"/>
    <s v="Panaji"/>
    <x v="0"/>
    <x v="7"/>
    <s v="Elite Storage 535"/>
    <x v="1"/>
    <n v="2"/>
    <n v="2703.28"/>
    <n v="0.25"/>
    <s v="OK"/>
    <n v="4054.92"/>
    <n v="2424.83"/>
    <n v="1630.09"/>
    <x v="0"/>
    <x v="0"/>
    <s v="OK"/>
    <n v="0.25"/>
    <n v="4054.92"/>
    <n v="1630.09"/>
    <n v="0.40200000000000002"/>
    <x v="10"/>
    <x v="1"/>
    <s v="CLEAN"/>
  </r>
  <r>
    <x v="622"/>
    <d v="2025-02-20T00:00:00"/>
    <d v="2025-02-23T00:00:00"/>
    <n v="3"/>
    <s v="OK"/>
    <s v="CUST-2589"/>
    <s v="Aarav Sharma"/>
    <x v="0"/>
    <x v="0"/>
    <s v="Rajasthan"/>
    <s v="Jaipur"/>
    <x v="2"/>
    <x v="8"/>
    <s v="Pro Phones 530"/>
    <x v="0"/>
    <n v="4"/>
    <n v="3673.11"/>
    <n v="0"/>
    <s v="OK"/>
    <n v="14692.44"/>
    <n v="10082.19"/>
    <n v="4610.25"/>
    <x v="0"/>
    <x v="0"/>
    <s v="OK"/>
    <n v="0"/>
    <n v="14692.44"/>
    <n v="4610.25"/>
    <n v="0.31380000000000002"/>
    <x v="8"/>
    <x v="1"/>
    <s v="CLEAN"/>
  </r>
  <r>
    <x v="623"/>
    <d v="2025-07-12T00:00:00"/>
    <d v="2025-07-19T00:00:00"/>
    <n v="7"/>
    <s v="OK"/>
    <s v="CUST-4153"/>
    <s v="Ananya Rao"/>
    <x v="2"/>
    <x v="0"/>
    <s v="Uttar Pradesh"/>
    <s v="Noida"/>
    <x v="1"/>
    <x v="1"/>
    <s v="Basic Tables 911"/>
    <x v="2"/>
    <n v="9"/>
    <n v="4093.04"/>
    <n v="0.2"/>
    <s v="OK"/>
    <n v="29469.89"/>
    <n v="18935.509999999998"/>
    <n v="10534.38"/>
    <x v="1"/>
    <x v="2"/>
    <s v="OK"/>
    <n v="0.2"/>
    <n v="29469.89"/>
    <n v="10534.38"/>
    <n v="0.35749999999999998"/>
    <x v="0"/>
    <x v="1"/>
    <s v="CLEAN"/>
  </r>
  <r>
    <x v="624"/>
    <d v="2025-06-13T00:00:00"/>
    <d v="2025-06-19T00:00:00"/>
    <n v="6"/>
    <s v="OK"/>
    <s v="CUST-6727"/>
    <s v="Rohan Mehta"/>
    <x v="0"/>
    <x v="0"/>
    <s v="Rajasthan"/>
    <s v="Jaipur"/>
    <x v="1"/>
    <x v="1"/>
    <s v="Classic Tables 224"/>
    <x v="2"/>
    <n v="4"/>
    <n v="731.57"/>
    <n v="0.2"/>
    <s v="OK"/>
    <n v="2341.02"/>
    <n v="1565.49"/>
    <n v="775.53"/>
    <x v="0"/>
    <x v="0"/>
    <s v="OK"/>
    <n v="0.2"/>
    <n v="2341.02"/>
    <n v="775.53"/>
    <n v="0.33129999999999998"/>
    <x v="2"/>
    <x v="1"/>
    <s v="CLEAN"/>
  </r>
  <r>
    <x v="625"/>
    <d v="2025-05-30T00:00:00"/>
    <d v="2025-05-31T00:00:00"/>
    <n v="1"/>
    <s v="OK"/>
    <s v="CUST-4770"/>
    <s v="Rahul Verma"/>
    <x v="2"/>
    <x v="0"/>
    <s v="Uttar Pradesh"/>
    <s v="Noida"/>
    <x v="2"/>
    <x v="8"/>
    <s v="Pro Phones 764"/>
    <x v="2"/>
    <n v="8"/>
    <n v="2081.4299999999998"/>
    <n v="0.25"/>
    <s v="OK"/>
    <n v="12488.58"/>
    <n v="10717.4"/>
    <n v="1771.18"/>
    <x v="2"/>
    <x v="2"/>
    <s v="OK"/>
    <n v="0.25"/>
    <n v="12488.58"/>
    <n v="1771.18"/>
    <n v="0.14180000000000001"/>
    <x v="4"/>
    <x v="1"/>
    <s v="CLEAN"/>
  </r>
  <r>
    <x v="626"/>
    <d v="2025-05-18T00:00:00"/>
    <d v="2025-05-20T00:00:00"/>
    <n v="2"/>
    <s v="OK"/>
    <s v="CUST-1945"/>
    <s v="Isha Nair"/>
    <x v="2"/>
    <x v="3"/>
    <s v="Madhya Pradesh"/>
    <s v="Indore"/>
    <x v="0"/>
    <x v="5"/>
    <s v="Elite Labels 544"/>
    <x v="3"/>
    <n v="9"/>
    <n v="847.76"/>
    <n v="0.15"/>
    <s v="OK"/>
    <n v="6485.36"/>
    <n v="5376.17"/>
    <n v="1109.19"/>
    <x v="3"/>
    <x v="1"/>
    <s v=" ORIGINAL"/>
    <n v="0.15"/>
    <n v="6485.36"/>
    <n v="1109.19"/>
    <n v="0.17100000000000001"/>
    <x v="4"/>
    <x v="1"/>
    <s v="INVALID"/>
  </r>
  <r>
    <x v="626"/>
    <d v="2025-05-18T00:00:00"/>
    <d v="2025-05-20T00:00:00"/>
    <n v="2"/>
    <s v="OK"/>
    <s v="CUST-1945"/>
    <s v="Isha Nair"/>
    <x v="2"/>
    <x v="3"/>
    <s v="Madhya Pradesh"/>
    <s v="Indore"/>
    <x v="0"/>
    <x v="5"/>
    <s v="Elite Labels 544"/>
    <x v="3"/>
    <n v="9"/>
    <n v="847.76"/>
    <n v="0.15"/>
    <s v="OK"/>
    <n v="6589.37"/>
    <n v="5376.17"/>
    <n v="1109.19"/>
    <x v="3"/>
    <x v="0"/>
    <s v="CONFLICTING DUPLICATE - REVIEW"/>
    <n v="0.15"/>
    <n v="6485.36"/>
    <n v="1109.19"/>
    <n v="0.17100000000000001"/>
    <x v="4"/>
    <x v="1"/>
    <s v="INVALID"/>
  </r>
  <r>
    <x v="627"/>
    <d v="2025-08-29T00:00:00"/>
    <d v="2025-09-04T00:00:00"/>
    <n v="6"/>
    <s v="OK"/>
    <s v="CUST-7992"/>
    <s v="Neha Gupta"/>
    <x v="2"/>
    <x v="2"/>
    <s v="Kerala"/>
    <s v="Kochi"/>
    <x v="1"/>
    <x v="1"/>
    <s v="Pro Tables 778"/>
    <x v="2"/>
    <n v="9"/>
    <n v="2996.97"/>
    <n v="0.15"/>
    <s v="OK"/>
    <n v="22926.82"/>
    <n v="14621.59"/>
    <n v="8305.23"/>
    <x v="0"/>
    <x v="0"/>
    <s v="OK"/>
    <n v="0.15"/>
    <n v="22926.82"/>
    <n v="8305.23"/>
    <n v="0.36220000000000002"/>
    <x v="1"/>
    <x v="1"/>
    <s v="CLEAN"/>
  </r>
  <r>
    <x v="628"/>
    <d v="2025-07-31T00:00:00"/>
    <d v="2025-02-08T00:00:00"/>
    <n v="-173"/>
    <s v="INVALID"/>
    <s v="CUST-7212"/>
    <s v="Rohan Mehta"/>
    <x v="3"/>
    <x v="2"/>
    <s v="Andhra Pradesh"/>
    <s v="Vijayawada"/>
    <x v="0"/>
    <x v="5"/>
    <s v="Basic Labels 102"/>
    <x v="1"/>
    <n v="1"/>
    <n v="1947.88"/>
    <n v="0.15"/>
    <s v="OK"/>
    <n v="1655.7"/>
    <n v="1354.8"/>
    <n v="300.89999999999998"/>
    <x v="0"/>
    <x v="1"/>
    <s v="OK"/>
    <n v="0.15"/>
    <n v="1655.7"/>
    <n v="300.89999999999998"/>
    <n v="0.1817"/>
    <x v="0"/>
    <x v="1"/>
    <s v="INVALID"/>
  </r>
  <r>
    <x v="629"/>
    <d v="2025-09-16T00:00:00"/>
    <d v="2025-09-22T00:00:00"/>
    <n v="6"/>
    <s v="OK"/>
    <s v="CUST-7980"/>
    <s v="Sneha Kapoor"/>
    <x v="3"/>
    <x v="1"/>
    <s v="West Bengal"/>
    <s v="Kolkata"/>
    <x v="2"/>
    <x v="6"/>
    <s v="Prime Copiers 170"/>
    <x v="0"/>
    <n v="5"/>
    <n v="3671.2"/>
    <n v="0.15"/>
    <s v="OK"/>
    <n v="15602.6"/>
    <n v="11908.52"/>
    <n v="3694.08"/>
    <x v="0"/>
    <x v="0"/>
    <s v="OK"/>
    <n v="0.15"/>
    <n v="15602.6"/>
    <n v="3694.08"/>
    <n v="0.23680000000000001"/>
    <x v="11"/>
    <x v="1"/>
    <s v="CLEAN"/>
  </r>
  <r>
    <x v="630"/>
    <d v="2025-07-22T00:00:00"/>
    <d v="2025-07-22T00:00:00"/>
    <n v="0"/>
    <s v="OK"/>
    <s v="CUST-1966"/>
    <s v="Sneha Kapoor"/>
    <x v="2"/>
    <x v="1"/>
    <s v="Jharkhand"/>
    <s v="Ranchi"/>
    <x v="1"/>
    <x v="3"/>
    <s v="Smart Furnishings 533"/>
    <x v="1"/>
    <n v="5"/>
    <n v="3187.05"/>
    <n v="0.05"/>
    <s v="OK"/>
    <n v="15138.49"/>
    <n v="11235.72"/>
    <n v="3902.77"/>
    <x v="0"/>
    <x v="0"/>
    <s v="OK"/>
    <n v="0.05"/>
    <n v="15138.49"/>
    <n v="3902.77"/>
    <n v="0.25779999999999997"/>
    <x v="0"/>
    <x v="1"/>
    <s v="CLEAN"/>
  </r>
  <r>
    <x v="631"/>
    <d v="2025-05-29T00:00:00"/>
    <d v="2025-06-04T00:00:00"/>
    <n v="6"/>
    <s v="OK"/>
    <s v="CUST-7239"/>
    <s v="Diya Patel"/>
    <x v="0"/>
    <x v="3"/>
    <s v="Maharashtra"/>
    <s v="Mumbai"/>
    <x v="0"/>
    <x v="7"/>
    <s v="Smart Storage 439"/>
    <x v="2"/>
    <n v="6"/>
    <n v="3100.68"/>
    <n v="0"/>
    <s v="OK"/>
    <n v="18604.080000000002"/>
    <n v="15834.3"/>
    <n v="2769.78"/>
    <x v="0"/>
    <x v="0"/>
    <s v="OK"/>
    <n v="0"/>
    <n v="18604.080000000002"/>
    <n v="2769.78"/>
    <n v="0.1489"/>
    <x v="4"/>
    <x v="1"/>
    <s v="CLEAN"/>
  </r>
  <r>
    <x v="632"/>
    <d v="2025-05-12T00:00:00"/>
    <d v="2025-05-18T00:00:00"/>
    <n v="6"/>
    <s v="OK"/>
    <s v="CUST-9718"/>
    <s v="Neha Gupta"/>
    <x v="1"/>
    <x v="3"/>
    <s v="Maharashtra"/>
    <s v="Mumbai"/>
    <x v="0"/>
    <x v="7"/>
    <s v="Prime Storage 232"/>
    <x v="3"/>
    <n v="4"/>
    <n v="4053.03"/>
    <n v="0.05"/>
    <s v="OK"/>
    <n v="15401.51"/>
    <n v="8650.42"/>
    <n v="6751.09"/>
    <x v="0"/>
    <x v="0"/>
    <s v="OK"/>
    <n v="0.05"/>
    <n v="15401.51"/>
    <n v="6751.09"/>
    <n v="0.43830000000000002"/>
    <x v="4"/>
    <x v="1"/>
    <s v="CLEAN"/>
  </r>
  <r>
    <x v="633"/>
    <d v="2025-05-27T00:00:00"/>
    <d v="2025-05-28T00:00:00"/>
    <n v="1"/>
    <s v="OK"/>
    <s v="CUST-5332"/>
    <s v="Aarav Sharma"/>
    <x v="0"/>
    <x v="2"/>
    <s v="Andhra Pradesh"/>
    <s v="Vijayawada"/>
    <x v="2"/>
    <x v="12"/>
    <s v="Basic Machines 601"/>
    <x v="0"/>
    <n v="2"/>
    <n v="3911.96"/>
    <n v="0"/>
    <s v="OK"/>
    <n v="7823.92"/>
    <n v="6034.63"/>
    <n v="1789.29"/>
    <x v="0"/>
    <x v="0"/>
    <s v="OK"/>
    <n v="0"/>
    <n v="7823.92"/>
    <n v="1789.29"/>
    <n v="0.22869999999999999"/>
    <x v="4"/>
    <x v="1"/>
    <s v="CLEAN"/>
  </r>
  <r>
    <x v="634"/>
    <d v="2025-06-22T00:00:00"/>
    <d v="2025-06-27T00:00:00"/>
    <n v="5"/>
    <s v="OK"/>
    <s v="CUST-8081"/>
    <s v="Rohan Mehta"/>
    <x v="3"/>
    <x v="4"/>
    <s v="Delhi"/>
    <s v="New Delhi"/>
    <x v="2"/>
    <x v="8"/>
    <s v="Pro Phones 968"/>
    <x v="2"/>
    <n v="2"/>
    <n v="1468.05"/>
    <n v="0"/>
    <s v="OK"/>
    <n v="2936.1"/>
    <n v="1923.1"/>
    <n v="1013"/>
    <x v="0"/>
    <x v="0"/>
    <s v="OK"/>
    <n v="0"/>
    <n v="2936.1"/>
    <n v="1013"/>
    <n v="0.34499999999999997"/>
    <x v="2"/>
    <x v="1"/>
    <s v="WARNING"/>
  </r>
  <r>
    <x v="635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s v="OK"/>
    <n v="11581.3"/>
    <n v="6829.43"/>
    <n v="4751.87"/>
    <x v="0"/>
    <x v="0"/>
    <s v=" ORIGINAL"/>
    <n v="0.1"/>
    <n v="11581.3"/>
    <n v="4751.87"/>
    <n v="0.4103"/>
    <x v="2"/>
    <x v="1"/>
    <s v="CLEAN"/>
  </r>
  <r>
    <x v="635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s v="OK"/>
    <n v="11778.71"/>
    <n v="6829.43"/>
    <n v="4751.87"/>
    <x v="0"/>
    <x v="1"/>
    <s v="CONFLICTING DUPLICATE - REVIEW"/>
    <n v="0.1"/>
    <n v="11581.3"/>
    <n v="4751.87"/>
    <n v="0.4103"/>
    <x v="2"/>
    <x v="1"/>
    <s v="CLEAN"/>
  </r>
  <r>
    <x v="636"/>
    <d v="2025-02-20T00:00:00"/>
    <d v="2025-02-22T00:00:00"/>
    <n v="2"/>
    <s v="OK"/>
    <s v="CUST-2752"/>
    <s v="Neha Gupta"/>
    <x v="2"/>
    <x v="1"/>
    <s v="Jharkhand"/>
    <s v="Ranchi"/>
    <x v="1"/>
    <x v="9"/>
    <s v="Elite Bookcases 988"/>
    <x v="3"/>
    <n v="8"/>
    <n v="3265.76"/>
    <n v="0.2"/>
    <s v="OK"/>
    <n v="20900.86"/>
    <n v="12513.14"/>
    <n v="8387.7199999999993"/>
    <x v="0"/>
    <x v="0"/>
    <s v="OK"/>
    <n v="0.2"/>
    <n v="20900.86"/>
    <n v="8387.7199999999993"/>
    <n v="0.40129999999999999"/>
    <x v="8"/>
    <x v="1"/>
    <s v="CLEAN"/>
  </r>
  <r>
    <x v="637"/>
    <d v="2025-09-08T00:00:00"/>
    <d v="2025-09-09T00:00:00"/>
    <n v="1"/>
    <s v="OK"/>
    <s v="CUST-9969"/>
    <s v="Rohan Mehta"/>
    <x v="3"/>
    <x v="3"/>
    <s v="Gujarat"/>
    <s v="Ahmedabad"/>
    <x v="1"/>
    <x v="10"/>
    <s v="Eco Chairs 552"/>
    <x v="0"/>
    <n v="2"/>
    <n v="3960.33"/>
    <n v="0.05"/>
    <s v="OK"/>
    <n v="7524.63"/>
    <n v="6229.6"/>
    <n v="1295.03"/>
    <x v="0"/>
    <x v="0"/>
    <s v="OK"/>
    <n v="0.05"/>
    <n v="7524.63"/>
    <n v="1295.03"/>
    <n v="0.1721"/>
    <x v="11"/>
    <x v="1"/>
    <s v="CLEAN"/>
  </r>
  <r>
    <x v="638"/>
    <d v="2025-07-24T00:00:00"/>
    <d v="2025-01-08T00:00:00"/>
    <n v="-197"/>
    <s v="INVALID"/>
    <s v="CUST-3335"/>
    <s v="Kabir Singh"/>
    <x v="1"/>
    <x v="1"/>
    <s v="Jharkhand"/>
    <s v="Ranchi"/>
    <x v="0"/>
    <x v="11"/>
    <s v="Smart Binders 574"/>
    <x v="2"/>
    <n v="8"/>
    <n v="1528.92"/>
    <n v="0"/>
    <s v="OK"/>
    <n v="12231.36"/>
    <n v="8766.9"/>
    <n v="3464.46"/>
    <x v="0"/>
    <x v="0"/>
    <s v="OK"/>
    <n v="0"/>
    <n v="12231.36"/>
    <n v="3464.46"/>
    <n v="0.28320000000000001"/>
    <x v="0"/>
    <x v="1"/>
    <s v="INVALID"/>
  </r>
  <r>
    <x v="639"/>
    <d v="2025-10-03T00:00:00"/>
    <d v="2025-10-08T00:00:00"/>
    <n v="5"/>
    <s v="OK"/>
    <s v="CUST-7358"/>
    <s v="Aarav Sharma"/>
    <x v="2"/>
    <x v="3"/>
    <s v="Madhya Pradesh"/>
    <s v="Indore"/>
    <x v="2"/>
    <x v="12"/>
    <s v="Pro Machines 444"/>
    <x v="1"/>
    <n v="9"/>
    <n v="3837"/>
    <n v="0.1"/>
    <s v="OK"/>
    <n v="31079.7"/>
    <n v="17758.25"/>
    <n v="13321.45"/>
    <x v="0"/>
    <x v="0"/>
    <s v="OK"/>
    <n v="0.1"/>
    <n v="31079.7"/>
    <n v="13321.45"/>
    <n v="0.42859999999999998"/>
    <x v="9"/>
    <x v="1"/>
    <s v="CLEAN"/>
  </r>
  <r>
    <x v="640"/>
    <d v="2025-07-22T00:00:00"/>
    <d v="2025-07-28T00:00:00"/>
    <n v="6"/>
    <s v="OK"/>
    <s v="CUST-3400"/>
    <s v="Rahul Verma"/>
    <x v="2"/>
    <x v="2"/>
    <s v="Kerala"/>
    <s v="Kochi"/>
    <x v="1"/>
    <x v="10"/>
    <s v="Eco Chairs 369"/>
    <x v="0"/>
    <n v="6"/>
    <n v="1607.46"/>
    <n v="0.2"/>
    <s v="OK"/>
    <n v="7715.81"/>
    <n v="4258.42"/>
    <n v="3457.39"/>
    <x v="0"/>
    <x v="0"/>
    <s v="OK"/>
    <n v="0.2"/>
    <n v="7715.81"/>
    <n v="3457.39"/>
    <n v="0.4481"/>
    <x v="0"/>
    <x v="1"/>
    <s v="CLEAN"/>
  </r>
  <r>
    <x v="641"/>
    <d v="2025-09-27T00:00:00"/>
    <d v="2025-09-29T00:00:00"/>
    <n v="2"/>
    <s v="OK"/>
    <s v="CUST-6697"/>
    <s v="Kabir Singh"/>
    <x v="3"/>
    <x v="1"/>
    <s v="Jharkhand"/>
    <s v="Ranchi"/>
    <x v="1"/>
    <x v="3"/>
    <s v="Max Furnishings 628"/>
    <x v="0"/>
    <n v="9"/>
    <n v="2867.55"/>
    <n v="0.25"/>
    <s v="OK"/>
    <n v="19355.96"/>
    <n v="15012.45"/>
    <n v="4017.4"/>
    <x v="0"/>
    <x v="0"/>
    <s v="OK"/>
    <n v="0.25"/>
    <n v="19355.96"/>
    <n v="4343.51"/>
    <n v="0.22439999999999999"/>
    <x v="11"/>
    <x v="1"/>
    <s v="CLEAN"/>
  </r>
  <r>
    <x v="642"/>
    <d v="2025-05-23T00:00:00"/>
    <d v="2025-05-27T00:00:00"/>
    <n v="4"/>
    <s v="OK"/>
    <s v="CUST-9963"/>
    <s v="Vikram Iyer"/>
    <x v="1"/>
    <x v="2"/>
    <s v="Telangana"/>
    <s v="Hyderabad"/>
    <x v="0"/>
    <x v="7"/>
    <s v="Pro Storage 847"/>
    <x v="2"/>
    <n v="6"/>
    <n v="719.44"/>
    <n v="0.25"/>
    <s v="OK"/>
    <n v="3237.48"/>
    <n v="2118.34"/>
    <n v="1119.1400000000001"/>
    <x v="1"/>
    <x v="2"/>
    <s v="OK"/>
    <n v="0.25"/>
    <n v="3237.48"/>
    <n v="1119.1400000000001"/>
    <n v="0.34570000000000001"/>
    <x v="4"/>
    <x v="1"/>
    <s v="CLEAN"/>
  </r>
  <r>
    <x v="643"/>
    <d v="2025-08-15T00:00:00"/>
    <d v="2025-08-17T00:00:00"/>
    <n v="2"/>
    <s v="OK"/>
    <s v="CUST-6382"/>
    <s v="Diya Patel"/>
    <x v="1"/>
    <x v="1"/>
    <s v="Assam"/>
    <s v="Guwahati"/>
    <x v="2"/>
    <x v="6"/>
    <s v="Elite Copiers 706"/>
    <x v="2"/>
    <n v="5"/>
    <n v="2862.6"/>
    <n v="0.25"/>
    <s v="OK"/>
    <n v="10734.75"/>
    <n v="6475.73"/>
    <n v="4259.0200000000004"/>
    <x v="0"/>
    <x v="0"/>
    <s v="OK"/>
    <n v="0.25"/>
    <n v="10734.75"/>
    <n v="4259.0200000000004"/>
    <n v="0.39679999999999999"/>
    <x v="1"/>
    <x v="1"/>
    <s v="CLEAN"/>
  </r>
  <r>
    <x v="644"/>
    <d v="2025-02-21T00:00:00"/>
    <d v="2025-02-27T00:00:00"/>
    <n v="6"/>
    <s v="OK"/>
    <s v="CUST-3253"/>
    <s v="Ananya Rao"/>
    <x v="0"/>
    <x v="0"/>
    <s v="Rajasthan"/>
    <s v="Jaipur"/>
    <x v="0"/>
    <x v="2"/>
    <s v="Prime Art 978"/>
    <x v="1"/>
    <n v="9"/>
    <n v="1431.67"/>
    <n v="0.2"/>
    <s v="OK"/>
    <n v="10308.02"/>
    <n v="5822.31"/>
    <n v="4485.71"/>
    <x v="0"/>
    <x v="0"/>
    <s v="OK"/>
    <n v="0.2"/>
    <n v="10308.02"/>
    <n v="4485.71"/>
    <n v="0.43519999999999998"/>
    <x v="8"/>
    <x v="1"/>
    <s v="CLEAN"/>
  </r>
  <r>
    <x v="645"/>
    <d v="2025-06-27T00:00:00"/>
    <d v="2025-06-29T00:00:00"/>
    <n v="2"/>
    <s v="OK"/>
    <s v="CUST-9268"/>
    <s v="Rohan Mehta"/>
    <x v="3"/>
    <x v="2"/>
    <s v="Telangana"/>
    <s v="Hyderabad"/>
    <x v="1"/>
    <x v="10"/>
    <s v="Eco Chairs 346"/>
    <x v="2"/>
    <n v="5"/>
    <n v="621.70000000000005"/>
    <n v="0.2"/>
    <s v="OK"/>
    <n v="2486.8000000000002"/>
    <n v="2131.73"/>
    <n v="355.07"/>
    <x v="1"/>
    <x v="1"/>
    <s v="OK"/>
    <n v="0.2"/>
    <n v="2486.8000000000002"/>
    <n v="355.07"/>
    <n v="0.14280000000000001"/>
    <x v="2"/>
    <x v="1"/>
    <s v="CLEAN"/>
  </r>
  <r>
    <x v="646"/>
    <d v="2025-01-21T00:00:00"/>
    <d v="2025-01-29T00:00:00"/>
    <n v="8"/>
    <s v="OK"/>
    <s v="CUST-1363"/>
    <s v="Mira Das"/>
    <x v="3"/>
    <x v="2"/>
    <s v="Andhra Pradesh"/>
    <s v="Vijayawada"/>
    <x v="2"/>
    <x v="12"/>
    <s v="Max Machines 770"/>
    <x v="0"/>
    <n v="8"/>
    <n v="546.13"/>
    <n v="0"/>
    <s v="OK"/>
    <n v="4369.04"/>
    <n v="3716.88"/>
    <n v="652.16"/>
    <x v="0"/>
    <x v="2"/>
    <s v="OK"/>
    <n v="0"/>
    <n v="4369.04"/>
    <n v="652.16"/>
    <n v="0.14929999999999999"/>
    <x v="6"/>
    <x v="1"/>
    <s v="CLEAN"/>
  </r>
  <r>
    <x v="647"/>
    <d v="2025-08-09T00:00:00"/>
    <d v="2025-08-07T00:00:00"/>
    <n v="-2"/>
    <s v="INVALID"/>
    <s v="CUST-2477"/>
    <s v="Vikram Iyer"/>
    <x v="3"/>
    <x v="3"/>
    <s v="Gujarat"/>
    <s v="Ahmedabad"/>
    <x v="1"/>
    <x v="9"/>
    <s v="Smart Bookcases 134"/>
    <x v="0"/>
    <n v="5"/>
    <n v="1253.92"/>
    <n v="0.05"/>
    <s v="OK"/>
    <n v="5956.12"/>
    <n v="4379.18"/>
    <n v="1576.94"/>
    <x v="1"/>
    <x v="1"/>
    <s v="OK"/>
    <n v="0.05"/>
    <n v="5956.12"/>
    <n v="1576.94"/>
    <n v="0.26479999999999998"/>
    <x v="1"/>
    <x v="1"/>
    <s v="INVALID"/>
  </r>
  <r>
    <x v="648"/>
    <d v="2025-01-04T00:00:00"/>
    <d v="2025-04-02T00:00:00"/>
    <n v="88"/>
    <s v="OK"/>
    <s v="CUST-2909"/>
    <s v="Rohan Mehta"/>
    <x v="2"/>
    <x v="1"/>
    <s v="Odisha"/>
    <s v="Bhubaneswar"/>
    <x v="1"/>
    <x v="10"/>
    <s v="Basic Chairs 113"/>
    <x v="0"/>
    <n v="9"/>
    <n v="4165.58"/>
    <n v="0.05"/>
    <s v="OK"/>
    <n v="35615.71"/>
    <n v="20389.71"/>
    <n v="15226"/>
    <x v="1"/>
    <x v="1"/>
    <s v="OK"/>
    <n v="0.05"/>
    <n v="35615.71"/>
    <n v="15226"/>
    <n v="0.42749999999999999"/>
    <x v="6"/>
    <x v="1"/>
    <s v="CLEAN"/>
  </r>
  <r>
    <x v="649"/>
    <d v="2025-07-07T00:00:00"/>
    <d v="2025-07-12T00:00:00"/>
    <n v="5"/>
    <s v="OK"/>
    <s v="CUST-1832"/>
    <s v="Diya Patel"/>
    <x v="2"/>
    <x v="1"/>
    <s v="West Bengal"/>
    <s v="Kolkata"/>
    <x v="1"/>
    <x v="1"/>
    <s v="Smart Tables 943"/>
    <x v="0"/>
    <n v="5"/>
    <n v="1831.37"/>
    <n v="0.25"/>
    <s v="OK"/>
    <n v="6867.64"/>
    <n v="5205.3599999999997"/>
    <n v="1662.28"/>
    <x v="0"/>
    <x v="0"/>
    <s v="OK"/>
    <n v="0.25"/>
    <n v="6867.64"/>
    <n v="1662.28"/>
    <n v="0.24199999999999999"/>
    <x v="0"/>
    <x v="1"/>
    <s v="CLEAN"/>
  </r>
  <r>
    <x v="650"/>
    <d v="2025-03-21T00:00:00"/>
    <d v="2025-03-24T00:00:00"/>
    <n v="3"/>
    <s v="OK"/>
    <s v="CUST-4452"/>
    <s v="Aarav Sharma"/>
    <x v="1"/>
    <x v="2"/>
    <s v="Andhra Pradesh"/>
    <s v="Vijayawada"/>
    <x v="1"/>
    <x v="10"/>
    <s v="Prime Chairs 101"/>
    <x v="0"/>
    <n v="5"/>
    <n v="1239.1500000000001"/>
    <n v="0"/>
    <s v="OK"/>
    <n v="6195.75"/>
    <n v="3967.02"/>
    <n v="2228.73"/>
    <x v="0"/>
    <x v="0"/>
    <s v="OK"/>
    <n v="0"/>
    <n v="6195.75"/>
    <n v="2228.73"/>
    <n v="0.35970000000000002"/>
    <x v="7"/>
    <x v="1"/>
    <s v="CLEAN"/>
  </r>
  <r>
    <x v="651"/>
    <d v="2025-01-16T00:00:00"/>
    <d v="2025-01-22T00:00:00"/>
    <n v="6"/>
    <s v="OK"/>
    <s v="CUST-5397"/>
    <s v="Sneha Kapoor"/>
    <x v="2"/>
    <x v="0"/>
    <s v="Rajasthan"/>
    <s v="Jaipur"/>
    <x v="1"/>
    <x v="1"/>
    <s v="Max Tables 478"/>
    <x v="1"/>
    <n v="2"/>
    <n v="4418.28"/>
    <n v="0"/>
    <s v="OK"/>
    <n v="8836.56"/>
    <n v="5867.75"/>
    <n v="2968.81"/>
    <x v="0"/>
    <x v="0"/>
    <s v="OK"/>
    <n v="0"/>
    <n v="8836.56"/>
    <n v="2968.81"/>
    <n v="0.33600000000000002"/>
    <x v="6"/>
    <x v="1"/>
    <s v="CLEAN"/>
  </r>
  <r>
    <x v="652"/>
    <d v="2025-06-07T00:00:00"/>
    <d v="2025-06-07T00:00:00"/>
    <n v="0"/>
    <s v="OK"/>
    <s v="CUST-8246"/>
    <s v="Aarav Sharma"/>
    <x v="3"/>
    <x v="0"/>
    <s v="Rajasthan"/>
    <s v="Jaipur"/>
    <x v="2"/>
    <x v="4"/>
    <s v="Prime Accessories 962"/>
    <x v="1"/>
    <n v="9"/>
    <n v="243.19"/>
    <n v="0.05"/>
    <s v="OK"/>
    <n v="2079.27"/>
    <n v="1512.17"/>
    <n v="567.1"/>
    <x v="2"/>
    <x v="1"/>
    <s v="OK"/>
    <n v="0.05"/>
    <n v="2079.27"/>
    <n v="567.1"/>
    <n v="0.2727"/>
    <x v="2"/>
    <x v="1"/>
    <s v="CLEAN"/>
  </r>
  <r>
    <x v="653"/>
    <d v="2025-01-23T00:00:00"/>
    <d v="2025-01-30T00:00:00"/>
    <n v="7"/>
    <s v="OK"/>
    <s v="CUST-5672"/>
    <s v="Priya Menon"/>
    <x v="0"/>
    <x v="0"/>
    <s v="Delhi"/>
    <s v="New Delhi"/>
    <x v="0"/>
    <x v="5"/>
    <s v="Eco Labels 646"/>
    <x v="3"/>
    <n v="9"/>
    <n v="1169.3699999999999"/>
    <n v="0.15"/>
    <s v="OK"/>
    <n v="8945.68"/>
    <n v="6740.35"/>
    <n v="2205.33"/>
    <x v="0"/>
    <x v="0"/>
    <s v="OK"/>
    <n v="0.15"/>
    <n v="8945.68"/>
    <n v="2205.33"/>
    <n v="0.2465"/>
    <x v="6"/>
    <x v="1"/>
    <s v="CLEAN"/>
  </r>
  <r>
    <x v="654"/>
    <d v="2025-08-16T00:00:00"/>
    <d v="2025-08-18T00:00:00"/>
    <n v="2"/>
    <s v="OK"/>
    <s v="CUST-4399"/>
    <s v="Kabir Singh"/>
    <x v="0"/>
    <x v="1"/>
    <s v="Jharkhand"/>
    <s v="Ranchi"/>
    <x v="1"/>
    <x v="10"/>
    <s v="Max Chairs 181"/>
    <x v="1"/>
    <n v="5"/>
    <n v="1530.36"/>
    <n v="0"/>
    <s v="OK"/>
    <n v="7651.8"/>
    <n v="5171.78"/>
    <n v="2480.02"/>
    <x v="0"/>
    <x v="0"/>
    <s v="OK"/>
    <n v="0"/>
    <n v="7651.8"/>
    <n v="2480.02"/>
    <n v="0.3241"/>
    <x v="1"/>
    <x v="1"/>
    <s v="CLEAN"/>
  </r>
  <r>
    <x v="655"/>
    <d v="2025-04-13T00:00:00"/>
    <d v="2025-04-13T00:00:00"/>
    <n v="0"/>
    <s v="OK"/>
    <s v="CUST-8566"/>
    <s v="Sneha Kapoor"/>
    <x v="1"/>
    <x v="0"/>
    <s v="Uttar Pradesh"/>
    <s v="Noida"/>
    <x v="0"/>
    <x v="7"/>
    <s v="Prime Storage 951"/>
    <x v="0"/>
    <n v="9"/>
    <n v="1118.68"/>
    <n v="0"/>
    <s v="OK"/>
    <n v="10068.120000000001"/>
    <n v="8595.3700000000008"/>
    <n v="1472.75"/>
    <x v="0"/>
    <x v="0"/>
    <s v=" ORIGINAL"/>
    <n v="0"/>
    <n v="10068.120000000001"/>
    <n v="1472.75"/>
    <n v="0.14630000000000001"/>
    <x v="10"/>
    <x v="1"/>
    <s v="CLEAN"/>
  </r>
  <r>
    <x v="655"/>
    <d v="2025-04-13T00:00:00"/>
    <d v="2025-04-13T00:00:00"/>
    <n v="0"/>
    <s v="OK"/>
    <s v="CUST-8566"/>
    <s v="Sneha Kapoor"/>
    <x v="1"/>
    <x v="0"/>
    <s v="Uttar Pradesh"/>
    <s v="Noida"/>
    <x v="0"/>
    <x v="7"/>
    <s v="Prime Storage 951"/>
    <x v="0"/>
    <n v="9"/>
    <n v="1118.68"/>
    <n v="0"/>
    <s v="OK"/>
    <n v="10348.43"/>
    <n v="8595.3700000000008"/>
    <n v="1472.75"/>
    <x v="0"/>
    <x v="1"/>
    <s v="CONFLICTING DUPLICATE - REVIEW"/>
    <n v="0"/>
    <n v="10068.120000000001"/>
    <n v="1472.75"/>
    <n v="0.14630000000000001"/>
    <x v="10"/>
    <x v="1"/>
    <s v="CLEAN"/>
  </r>
  <r>
    <x v="656"/>
    <d v="2025-02-27T00:00:00"/>
    <d v="2025-02-28T00:00:00"/>
    <n v="1"/>
    <s v="OK"/>
    <s v="CUST-2358"/>
    <s v="Aditi Sen"/>
    <x v="1"/>
    <x v="0"/>
    <s v="Uttar Pradesh"/>
    <s v="Noida"/>
    <x v="0"/>
    <x v="5"/>
    <s v="Smart Labels 668"/>
    <x v="3"/>
    <n v="6"/>
    <n v="2393.25"/>
    <n v="0"/>
    <s v="OK"/>
    <n v="14359.5"/>
    <n v="8117.71"/>
    <n v="6241.79"/>
    <x v="0"/>
    <x v="0"/>
    <s v="OK"/>
    <n v="0"/>
    <n v="14359.5"/>
    <n v="6241.79"/>
    <n v="0.43469999999999998"/>
    <x v="8"/>
    <x v="1"/>
    <s v="CLEAN"/>
  </r>
  <r>
    <x v="657"/>
    <d v="2025-05-24T00:00:00"/>
    <d v="2025-05-30T00:00:00"/>
    <n v="6"/>
    <s v="OK"/>
    <s v="CUST-4875"/>
    <s v="Kabir Singh"/>
    <x v="1"/>
    <x v="1"/>
    <s v="Odisha"/>
    <s v="Bhubaneswar"/>
    <x v="0"/>
    <x v="7"/>
    <s v="Basic Storage 360"/>
    <x v="1"/>
    <n v="1"/>
    <n v="2564.7399999999998"/>
    <n v="0"/>
    <s v="OK"/>
    <n v="2564.7399999999998"/>
    <n v="1754.58"/>
    <n v="810.16"/>
    <x v="0"/>
    <x v="0"/>
    <s v="OK"/>
    <n v="0"/>
    <n v="2564.7399999999998"/>
    <n v="810.16"/>
    <n v="0.31590000000000001"/>
    <x v="4"/>
    <x v="1"/>
    <s v="CLEAN"/>
  </r>
  <r>
    <x v="658"/>
    <d v="2025-05-22T00:00:00"/>
    <d v="2025-05-22T00:00:00"/>
    <n v="0"/>
    <s v="OK"/>
    <s v="CUST-3154"/>
    <s v="Mira Das"/>
    <x v="0"/>
    <x v="3"/>
    <s v="Goa"/>
    <s v="Panaji"/>
    <x v="2"/>
    <x v="4"/>
    <s v="Basic Accessories 988"/>
    <x v="3"/>
    <n v="2"/>
    <n v="3910.61"/>
    <n v="0"/>
    <s v="OK"/>
    <n v="7821.22"/>
    <n v="4994.46"/>
    <n v="2826.76"/>
    <x v="0"/>
    <x v="0"/>
    <s v="OK"/>
    <n v="0"/>
    <n v="7821.22"/>
    <n v="2826.76"/>
    <n v="0.3614"/>
    <x v="4"/>
    <x v="1"/>
    <s v="CLEAN"/>
  </r>
  <r>
    <x v="659"/>
    <d v="2025-09-19T00:00:00"/>
    <d v="2025-09-23T00:00:00"/>
    <n v="4"/>
    <s v="OK"/>
    <s v="CUST-9943"/>
    <s v="Arjun Bose"/>
    <x v="3"/>
    <x v="0"/>
    <s v="Delhi"/>
    <s v="New Delhi"/>
    <x v="0"/>
    <x v="11"/>
    <s v="Prime Binders 523"/>
    <x v="3"/>
    <n v="4"/>
    <n v="4387.1499999999996"/>
    <n v="0.05"/>
    <s v="OK"/>
    <n v="16671.169999999998"/>
    <n v="10833.19"/>
    <n v="5837.98"/>
    <x v="3"/>
    <x v="2"/>
    <s v="OK"/>
    <n v="0.05"/>
    <n v="16671.169999999998"/>
    <n v="5837.98"/>
    <n v="0.35020000000000001"/>
    <x v="11"/>
    <x v="1"/>
    <s v="INVALID"/>
  </r>
  <r>
    <x v="660"/>
    <d v="2025-03-04T00:00:00"/>
    <d v="2025-03-08T00:00:00"/>
    <n v="4"/>
    <s v="OK"/>
    <s v="CUST-7098"/>
    <s v="Arjun Bose"/>
    <x v="1"/>
    <x v="1"/>
    <s v="Bihar"/>
    <s v="Patna"/>
    <x v="2"/>
    <x v="8"/>
    <s v="Pro Phones 538"/>
    <x v="2"/>
    <n v="3"/>
    <n v="4361.8500000000004"/>
    <n v="0.2"/>
    <s v="OK"/>
    <n v="10468.44"/>
    <n v="8399.8700000000008"/>
    <n v="2068.5700000000002"/>
    <x v="0"/>
    <x v="0"/>
    <s v="OK"/>
    <n v="0.2"/>
    <n v="10468.44"/>
    <n v="2068.5700000000002"/>
    <n v="0.1976"/>
    <x v="7"/>
    <x v="1"/>
    <s v="CLEAN"/>
  </r>
  <r>
    <x v="661"/>
    <d v="2025-06-28T00:00:00"/>
    <d v="2025-07-05T00:00:00"/>
    <n v="7"/>
    <s v="OK"/>
    <s v="CUST-7438"/>
    <s v="Vikram Iyer"/>
    <x v="2"/>
    <x v="1"/>
    <s v="West Bengal"/>
    <s v="Kolkata"/>
    <x v="0"/>
    <x v="2"/>
    <s v="Basic Art 608"/>
    <x v="2"/>
    <n v="2"/>
    <n v="2242.75"/>
    <n v="0"/>
    <s v="OK"/>
    <n v="4485.5"/>
    <n v="3131.86"/>
    <n v="1353.64"/>
    <x v="0"/>
    <x v="2"/>
    <s v="OK"/>
    <n v="0"/>
    <n v="4485.5"/>
    <n v="1353.64"/>
    <n v="0.30180000000000001"/>
    <x v="2"/>
    <x v="1"/>
    <s v="CLEAN"/>
  </r>
  <r>
    <x v="662"/>
    <d v="2025-06-24T00:00:00"/>
    <d v="2025-06-30T00:00:00"/>
    <n v="6"/>
    <s v="OK"/>
    <s v="CUST-2834"/>
    <s v="Arjun Bose"/>
    <x v="0"/>
    <x v="0"/>
    <s v="Haryana"/>
    <s v="Gurugram"/>
    <x v="0"/>
    <x v="5"/>
    <s v="Classic Labels 670"/>
    <x v="3"/>
    <n v="6"/>
    <n v="365.76"/>
    <n v="0.1"/>
    <s v="OK"/>
    <n v="1975.1"/>
    <n v="1115.3499999999999"/>
    <n v="859.75"/>
    <x v="0"/>
    <x v="0"/>
    <s v="OK"/>
    <n v="0.1"/>
    <n v="1975.1"/>
    <n v="859.75"/>
    <n v="0.43530000000000002"/>
    <x v="2"/>
    <x v="1"/>
    <s v="CLEAN"/>
  </r>
  <r>
    <x v="663"/>
    <d v="2025-02-12T00:00:00"/>
    <d v="2025-02-14T00:00:00"/>
    <n v="2"/>
    <s v="OK"/>
    <s v="CUST-4222"/>
    <s v="Sneha Kapoor"/>
    <x v="0"/>
    <x v="3"/>
    <s v="Maharashtra"/>
    <s v="Mumbai"/>
    <x v="1"/>
    <x v="3"/>
    <s v="Prime Furnishings 597"/>
    <x v="0"/>
    <n v="8"/>
    <n v="2786.66"/>
    <n v="0.1"/>
    <s v="OK"/>
    <n v="20063.95"/>
    <n v="14363.38"/>
    <n v="5700.57"/>
    <x v="0"/>
    <x v="0"/>
    <s v="OK"/>
    <n v="0.1"/>
    <n v="20063.95"/>
    <n v="5700.57"/>
    <n v="0.28410000000000002"/>
    <x v="8"/>
    <x v="1"/>
    <s v="CLEAN"/>
  </r>
  <r>
    <x v="664"/>
    <d v="2025-10-08T00:00:00"/>
    <d v="2025-08-13T00:00:00"/>
    <n v="-56"/>
    <s v="INVALID"/>
    <s v="CUST-1053"/>
    <s v="Priya Menon"/>
    <x v="1"/>
    <x v="3"/>
    <s v="Madhya Pradesh"/>
    <s v="Indore"/>
    <x v="1"/>
    <x v="10"/>
    <s v="Prime Chairs 196"/>
    <x v="3"/>
    <n v="5"/>
    <n v="352.86"/>
    <n v="0"/>
    <s v="OK"/>
    <n v="1764.3"/>
    <n v="1332.49"/>
    <n v="431.81"/>
    <x v="1"/>
    <x v="2"/>
    <s v="OK"/>
    <n v="0"/>
    <n v="1764.3"/>
    <n v="431.81"/>
    <n v="0.2447"/>
    <x v="9"/>
    <x v="1"/>
    <s v="INVALID"/>
  </r>
  <r>
    <x v="665"/>
    <d v="2025-02-14T00:00:00"/>
    <d v="2025-02-14T00:00:00"/>
    <n v="0"/>
    <s v="OK"/>
    <s v="CUST-2267"/>
    <s v="Diya Patel"/>
    <x v="0"/>
    <x v="2"/>
    <s v="Karnataka"/>
    <s v="Bengaluru"/>
    <x v="0"/>
    <x v="7"/>
    <s v="Eco Storage 285"/>
    <x v="2"/>
    <n v="1"/>
    <n v="714.43"/>
    <n v="0"/>
    <s v="OK"/>
    <n v="714.43"/>
    <n v="565.44000000000005"/>
    <n v="148.99"/>
    <x v="0"/>
    <x v="0"/>
    <s v="OK"/>
    <n v="0"/>
    <n v="714.43"/>
    <n v="148.99"/>
    <n v="0.20849999999999999"/>
    <x v="8"/>
    <x v="1"/>
    <s v="CLEAN"/>
  </r>
  <r>
    <x v="666"/>
    <d v="2025-04-14T00:00:00"/>
    <d v="2025-04-22T00:00:00"/>
    <n v="8"/>
    <s v="OK"/>
    <s v="CUST-2280"/>
    <s v="Aditi Sen"/>
    <x v="1"/>
    <x v="2"/>
    <s v="Karnataka"/>
    <s v="Bengaluru"/>
    <x v="2"/>
    <x v="12"/>
    <s v="Prime Machines 267"/>
    <x v="3"/>
    <n v="2"/>
    <n v="638.73"/>
    <n v="0.05"/>
    <s v="OK"/>
    <n v="1213.5899999999999"/>
    <n v="956.22"/>
    <n v="257.37"/>
    <x v="0"/>
    <x v="0"/>
    <s v="OK"/>
    <n v="0.05"/>
    <n v="1213.5899999999999"/>
    <n v="257.37"/>
    <n v="0.21210000000000001"/>
    <x v="10"/>
    <x v="1"/>
    <s v="CLEAN"/>
  </r>
  <r>
    <x v="667"/>
    <d v="2025-06-09T00:00:00"/>
    <d v="2025-06-10T00:00:00"/>
    <n v="1"/>
    <s v="OK"/>
    <s v="CUST-3177"/>
    <s v="Sneha Kapoor"/>
    <x v="1"/>
    <x v="0"/>
    <s v="Uttar Pradesh"/>
    <s v="Noida"/>
    <x v="1"/>
    <x v="1"/>
    <s v="Eco Tables 378"/>
    <x v="0"/>
    <n v="2"/>
    <n v="1731.88"/>
    <n v="0"/>
    <s v="OK"/>
    <n v="3463.76"/>
    <n v="2143.7399999999998"/>
    <n v="1320.02"/>
    <x v="0"/>
    <x v="0"/>
    <s v="OK"/>
    <n v="0"/>
    <n v="3463.76"/>
    <n v="1320.02"/>
    <n v="0.38109999999999999"/>
    <x v="2"/>
    <x v="1"/>
    <s v="CLEAN"/>
  </r>
  <r>
    <x v="668"/>
    <d v="2025-04-24T00:00:00"/>
    <d v="2025-04-29T00:00:00"/>
    <n v="5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s v="OK"/>
    <n v="3268.88"/>
    <n v="1993.74"/>
    <n v="1275.1400000000001"/>
    <x v="0"/>
    <x v="0"/>
    <s v="OK"/>
    <n v="0.25"/>
    <n v="3268.88"/>
    <n v="1275.1400000000001"/>
    <n v="0.3901"/>
    <x v="10"/>
    <x v="1"/>
    <s v="CLEAN"/>
  </r>
  <r>
    <x v="669"/>
    <d v="2025-06-06T00:00:00"/>
    <d v="2025-06-11T00:00:00"/>
    <n v="5"/>
    <s v="OK"/>
    <s v="CUST-7150"/>
    <s v="Sneha Kapoor"/>
    <x v="1"/>
    <x v="0"/>
    <s v="Uttar Pradesh"/>
    <s v="Noida"/>
    <x v="0"/>
    <x v="0"/>
    <s v="Prime Paper 851"/>
    <x v="1"/>
    <n v="7"/>
    <n v="878.09"/>
    <n v="-0.1"/>
    <s v="INVALID-NEGATIVE"/>
    <n v="5839.3"/>
    <n v="4877.38"/>
    <n v="961.92"/>
    <x v="0"/>
    <x v="0"/>
    <s v="OK"/>
    <n v="0"/>
    <n v="6146.63"/>
    <n v="1269.25"/>
    <n v="0.20649999999999999"/>
    <x v="2"/>
    <x v="1"/>
    <s v="INVALID"/>
  </r>
  <r>
    <x v="670"/>
    <d v="2025-03-09T00:00:00"/>
    <d v="2025-03-16T00:00:00"/>
    <n v="7"/>
    <s v="OK"/>
    <s v="CUST-6694"/>
    <s v="Arjun Bose"/>
    <x v="1"/>
    <x v="1"/>
    <s v="Jharkhand"/>
    <s v="Ranchi"/>
    <x v="1"/>
    <x v="1"/>
    <s v="Classic Tables 151"/>
    <x v="1"/>
    <n v="3"/>
    <n v="2625.85"/>
    <n v="0"/>
    <s v="OK"/>
    <n v="7877.55"/>
    <n v="5562.77"/>
    <n v="2314.7800000000002"/>
    <x v="0"/>
    <x v="0"/>
    <s v="OK"/>
    <n v="0"/>
    <n v="7877.55"/>
    <n v="2314.7800000000002"/>
    <n v="0.29380000000000001"/>
    <x v="7"/>
    <x v="1"/>
    <s v="CLEAN"/>
  </r>
  <r>
    <x v="671"/>
    <d v="2025-02-25T00:00:00"/>
    <d v="2025-02-25T00:00:00"/>
    <n v="0"/>
    <s v="OK"/>
    <s v="CUST-9909"/>
    <s v="Kabir Singh"/>
    <x v="1"/>
    <x v="3"/>
    <s v="Goa"/>
    <s v="Panaji"/>
    <x v="1"/>
    <x v="3"/>
    <s v="Basic Furnishings 164"/>
    <x v="3"/>
    <n v="2"/>
    <n v="3924.2"/>
    <n v="0.25"/>
    <s v="OK"/>
    <n v="5886.3"/>
    <n v="3621.76"/>
    <n v="2264.54"/>
    <x v="1"/>
    <x v="1"/>
    <s v="OK"/>
    <n v="0.25"/>
    <n v="5886.3"/>
    <n v="2264.54"/>
    <n v="0.38469999999999999"/>
    <x v="8"/>
    <x v="1"/>
    <s v="CLEAN"/>
  </r>
  <r>
    <x v="672"/>
    <d v="2025-08-01T00:00:00"/>
    <d v="2025-08-03T00:00:00"/>
    <n v="2"/>
    <s v="OK"/>
    <s v="CUST-5036"/>
    <s v="Sneha Kapoor"/>
    <x v="0"/>
    <x v="3"/>
    <s v="Maharashtra"/>
    <s v="Mumbai"/>
    <x v="1"/>
    <x v="10"/>
    <s v="Max Chairs 765"/>
    <x v="2"/>
    <n v="4"/>
    <n v="1773.46"/>
    <n v="0"/>
    <s v="OK"/>
    <n v="7093.84"/>
    <n v="4587.49"/>
    <n v="2506.35"/>
    <x v="3"/>
    <x v="1"/>
    <s v="OK"/>
    <n v="0"/>
    <n v="7093.84"/>
    <n v="2506.35"/>
    <n v="0.3533"/>
    <x v="1"/>
    <x v="1"/>
    <s v="INVALID"/>
  </r>
  <r>
    <x v="673"/>
    <d v="2025-02-13T00:00:00"/>
    <d v="2025-02-15T00:00:00"/>
    <n v="2"/>
    <s v="OK"/>
    <s v="CUST-7721"/>
    <s v="Karan Malhotra"/>
    <x v="0"/>
    <x v="1"/>
    <s v="Assam"/>
    <s v="Guwahati"/>
    <x v="2"/>
    <x v="4"/>
    <s v="Pro Accessories 686"/>
    <x v="1"/>
    <n v="1"/>
    <n v="3025.46"/>
    <n v="0.25"/>
    <s v="OK"/>
    <n v="2269.1"/>
    <n v="1593.59"/>
    <n v="675.51"/>
    <x v="2"/>
    <x v="1"/>
    <s v="OK"/>
    <n v="0.25"/>
    <n v="2269.1"/>
    <n v="675.51"/>
    <n v="0.29770000000000002"/>
    <x v="8"/>
    <x v="1"/>
    <s v="CLEAN"/>
  </r>
  <r>
    <x v="674"/>
    <d v="2025-08-23T00:00:00"/>
    <d v="2025-08-28T00:00:00"/>
    <n v="5"/>
    <s v="OK"/>
    <s v="CUST-2855"/>
    <s v="Arjun Bose"/>
    <x v="3"/>
    <x v="3"/>
    <s v="Rajasthan"/>
    <s v="Udaipur"/>
    <x v="1"/>
    <x v="1"/>
    <s v="Basic Tables 615"/>
    <x v="2"/>
    <n v="1"/>
    <n v="4167.8100000000004"/>
    <n v="0.2"/>
    <s v="OK"/>
    <n v="3334.25"/>
    <n v="2768.77"/>
    <n v="565.48"/>
    <x v="3"/>
    <x v="1"/>
    <s v="OK"/>
    <n v="0.2"/>
    <n v="3334.25"/>
    <n v="565.48"/>
    <n v="0.1696"/>
    <x v="1"/>
    <x v="1"/>
    <s v="INVALID"/>
  </r>
  <r>
    <x v="675"/>
    <d v="2025-08-13T00:00:00"/>
    <d v="2025-08-17T00:00:00"/>
    <n v="4"/>
    <s v="OK"/>
    <s v="CUST-5094"/>
    <s v="Neha Gupta"/>
    <x v="3"/>
    <x v="3"/>
    <s v="Madhya Pradesh"/>
    <s v="Indore"/>
    <x v="2"/>
    <x v="4"/>
    <s v="Smart Accessories 226"/>
    <x v="0"/>
    <n v="8"/>
    <n v="1918.23"/>
    <n v="0"/>
    <s v="OK"/>
    <n v="15345.84"/>
    <n v="10735.33"/>
    <n v="4610.51"/>
    <x v="1"/>
    <x v="2"/>
    <s v="OK"/>
    <n v="0"/>
    <n v="15345.84"/>
    <n v="4610.51"/>
    <n v="0.3004"/>
    <x v="1"/>
    <x v="1"/>
    <s v="CLEAN"/>
  </r>
  <r>
    <x v="676"/>
    <d v="2025-01-08T00:00:00"/>
    <d v="2025-01-16T00:00:00"/>
    <n v="8"/>
    <s v="OK"/>
    <s v="CUST-7608"/>
    <s v="Neha Gupta"/>
    <x v="0"/>
    <x v="2"/>
    <s v="Telangana"/>
    <s v="Hyderabad"/>
    <x v="1"/>
    <x v="3"/>
    <s v="Smart Furnishings 152"/>
    <x v="2"/>
    <n v="8"/>
    <n v="638.95000000000005"/>
    <n v="0.25"/>
    <s v="OK"/>
    <n v="3833.7"/>
    <n v="2886.35"/>
    <n v="947.35"/>
    <x v="0"/>
    <x v="0"/>
    <s v="OK"/>
    <n v="0.25"/>
    <n v="3833.7"/>
    <n v="947.35"/>
    <n v="0.24709999999999999"/>
    <x v="6"/>
    <x v="1"/>
    <s v="CLEAN"/>
  </r>
  <r>
    <x v="677"/>
    <d v="2025-01-29T00:00:00"/>
    <d v="2025-02-05T00:00:00"/>
    <n v="7"/>
    <s v="OK"/>
    <s v="CUST-5269"/>
    <s v="Mira Das"/>
    <x v="0"/>
    <x v="3"/>
    <s v="Gujarat"/>
    <s v="Ahmedabad"/>
    <x v="0"/>
    <x v="2"/>
    <s v="Max Art 736"/>
    <x v="2"/>
    <n v="6"/>
    <n v="3863"/>
    <n v="0.2"/>
    <s v="OK"/>
    <n v="18542.400000000001"/>
    <n v="11193.75"/>
    <n v="7348.65"/>
    <x v="0"/>
    <x v="0"/>
    <s v="OK"/>
    <n v="0.2"/>
    <n v="18542.400000000001"/>
    <n v="7348.65"/>
    <n v="0.39629999999999999"/>
    <x v="6"/>
    <x v="1"/>
    <s v="CLEAN"/>
  </r>
  <r>
    <x v="678"/>
    <d v="2025-09-26T00:00:00"/>
    <d v="2025-09-30T00:00:00"/>
    <n v="4"/>
    <s v="OK"/>
    <s v="CUST-6552"/>
    <s v="Sneha Kapoor"/>
    <x v="3"/>
    <x v="0"/>
    <s v="Haryana"/>
    <s v="Gurugram"/>
    <x v="2"/>
    <x v="8"/>
    <s v="Classic Phones 940"/>
    <x v="1"/>
    <n v="2"/>
    <n v="688.83"/>
    <n v="0.05"/>
    <s v="OK"/>
    <n v="1308.78"/>
    <n v="843"/>
    <n v="465.78"/>
    <x v="0"/>
    <x v="0"/>
    <s v="OK"/>
    <n v="0.05"/>
    <n v="1308.78"/>
    <n v="465.78"/>
    <n v="0.35589999999999999"/>
    <x v="11"/>
    <x v="1"/>
    <s v="CLEAN"/>
  </r>
  <r>
    <x v="679"/>
    <d v="2025-03-18T00:00:00"/>
    <d v="2025-03-19T00:00:00"/>
    <n v="1"/>
    <s v="OK"/>
    <s v="CUST-7131"/>
    <s v="Isha Nair"/>
    <x v="2"/>
    <x v="2"/>
    <s v="Tamil Nadu"/>
    <s v="Chennai"/>
    <x v="2"/>
    <x v="12"/>
    <s v="Pro Machines 579"/>
    <x v="3"/>
    <n v="2"/>
    <n v="1209.99"/>
    <n v="0.25"/>
    <s v="OK"/>
    <n v="1814.99"/>
    <n v="1120.06"/>
    <n v="694.93"/>
    <x v="1"/>
    <x v="2"/>
    <s v="OK"/>
    <n v="0.25"/>
    <n v="1814.99"/>
    <n v="694.93"/>
    <n v="0.38290000000000002"/>
    <x v="7"/>
    <x v="1"/>
    <s v="CLEAN"/>
  </r>
  <r>
    <x v="680"/>
    <d v="2025-06-14T00:00:00"/>
    <d v="2025-06-19T00:00:00"/>
    <n v="5"/>
    <s v="OK"/>
    <s v="CUST-2779"/>
    <s v="Rohan Mehta"/>
    <x v="1"/>
    <x v="0"/>
    <s v="Delhi"/>
    <s v="New Delhi"/>
    <x v="0"/>
    <x v="11"/>
    <s v="Elite Binders 943"/>
    <x v="1"/>
    <n v="3"/>
    <n v="1037.45"/>
    <n v="0.2"/>
    <s v="OK"/>
    <n v="2489.88"/>
    <n v="1707.52"/>
    <n v="782.36"/>
    <x v="1"/>
    <x v="1"/>
    <s v="OK"/>
    <n v="0.2"/>
    <n v="2489.88"/>
    <n v="782.36"/>
    <n v="0.31419999999999998"/>
    <x v="2"/>
    <x v="1"/>
    <s v="CLEAN"/>
  </r>
  <r>
    <x v="681"/>
    <d v="2025-09-03T00:00:00"/>
    <d v="2025-09-06T00:00:00"/>
    <n v="3"/>
    <s v="OK"/>
    <s v="CUST-6077"/>
    <s v="Kabir Singh"/>
    <x v="0"/>
    <x v="3"/>
    <s v="Madhya Pradesh"/>
    <s v="Indore"/>
    <x v="2"/>
    <x v="6"/>
    <s v="Elite Copiers 474"/>
    <x v="1"/>
    <n v="7"/>
    <n v="688.85"/>
    <n v="0.15"/>
    <s v="OK"/>
    <n v="4098.66"/>
    <n v="2678.06"/>
    <n v="1420.6"/>
    <x v="0"/>
    <x v="0"/>
    <s v="OK"/>
    <n v="0.15"/>
    <n v="4098.66"/>
    <n v="1420.6"/>
    <n v="0.34660000000000002"/>
    <x v="11"/>
    <x v="1"/>
    <s v="CLEAN"/>
  </r>
  <r>
    <x v="682"/>
    <d v="2025-04-22T00:00:00"/>
    <d v="2025-04-24T00:00:00"/>
    <n v="2"/>
    <s v="OK"/>
    <s v="CUST-8843"/>
    <s v="Isha Nair"/>
    <x v="2"/>
    <x v="4"/>
    <s v="Jharkhand"/>
    <s v="Ranchi"/>
    <x v="2"/>
    <x v="4"/>
    <s v="Prime Accessories 419"/>
    <x v="3"/>
    <n v="9"/>
    <n v="2939.44"/>
    <n v="0"/>
    <s v="OK"/>
    <n v="26454.959999999999"/>
    <n v="17630.25"/>
    <n v="8824.7099999999991"/>
    <x v="0"/>
    <x v="0"/>
    <s v="OK"/>
    <n v="0"/>
    <n v="26454.959999999999"/>
    <n v="8824.7099999999991"/>
    <n v="0.33360000000000001"/>
    <x v="10"/>
    <x v="1"/>
    <s v="WARNING"/>
  </r>
  <r>
    <x v="683"/>
    <d v="2025-03-15T00:00:00"/>
    <d v="2025-03-22T00:00:00"/>
    <n v="7"/>
    <s v="OK"/>
    <s v="CUST-7626"/>
    <s v="Karan Malhotra"/>
    <x v="1"/>
    <x v="1"/>
    <s v="West Bengal"/>
    <s v="Kolkata"/>
    <x v="2"/>
    <x v="8"/>
    <s v="Elite Phones 488"/>
    <x v="1"/>
    <n v="2"/>
    <n v="1235.93"/>
    <n v="0.25"/>
    <s v="OK"/>
    <n v="1853.89"/>
    <n v="1101.23"/>
    <n v="752.66"/>
    <x v="1"/>
    <x v="2"/>
    <s v="OK"/>
    <n v="0.25"/>
    <n v="1853.9"/>
    <n v="752.67"/>
    <n v="0.40600000000000003"/>
    <x v="7"/>
    <x v="1"/>
    <s v="CLEAN"/>
  </r>
  <r>
    <x v="684"/>
    <d v="2025-03-01T00:00:00"/>
    <d v="2025-08-03T00:00:00"/>
    <n v="155"/>
    <s v="OK"/>
    <s v="CUST-8562"/>
    <s v="Neha Gupta"/>
    <x v="3"/>
    <x v="0"/>
    <s v="Rajasthan"/>
    <s v="Jaipur"/>
    <x v="2"/>
    <x v="6"/>
    <s v="Prime Copiers 109"/>
    <x v="1"/>
    <n v="8"/>
    <n v="2943.1"/>
    <n v="0.25"/>
    <s v="OK"/>
    <n v="17658.599999999999"/>
    <n v="13842.48"/>
    <n v="3816.12"/>
    <x v="0"/>
    <x v="0"/>
    <s v="OK"/>
    <n v="0.25"/>
    <n v="17658.599999999999"/>
    <n v="3816.12"/>
    <n v="0.21609999999999999"/>
    <x v="7"/>
    <x v="1"/>
    <s v="CLEAN"/>
  </r>
  <r>
    <x v="685"/>
    <d v="2025-04-11T00:00:00"/>
    <d v="2025-04-15T00:00:00"/>
    <n v="4"/>
    <s v="OK"/>
    <s v="CUST-2351"/>
    <s v="Mira Das"/>
    <x v="3"/>
    <x v="0"/>
    <s v="Uttar Pradesh"/>
    <s v="Noida"/>
    <x v="2"/>
    <x v="4"/>
    <s v="Eco Accessories 705"/>
    <x v="0"/>
    <n v="5"/>
    <n v="652.78"/>
    <n v="0"/>
    <s v="OK"/>
    <n v="3263.9"/>
    <n v="2068.44"/>
    <n v="1195.46"/>
    <x v="0"/>
    <x v="0"/>
    <s v="OK"/>
    <n v="0"/>
    <n v="3263.9"/>
    <n v="1195.46"/>
    <n v="0.36630000000000001"/>
    <x v="10"/>
    <x v="1"/>
    <s v="CLEAN"/>
  </r>
  <r>
    <x v="686"/>
    <d v="2025-04-12T00:00:00"/>
    <d v="2025-04-20T00:00:00"/>
    <n v="8"/>
    <s v="OK"/>
    <s v="CUST-7291"/>
    <s v="Kabir Singh"/>
    <x v="3"/>
    <x v="0"/>
    <s v="Delhi"/>
    <s v="New Delhi"/>
    <x v="2"/>
    <x v="12"/>
    <s v="Max Machines 151"/>
    <x v="3"/>
    <n v="1"/>
    <n v="2737.71"/>
    <n v="0.15"/>
    <s v="OK"/>
    <n v="2327.0500000000002"/>
    <n v="1919.42"/>
    <n v="407.63"/>
    <x v="0"/>
    <x v="2"/>
    <s v="OK"/>
    <n v="0.15"/>
    <n v="2327.0500000000002"/>
    <n v="407.63"/>
    <n v="0.17519999999999999"/>
    <x v="10"/>
    <x v="1"/>
    <s v="CLEAN"/>
  </r>
  <r>
    <x v="687"/>
    <d v="2025-05-07T00:00:00"/>
    <d v="2025-05-05T00:00:00"/>
    <n v="-2"/>
    <s v="INVALID"/>
    <s v="CUST-7252"/>
    <s v="Neha Gupta"/>
    <x v="2"/>
    <x v="1"/>
    <s v="Jharkhand"/>
    <s v="Ranchi"/>
    <x v="2"/>
    <x v="8"/>
    <s v="Elite Phones 276"/>
    <x v="3"/>
    <n v="1"/>
    <n v="2266.4699999999998"/>
    <n v="0.2"/>
    <s v="OK"/>
    <n v="1813.18"/>
    <n v="1363.64"/>
    <n v="449.54"/>
    <x v="0"/>
    <x v="0"/>
    <s v="OK"/>
    <n v="0.2"/>
    <n v="1813.18"/>
    <n v="449.54"/>
    <n v="0.24790000000000001"/>
    <x v="4"/>
    <x v="1"/>
    <s v="INVALID"/>
  </r>
  <r>
    <x v="688"/>
    <d v="2025-06-30T00:00:00"/>
    <d v="2025-07-03T00:00:00"/>
    <n v="3"/>
    <s v="OK"/>
    <s v="CUST-7346"/>
    <s v="Aarav Sharma"/>
    <x v="3"/>
    <x v="3"/>
    <s v="Goa"/>
    <s v="Panaji"/>
    <x v="0"/>
    <x v="7"/>
    <s v="Smart Storage 287"/>
    <x v="1"/>
    <n v="5"/>
    <n v="665.25"/>
    <n v="0"/>
    <s v="OK"/>
    <n v="3326.25"/>
    <n v="2689.36"/>
    <n v="636.89"/>
    <x v="2"/>
    <x v="1"/>
    <s v="OK"/>
    <n v="0"/>
    <n v="3326.25"/>
    <n v="636.89"/>
    <n v="0.1915"/>
    <x v="2"/>
    <x v="1"/>
    <s v="CLEAN"/>
  </r>
  <r>
    <x v="689"/>
    <d v="2025-01-12T00:00:00"/>
    <d v="2025-01-19T00:00:00"/>
    <n v="7"/>
    <s v="OK"/>
    <s v="CUST-6588"/>
    <s v="Aarav Sharma"/>
    <x v="0"/>
    <x v="1"/>
    <s v="Jharkhand"/>
    <s v="Ranchi"/>
    <x v="1"/>
    <x v="1"/>
    <s v="Prime Tables 242"/>
    <x v="2"/>
    <n v="1"/>
    <n v="1842.31"/>
    <n v="0"/>
    <s v="OK"/>
    <n v="1842.31"/>
    <n v="1019.17"/>
    <n v="823.14"/>
    <x v="0"/>
    <x v="0"/>
    <s v="OK"/>
    <n v="0"/>
    <n v="1842.31"/>
    <n v="823.14"/>
    <n v="0.44679999999999997"/>
    <x v="6"/>
    <x v="1"/>
    <s v="CLEAN"/>
  </r>
  <r>
    <x v="690"/>
    <d v="2025-08-12T00:00:00"/>
    <d v="2025-08-16T00:00:00"/>
    <n v="4"/>
    <s v="OK"/>
    <s v="CUST-4475"/>
    <s v="Ananya Rao"/>
    <x v="0"/>
    <x v="1"/>
    <s v="Assam"/>
    <s v="Guwahati"/>
    <x v="2"/>
    <x v="4"/>
    <s v="Prime Accessories 482"/>
    <x v="1"/>
    <n v="9"/>
    <n v="2379.2399999999998"/>
    <n v="0.05"/>
    <s v="OK"/>
    <n v="20342.5"/>
    <n v="12407.51"/>
    <n v="7934.99"/>
    <x v="0"/>
    <x v="0"/>
    <s v="OK"/>
    <n v="0.05"/>
    <n v="20342.5"/>
    <n v="7934.99"/>
    <n v="0.3901"/>
    <x v="1"/>
    <x v="1"/>
    <s v="CLEAN"/>
  </r>
  <r>
    <x v="691"/>
    <d v="2025-09-18T00:00:00"/>
    <d v="2025-09-19T00:00:00"/>
    <n v="1"/>
    <s v="OK"/>
    <s v="CUST-9295"/>
    <s v="Sneha Kapoor"/>
    <x v="3"/>
    <x v="2"/>
    <s v="Andhra Pradesh"/>
    <s v="Vijayawada"/>
    <x v="0"/>
    <x v="7"/>
    <s v="Eco Storage 793"/>
    <x v="1"/>
    <n v="8"/>
    <n v="4242.51"/>
    <n v="0"/>
    <s v="OK"/>
    <n v="33940.080000000002"/>
    <n v="23754.19"/>
    <n v="10185.89"/>
    <x v="0"/>
    <x v="0"/>
    <s v="OK"/>
    <n v="0"/>
    <n v="33940.080000000002"/>
    <n v="10185.89"/>
    <n v="0.30009999999999998"/>
    <x v="11"/>
    <x v="1"/>
    <s v="CLEAN"/>
  </r>
  <r>
    <x v="692"/>
    <d v="2025-10-08T00:00:00"/>
    <d v="2025-08-10T00:00:00"/>
    <n v="-59"/>
    <s v="INVALID"/>
    <s v="CUST-3614"/>
    <s v="Rohan Mehta"/>
    <x v="3"/>
    <x v="2"/>
    <s v="Telangana"/>
    <s v="Hyderabad"/>
    <x v="1"/>
    <x v="9"/>
    <s v="Basic Bookcases 182"/>
    <x v="3"/>
    <n v="6"/>
    <n v="4288.7"/>
    <n v="0.15"/>
    <s v="OK"/>
    <n v="21872.37"/>
    <n v="13829.5"/>
    <n v="8042.87"/>
    <x v="1"/>
    <x v="1"/>
    <s v="OK"/>
    <n v="0.15"/>
    <n v="21872.37"/>
    <n v="8042.87"/>
    <n v="0.36770000000000003"/>
    <x v="9"/>
    <x v="1"/>
    <s v="INVALID"/>
  </r>
  <r>
    <x v="693"/>
    <d v="2025-06-12T00:00:00"/>
    <d v="2025-06-19T00:00:00"/>
    <n v="7"/>
    <s v="OK"/>
    <s v="CUST-8672"/>
    <s v="Ananya Rao"/>
    <x v="2"/>
    <x v="0"/>
    <s v="Delhi"/>
    <s v="New Delhi"/>
    <x v="1"/>
    <x v="10"/>
    <s v="Pro Chairs 302"/>
    <x v="3"/>
    <n v="9"/>
    <n v="2278.5700000000002"/>
    <n v="0.25"/>
    <s v="OK"/>
    <n v="15380.35"/>
    <n v="9907.3700000000008"/>
    <n v="5472.98"/>
    <x v="0"/>
    <x v="0"/>
    <s v="OK"/>
    <n v="0.25"/>
    <n v="15380.35"/>
    <n v="5472.98"/>
    <n v="0.35580000000000001"/>
    <x v="2"/>
    <x v="1"/>
    <s v="CLEAN"/>
  </r>
  <r>
    <x v="694"/>
    <d v="2025-05-03T00:00:00"/>
    <d v="2025-05-11T00:00:00"/>
    <n v="8"/>
    <s v="OK"/>
    <s v="CUST-2317"/>
    <s v="Rohan Mehta"/>
    <x v="1"/>
    <x v="3"/>
    <s v="Madhya Pradesh"/>
    <s v="Indore"/>
    <x v="0"/>
    <x v="5"/>
    <s v="Elite Labels 322"/>
    <x v="1"/>
    <n v="5"/>
    <n v="1483.52"/>
    <n v="0"/>
    <s v="OK"/>
    <n v="7417.6"/>
    <n v="4955.8599999999997"/>
    <n v="2461.7399999999998"/>
    <x v="0"/>
    <x v="0"/>
    <s v="OK"/>
    <n v="0"/>
    <n v="7417.6"/>
    <n v="2461.7399999999998"/>
    <n v="0.33189999999999997"/>
    <x v="4"/>
    <x v="1"/>
    <s v="CLEAN"/>
  </r>
  <r>
    <x v="695"/>
    <d v="2025-03-23T00:00:00"/>
    <d v="2025-03-28T00:00:00"/>
    <n v="5"/>
    <s v="OK"/>
    <s v="CUST-8643"/>
    <s v="Vikram Iyer"/>
    <x v="1"/>
    <x v="0"/>
    <s v="Rajasthan"/>
    <s v="Jaipur"/>
    <x v="1"/>
    <x v="3"/>
    <s v="Max Furnishings 821"/>
    <x v="3"/>
    <n v="9"/>
    <n v="3298"/>
    <n v="0.15"/>
    <s v="OK"/>
    <n v="25229.7"/>
    <n v="20170.43"/>
    <n v="5059.2700000000004"/>
    <x v="0"/>
    <x v="0"/>
    <s v="OK"/>
    <n v="0.15"/>
    <n v="25229.7"/>
    <n v="5059.2700000000004"/>
    <n v="0.20050000000000001"/>
    <x v="7"/>
    <x v="1"/>
    <s v="CLEAN"/>
  </r>
  <r>
    <x v="696"/>
    <d v="2025-09-30T00:00:00"/>
    <d v="2025-10-06T00:00:00"/>
    <n v="6"/>
    <s v="OK"/>
    <s v="CUST-5551"/>
    <s v="Aarav Sharma"/>
    <x v="2"/>
    <x v="4"/>
    <s v="Rajasthan"/>
    <s v="Jaipur"/>
    <x v="2"/>
    <x v="6"/>
    <s v="Eco Copiers 603"/>
    <x v="0"/>
    <n v="9"/>
    <n v="1359.88"/>
    <n v="0.05"/>
    <s v="OK"/>
    <n v="11626.97"/>
    <n v="7394.07"/>
    <n v="4232.8999999999996"/>
    <x v="0"/>
    <x v="0"/>
    <s v="OK"/>
    <n v="0.05"/>
    <n v="11626.97"/>
    <n v="4232.8999999999996"/>
    <n v="0.36409999999999998"/>
    <x v="11"/>
    <x v="1"/>
    <s v="WARNING"/>
  </r>
  <r>
    <x v="697"/>
    <d v="2025-05-25T00:00:00"/>
    <d v="2025-05-26T00:00:00"/>
    <n v="1"/>
    <s v="OK"/>
    <s v="CUST-3659"/>
    <s v="Neha Gupta"/>
    <x v="2"/>
    <x v="2"/>
    <s v="Andhra Pradesh"/>
    <s v="Vijayawada"/>
    <x v="0"/>
    <x v="0"/>
    <s v="Max Paper 700"/>
    <x v="3"/>
    <n v="3"/>
    <n v="3378.15"/>
    <n v="0.15"/>
    <s v="OK"/>
    <n v="8614.2800000000007"/>
    <n v="7052.08"/>
    <n v="1562.2"/>
    <x v="0"/>
    <x v="0"/>
    <s v="OK"/>
    <n v="0.15"/>
    <n v="8614.2800000000007"/>
    <n v="1562.2"/>
    <n v="0.18140000000000001"/>
    <x v="4"/>
    <x v="1"/>
    <s v="CLEAN"/>
  </r>
  <r>
    <x v="698"/>
    <d v="2025-07-02T00:00:00"/>
    <d v="2025-02-08T00:00:00"/>
    <n v="-144"/>
    <s v="INVALID"/>
    <s v="CUST-2626"/>
    <s v="Arjun Bose"/>
    <x v="2"/>
    <x v="3"/>
    <s v="Madhya Pradesh"/>
    <s v="Indore"/>
    <x v="2"/>
    <x v="8"/>
    <s v="Eco Phones 208"/>
    <x v="3"/>
    <n v="4"/>
    <n v="889.5"/>
    <n v="0.2"/>
    <s v="OK"/>
    <n v="2846.4"/>
    <n v="2132.37"/>
    <n v="714.03"/>
    <x v="0"/>
    <x v="0"/>
    <s v="OK"/>
    <n v="0.2"/>
    <n v="2846.4"/>
    <n v="714.03"/>
    <n v="0.25090000000000001"/>
    <x v="0"/>
    <x v="1"/>
    <s v="INVALID"/>
  </r>
  <r>
    <x v="699"/>
    <d v="2025-11-03T00:00:00"/>
    <d v="2025-03-15T00:00:00"/>
    <n v="-233"/>
    <s v="INVALID"/>
    <s v="CUST-7362"/>
    <s v="Arjun Bose"/>
    <x v="2"/>
    <x v="1"/>
    <s v="Bihar"/>
    <s v="Patna"/>
    <x v="0"/>
    <x v="0"/>
    <s v="Elite Paper 106"/>
    <x v="1"/>
    <n v="3"/>
    <n v="3625.08"/>
    <n v="0.05"/>
    <s v="OK"/>
    <n v="10331.48"/>
    <n v="7131.91"/>
    <n v="3199.57"/>
    <x v="1"/>
    <x v="2"/>
    <s v="OK"/>
    <n v="0.05"/>
    <n v="10331.48"/>
    <n v="3199.57"/>
    <n v="0.30969999999999998"/>
    <x v="3"/>
    <x v="1"/>
    <s v="INVALID"/>
  </r>
  <r>
    <x v="700"/>
    <d v="2025-01-09T00:00:00"/>
    <d v="2025-01-07T00:00:00"/>
    <n v="-2"/>
    <s v="INVALID"/>
    <s v="CUST-4176"/>
    <s v="Aarav Sharma"/>
    <x v="3"/>
    <x v="1"/>
    <s v="West Bengal"/>
    <s v="Kolkata"/>
    <x v="0"/>
    <x v="11"/>
    <s v="Pro Binders 555"/>
    <x v="0"/>
    <n v="3"/>
    <n v="2188.33"/>
    <n v="0"/>
    <s v="OK"/>
    <n v="6564.99"/>
    <n v="5407.24"/>
    <n v="1157.75"/>
    <x v="0"/>
    <x v="0"/>
    <s v="OK"/>
    <n v="0"/>
    <n v="6564.99"/>
    <n v="1157.75"/>
    <n v="0.1764"/>
    <x v="6"/>
    <x v="1"/>
    <s v="INVALID"/>
  </r>
  <r>
    <x v="701"/>
    <d v="2025-03-01T00:00:00"/>
    <d v="2025-03-08T00:00:00"/>
    <n v="7"/>
    <s v="OK"/>
    <s v="CUST-5712"/>
    <s v="Vikram Iyer"/>
    <x v="0"/>
    <x v="1"/>
    <s v="West Bengal"/>
    <s v="Kolkata"/>
    <x v="1"/>
    <x v="10"/>
    <s v="Eco Chairs 365"/>
    <x v="1"/>
    <n v="8"/>
    <n v="3378.82"/>
    <n v="0.25"/>
    <s v="OK"/>
    <n v="20272.919999999998"/>
    <n v="15873.38"/>
    <n v="4399.54"/>
    <x v="1"/>
    <x v="1"/>
    <s v="OK"/>
    <n v="0.25"/>
    <n v="20272.919999999998"/>
    <n v="4399.54"/>
    <n v="0.217"/>
    <x v="7"/>
    <x v="1"/>
    <s v="CLEAN"/>
  </r>
  <r>
    <x v="702"/>
    <d v="2025-08-23T00:00:00"/>
    <d v="2025-08-28T00:00:00"/>
    <n v="5"/>
    <s v="OK"/>
    <s v="CUST-6920"/>
    <s v="Vikram Iyer"/>
    <x v="2"/>
    <x v="3"/>
    <s v="Gujarat"/>
    <s v="Ahmedabad"/>
    <x v="1"/>
    <x v="10"/>
    <s v="Pro Chairs 186"/>
    <x v="3"/>
    <n v="6"/>
    <n v="2193.23"/>
    <n v="0.1"/>
    <s v="OK"/>
    <n v="11843.44"/>
    <n v="9356.8799999999992"/>
    <n v="2486.56"/>
    <x v="0"/>
    <x v="2"/>
    <s v="OK"/>
    <n v="0.1"/>
    <n v="11843.44"/>
    <n v="2486.56"/>
    <n v="0.21"/>
    <x v="1"/>
    <x v="1"/>
    <s v="CLEAN"/>
  </r>
  <r>
    <x v="703"/>
    <d v="2025-01-05T00:00:00"/>
    <d v="2025-01-09T00:00:00"/>
    <n v="4"/>
    <s v="OK"/>
    <s v="CUST-9947"/>
    <s v="Neha Gupta"/>
    <x v="1"/>
    <x v="2"/>
    <s v="Tamil Nadu"/>
    <s v="Chennai"/>
    <x v="0"/>
    <x v="7"/>
    <s v="Eco Storage 923"/>
    <x v="4"/>
    <n v="5"/>
    <n v="905.16"/>
    <n v="0"/>
    <s v="OK"/>
    <n v="4525.8"/>
    <n v="2714.51"/>
    <n v="1811.29"/>
    <x v="0"/>
    <x v="0"/>
    <s v="OK"/>
    <n v="0"/>
    <n v="4525.8"/>
    <n v="1811.29"/>
    <n v="0.4002"/>
    <x v="6"/>
    <x v="1"/>
    <s v="WARNING"/>
  </r>
  <r>
    <x v="704"/>
    <d v="2025-06-05T00:00:00"/>
    <d v="2025-06-13T00:00:00"/>
    <n v="8"/>
    <s v="OK"/>
    <s v="CUST-4403"/>
    <s v="Isha Nair"/>
    <x v="0"/>
    <x v="0"/>
    <s v="Uttar Pradesh"/>
    <s v="Noida"/>
    <x v="2"/>
    <x v="12"/>
    <s v="Classic Machines 287"/>
    <x v="1"/>
    <n v="4"/>
    <n v="2793.88"/>
    <s v="85%"/>
    <s v="INVALID-ABOVE"/>
    <n v="10616.74"/>
    <n v="6353.59"/>
    <n v="4263.1499999999996"/>
    <x v="0"/>
    <x v="0"/>
    <s v="OK"/>
    <n v="0.85"/>
    <n v="1676.33"/>
    <n v="-4677.26"/>
    <n v="-2.7902"/>
    <x v="2"/>
    <x v="1"/>
    <s v="INVALID"/>
  </r>
  <r>
    <x v="705"/>
    <d v="2025-01-22T00:00:00"/>
    <d v="2025-01-23T00:00:00"/>
    <n v="1"/>
    <s v="OK"/>
    <s v="CUST-1594"/>
    <s v="Rahul Verma"/>
    <x v="2"/>
    <x v="3"/>
    <s v="Goa"/>
    <s v="Panaji"/>
    <x v="1"/>
    <x v="9"/>
    <s v="Elite Bookcases 802"/>
    <x v="3"/>
    <n v="4"/>
    <n v="2555.19"/>
    <n v="0.25"/>
    <s v="OK"/>
    <n v="7665.57"/>
    <n v="5595.6"/>
    <n v="2069.9699999999998"/>
    <x v="0"/>
    <x v="0"/>
    <s v="OK"/>
    <n v="0.25"/>
    <n v="7665.57"/>
    <n v="2069.9699999999998"/>
    <n v="0.27"/>
    <x v="6"/>
    <x v="1"/>
    <s v="CLEAN"/>
  </r>
  <r>
    <x v="706"/>
    <d v="2025-06-22T00:00:00"/>
    <d v="2025-06-26T00:00:00"/>
    <n v="4"/>
    <s v="OK"/>
    <s v="CUST-8132"/>
    <s v="Rahul Verma"/>
    <x v="2"/>
    <x v="3"/>
    <s v="Goa"/>
    <s v="Panaji"/>
    <x v="1"/>
    <x v="1"/>
    <s v="Pro Tables 257"/>
    <x v="3"/>
    <n v="3"/>
    <n v="1946.18"/>
    <n v="0.2"/>
    <s v="OK"/>
    <n v="4670.83"/>
    <n v="3166.49"/>
    <n v="1504.34"/>
    <x v="0"/>
    <x v="0"/>
    <s v="OK"/>
    <n v="0.2"/>
    <n v="4670.83"/>
    <n v="1504.34"/>
    <n v="0.3221"/>
    <x v="2"/>
    <x v="1"/>
    <s v="CLEAN"/>
  </r>
  <r>
    <x v="707"/>
    <d v="2025-06-10T00:00:00"/>
    <d v="2025-06-17T00:00:00"/>
    <n v="7"/>
    <s v="OK"/>
    <s v="CUST-7685"/>
    <s v="Rahul Verma"/>
    <x v="2"/>
    <x v="2"/>
    <s v="Telangana"/>
    <s v="Hyderabad"/>
    <x v="1"/>
    <x v="3"/>
    <s v="Prime Furnishings 299"/>
    <x v="3"/>
    <n v="5"/>
    <n v="1231.0999999999999"/>
    <n v="0"/>
    <s v="OK"/>
    <n v="6155.5"/>
    <n v="4282.09"/>
    <n v="1873.41"/>
    <x v="2"/>
    <x v="1"/>
    <s v="OK"/>
    <n v="0"/>
    <n v="6155.5"/>
    <n v="1873.41"/>
    <n v="0.30430000000000001"/>
    <x v="2"/>
    <x v="1"/>
    <s v="CLEAN"/>
  </r>
  <r>
    <x v="708"/>
    <d v="2025-04-29T00:00:00"/>
    <d v="2025-04-30T00:00:00"/>
    <n v="1"/>
    <s v="OK"/>
    <s v="CUST-4101"/>
    <s v="Mira Das"/>
    <x v="2"/>
    <x v="2"/>
    <s v="Kerala"/>
    <s v="Kochi"/>
    <x v="2"/>
    <x v="4"/>
    <s v="Prime Accessories 118"/>
    <x v="3"/>
    <n v="4"/>
    <n v="606.58000000000004"/>
    <n v="0.2"/>
    <s v="OK"/>
    <n v="1941.06"/>
    <n v="1207.42"/>
    <n v="733.64"/>
    <x v="0"/>
    <x v="0"/>
    <s v="OK"/>
    <n v="0.2"/>
    <n v="1941.06"/>
    <n v="733.64"/>
    <n v="0.378"/>
    <x v="10"/>
    <x v="1"/>
    <s v="CLEAN"/>
  </r>
  <r>
    <x v="709"/>
    <d v="2025-06-28T00:00:00"/>
    <d v="2025-07-02T00:00:00"/>
    <n v="4"/>
    <s v="OK"/>
    <s v="CUST-4679"/>
    <s v="Ananya Rao"/>
    <x v="2"/>
    <x v="2"/>
    <s v="Andhra Pradesh"/>
    <s v="Vijayawada"/>
    <x v="0"/>
    <x v="7"/>
    <s v="Elite Storage 331"/>
    <x v="0"/>
    <n v="2"/>
    <n v="2725.44"/>
    <n v="0.25"/>
    <s v="OK"/>
    <n v="4088.16"/>
    <n v="3205.68"/>
    <n v="882.48"/>
    <x v="0"/>
    <x v="0"/>
    <s v="OK"/>
    <n v="0.25"/>
    <n v="4088.16"/>
    <n v="882.48"/>
    <n v="0.21590000000000001"/>
    <x v="2"/>
    <x v="1"/>
    <s v="CLEAN"/>
  </r>
  <r>
    <x v="710"/>
    <d v="2025-02-13T00:00:00"/>
    <d v="2025-02-13T00:00:00"/>
    <n v="0"/>
    <s v="OK"/>
    <s v="CUST-3765"/>
    <s v="Kabir Singh"/>
    <x v="2"/>
    <x v="1"/>
    <s v="Odisha"/>
    <s v="Bhubaneswar"/>
    <x v="0"/>
    <x v="0"/>
    <s v="Prime Paper 996"/>
    <x v="0"/>
    <n v="7"/>
    <n v="2296.6999999999998"/>
    <n v="0.05"/>
    <s v="OK"/>
    <n v="15273.05"/>
    <n v="11088.76"/>
    <n v="4184.29"/>
    <x v="0"/>
    <x v="0"/>
    <s v="OK"/>
    <n v="0.05"/>
    <n v="15273.06"/>
    <n v="4184.3"/>
    <n v="0.27400000000000002"/>
    <x v="8"/>
    <x v="1"/>
    <s v="CLEAN"/>
  </r>
  <r>
    <x v="711"/>
    <d v="2025-07-04T00:00:00"/>
    <d v="2025-07-06T00:00:00"/>
    <n v="2"/>
    <s v="OK"/>
    <s v="CUST-2038"/>
    <s v="Kabir Singh"/>
    <x v="1"/>
    <x v="1"/>
    <s v="Jharkhand"/>
    <s v="Ranchi"/>
    <x v="1"/>
    <x v="10"/>
    <s v="Eco Chairs 795"/>
    <x v="0"/>
    <n v="2"/>
    <n v="3686.42"/>
    <n v="0.1"/>
    <s v="OK"/>
    <n v="6635.56"/>
    <n v="3652.91"/>
    <n v="2982.65"/>
    <x v="0"/>
    <x v="0"/>
    <s v="OK"/>
    <n v="0.1"/>
    <n v="6635.56"/>
    <n v="2982.65"/>
    <n v="0.44950000000000001"/>
    <x v="0"/>
    <x v="1"/>
    <s v="CLEAN"/>
  </r>
  <r>
    <x v="712"/>
    <d v="2025-09-07T00:00:00"/>
    <d v="2025-09-10T00:00:00"/>
    <n v="3"/>
    <s v="OK"/>
    <s v="CUST-1190"/>
    <s v="Karan Malhotra"/>
    <x v="0"/>
    <x v="0"/>
    <s v="Punjab"/>
    <s v="Ludhiana"/>
    <x v="1"/>
    <x v="10"/>
    <s v="Basic Chairs 255"/>
    <x v="1"/>
    <n v="2"/>
    <n v="447.55"/>
    <n v="0.05"/>
    <s v="OK"/>
    <n v="850.35"/>
    <n v="600.98"/>
    <n v="249.37"/>
    <x v="2"/>
    <x v="2"/>
    <s v="OK"/>
    <n v="0.05"/>
    <n v="850.35"/>
    <n v="249.37"/>
    <n v="0.29330000000000001"/>
    <x v="11"/>
    <x v="1"/>
    <s v="CLEAN"/>
  </r>
  <r>
    <x v="713"/>
    <d v="2025-02-12T00:00:00"/>
    <d v="2025-02-17T00:00:00"/>
    <n v="5"/>
    <s v="OK"/>
    <s v="CUST-9693"/>
    <s v="Arjun Bose"/>
    <x v="2"/>
    <x v="3"/>
    <s v="Gujarat"/>
    <s v="Ahmedabad"/>
    <x v="0"/>
    <x v="2"/>
    <s v="Elite Art 553"/>
    <x v="3"/>
    <n v="4"/>
    <n v="4328.12"/>
    <n v="0"/>
    <s v="OK"/>
    <n v="17312.48"/>
    <n v="14424.22"/>
    <n v="2888.26"/>
    <x v="0"/>
    <x v="0"/>
    <s v="OK"/>
    <n v="0"/>
    <n v="17312.48"/>
    <n v="2888.26"/>
    <n v="0.1668"/>
    <x v="8"/>
    <x v="1"/>
    <s v="CLEAN"/>
  </r>
  <r>
    <x v="714"/>
    <d v="2025-04-15T00:00:00"/>
    <d v="2025-04-22T00:00:00"/>
    <n v="7"/>
    <s v="OK"/>
    <s v="CUST-1826"/>
    <s v="Isha Nair"/>
    <x v="1"/>
    <x v="0"/>
    <s v="Haryana"/>
    <s v="Gurugram"/>
    <x v="0"/>
    <x v="11"/>
    <s v="Classic Binders 602"/>
    <x v="1"/>
    <n v="4"/>
    <n v="2990.42"/>
    <n v="0.25"/>
    <s v="OK"/>
    <n v="8971.26"/>
    <n v="6814.35"/>
    <n v="2156.91"/>
    <x v="0"/>
    <x v="0"/>
    <s v="OK"/>
    <n v="0.25"/>
    <n v="8971.26"/>
    <n v="2156.91"/>
    <n v="0.2404"/>
    <x v="10"/>
    <x v="1"/>
    <s v="CLEAN"/>
  </r>
  <r>
    <x v="715"/>
    <d v="2025-05-12T00:00:00"/>
    <d v="2025-05-14T00:00:00"/>
    <n v="2"/>
    <s v="OK"/>
    <s v="CUST-7901"/>
    <s v="Neha Gupta"/>
    <x v="0"/>
    <x v="3"/>
    <s v="Gujarat"/>
    <s v="Ahmedabad"/>
    <x v="2"/>
    <x v="12"/>
    <s v="Classic Machines 599"/>
    <x v="1"/>
    <n v="8"/>
    <n v="3631.44"/>
    <n v="0.2"/>
    <s v="OK"/>
    <n v="23241.22"/>
    <n v="17220.900000000001"/>
    <n v="6020.32"/>
    <x v="0"/>
    <x v="0"/>
    <s v="OK"/>
    <n v="0.2"/>
    <n v="23241.22"/>
    <n v="6020.32"/>
    <n v="0.25900000000000001"/>
    <x v="4"/>
    <x v="1"/>
    <s v="CLEAN"/>
  </r>
  <r>
    <x v="716"/>
    <d v="2025-03-02T00:00:00"/>
    <d v="2025-03-03T00:00:00"/>
    <n v="1"/>
    <s v="OK"/>
    <s v="CUST-9943"/>
    <s v="Isha Nair"/>
    <x v="2"/>
    <x v="2"/>
    <s v="Kerala"/>
    <s v="Kochi"/>
    <x v="0"/>
    <x v="5"/>
    <s v="Pro Labels 849"/>
    <x v="0"/>
    <n v="2"/>
    <n v="4031.45"/>
    <n v="0.25"/>
    <s v="OK"/>
    <n v="6047.17"/>
    <n v="3368.79"/>
    <n v="2678.38"/>
    <x v="0"/>
    <x v="0"/>
    <s v="OK"/>
    <n v="0.25"/>
    <n v="6047.18"/>
    <n v="2678.39"/>
    <n v="0.44290000000000002"/>
    <x v="7"/>
    <x v="1"/>
    <s v="CLEAN"/>
  </r>
  <r>
    <x v="717"/>
    <d v="2025-06-27T00:00:00"/>
    <d v="2025-07-02T00:00:00"/>
    <n v="5"/>
    <s v="OK"/>
    <s v="CUST-8993"/>
    <s v="Aarav Sharma"/>
    <x v="2"/>
    <x v="2"/>
    <s v="Kerala"/>
    <s v="Kochi"/>
    <x v="2"/>
    <x v="4"/>
    <s v="Prime Accessories 849"/>
    <x v="2"/>
    <n v="6"/>
    <n v="1099.49"/>
    <n v="0.1"/>
    <s v="OK"/>
    <n v="6212.38"/>
    <n v="4088.46"/>
    <n v="1848.79"/>
    <x v="0"/>
    <x v="0"/>
    <s v="OK"/>
    <n v="0.1"/>
    <n v="5937.25"/>
    <n v="1848.79"/>
    <n v="0.31140000000000001"/>
    <x v="2"/>
    <x v="1"/>
    <s v="CLEAN"/>
  </r>
  <r>
    <x v="718"/>
    <d v="2025-04-11T00:00:00"/>
    <d v="2025-04-11T00:00:00"/>
    <n v="0"/>
    <s v="OK"/>
    <s v="CUST-9986"/>
    <s v="Rahul Verma"/>
    <x v="2"/>
    <x v="0"/>
    <s v="Delhi"/>
    <s v="New Delhi"/>
    <x v="0"/>
    <x v="0"/>
    <s v="Classic Paper 752"/>
    <x v="3"/>
    <n v="1"/>
    <n v="4458.49"/>
    <n v="-7.0000000000000007E-2"/>
    <s v="INVALID-NEGATIVE"/>
    <n v="3566.79"/>
    <n v="2083.41"/>
    <n v="1483.38"/>
    <x v="0"/>
    <x v="0"/>
    <s v="OK"/>
    <n v="0"/>
    <n v="4458.49"/>
    <n v="2375.08"/>
    <n v="0.53269999999999995"/>
    <x v="10"/>
    <x v="1"/>
    <s v="INVALID"/>
  </r>
  <r>
    <x v="719"/>
    <d v="2025-05-25T00:00:00"/>
    <d v="2025-05-27T00:00:00"/>
    <n v="2"/>
    <s v="OK"/>
    <s v="CUST-4235"/>
    <s v="Rahul Verma"/>
    <x v="0"/>
    <x v="1"/>
    <s v="Odisha"/>
    <s v="Bhubaneswar"/>
    <x v="1"/>
    <x v="3"/>
    <s v="Basic Furnishings 386"/>
    <x v="0"/>
    <n v="7"/>
    <n v="2123.2800000000002"/>
    <n v="0.2"/>
    <s v="OK"/>
    <n v="11890.37"/>
    <n v="9234.5300000000007"/>
    <n v="2655.84"/>
    <x v="2"/>
    <x v="1"/>
    <s v="OK"/>
    <n v="0.2"/>
    <n v="11890.37"/>
    <n v="2655.84"/>
    <n v="0.22339999999999999"/>
    <x v="4"/>
    <x v="1"/>
    <s v="CLEAN"/>
  </r>
  <r>
    <x v="720"/>
    <d v="2025-04-30T00:00:00"/>
    <d v="2025-04-26T00:00:00"/>
    <n v="-4"/>
    <s v="INVALID"/>
    <s v="CUST-3377"/>
    <s v="Diya Patel"/>
    <x v="2"/>
    <x v="1"/>
    <s v="Odisha"/>
    <s v="Bhubaneswar"/>
    <x v="1"/>
    <x v="1"/>
    <s v="Classic Tables 592"/>
    <x v="2"/>
    <n v="7"/>
    <n v="1604.13"/>
    <n v="0.25"/>
    <s v="OK"/>
    <n v="8421.68"/>
    <n v="6534.47"/>
    <n v="1887.21"/>
    <x v="0"/>
    <x v="2"/>
    <s v="OK"/>
    <n v="0.25"/>
    <n v="8421.68"/>
    <n v="1887.21"/>
    <n v="0.22409999999999999"/>
    <x v="10"/>
    <x v="1"/>
    <s v="INVALID"/>
  </r>
  <r>
    <x v="721"/>
    <d v="2025-03-07T00:00:00"/>
    <d v="2025-07-07T00:00:00"/>
    <n v="122"/>
    <s v="OK"/>
    <s v="CUST-3258"/>
    <s v="Priya Menon"/>
    <x v="0"/>
    <x v="0"/>
    <s v="Uttar Pradesh"/>
    <s v="Noida"/>
    <x v="1"/>
    <x v="1"/>
    <s v="Pro Tables 412"/>
    <x v="3"/>
    <n v="4"/>
    <n v="4365.21"/>
    <n v="0.2"/>
    <s v="OK"/>
    <n v="13968.67"/>
    <n v="8857.58"/>
    <n v="5111.09"/>
    <x v="1"/>
    <x v="2"/>
    <s v="OK"/>
    <n v="0.2"/>
    <n v="13968.67"/>
    <n v="5111.09"/>
    <n v="0.3659"/>
    <x v="7"/>
    <x v="1"/>
    <s v="CLEAN"/>
  </r>
  <r>
    <x v="722"/>
    <d v="2025-03-25T00:00:00"/>
    <d v="2025-04-01T00:00:00"/>
    <n v="7"/>
    <s v="OK"/>
    <s v="CUST-8012"/>
    <s v="Diya Patel"/>
    <x v="0"/>
    <x v="0"/>
    <s v="Punjab"/>
    <s v="Ludhiana"/>
    <x v="0"/>
    <x v="5"/>
    <s v="Classic Labels 776"/>
    <x v="0"/>
    <n v="6"/>
    <n v="2192.11"/>
    <n v="0.05"/>
    <s v="OK"/>
    <n v="12495.03"/>
    <n v="9184.52"/>
    <n v="3310.51"/>
    <x v="0"/>
    <x v="0"/>
    <s v="OK"/>
    <n v="0.05"/>
    <n v="12495.03"/>
    <n v="3310.51"/>
    <n v="0.26490000000000002"/>
    <x v="7"/>
    <x v="1"/>
    <s v="CLEAN"/>
  </r>
  <r>
    <x v="723"/>
    <d v="2025-02-28T00:00:00"/>
    <d v="2025-03-08T00:00:00"/>
    <n v="8"/>
    <s v="OK"/>
    <s v="CUST-2917"/>
    <s v="Neha Gupta"/>
    <x v="1"/>
    <x v="1"/>
    <s v="Jharkhand"/>
    <s v="Ranchi"/>
    <x v="2"/>
    <x v="8"/>
    <s v="Max Phones 612"/>
    <x v="2"/>
    <n v="9"/>
    <n v="3670.54"/>
    <n v="0"/>
    <s v="OK"/>
    <n v="33034.86"/>
    <n v="24539.83"/>
    <n v="8495.0300000000007"/>
    <x v="0"/>
    <x v="0"/>
    <s v="OK"/>
    <n v="0"/>
    <n v="33034.86"/>
    <n v="8495.0300000000007"/>
    <n v="0.25719999999999998"/>
    <x v="8"/>
    <x v="1"/>
    <s v="CLEAN"/>
  </r>
  <r>
    <x v="724"/>
    <d v="2025-07-18T00:00:00"/>
    <d v="2025-07-21T00:00:00"/>
    <n v="3"/>
    <s v="OK"/>
    <s v="CUST-7198"/>
    <s v="Priya Menon"/>
    <x v="0"/>
    <x v="1"/>
    <s v="Odisha"/>
    <s v="Bhubaneswar"/>
    <x v="1"/>
    <x v="1"/>
    <s v="Elite Tables 815"/>
    <x v="0"/>
    <n v="4"/>
    <n v="284.04000000000002"/>
    <n v="0"/>
    <s v="OK"/>
    <n v="908.93"/>
    <n v="572.08000000000004"/>
    <n v="336.85"/>
    <x v="0"/>
    <x v="0"/>
    <s v="OK"/>
    <n v="0"/>
    <n v="1136.1600000000001"/>
    <n v="564.08000000000004"/>
    <n v="0.4965"/>
    <x v="0"/>
    <x v="1"/>
    <s v="CLEAN"/>
  </r>
  <r>
    <x v="725"/>
    <d v="2025-01-10T00:00:00"/>
    <d v="2025-10-05T00:00:00"/>
    <n v="268"/>
    <s v="OK"/>
    <s v="CUST-3419"/>
    <s v="Aditi Sen"/>
    <x v="3"/>
    <x v="0"/>
    <s v="Haryana"/>
    <s v="Gurugram"/>
    <x v="0"/>
    <x v="0"/>
    <s v="Basic Paper 388"/>
    <x v="2"/>
    <n v="5"/>
    <n v="3247.56"/>
    <n v="0.15"/>
    <s v="OK"/>
    <n v="13802.13"/>
    <n v="10075.93"/>
    <n v="3726.2"/>
    <x v="0"/>
    <x v="0"/>
    <s v="OK"/>
    <n v="0.15"/>
    <n v="13802.13"/>
    <n v="3726.2"/>
    <n v="0.27"/>
    <x v="6"/>
    <x v="1"/>
    <s v="CLEAN"/>
  </r>
  <r>
    <x v="726"/>
    <d v="2025-05-30T00:00:00"/>
    <d v="2025-06-01T00:00:00"/>
    <n v="2"/>
    <s v="OK"/>
    <s v="CUST-8177"/>
    <s v="Rahul Verma"/>
    <x v="3"/>
    <x v="2"/>
    <s v="Tamil Nadu"/>
    <s v="Chennai"/>
    <x v="0"/>
    <x v="11"/>
    <s v="Eco Binders 352"/>
    <x v="3"/>
    <n v="9"/>
    <n v="1994.51"/>
    <n v="0.05"/>
    <s v="OK"/>
    <n v="17053.060000000001"/>
    <n v="10742.38"/>
    <n v="6310.68"/>
    <x v="0"/>
    <x v="0"/>
    <s v="OK"/>
    <n v="0.05"/>
    <n v="17053.060000000001"/>
    <n v="6310.68"/>
    <n v="0.37009999999999998"/>
    <x v="4"/>
    <x v="1"/>
    <s v="CLEAN"/>
  </r>
  <r>
    <x v="727"/>
    <d v="2025-10-05T00:00:00"/>
    <d v="2025-10-10T00:00:00"/>
    <n v="5"/>
    <s v="OK"/>
    <s v="CUST-7690"/>
    <s v="Priya Menon"/>
    <x v="2"/>
    <x v="1"/>
    <s v="Assam"/>
    <s v="Guwahati"/>
    <x v="1"/>
    <x v="1"/>
    <s v="Classic Tables 213"/>
    <x v="0"/>
    <n v="9"/>
    <n v="2089.14"/>
    <n v="0.05"/>
    <s v="OK"/>
    <n v="17862.150000000001"/>
    <n v="9892.2099999999991"/>
    <n v="7969.94"/>
    <x v="3"/>
    <x v="2"/>
    <s v="OK"/>
    <n v="0.05"/>
    <n v="17862.150000000001"/>
    <n v="7969.94"/>
    <n v="0.44619999999999999"/>
    <x v="9"/>
    <x v="1"/>
    <s v="INVALID"/>
  </r>
  <r>
    <x v="728"/>
    <d v="2025-04-27T00:00:00"/>
    <d v="2025-05-05T00:00:00"/>
    <n v="8"/>
    <s v="OK"/>
    <s v="CUST-8204"/>
    <s v="Rohan Mehta"/>
    <x v="3"/>
    <x v="1"/>
    <s v="Bihar"/>
    <s v="Patna"/>
    <x v="2"/>
    <x v="4"/>
    <s v="Classic Accessories 325"/>
    <x v="0"/>
    <n v="4"/>
    <n v="3963.39"/>
    <n v="0.1"/>
    <s v="OK"/>
    <n v="14268.2"/>
    <n v="11705.3"/>
    <n v="2562.9"/>
    <x v="1"/>
    <x v="1"/>
    <s v="OK"/>
    <n v="0.1"/>
    <n v="14268.2"/>
    <n v="2562.9"/>
    <n v="0.17960000000000001"/>
    <x v="10"/>
    <x v="1"/>
    <s v="CLEAN"/>
  </r>
  <r>
    <x v="729"/>
    <d v="2025-04-10T00:00:00"/>
    <d v="2025-04-17T00:00:00"/>
    <n v="7"/>
    <s v="OK"/>
    <s v="CUST-4269"/>
    <s v="Ananya Rao"/>
    <x v="1"/>
    <x v="3"/>
    <s v="Rajasthan"/>
    <s v="Udaipur"/>
    <x v="1"/>
    <x v="10"/>
    <s v="Elite Chairs 777"/>
    <x v="2"/>
    <n v="7"/>
    <n v="3788.9"/>
    <n v="0.25"/>
    <s v="OK"/>
    <n v="19891.72"/>
    <n v="12295.76"/>
    <n v="7595.96"/>
    <x v="3"/>
    <x v="2"/>
    <s v="OK"/>
    <n v="0.25"/>
    <n v="19891.73"/>
    <n v="7595.97"/>
    <n v="0.38190000000000002"/>
    <x v="10"/>
    <x v="1"/>
    <s v="INVALID"/>
  </r>
  <r>
    <x v="730"/>
    <d v="2025-07-04T00:00:00"/>
    <d v="2025-07-04T00:00:00"/>
    <n v="0"/>
    <s v="OK"/>
    <s v="CUST-3694"/>
    <s v="Mira Das"/>
    <x v="1"/>
    <x v="2"/>
    <s v="Tamil Nadu"/>
    <s v="Chennai"/>
    <x v="1"/>
    <x v="10"/>
    <s v="Classic Chairs 666"/>
    <x v="3"/>
    <n v="3"/>
    <n v="705.35"/>
    <n v="0.1"/>
    <s v="OK"/>
    <n v="1904.45"/>
    <n v="1316.54"/>
    <n v="587.91"/>
    <x v="0"/>
    <x v="2"/>
    <s v="OK"/>
    <n v="0.1"/>
    <n v="1904.45"/>
    <n v="587.91"/>
    <n v="0.30869999999999997"/>
    <x v="0"/>
    <x v="1"/>
    <s v="CLEAN"/>
  </r>
  <r>
    <x v="731"/>
    <d v="2025-08-07T00:00:00"/>
    <d v="2025-07-09T00:00:00"/>
    <n v="-29"/>
    <s v="INVALID"/>
    <s v="CUST-4188"/>
    <s v="Sneha Kapoor"/>
    <x v="0"/>
    <x v="3"/>
    <s v="Maharashtra"/>
    <s v="Mumbai"/>
    <x v="2"/>
    <x v="6"/>
    <s v="Elite Copiers 831"/>
    <x v="1"/>
    <n v="3"/>
    <n v="2880.56"/>
    <n v="0"/>
    <s v="OK"/>
    <n v="8641.68"/>
    <n v="5747.09"/>
    <n v="2894.59"/>
    <x v="0"/>
    <x v="1"/>
    <s v="OK"/>
    <n v="0"/>
    <n v="8641.68"/>
    <n v="2894.59"/>
    <n v="0.33500000000000002"/>
    <x v="1"/>
    <x v="1"/>
    <s v="INVALID"/>
  </r>
  <r>
    <x v="732"/>
    <d v="2025-01-29T00:00:00"/>
    <d v="2025-02-05T00:00:00"/>
    <n v="7"/>
    <s v="OK"/>
    <s v="CUST-2366"/>
    <s v="Ananya Rao"/>
    <x v="0"/>
    <x v="2"/>
    <s v="Kerala"/>
    <s v="Kochi"/>
    <x v="0"/>
    <x v="2"/>
    <s v="Smart Art 201"/>
    <x v="1"/>
    <n v="8"/>
    <n v="3643.62"/>
    <n v="0.25"/>
    <s v="OK"/>
    <n v="21861.72"/>
    <n v="18464.34"/>
    <n v="3397.38"/>
    <x v="0"/>
    <x v="2"/>
    <s v="OK"/>
    <n v="0.25"/>
    <n v="21861.72"/>
    <n v="3397.38"/>
    <n v="0.15540000000000001"/>
    <x v="6"/>
    <x v="1"/>
    <s v="CLEAN"/>
  </r>
  <r>
    <x v="733"/>
    <d v="2025-08-14T00:00:00"/>
    <d v="2025-08-22T00:00:00"/>
    <n v="8"/>
    <s v="OK"/>
    <s v="CUST-8157"/>
    <s v="Arjun Bose"/>
    <x v="2"/>
    <x v="3"/>
    <s v="Gujarat"/>
    <s v="Ahmedabad"/>
    <x v="0"/>
    <x v="0"/>
    <s v="Prime Paper 143"/>
    <x v="2"/>
    <n v="5"/>
    <n v="2567.37"/>
    <n v="0.15"/>
    <s v="OK"/>
    <n v="10911.32"/>
    <n v="6966.44"/>
    <n v="4395.17"/>
    <x v="0"/>
    <x v="0"/>
    <s v="OK"/>
    <n v="0.15"/>
    <n v="10911.32"/>
    <n v="3944.88"/>
    <n v="0.36149999999999999"/>
    <x v="1"/>
    <x v="1"/>
    <s v="CLEAN"/>
  </r>
  <r>
    <x v="734"/>
    <d v="2025-10-11T00:00:00"/>
    <d v="2025-10-13T00:00:00"/>
    <n v="2"/>
    <s v="OK"/>
    <s v="CUST-6028"/>
    <s v="Mira Das"/>
    <x v="2"/>
    <x v="2"/>
    <s v="Telangana"/>
    <s v="Hyderabad"/>
    <x v="0"/>
    <x v="2"/>
    <s v="Pro Art 287"/>
    <x v="0"/>
    <n v="3"/>
    <n v="3804.27"/>
    <n v="0.1"/>
    <s v="OK"/>
    <n v="10271.530000000001"/>
    <n v="8272.24"/>
    <n v="1999.29"/>
    <x v="0"/>
    <x v="0"/>
    <s v="OK"/>
    <n v="0.1"/>
    <n v="10271.530000000001"/>
    <n v="1999.29"/>
    <n v="0.1946"/>
    <x v="9"/>
    <x v="1"/>
    <s v="CLEAN"/>
  </r>
  <r>
    <x v="735"/>
    <d v="2025-01-24T00:00:00"/>
    <d v="2025-01-30T00:00:00"/>
    <n v="6"/>
    <s v="OK"/>
    <s v="CUST-8861"/>
    <s v="Ananya Rao"/>
    <x v="2"/>
    <x v="1"/>
    <s v="West Bengal"/>
    <s v="Kolkata"/>
    <x v="2"/>
    <x v="6"/>
    <s v="Pro Copiers 246"/>
    <x v="3"/>
    <n v="8"/>
    <n v="312.52999999999997"/>
    <s v="70%"/>
    <s v="INVALID-ABOVE"/>
    <n v="1875.18"/>
    <n v="1579.17"/>
    <n v="296.01"/>
    <x v="0"/>
    <x v="0"/>
    <s v="OK"/>
    <n v="0.7"/>
    <n v="750.07"/>
    <n v="-829.1"/>
    <n v="-1.1053999999999999"/>
    <x v="6"/>
    <x v="1"/>
    <s v="INVALID"/>
  </r>
  <r>
    <x v="736"/>
    <d v="2025-04-25T00:00:00"/>
    <d v="2025-04-28T00:00:00"/>
    <n v="3"/>
    <s v="OK"/>
    <s v="CUST-9241"/>
    <s v="Aarav Sharma"/>
    <x v="1"/>
    <x v="3"/>
    <s v="Gujarat"/>
    <s v="Ahmedabad"/>
    <x v="0"/>
    <x v="7"/>
    <s v="Pro Storage 128"/>
    <x v="2"/>
    <n v="9"/>
    <n v="1294.1099999999999"/>
    <n v="0.25"/>
    <s v="OK"/>
    <n v="8735.24"/>
    <n v="6620.07"/>
    <n v="2115.17"/>
    <x v="0"/>
    <x v="0"/>
    <s v="OK"/>
    <n v="0.25"/>
    <n v="8735.24"/>
    <n v="2115.17"/>
    <n v="0.24210000000000001"/>
    <x v="10"/>
    <x v="1"/>
    <s v="CLEAN"/>
  </r>
  <r>
    <x v="737"/>
    <d v="2025-04-02T00:00:00"/>
    <d v="2025-02-10T00:00:00"/>
    <n v="-51"/>
    <s v="INVALID"/>
    <s v="CUST-7513"/>
    <s v="Ananya Rao"/>
    <x v="1"/>
    <x v="2"/>
    <s v="Telangana"/>
    <s v="Hyderabad"/>
    <x v="0"/>
    <x v="7"/>
    <s v="Prime Storage 689"/>
    <x v="3"/>
    <n v="6"/>
    <n v="1042.8"/>
    <n v="0.05"/>
    <s v="OK"/>
    <n v="5943.96"/>
    <n v="3604.14"/>
    <n v="2339.8200000000002"/>
    <x v="0"/>
    <x v="0"/>
    <s v="OK"/>
    <n v="0.05"/>
    <n v="5943.96"/>
    <n v="2339.8200000000002"/>
    <n v="0.39360000000000001"/>
    <x v="10"/>
    <x v="1"/>
    <s v="INVALID"/>
  </r>
  <r>
    <x v="738"/>
    <d v="2025-09-04T00:00:00"/>
    <d v="2025-09-04T00:00:00"/>
    <n v="0"/>
    <s v="OK"/>
    <s v="CUST-9368"/>
    <s v="Aditi Sen"/>
    <x v="2"/>
    <x v="0"/>
    <s v="Punjab"/>
    <s v="Ludhiana"/>
    <x v="2"/>
    <x v="12"/>
    <s v="Basic Machines 136"/>
    <x v="2"/>
    <n v="8"/>
    <n v="3079.95"/>
    <n v="0.2"/>
    <s v="OK"/>
    <n v="19711.68"/>
    <n v="14461.8"/>
    <n v="5249.88"/>
    <x v="0"/>
    <x v="0"/>
    <s v="OK"/>
    <n v="0.2"/>
    <n v="19711.68"/>
    <n v="5249.88"/>
    <n v="0.26629999999999998"/>
    <x v="11"/>
    <x v="1"/>
    <s v="CLEAN"/>
  </r>
  <r>
    <x v="739"/>
    <d v="2025-09-30T00:00:00"/>
    <d v="2025-10-07T00:00:00"/>
    <n v="7"/>
    <s v="OK"/>
    <s v="CUST-6797"/>
    <s v="Diya Patel"/>
    <x v="2"/>
    <x v="1"/>
    <s v="Bihar"/>
    <s v="Patna"/>
    <x v="2"/>
    <x v="6"/>
    <s v="Basic Copiers 512"/>
    <x v="0"/>
    <n v="5"/>
    <n v="3277.82"/>
    <n v="0.1"/>
    <s v="OK"/>
    <n v="14750.19"/>
    <n v="9482.58"/>
    <n v="5267.61"/>
    <x v="0"/>
    <x v="1"/>
    <s v="OK"/>
    <n v="0.1"/>
    <n v="14750.19"/>
    <n v="5267.61"/>
    <n v="0.35709999999999997"/>
    <x v="11"/>
    <x v="1"/>
    <s v="CLEAN"/>
  </r>
  <r>
    <x v="740"/>
    <d v="2025-07-14T00:00:00"/>
    <d v="2025-07-18T00:00:00"/>
    <n v="4"/>
    <s v="OK"/>
    <s v="CUST-6654"/>
    <s v="Aditi Sen"/>
    <x v="0"/>
    <x v="0"/>
    <s v="Punjab"/>
    <s v="Ludhiana"/>
    <x v="2"/>
    <x v="6"/>
    <s v="Eco Copiers 954"/>
    <x v="2"/>
    <n v="4"/>
    <n v="725.22"/>
    <n v="0"/>
    <s v="OK"/>
    <n v="2900.88"/>
    <n v="2391.85"/>
    <n v="509.03"/>
    <x v="1"/>
    <x v="1"/>
    <s v="OK"/>
    <n v="0"/>
    <n v="2900.88"/>
    <n v="509.03"/>
    <n v="0.17549999999999999"/>
    <x v="0"/>
    <x v="1"/>
    <s v="CLEAN"/>
  </r>
  <r>
    <x v="741"/>
    <d v="2025-08-07T00:00:00"/>
    <d v="2025-08-13T00:00:00"/>
    <n v="6"/>
    <s v="OK"/>
    <s v="CUST-5601"/>
    <s v="Mira Das"/>
    <x v="2"/>
    <x v="0"/>
    <s v="Delhi"/>
    <s v="New Delhi"/>
    <x v="2"/>
    <x v="8"/>
    <s v="Prime Phones 564"/>
    <x v="3"/>
    <n v="6"/>
    <n v="1921.86"/>
    <n v="0.2"/>
    <s v="OK"/>
    <n v="9224.93"/>
    <n v="7005.2"/>
    <n v="2219.73"/>
    <x v="2"/>
    <x v="2"/>
    <s v="OK"/>
    <n v="0.2"/>
    <n v="9224.93"/>
    <n v="2219.73"/>
    <n v="0.24060000000000001"/>
    <x v="1"/>
    <x v="1"/>
    <s v="CLEAN"/>
  </r>
  <r>
    <x v="742"/>
    <d v="2025-09-08T00:00:00"/>
    <d v="2025-09-10T00:00:00"/>
    <n v="2"/>
    <s v="OK"/>
    <s v="CUST-2586"/>
    <s v="Rahul Verma"/>
    <x v="3"/>
    <x v="3"/>
    <s v="Maharashtra"/>
    <s v="Mumbai"/>
    <x v="1"/>
    <x v="3"/>
    <s v="Elite Furnishings 822"/>
    <x v="3"/>
    <n v="6"/>
    <n v="3251.17"/>
    <n v="0.25"/>
    <s v="OK"/>
    <n v="14630.26"/>
    <n v="11906.36"/>
    <n v="2723.9"/>
    <x v="2"/>
    <x v="1"/>
    <s v="OK"/>
    <n v="0.25"/>
    <n v="14630.27"/>
    <n v="2723.91"/>
    <n v="0.1862"/>
    <x v="11"/>
    <x v="1"/>
    <s v="CLEAN"/>
  </r>
  <r>
    <x v="743"/>
    <d v="2025-08-18T00:00:00"/>
    <d v="2025-08-22T00:00:00"/>
    <n v="4"/>
    <s v="OK"/>
    <s v="CUST-6585"/>
    <s v="Arjun Bose"/>
    <x v="0"/>
    <x v="1"/>
    <s v="Jharkhand"/>
    <s v="Ranchi"/>
    <x v="1"/>
    <x v="3"/>
    <s v="Max Furnishings 647"/>
    <x v="0"/>
    <n v="3"/>
    <n v="3946.44"/>
    <n v="0.25"/>
    <s v="OK"/>
    <n v="8879.49"/>
    <n v="6344.57"/>
    <n v="2534.92"/>
    <x v="3"/>
    <x v="1"/>
    <s v="OK"/>
    <n v="0.25"/>
    <n v="8879.49"/>
    <n v="2534.92"/>
    <n v="0.28549999999999998"/>
    <x v="1"/>
    <x v="1"/>
    <s v="INVALID"/>
  </r>
  <r>
    <x v="744"/>
    <d v="2025-02-10T00:00:00"/>
    <d v="2025-02-14T00:00:00"/>
    <n v="4"/>
    <s v="OK"/>
    <s v="CUST-3425"/>
    <s v="Priya Menon"/>
    <x v="1"/>
    <x v="0"/>
    <s v="Uttar Pradesh"/>
    <s v="Noida"/>
    <x v="2"/>
    <x v="8"/>
    <s v="Prime Phones 895"/>
    <x v="4"/>
    <n v="5"/>
    <n v="4276.29"/>
    <n v="0"/>
    <s v="OK"/>
    <n v="21381.45"/>
    <n v="13240.21"/>
    <n v="8141.24"/>
    <x v="3"/>
    <x v="1"/>
    <s v=" ORIGINAL"/>
    <n v="0"/>
    <n v="21381.45"/>
    <n v="8141.24"/>
    <n v="0.38080000000000003"/>
    <x v="8"/>
    <x v="1"/>
    <s v="INVALID"/>
  </r>
  <r>
    <x v="744"/>
    <d v="2025-02-10T00:00:00"/>
    <d v="2025-02-14T00:00:00"/>
    <n v="4"/>
    <s v="OK"/>
    <s v="CUST-3425"/>
    <s v="Priya Menon"/>
    <x v="1"/>
    <x v="0"/>
    <s v="Uttar Pradesh"/>
    <s v="Noida"/>
    <x v="2"/>
    <x v="8"/>
    <s v="Prime Phones 895"/>
    <x v="4"/>
    <n v="5"/>
    <n v="4276.29"/>
    <n v="0"/>
    <s v="OK"/>
    <n v="21443.63"/>
    <n v="13240.21"/>
    <n v="8141.24"/>
    <x v="3"/>
    <x v="0"/>
    <s v="CONFLICTING DUPLICATE - REVIEW"/>
    <n v="0"/>
    <n v="21381.45"/>
    <n v="8141.24"/>
    <n v="0.38080000000000003"/>
    <x v="8"/>
    <x v="1"/>
    <s v="INVALID"/>
  </r>
  <r>
    <x v="745"/>
    <d v="2025-09-22T00:00:00"/>
    <d v="2025-09-26T00:00:00"/>
    <n v="4"/>
    <s v="OK"/>
    <s v="CUST-8243"/>
    <s v="Isha Nair"/>
    <x v="0"/>
    <x v="2"/>
    <s v="Andhra Pradesh"/>
    <s v="Vijayawada"/>
    <x v="2"/>
    <x v="8"/>
    <s v="Pro Phones 644"/>
    <x v="3"/>
    <n v="1"/>
    <n v="573.65"/>
    <n v="0"/>
    <s v="OK"/>
    <n v="573.65"/>
    <n v="322.67"/>
    <n v="250.98"/>
    <x v="0"/>
    <x v="0"/>
    <s v="OK"/>
    <n v="0"/>
    <n v="573.65"/>
    <n v="250.98"/>
    <n v="0.4375"/>
    <x v="11"/>
    <x v="1"/>
    <s v="CLEAN"/>
  </r>
  <r>
    <x v="746"/>
    <d v="2025-03-11T00:00:00"/>
    <d v="2025-03-14T00:00:00"/>
    <n v="3"/>
    <s v="OK"/>
    <s v="CUST-5496"/>
    <s v="Sneha Kapoor"/>
    <x v="3"/>
    <x v="2"/>
    <s v="Kerala"/>
    <s v="Kochi"/>
    <x v="1"/>
    <x v="3"/>
    <s v="Elite Furnishings 173"/>
    <x v="1"/>
    <n v="4"/>
    <n v="1244.82"/>
    <n v="0.2"/>
    <s v="OK"/>
    <n v="3983.42"/>
    <n v="3174.91"/>
    <n v="808.51"/>
    <x v="3"/>
    <x v="1"/>
    <s v="OK"/>
    <n v="0.2"/>
    <n v="3983.42"/>
    <n v="808.51"/>
    <n v="0.20300000000000001"/>
    <x v="7"/>
    <x v="1"/>
    <s v="INVALID"/>
  </r>
  <r>
    <x v="747"/>
    <d v="2025-08-28T00:00:00"/>
    <d v="2025-09-03T00:00:00"/>
    <n v="6"/>
    <s v="OK"/>
    <s v="CUST-4151"/>
    <s v="Priya Menon"/>
    <x v="2"/>
    <x v="3"/>
    <s v="Madhya Pradesh"/>
    <s v="Indore"/>
    <x v="1"/>
    <x v="3"/>
    <s v="Smart Furnishings 714"/>
    <x v="3"/>
    <n v="7"/>
    <n v="268.45"/>
    <n v="0"/>
    <s v="OK"/>
    <n v="1879.15"/>
    <n v="1134.9000000000001"/>
    <n v="744.25"/>
    <x v="0"/>
    <x v="0"/>
    <s v="OK"/>
    <n v="0"/>
    <n v="1879.15"/>
    <n v="744.25"/>
    <n v="0.39610000000000001"/>
    <x v="1"/>
    <x v="1"/>
    <s v="CLEAN"/>
  </r>
  <r>
    <x v="748"/>
    <d v="2025-06-03T00:00:00"/>
    <d v="2025-03-13T00:00:00"/>
    <n v="-82"/>
    <s v="INVALID"/>
    <s v="CUST-7958"/>
    <s v="Kabir Singh"/>
    <x v="0"/>
    <x v="2"/>
    <s v="Kerala"/>
    <s v="Kochi"/>
    <x v="1"/>
    <x v="10"/>
    <s v="Pro Chairs 888"/>
    <x v="3"/>
    <n v="3"/>
    <n v="163.72"/>
    <n v="0.15"/>
    <s v="OK"/>
    <n v="417.49"/>
    <n v="261.67"/>
    <n v="155.82"/>
    <x v="3"/>
    <x v="1"/>
    <s v="OK"/>
    <n v="0.15"/>
    <n v="417.49"/>
    <n v="155.82"/>
    <n v="0.37319999999999998"/>
    <x v="2"/>
    <x v="1"/>
    <s v="INVALID"/>
  </r>
  <r>
    <x v="749"/>
    <d v="2025-08-09T00:00:00"/>
    <d v="2025-08-10T00:00:00"/>
    <n v="1"/>
    <s v="OK"/>
    <s v="CUST-9931"/>
    <s v="Neha Gupta"/>
    <x v="0"/>
    <x v="0"/>
    <s v="Delhi"/>
    <s v="New Delhi"/>
    <x v="0"/>
    <x v="2"/>
    <s v="Classic Art 611"/>
    <x v="0"/>
    <n v="4"/>
    <n v="4080.95"/>
    <n v="0"/>
    <s v="OK"/>
    <n v="16323.8"/>
    <n v="9965.7900000000009"/>
    <n v="6358.01"/>
    <x v="2"/>
    <x v="1"/>
    <s v="OK"/>
    <n v="0"/>
    <n v="16323.8"/>
    <n v="6358.01"/>
    <n v="0.38950000000000001"/>
    <x v="1"/>
    <x v="1"/>
    <s v="CLEAN"/>
  </r>
  <r>
    <x v="750"/>
    <d v="2025-06-22T00:00:00"/>
    <d v="2025-06-25T00:00:00"/>
    <n v="3"/>
    <s v="OK"/>
    <s v="CUST-5201"/>
    <s v="Diya Patel"/>
    <x v="1"/>
    <x v="3"/>
    <s v="Maharashtra"/>
    <s v="Mumbai"/>
    <x v="2"/>
    <x v="8"/>
    <s v="Prime Phones 744"/>
    <x v="2"/>
    <n v="8"/>
    <n v="3453.66"/>
    <n v="0"/>
    <s v="OK"/>
    <n v="27629.279999999999"/>
    <n v="22026.48"/>
    <n v="5602.8"/>
    <x v="0"/>
    <x v="0"/>
    <s v="OK"/>
    <n v="0"/>
    <n v="27629.279999999999"/>
    <n v="5602.8"/>
    <n v="0.20280000000000001"/>
    <x v="2"/>
    <x v="1"/>
    <s v="CLEAN"/>
  </r>
  <r>
    <x v="751"/>
    <d v="2025-12-04T00:00:00"/>
    <d v="2025-04-12T00:00:00"/>
    <n v="-236"/>
    <s v="INVALID"/>
    <s v="CUST-8626"/>
    <s v="Mira Das"/>
    <x v="3"/>
    <x v="0"/>
    <s v="Punjab"/>
    <s v="Ludhiana"/>
    <x v="0"/>
    <x v="11"/>
    <s v="Prime Binders 249"/>
    <x v="0"/>
    <n v="7"/>
    <n v="1334.2"/>
    <n v="0.2"/>
    <s v="OK"/>
    <n v="7471.52"/>
    <n v="6184.32"/>
    <n v="1287.2"/>
    <x v="0"/>
    <x v="0"/>
    <s v="OK"/>
    <n v="0.2"/>
    <n v="7471.52"/>
    <n v="1287.2"/>
    <n v="0.17230000000000001"/>
    <x v="5"/>
    <x v="1"/>
    <s v="INVALID"/>
  </r>
  <r>
    <x v="752"/>
    <d v="2025-07-23T00:00:00"/>
    <d v="2025-07-31T00:00:00"/>
    <n v="8"/>
    <s v="OK"/>
    <s v="CUST-1013"/>
    <s v="Kabir Singh"/>
    <x v="3"/>
    <x v="3"/>
    <s v="Madhya Pradesh"/>
    <s v="Indore"/>
    <x v="2"/>
    <x v="4"/>
    <s v="Eco Accessories 948"/>
    <x v="2"/>
    <n v="1"/>
    <n v="4253.84"/>
    <n v="0.15"/>
    <s v="OK"/>
    <n v="3615.76"/>
    <n v="2951.52"/>
    <n v="664.24"/>
    <x v="2"/>
    <x v="2"/>
    <s v="OK"/>
    <n v="0.15"/>
    <n v="3615.76"/>
    <n v="664.24"/>
    <n v="0.1837"/>
    <x v="0"/>
    <x v="1"/>
    <s v="CLEAN"/>
  </r>
  <r>
    <x v="753"/>
    <d v="2025-03-11T00:00:00"/>
    <d v="2025-03-15T00:00:00"/>
    <n v="4"/>
    <s v="OK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s v="OK"/>
    <n v="32013.79"/>
    <n v="20896.88"/>
    <n v="11116.91"/>
    <x v="2"/>
    <x v="2"/>
    <s v="OK"/>
    <n v="0.1"/>
    <n v="32013.79"/>
    <n v="11116.91"/>
    <n v="0.3473"/>
    <x v="7"/>
    <x v="1"/>
    <s v="CLEAN"/>
  </r>
  <r>
    <x v="754"/>
    <d v="2025-09-27T00:00:00"/>
    <d v="2025-09-29T00:00:00"/>
    <n v="2"/>
    <s v="OK"/>
    <s v="CUST-2917"/>
    <s v="Arjun Bose"/>
    <x v="3"/>
    <x v="0"/>
    <s v="Uttar Pradesh"/>
    <s v="Noida"/>
    <x v="1"/>
    <x v="1"/>
    <s v="Eco Tables 550"/>
    <x v="0"/>
    <n v="9"/>
    <n v="4100.1099999999997"/>
    <n v="0.25"/>
    <s v="OK"/>
    <n v="27675.74"/>
    <n v="15571.08"/>
    <n v="12104.66"/>
    <x v="0"/>
    <x v="0"/>
    <s v="OK"/>
    <n v="0.25"/>
    <n v="27675.74"/>
    <n v="12104.66"/>
    <n v="0.43740000000000001"/>
    <x v="11"/>
    <x v="1"/>
    <s v="CLEAN"/>
  </r>
  <r>
    <x v="755"/>
    <d v="2025-02-11T00:00:00"/>
    <d v="2025-02-16T00:00:00"/>
    <n v="5"/>
    <s v="OK"/>
    <s v="CUST-5566"/>
    <s v="Mira Das"/>
    <x v="2"/>
    <x v="0"/>
    <s v="Uttar Pradesh"/>
    <s v="Noida"/>
    <x v="2"/>
    <x v="8"/>
    <s v="Classic Phones 294"/>
    <x v="2"/>
    <n v="8"/>
    <n v="1825.56"/>
    <n v="0.1"/>
    <s v="OK"/>
    <n v="13144.03"/>
    <n v="9764"/>
    <n v="3380.03"/>
    <x v="0"/>
    <x v="0"/>
    <s v="OK"/>
    <n v="0.1"/>
    <n v="13144.03"/>
    <n v="3380.03"/>
    <n v="0.25719999999999998"/>
    <x v="8"/>
    <x v="1"/>
    <s v="CLEAN"/>
  </r>
  <r>
    <x v="756"/>
    <d v="2025-07-08T00:00:00"/>
    <d v="2025-07-08T00:00:00"/>
    <n v="0"/>
    <s v="OK"/>
    <s v="CUST-6957"/>
    <s v="Aditi Sen"/>
    <x v="0"/>
    <x v="2"/>
    <s v="Telangana"/>
    <s v="Hyderabad"/>
    <x v="2"/>
    <x v="6"/>
    <s v="Prime Copiers 969"/>
    <x v="1"/>
    <n v="9"/>
    <n v="274.88"/>
    <n v="0.25"/>
    <s v="OK"/>
    <n v="1855.44"/>
    <n v="1262.74"/>
    <n v="592.70000000000005"/>
    <x v="0"/>
    <x v="0"/>
    <s v="OK"/>
    <n v="0.25"/>
    <n v="1855.44"/>
    <n v="592.70000000000005"/>
    <n v="0.31940000000000002"/>
    <x v="0"/>
    <x v="1"/>
    <s v="CLEAN"/>
  </r>
  <r>
    <x v="757"/>
    <d v="2025-05-03T00:00:00"/>
    <d v="2025-03-12T00:00:00"/>
    <n v="-52"/>
    <s v="INVALID"/>
    <s v="CUST-6013"/>
    <s v="Ananya Rao"/>
    <x v="2"/>
    <x v="3"/>
    <s v="Madhya Pradesh"/>
    <s v="Indore"/>
    <x v="0"/>
    <x v="7"/>
    <s v="Prime Storage 432"/>
    <x v="1"/>
    <n v="3"/>
    <n v="3682.75"/>
    <n v="0"/>
    <s v="OK"/>
    <n v="11048.25"/>
    <n v="9062.7199999999993"/>
    <n v="1985.53"/>
    <x v="0"/>
    <x v="0"/>
    <s v="OK"/>
    <n v="0"/>
    <n v="11048.25"/>
    <n v="1985.53"/>
    <n v="0.1797"/>
    <x v="4"/>
    <x v="1"/>
    <s v="INVALID"/>
  </r>
  <r>
    <x v="758"/>
    <d v="2025-01-03T00:00:00"/>
    <d v="2025-11-01T00:00:00"/>
    <n v="302"/>
    <s v="OK"/>
    <s v="CUST-5808"/>
    <s v="Vikram Iyer"/>
    <x v="2"/>
    <x v="1"/>
    <s v="Bihar"/>
    <s v="Patna"/>
    <x v="2"/>
    <x v="4"/>
    <s v="Prime Accessories 300"/>
    <x v="2"/>
    <n v="8"/>
    <n v="2574.29"/>
    <n v="0.05"/>
    <s v="OK"/>
    <n v="19564.599999999999"/>
    <n v="11154.59"/>
    <n v="8410.01"/>
    <x v="1"/>
    <x v="2"/>
    <s v="OK"/>
    <n v="0.05"/>
    <n v="19564.599999999999"/>
    <n v="8410.01"/>
    <n v="0.4299"/>
    <x v="6"/>
    <x v="1"/>
    <s v="CLEAN"/>
  </r>
  <r>
    <x v="759"/>
    <d v="2025-05-02T00:00:00"/>
    <d v="2025-02-06T00:00:00"/>
    <n v="-85"/>
    <s v="INVALID"/>
    <s v="CUST-4526"/>
    <s v="Ananya Rao"/>
    <x v="0"/>
    <x v="3"/>
    <s v="Madhya Pradesh"/>
    <s v="Indore"/>
    <x v="0"/>
    <x v="11"/>
    <s v="Max Binders 547"/>
    <x v="1"/>
    <n v="3"/>
    <n v="1076.3"/>
    <n v="0"/>
    <s v="OK"/>
    <n v="3228.9"/>
    <n v="1853.23"/>
    <n v="1375.67"/>
    <x v="0"/>
    <x v="0"/>
    <s v="OK"/>
    <n v="0"/>
    <n v="3228.9"/>
    <n v="1375.67"/>
    <n v="0.42599999999999999"/>
    <x v="4"/>
    <x v="1"/>
    <s v="INVALID"/>
  </r>
  <r>
    <x v="760"/>
    <d v="2025-07-09T00:00:00"/>
    <d v="2025-07-13T00:00:00"/>
    <n v="4"/>
    <s v="OK"/>
    <s v="CUST-4447"/>
    <s v="Kabir Singh"/>
    <x v="2"/>
    <x v="3"/>
    <s v="Goa"/>
    <s v="Panaji"/>
    <x v="1"/>
    <x v="3"/>
    <s v="Pro Furnishings 267"/>
    <x v="0"/>
    <n v="5"/>
    <n v="1680.01"/>
    <s v="85%"/>
    <s v="INVALID-ABOVE"/>
    <n v="7560.04"/>
    <n v="6448.05"/>
    <n v="1111.99"/>
    <x v="0"/>
    <x v="2"/>
    <s v="OK"/>
    <n v="0.85"/>
    <n v="1260.01"/>
    <n v="-5188.04"/>
    <n v="-4.1174999999999997"/>
    <x v="0"/>
    <x v="1"/>
    <s v="INVALID"/>
  </r>
  <r>
    <x v="761"/>
    <d v="2025-02-22T00:00:00"/>
    <d v="2025-02-28T00:00:00"/>
    <n v="6"/>
    <s v="OK"/>
    <s v="CUST-2698"/>
    <s v="Rahul Verma"/>
    <x v="3"/>
    <x v="3"/>
    <s v="Madhya Pradesh"/>
    <s v="Indore"/>
    <x v="2"/>
    <x v="6"/>
    <s v="Max Copiers 520"/>
    <x v="1"/>
    <n v="3"/>
    <n v="3890.81"/>
    <n v="0.25"/>
    <s v="OK"/>
    <n v="8754.32"/>
    <n v="6238.9"/>
    <n v="2515.42"/>
    <x v="0"/>
    <x v="0"/>
    <s v="OK"/>
    <n v="0.25"/>
    <n v="8754.32"/>
    <n v="2515.42"/>
    <n v="0.2873"/>
    <x v="8"/>
    <x v="1"/>
    <s v="CLEAN"/>
  </r>
  <r>
    <x v="762"/>
    <d v="2025-02-16T00:00:00"/>
    <d v="2025-02-22T00:00:00"/>
    <n v="6"/>
    <s v="OK"/>
    <s v="CUST-6297"/>
    <s v="Sneha Kapoor"/>
    <x v="3"/>
    <x v="1"/>
    <s v="Bihar"/>
    <s v="Patna"/>
    <x v="0"/>
    <x v="7"/>
    <s v="Max Storage 424"/>
    <x v="1"/>
    <n v="5"/>
    <n v="954.67"/>
    <n v="0.15"/>
    <s v="OK"/>
    <n v="4057.35"/>
    <n v="2862.03"/>
    <n v="1195.32"/>
    <x v="0"/>
    <x v="0"/>
    <s v="OK"/>
    <n v="0.15"/>
    <n v="4057.35"/>
    <n v="1195.32"/>
    <n v="0.29459999999999997"/>
    <x v="8"/>
    <x v="1"/>
    <s v="CLEAN"/>
  </r>
  <r>
    <x v="763"/>
    <d v="2025-01-08T00:00:00"/>
    <d v="2025-12-01T00:00:00"/>
    <n v="327"/>
    <s v="OK"/>
    <s v="CUST-4380"/>
    <s v="Sneha Kapoor"/>
    <x v="3"/>
    <x v="2"/>
    <s v="Karnataka"/>
    <s v="Bengaluru"/>
    <x v="1"/>
    <x v="10"/>
    <s v="Pro Chairs 908"/>
    <x v="3"/>
    <n v="7"/>
    <n v="4337.4799999999996"/>
    <n v="0"/>
    <s v="OK"/>
    <n v="30362.36"/>
    <n v="25065.4"/>
    <n v="5296.96"/>
    <x v="0"/>
    <x v="0"/>
    <s v="OK"/>
    <n v="0"/>
    <n v="30362.36"/>
    <n v="5296.96"/>
    <n v="0.17449999999999999"/>
    <x v="6"/>
    <x v="1"/>
    <s v="CLEAN"/>
  </r>
  <r>
    <x v="764"/>
    <d v="2025-08-07T00:00:00"/>
    <d v="2025-07-15T00:00:00"/>
    <n v="-23"/>
    <s v="INVALID"/>
    <s v="CUST-6108"/>
    <s v="Ananya Rao"/>
    <x v="1"/>
    <x v="0"/>
    <s v="Rajasthan"/>
    <s v="Jaipur"/>
    <x v="0"/>
    <x v="11"/>
    <s v="Max Binders 785"/>
    <x v="1"/>
    <n v="8"/>
    <n v="655.28"/>
    <n v="0.1"/>
    <s v="OK"/>
    <n v="4718.0200000000004"/>
    <n v="3908.23"/>
    <n v="809.79"/>
    <x v="0"/>
    <x v="0"/>
    <s v="OK"/>
    <n v="0.1"/>
    <n v="4718.0200000000004"/>
    <n v="809.79"/>
    <n v="0.1716"/>
    <x v="1"/>
    <x v="1"/>
    <s v="INVALID"/>
  </r>
  <r>
    <x v="765"/>
    <d v="2025-04-06T00:00:00"/>
    <d v="2025-04-13T00:00:00"/>
    <n v="7"/>
    <s v="OK"/>
    <s v="CUST-5663"/>
    <s v="Aditi Sen"/>
    <x v="0"/>
    <x v="4"/>
    <s v="Odisha"/>
    <s v="Bhubaneswar"/>
    <x v="2"/>
    <x v="8"/>
    <s v="Elite Phones 239"/>
    <x v="3"/>
    <n v="1"/>
    <n v="3844.01"/>
    <n v="0"/>
    <s v="OK"/>
    <n v="3844.01"/>
    <n v="2195.79"/>
    <n v="1648.22"/>
    <x v="0"/>
    <x v="0"/>
    <s v="OK"/>
    <n v="0"/>
    <n v="3844.01"/>
    <n v="1648.22"/>
    <n v="0.42880000000000001"/>
    <x v="10"/>
    <x v="1"/>
    <s v="WARNING"/>
  </r>
  <r>
    <x v="766"/>
    <d v="2025-01-29T00:00:00"/>
    <d v="2025-02-06T00:00:00"/>
    <n v="8"/>
    <s v="OK"/>
    <s v="CUST-1127"/>
    <s v="Vikram Iyer"/>
    <x v="0"/>
    <x v="1"/>
    <s v="Bihar"/>
    <s v="Patna"/>
    <x v="0"/>
    <x v="7"/>
    <s v="Basic Storage 934"/>
    <x v="3"/>
    <n v="4"/>
    <n v="2759.01"/>
    <n v="0.05"/>
    <s v="OK"/>
    <n v="10484.24"/>
    <n v="6680.15"/>
    <n v="3804.09"/>
    <x v="0"/>
    <x v="0"/>
    <s v="OK"/>
    <n v="0.05"/>
    <n v="10484.24"/>
    <n v="3804.09"/>
    <n v="0.36280000000000001"/>
    <x v="6"/>
    <x v="1"/>
    <s v="CLEAN"/>
  </r>
  <r>
    <x v="767"/>
    <d v="2025-04-06T00:00:00"/>
    <d v="2025-06-07T00:00:00"/>
    <n v="62"/>
    <s v="OK"/>
    <s v="CUST-1793"/>
    <s v="Sneha Kapoor"/>
    <x v="3"/>
    <x v="1"/>
    <s v="Assam"/>
    <s v="Guwahati"/>
    <x v="2"/>
    <x v="12"/>
    <s v="Elite Machines 971"/>
    <x v="3"/>
    <n v="8"/>
    <n v="1434.13"/>
    <n v="0"/>
    <s v="OK"/>
    <n v="11473.04"/>
    <n v="8931.33"/>
    <n v="2541.71"/>
    <x v="1"/>
    <x v="1"/>
    <s v="OK"/>
    <n v="0"/>
    <n v="11473.04"/>
    <n v="2541.71"/>
    <n v="0.2215"/>
    <x v="10"/>
    <x v="1"/>
    <s v="CLEAN"/>
  </r>
  <r>
    <x v="768"/>
    <d v="2025-02-13T00:00:00"/>
    <d v="2025-02-21T00:00:00"/>
    <n v="8"/>
    <s v="OK"/>
    <s v="CUST-8839"/>
    <s v="Karan Malhotra"/>
    <x v="1"/>
    <x v="2"/>
    <s v="Kerala"/>
    <s v="Kochi"/>
    <x v="2"/>
    <x v="8"/>
    <s v="Max Phones 825"/>
    <x v="0"/>
    <n v="2"/>
    <n v="2360.02"/>
    <n v="0.15"/>
    <s v="OK"/>
    <n v="4012.03"/>
    <n v="3142.92"/>
    <n v="869.11"/>
    <x v="1"/>
    <x v="2"/>
    <s v="OK"/>
    <n v="0.15"/>
    <n v="4012.03"/>
    <n v="869.11"/>
    <n v="0.21659999999999999"/>
    <x v="8"/>
    <x v="1"/>
    <s v="CLEAN"/>
  </r>
  <r>
    <x v="769"/>
    <d v="2025-10-05T00:00:00"/>
    <d v="2025-10-12T00:00:00"/>
    <n v="7"/>
    <s v="OK"/>
    <s v="CUST-6725"/>
    <s v="Ananya Rao"/>
    <x v="3"/>
    <x v="1"/>
    <s v="Jharkhand"/>
    <s v="Ranchi"/>
    <x v="2"/>
    <x v="4"/>
    <s v="Eco Accessories 933"/>
    <x v="1"/>
    <n v="7"/>
    <n v="806.67"/>
    <n v="0.05"/>
    <s v="OK"/>
    <n v="5364.36"/>
    <n v="4391.29"/>
    <n v="973.07"/>
    <x v="0"/>
    <x v="0"/>
    <s v="OK"/>
    <n v="0.05"/>
    <n v="5364.36"/>
    <n v="973.07"/>
    <n v="0.18140000000000001"/>
    <x v="9"/>
    <x v="1"/>
    <s v="CLEAN"/>
  </r>
  <r>
    <x v="770"/>
    <d v="2025-09-10T00:00:00"/>
    <d v="2025-09-14T00:00:00"/>
    <n v="4"/>
    <s v="OK"/>
    <s v="CUST-3793"/>
    <s v="Arjun Bose"/>
    <x v="3"/>
    <x v="3"/>
    <s v="Gujarat"/>
    <s v="Ahmedabad"/>
    <x v="1"/>
    <x v="1"/>
    <s v="Max Tables 908"/>
    <x v="1"/>
    <n v="3"/>
    <n v="4198.46"/>
    <n v="0.15"/>
    <s v="OK"/>
    <n v="10706.07"/>
    <n v="5927.1"/>
    <n v="4778.97"/>
    <x v="0"/>
    <x v="0"/>
    <s v="OK"/>
    <n v="0.15"/>
    <n v="10706.07"/>
    <n v="4778.97"/>
    <n v="0.44640000000000002"/>
    <x v="11"/>
    <x v="1"/>
    <s v="CLEAN"/>
  </r>
  <r>
    <x v="771"/>
    <d v="2025-04-15T00:00:00"/>
    <d v="2025-04-16T00:00:00"/>
    <n v="1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s v="OK"/>
    <n v="14252.65"/>
    <n v="11558.31"/>
    <n v="2694.34"/>
    <x v="0"/>
    <x v="0"/>
    <s v="OK"/>
    <n v="0"/>
    <n v="14252.65"/>
    <n v="2694.34"/>
    <n v="0.189"/>
    <x v="10"/>
    <x v="1"/>
    <s v="CLEAN"/>
  </r>
  <r>
    <x v="772"/>
    <d v="2025-04-18T00:00:00"/>
    <d v="2025-04-20T00:00:00"/>
    <n v="2"/>
    <s v="OK"/>
    <s v="CUST-5043"/>
    <s v="Aarav Sharma"/>
    <x v="1"/>
    <x v="2"/>
    <s v="Tamil Nadu"/>
    <s v="Chennai"/>
    <x v="2"/>
    <x v="4"/>
    <s v="Basic Accessories 729"/>
    <x v="0"/>
    <n v="1"/>
    <n v="1626.08"/>
    <n v="0.15"/>
    <s v="OK"/>
    <n v="1382.17"/>
    <n v="810.03"/>
    <n v="572.14"/>
    <x v="0"/>
    <x v="0"/>
    <s v="OK"/>
    <n v="0.15"/>
    <n v="1382.17"/>
    <n v="572.14"/>
    <n v="0.41389999999999999"/>
    <x v="10"/>
    <x v="1"/>
    <s v="CLEAN"/>
  </r>
  <r>
    <x v="773"/>
    <d v="2025-01-11T00:00:00"/>
    <d v="2025-01-12T00:00:00"/>
    <n v="1"/>
    <s v="OK"/>
    <s v="CUST-4722"/>
    <s v="Aditi Sen"/>
    <x v="0"/>
    <x v="2"/>
    <s v="Telangana"/>
    <s v="Hyderabad"/>
    <x v="1"/>
    <x v="10"/>
    <s v="Classic Chairs 220"/>
    <x v="0"/>
    <n v="4"/>
    <n v="2427.15"/>
    <n v="0.05"/>
    <s v="OK"/>
    <n v="9223.17"/>
    <n v="5103.7"/>
    <n v="4119.47"/>
    <x v="0"/>
    <x v="0"/>
    <s v="OK"/>
    <n v="0.05"/>
    <n v="9223.17"/>
    <n v="4119.47"/>
    <n v="0.4466"/>
    <x v="6"/>
    <x v="1"/>
    <s v="CLEAN"/>
  </r>
  <r>
    <x v="774"/>
    <d v="2025-01-14T00:00:00"/>
    <d v="2025-01-17T00:00:00"/>
    <n v="3"/>
    <s v="OK"/>
    <s v="CUST-5061"/>
    <s v="Vikram Iyer"/>
    <x v="0"/>
    <x v="3"/>
    <s v="Goa"/>
    <s v="Panaji"/>
    <x v="0"/>
    <x v="7"/>
    <s v="Basic Storage 973"/>
    <x v="2"/>
    <n v="1"/>
    <n v="1584.12"/>
    <n v="0.2"/>
    <s v="OK"/>
    <n v="1267.3"/>
    <n v="923.53"/>
    <n v="343.77"/>
    <x v="0"/>
    <x v="0"/>
    <s v="OK"/>
    <n v="0.2"/>
    <n v="1267.3"/>
    <n v="343.77"/>
    <n v="0.27129999999999999"/>
    <x v="6"/>
    <x v="1"/>
    <s v="CLEAN"/>
  </r>
  <r>
    <x v="775"/>
    <d v="2025-04-09T00:00:00"/>
    <d v="2025-04-14T00:00:00"/>
    <n v="5"/>
    <s v="OK"/>
    <s v="CUST-7915"/>
    <s v="Karan Malhotra"/>
    <x v="0"/>
    <x v="0"/>
    <s v="Delhi"/>
    <s v="New Delhi"/>
    <x v="1"/>
    <x v="3"/>
    <s v="Smart Furnishings 783"/>
    <x v="1"/>
    <n v="2"/>
    <n v="3202.87"/>
    <n v="0"/>
    <s v="OK"/>
    <n v="6405.74"/>
    <n v="3561.87"/>
    <n v="2843.87"/>
    <x v="0"/>
    <x v="0"/>
    <s v="OK"/>
    <n v="0"/>
    <n v="6405.74"/>
    <n v="2843.87"/>
    <n v="0.44400000000000001"/>
    <x v="10"/>
    <x v="1"/>
    <s v="CLEAN"/>
  </r>
  <r>
    <x v="776"/>
    <d v="2025-04-10T00:00:00"/>
    <d v="2025-04-17T00:00:00"/>
    <n v="7"/>
    <s v="OK"/>
    <s v="CUST-5549"/>
    <s v="Vikram Iyer"/>
    <x v="0"/>
    <x v="1"/>
    <s v="West Bengal"/>
    <s v="Kolkata"/>
    <x v="1"/>
    <x v="10"/>
    <s v="Pro Chairs 812"/>
    <x v="3"/>
    <n v="4"/>
    <n v="3750.02"/>
    <n v="0.05"/>
    <s v="OK"/>
    <n v="14250.08"/>
    <n v="10914.92"/>
    <n v="3335.16"/>
    <x v="0"/>
    <x v="0"/>
    <s v="OK"/>
    <n v="0.05"/>
    <n v="14250.08"/>
    <n v="3335.16"/>
    <n v="0.23400000000000001"/>
    <x v="10"/>
    <x v="1"/>
    <s v="CLEAN"/>
  </r>
  <r>
    <x v="777"/>
    <d v="2025-01-01T00:00:00"/>
    <d v="2025-09-01T00:00:00"/>
    <n v="243"/>
    <s v="OK"/>
    <s v="CUST-9942"/>
    <s v="Rohan Mehta"/>
    <x v="1"/>
    <x v="0"/>
    <s v="Punjab"/>
    <s v="Ludhiana"/>
    <x v="0"/>
    <x v="2"/>
    <s v="Prime Art 461"/>
    <x v="2"/>
    <n v="8"/>
    <n v="2123.81"/>
    <n v="0.15"/>
    <s v="OK"/>
    <n v="14441.91"/>
    <n v="10872.89"/>
    <n v="3569.02"/>
    <x v="0"/>
    <x v="0"/>
    <s v="OK"/>
    <n v="0.15"/>
    <n v="14441.91"/>
    <n v="3569.02"/>
    <n v="0.24709999999999999"/>
    <x v="6"/>
    <x v="1"/>
    <s v="CLEAN"/>
  </r>
  <r>
    <x v="778"/>
    <d v="2025-08-11T00:00:00"/>
    <d v="2025-08-19T00:00:00"/>
    <n v="8"/>
    <s v="OK"/>
    <s v="CUST-7277"/>
    <s v="Kabir Singh"/>
    <x v="1"/>
    <x v="2"/>
    <s v="Kerala"/>
    <s v="Kochi"/>
    <x v="2"/>
    <x v="4"/>
    <s v="Classic Accessories 354"/>
    <x v="3"/>
    <n v="4"/>
    <n v="2258.96"/>
    <n v="0.25"/>
    <s v="OK"/>
    <n v="6776.88"/>
    <n v="3836.24"/>
    <n v="2940.64"/>
    <x v="0"/>
    <x v="0"/>
    <s v="OK"/>
    <n v="0.25"/>
    <n v="6776.88"/>
    <n v="2940.64"/>
    <n v="0.43390000000000001"/>
    <x v="1"/>
    <x v="1"/>
    <s v="CLEAN"/>
  </r>
  <r>
    <x v="779"/>
    <d v="2025-08-06T00:00:00"/>
    <d v="2025-09-08T00:00:00"/>
    <n v="33"/>
    <s v="OK"/>
    <s v="CUST-2660"/>
    <s v="Mira Das"/>
    <x v="1"/>
    <x v="2"/>
    <s v="Andhra Pradesh"/>
    <s v="Vijayawada"/>
    <x v="0"/>
    <x v="0"/>
    <s v="Smart Paper 364"/>
    <x v="0"/>
    <n v="3"/>
    <n v="598.54999999999995"/>
    <n v="0"/>
    <s v="OK"/>
    <n v="1795.65"/>
    <n v="996.72"/>
    <n v="798.93"/>
    <x v="0"/>
    <x v="0"/>
    <s v="OK"/>
    <n v="0"/>
    <n v="1795.65"/>
    <n v="798.93"/>
    <n v="0.44490000000000002"/>
    <x v="1"/>
    <x v="1"/>
    <s v="CLEAN"/>
  </r>
  <r>
    <x v="780"/>
    <d v="2025-03-17T00:00:00"/>
    <d v="2025-03-21T00:00:00"/>
    <n v="4"/>
    <s v="OK"/>
    <s v="CUST-8177"/>
    <s v="Sneha Kapoor"/>
    <x v="0"/>
    <x v="0"/>
    <s v="Uttar Pradesh"/>
    <s v="Noida"/>
    <x v="0"/>
    <x v="11"/>
    <s v="Smart Binders 999"/>
    <x v="3"/>
    <n v="5"/>
    <n v="4320.59"/>
    <n v="0.15"/>
    <s v="OK"/>
    <n v="18362.509999999998"/>
    <n v="11133.97"/>
    <n v="7228.54"/>
    <x v="0"/>
    <x v="0"/>
    <s v="OK"/>
    <n v="0.15"/>
    <n v="18362.509999999998"/>
    <n v="7228.54"/>
    <n v="0.39369999999999999"/>
    <x v="7"/>
    <x v="1"/>
    <s v="CLEAN"/>
  </r>
  <r>
    <x v="781"/>
    <d v="2025-04-04T00:00:00"/>
    <d v="2025-04-07T00:00:00"/>
    <n v="3"/>
    <s v="OK"/>
    <s v="CUST-3970"/>
    <s v="Priya Menon"/>
    <x v="1"/>
    <x v="2"/>
    <s v="Tamil Nadu"/>
    <s v="Chennai"/>
    <x v="2"/>
    <x v="6"/>
    <s v="Max Copiers 356"/>
    <x v="0"/>
    <n v="7"/>
    <n v="4457.93"/>
    <n v="0.15"/>
    <s v="OK"/>
    <n v="26524.68"/>
    <n v="20574.3"/>
    <n v="5950.38"/>
    <x v="0"/>
    <x v="0"/>
    <s v="OK"/>
    <n v="0.15"/>
    <n v="26524.68"/>
    <n v="5950.38"/>
    <n v="0.2243"/>
    <x v="10"/>
    <x v="1"/>
    <s v="CLEAN"/>
  </r>
  <r>
    <x v="782"/>
    <d v="2025-10-12T00:00:00"/>
    <d v="2025-10-16T00:00:00"/>
    <n v="4"/>
    <s v="OK"/>
    <s v="CUST-8249"/>
    <s v="Diya Patel"/>
    <x v="2"/>
    <x v="1"/>
    <s v="Bihar"/>
    <s v="Patna"/>
    <x v="2"/>
    <x v="12"/>
    <s v="Classic Machines 639"/>
    <x v="1"/>
    <n v="1"/>
    <n v="2570.06"/>
    <n v="0.2"/>
    <s v="OK"/>
    <n v="2056.0500000000002"/>
    <n v="1662.39"/>
    <n v="393.66"/>
    <x v="0"/>
    <x v="0"/>
    <s v="OK"/>
    <n v="0.2"/>
    <n v="2056.0500000000002"/>
    <n v="393.66"/>
    <n v="0.1915"/>
    <x v="9"/>
    <x v="1"/>
    <s v="CLEAN"/>
  </r>
  <r>
    <x v="783"/>
    <d v="2025-08-26T00:00:00"/>
    <d v="2025-08-26T00:00:00"/>
    <n v="0"/>
    <s v="OK"/>
    <s v="CUST-8039"/>
    <s v="Neha Gupta"/>
    <x v="3"/>
    <x v="1"/>
    <s v="West Bengal"/>
    <s v="Kolkata"/>
    <x v="1"/>
    <x v="3"/>
    <s v="Smart Furnishings 748"/>
    <x v="3"/>
    <n v="4"/>
    <n v="2151.8200000000002"/>
    <n v="0"/>
    <s v="OK"/>
    <n v="8607.2800000000007"/>
    <n v="5124.01"/>
    <n v="3483.27"/>
    <x v="0"/>
    <x v="0"/>
    <s v="OK"/>
    <n v="0"/>
    <n v="8607.2800000000007"/>
    <n v="3483.27"/>
    <n v="0.4047"/>
    <x v="1"/>
    <x v="1"/>
    <s v="CLEAN"/>
  </r>
  <r>
    <x v="784"/>
    <d v="2025-08-07T00:00:00"/>
    <d v="2025-08-10T00:00:00"/>
    <n v="3"/>
    <s v="OK"/>
    <s v="CUST-7787"/>
    <s v="Aditi Sen"/>
    <x v="3"/>
    <x v="1"/>
    <s v="Bihar"/>
    <s v="Patna"/>
    <x v="0"/>
    <x v="7"/>
    <s v="Eco Storage 316"/>
    <x v="0"/>
    <n v="1"/>
    <n v="2541.25"/>
    <n v="0.2"/>
    <s v="OK"/>
    <n v="2033"/>
    <n v="1291.4100000000001"/>
    <n v="741.59"/>
    <x v="0"/>
    <x v="0"/>
    <s v="OK"/>
    <n v="0.2"/>
    <n v="2033"/>
    <n v="741.59"/>
    <n v="0.36480000000000001"/>
    <x v="1"/>
    <x v="1"/>
    <s v="CLEAN"/>
  </r>
  <r>
    <x v="785"/>
    <d v="2025-06-09T00:00:00"/>
    <d v="2025-06-12T00:00:00"/>
    <n v="3"/>
    <s v="OK"/>
    <s v="CUST-9074"/>
    <s v="Sneha Kapoor"/>
    <x v="0"/>
    <x v="4"/>
    <s v="Bihar"/>
    <s v="Patna"/>
    <x v="0"/>
    <x v="2"/>
    <s v="Eco Art 763"/>
    <x v="2"/>
    <n v="7"/>
    <n v="2852.42"/>
    <n v="0"/>
    <s v="OK"/>
    <n v="19966.939999999999"/>
    <n v="12690.83"/>
    <n v="7276.11"/>
    <x v="2"/>
    <x v="2"/>
    <s v="OK"/>
    <n v="0"/>
    <n v="19966.939999999999"/>
    <n v="7276.11"/>
    <n v="0.3644"/>
    <x v="2"/>
    <x v="1"/>
    <s v="WARNING"/>
  </r>
  <r>
    <x v="786"/>
    <d v="2025-01-21T00:00:00"/>
    <d v="2025-01-22T00:00:00"/>
    <n v="1"/>
    <s v="OK"/>
    <s v="CUST-8330"/>
    <s v="Diya Patel"/>
    <x v="2"/>
    <x v="2"/>
    <s v="Karnataka"/>
    <s v="Bengaluru"/>
    <x v="2"/>
    <x v="8"/>
    <s v="Pro Phones 356"/>
    <x v="0"/>
    <n v="2"/>
    <n v="444.31"/>
    <n v="0.2"/>
    <s v="OK"/>
    <n v="710.9"/>
    <n v="513.88"/>
    <n v="197.02"/>
    <x v="2"/>
    <x v="2"/>
    <s v="OK"/>
    <n v="0.2"/>
    <n v="710.9"/>
    <n v="197.02"/>
    <n v="0.27710000000000001"/>
    <x v="6"/>
    <x v="1"/>
    <s v="CLEAN"/>
  </r>
  <r>
    <x v="787"/>
    <d v="2025-07-15T00:00:00"/>
    <d v="2025-07-15T00:00:00"/>
    <n v="0"/>
    <s v="OK"/>
    <s v="CUST-5638"/>
    <s v="Arjun Bose"/>
    <x v="1"/>
    <x v="1"/>
    <s v="Jharkhand"/>
    <s v="Ranchi"/>
    <x v="2"/>
    <x v="8"/>
    <s v="Basic Phones 865"/>
    <x v="1"/>
    <n v="4"/>
    <n v="4442.91"/>
    <n v="0.1"/>
    <s v="OK"/>
    <n v="15994.48"/>
    <n v="9224.2800000000007"/>
    <n v="6770.2"/>
    <x v="0"/>
    <x v="0"/>
    <s v="OK"/>
    <n v="0.1"/>
    <n v="15994.48"/>
    <n v="6770.2"/>
    <n v="0.42330000000000001"/>
    <x v="0"/>
    <x v="1"/>
    <s v="CLEAN"/>
  </r>
  <r>
    <x v="788"/>
    <d v="2025-01-13T00:00:00"/>
    <d v="2025-01-13T00:00:00"/>
    <n v="0"/>
    <s v="OK"/>
    <s v="CUST-1197"/>
    <s v="Rahul Verma"/>
    <x v="3"/>
    <x v="3"/>
    <s v="Gujarat"/>
    <s v="Ahmedabad"/>
    <x v="0"/>
    <x v="2"/>
    <s v="Max Art 660"/>
    <x v="3"/>
    <n v="3"/>
    <n v="2110.52"/>
    <n v="0.1"/>
    <s v="OK"/>
    <n v="5698.4"/>
    <n v="3640.89"/>
    <n v="2057.5100000000002"/>
    <x v="3"/>
    <x v="2"/>
    <s v="OK"/>
    <n v="0.1"/>
    <n v="5698.4"/>
    <n v="2057.5100000000002"/>
    <n v="0.36109999999999998"/>
    <x v="6"/>
    <x v="1"/>
    <s v="INVALID"/>
  </r>
  <r>
    <x v="789"/>
    <d v="2025-05-20T00:00:00"/>
    <d v="2025-05-27T00:00:00"/>
    <n v="7"/>
    <s v="OK"/>
    <s v="CUST-3912"/>
    <s v="Diya Patel"/>
    <x v="1"/>
    <x v="1"/>
    <s v="Bihar"/>
    <s v="Patna"/>
    <x v="2"/>
    <x v="12"/>
    <s v="Pro Machines 706"/>
    <x v="3"/>
    <n v="1"/>
    <n v="3959.14"/>
    <n v="0"/>
    <s v="OK"/>
    <n v="3959.14"/>
    <n v="3239.53"/>
    <n v="719.61"/>
    <x v="1"/>
    <x v="1"/>
    <s v="OK"/>
    <n v="0"/>
    <n v="3959.14"/>
    <n v="719.61"/>
    <n v="0.18179999999999999"/>
    <x v="4"/>
    <x v="1"/>
    <s v="CLEAN"/>
  </r>
  <r>
    <x v="790"/>
    <d v="2025-02-02T00:00:00"/>
    <d v="2025-02-06T00:00:00"/>
    <n v="4"/>
    <s v="OK"/>
    <s v="CUST-5604"/>
    <s v="Sneha Kapoor"/>
    <x v="2"/>
    <x v="0"/>
    <s v="Uttar Pradesh"/>
    <s v="Noida"/>
    <x v="1"/>
    <x v="1"/>
    <s v="Smart Tables 835"/>
    <x v="3"/>
    <n v="8"/>
    <n v="857.86"/>
    <n v="0.1"/>
    <s v="OK"/>
    <n v="6176.59"/>
    <n v="3560.96"/>
    <n v="2615.63"/>
    <x v="0"/>
    <x v="0"/>
    <s v="OK"/>
    <n v="0.1"/>
    <n v="6176.59"/>
    <n v="2615.63"/>
    <n v="0.42349999999999999"/>
    <x v="8"/>
    <x v="1"/>
    <s v="CLEAN"/>
  </r>
  <r>
    <x v="791"/>
    <d v="2025-02-13T00:00:00"/>
    <d v="2025-02-16T00:00:00"/>
    <n v="3"/>
    <s v="OK"/>
    <s v="CUST-2807"/>
    <s v="Arjun Bose"/>
    <x v="1"/>
    <x v="3"/>
    <s v="Rajasthan"/>
    <s v="Udaipur"/>
    <x v="1"/>
    <x v="9"/>
    <s v="Classic Bookcases 488"/>
    <x v="0"/>
    <n v="4"/>
    <n v="4072.9"/>
    <n v="0.15"/>
    <s v="OK"/>
    <n v="13847.86"/>
    <n v="8471.7800000000007"/>
    <n v="5376.08"/>
    <x v="0"/>
    <x v="0"/>
    <s v="OK"/>
    <n v="0.15"/>
    <n v="13847.86"/>
    <n v="5376.08"/>
    <n v="0.38819999999999999"/>
    <x v="8"/>
    <x v="1"/>
    <s v="CLEAN"/>
  </r>
  <r>
    <x v="792"/>
    <d v="2025-07-06T00:00:00"/>
    <d v="2025-06-10T00:00:00"/>
    <n v="-26"/>
    <s v="INVALID"/>
    <s v="CUST-5061"/>
    <s v="Aarav Sharma"/>
    <x v="0"/>
    <x v="0"/>
    <s v="Rajasthan"/>
    <s v="Jaipur"/>
    <x v="1"/>
    <x v="3"/>
    <s v="Eco Furnishings 217"/>
    <x v="1"/>
    <n v="3"/>
    <n v="963.26"/>
    <n v="0"/>
    <s v="OK"/>
    <n v="2889.78"/>
    <n v="1811.23"/>
    <n v="1078.55"/>
    <x v="0"/>
    <x v="0"/>
    <s v="OK"/>
    <n v="0"/>
    <n v="2889.78"/>
    <n v="1078.55"/>
    <n v="0.37319999999999998"/>
    <x v="0"/>
    <x v="1"/>
    <s v="INVALID"/>
  </r>
  <r>
    <x v="793"/>
    <d v="2025-09-11T00:00:00"/>
    <d v="2025-09-18T00:00:00"/>
    <n v="7"/>
    <s v="OK"/>
    <s v="CUST-9212"/>
    <s v="Rahul Verma"/>
    <x v="1"/>
    <x v="0"/>
    <s v="Delhi"/>
    <s v="New Delhi"/>
    <x v="2"/>
    <x v="8"/>
    <s v="Smart Phones 967"/>
    <x v="1"/>
    <n v="7"/>
    <n v="3411.21"/>
    <n v="0.15"/>
    <s v="OK"/>
    <n v="20296.7"/>
    <n v="14920.87"/>
    <n v="5375.83"/>
    <x v="0"/>
    <x v="0"/>
    <s v="OK"/>
    <n v="0.15"/>
    <n v="20296.7"/>
    <n v="5375.83"/>
    <n v="0.26490000000000002"/>
    <x v="11"/>
    <x v="1"/>
    <s v="CLEAN"/>
  </r>
  <r>
    <x v="794"/>
    <d v="2025-08-16T00:00:00"/>
    <d v="2025-08-23T00:00:00"/>
    <n v="7"/>
    <s v="OK"/>
    <s v="CUST-2897"/>
    <s v="Rohan Mehta"/>
    <x v="2"/>
    <x v="0"/>
    <s v="Punjab"/>
    <s v="Ludhiana"/>
    <x v="2"/>
    <x v="6"/>
    <s v="Smart Copiers 579"/>
    <x v="1"/>
    <n v="4"/>
    <n v="1410.57"/>
    <s v="70%"/>
    <s v="INVALID-ABOVE"/>
    <n v="5360.17"/>
    <n v="3881.51"/>
    <n v="1478.66"/>
    <x v="2"/>
    <x v="2"/>
    <s v="OK"/>
    <n v="0.7"/>
    <n v="1692.68"/>
    <n v="-2188.83"/>
    <n v="-1.2930999999999999"/>
    <x v="1"/>
    <x v="1"/>
    <s v="INVALID"/>
  </r>
  <r>
    <x v="795"/>
    <d v="2025-02-05T00:00:00"/>
    <d v="2025-05-02T00:00:00"/>
    <n v="86"/>
    <s v="OK"/>
    <s v="CUST-1553"/>
    <s v="Ananya Rao"/>
    <x v="2"/>
    <x v="0"/>
    <s v="Haryana"/>
    <s v="Gurugram"/>
    <x v="0"/>
    <x v="7"/>
    <s v="Eco Storage 861"/>
    <x v="1"/>
    <n v="3"/>
    <n v="2590.7800000000002"/>
    <n v="0"/>
    <s v="OK"/>
    <n v="7383.72"/>
    <n v="4113.66"/>
    <n v="3270.06"/>
    <x v="0"/>
    <x v="0"/>
    <s v="OK"/>
    <n v="0"/>
    <n v="7772.34"/>
    <n v="3658.68"/>
    <n v="0.47070000000000001"/>
    <x v="8"/>
    <x v="1"/>
    <s v="CLEAN"/>
  </r>
  <r>
    <x v="796"/>
    <d v="2025-07-20T00:00:00"/>
    <d v="2025-07-24T00:00:00"/>
    <n v="4"/>
    <s v="OK"/>
    <s v="CUST-5704"/>
    <s v="Arjun Bose"/>
    <x v="1"/>
    <x v="2"/>
    <s v="Telangana"/>
    <s v="Hyderabad"/>
    <x v="1"/>
    <x v="3"/>
    <s v="Eco Furnishings 875"/>
    <x v="0"/>
    <n v="6"/>
    <n v="1646.45"/>
    <n v="0.2"/>
    <s v="OK"/>
    <n v="7902.96"/>
    <n v="5512.03"/>
    <n v="2390.9299999999998"/>
    <x v="2"/>
    <x v="2"/>
    <s v="OK"/>
    <n v="0.2"/>
    <n v="7902.96"/>
    <n v="2390.9299999999998"/>
    <n v="0.30249999999999999"/>
    <x v="0"/>
    <x v="1"/>
    <s v="CLEAN"/>
  </r>
  <r>
    <x v="797"/>
    <d v="2025-07-21T00:00:00"/>
    <d v="2025-07-21T00:00:00"/>
    <n v="0"/>
    <s v="OK"/>
    <s v="CUST-6738"/>
    <s v="Isha Nair"/>
    <x v="3"/>
    <x v="2"/>
    <s v="Tamil Nadu"/>
    <s v="Chennai"/>
    <x v="1"/>
    <x v="9"/>
    <s v="Prime Bookcases 784"/>
    <x v="2"/>
    <n v="7"/>
    <n v="4396.6499999999996"/>
    <n v="0.2"/>
    <s v="OK"/>
    <n v="24621.24"/>
    <n v="17155.48"/>
    <n v="7465.76"/>
    <x v="2"/>
    <x v="2"/>
    <s v="OK"/>
    <n v="0.2"/>
    <n v="24621.24"/>
    <n v="7465.76"/>
    <n v="0.30320000000000003"/>
    <x v="0"/>
    <x v="1"/>
    <s v="CLEAN"/>
  </r>
  <r>
    <x v="798"/>
    <d v="2025-10-01T00:00:00"/>
    <d v="2025-10-03T00:00:00"/>
    <n v="2"/>
    <s v="OK"/>
    <s v="CUST-2586"/>
    <s v="Neha Gupta"/>
    <x v="2"/>
    <x v="3"/>
    <s v="Goa"/>
    <s v="Panaji"/>
    <x v="0"/>
    <x v="2"/>
    <s v="Classic Art 380"/>
    <x v="3"/>
    <n v="9"/>
    <n v="818.15"/>
    <n v="0.55000000000000004"/>
    <s v="OK"/>
    <n v="6627.01"/>
    <n v="5606.79"/>
    <n v="1020.22"/>
    <x v="3"/>
    <x v="2"/>
    <s v="OK"/>
    <n v="0.55000000000000004"/>
    <n v="3313.51"/>
    <n v="-2293.2800000000002"/>
    <n v="-0.69210000000000005"/>
    <x v="9"/>
    <x v="1"/>
    <s v="INVALID"/>
  </r>
  <r>
    <x v="799"/>
    <d v="2025-10-08T00:00:00"/>
    <d v="2025-10-13T00:00:00"/>
    <n v="5"/>
    <s v="OK"/>
    <s v="CUST-9347"/>
    <s v="Mira Das"/>
    <x v="3"/>
    <x v="0"/>
    <s v="Punjab"/>
    <s v="Ludhiana"/>
    <x v="1"/>
    <x v="1"/>
    <s v="Prime Tables 604"/>
    <x v="2"/>
    <n v="4"/>
    <n v="172.05"/>
    <n v="0"/>
    <s v="OK"/>
    <n v="688.2"/>
    <n v="497.68"/>
    <n v="190.52"/>
    <x v="3"/>
    <x v="2"/>
    <s v="OK"/>
    <n v="0"/>
    <n v="688.2"/>
    <n v="190.52"/>
    <n v="0.27679999999999999"/>
    <x v="9"/>
    <x v="1"/>
    <s v="INVALID"/>
  </r>
  <r>
    <x v="800"/>
    <d v="2025-02-26T00:00:00"/>
    <d v="2025-02-27T00:00:00"/>
    <n v="1"/>
    <s v="OK"/>
    <s v="CUST-8575"/>
    <s v="Neha Gupta"/>
    <x v="3"/>
    <x v="0"/>
    <s v="Haryana"/>
    <s v="Gurugram"/>
    <x v="0"/>
    <x v="2"/>
    <s v="Basic Art 798"/>
    <x v="0"/>
    <n v="6"/>
    <n v="3037.66"/>
    <n v="0.15"/>
    <s v="OK"/>
    <n v="15492.07"/>
    <n v="12581.23"/>
    <n v="2910.84"/>
    <x v="0"/>
    <x v="0"/>
    <s v="OK"/>
    <n v="0.15"/>
    <n v="15492.07"/>
    <n v="2910.84"/>
    <n v="0.18790000000000001"/>
    <x v="8"/>
    <x v="1"/>
    <s v="CLEAN"/>
  </r>
  <r>
    <x v="801"/>
    <d v="2025-05-10T00:00:00"/>
    <d v="2025-10-10T00:00:00"/>
    <n v="153"/>
    <s v="OK"/>
    <s v="CUST-9531"/>
    <s v="Isha Nair"/>
    <x v="2"/>
    <x v="2"/>
    <s v="Karnataka"/>
    <s v="Bengaluru"/>
    <x v="1"/>
    <x v="3"/>
    <s v="Prime Furnishings 883"/>
    <x v="0"/>
    <n v="4"/>
    <n v="2365.6799999999998"/>
    <n v="0.1"/>
    <s v="OK"/>
    <n v="8516.4500000000007"/>
    <n v="5903.81"/>
    <n v="2612.64"/>
    <x v="0"/>
    <x v="0"/>
    <s v="OK"/>
    <n v="0.1"/>
    <n v="8516.4500000000007"/>
    <n v="2612.64"/>
    <n v="0.30680000000000002"/>
    <x v="4"/>
    <x v="1"/>
    <s v="CLEAN"/>
  </r>
  <r>
    <x v="802"/>
    <d v="2025-03-04T00:00:00"/>
    <d v="2025-04-11T00:00:00"/>
    <n v="38"/>
    <s v="OK"/>
    <s v="CUST-6032"/>
    <s v="Arjun Bose"/>
    <x v="0"/>
    <x v="2"/>
    <s v="Tamil Nadu"/>
    <s v="Chennai"/>
    <x v="1"/>
    <x v="9"/>
    <s v="Smart Bookcases 828"/>
    <x v="0"/>
    <n v="3"/>
    <n v="4149.7700000000004"/>
    <n v="0.05"/>
    <s v="OK"/>
    <n v="11826.84"/>
    <n v="8035.96"/>
    <n v="3790.88"/>
    <x v="0"/>
    <x v="0"/>
    <s v="OK"/>
    <n v="0.05"/>
    <n v="11826.84"/>
    <n v="3790.88"/>
    <n v="0.32050000000000001"/>
    <x v="7"/>
    <x v="1"/>
    <s v="CLEAN"/>
  </r>
  <r>
    <x v="803"/>
    <d v="2025-01-08T00:00:00"/>
    <d v="2025-09-08T00:00:00"/>
    <n v="243"/>
    <s v="OK"/>
    <s v="CUST-8025"/>
    <s v="Isha Nair"/>
    <x v="0"/>
    <x v="2"/>
    <s v="Andhra Pradesh"/>
    <s v="Vijayawada"/>
    <x v="0"/>
    <x v="7"/>
    <s v="Classic Storage 291"/>
    <x v="2"/>
    <n v="5"/>
    <n v="2736.24"/>
    <n v="0.15"/>
    <s v="OK"/>
    <n v="11629.02"/>
    <n v="9627.2099999999991"/>
    <n v="2001.81"/>
    <x v="0"/>
    <x v="0"/>
    <s v="OK"/>
    <n v="0.15"/>
    <n v="11629.02"/>
    <n v="2001.81"/>
    <n v="0.1721"/>
    <x v="6"/>
    <x v="1"/>
    <s v="CLEAN"/>
  </r>
  <r>
    <x v="804"/>
    <d v="2025-09-22T00:00:00"/>
    <d v="2025-09-25T00:00:00"/>
    <n v="3"/>
    <s v="OK"/>
    <s v="CUST-7812"/>
    <s v="Isha Nair"/>
    <x v="1"/>
    <x v="2"/>
    <s v="Kerala"/>
    <s v="Kochi"/>
    <x v="2"/>
    <x v="8"/>
    <s v="Classic Phones 842"/>
    <x v="4"/>
    <n v="4"/>
    <n v="1178.8399999999999"/>
    <n v="0.25"/>
    <s v="OK"/>
    <n v="3536.52"/>
    <n v="2102.41"/>
    <n v="1363.28"/>
    <x v="0"/>
    <x v="0"/>
    <s v="OK"/>
    <n v="0.25"/>
    <n v="3536.52"/>
    <n v="1434.11"/>
    <n v="0.40550000000000003"/>
    <x v="11"/>
    <x v="1"/>
    <s v="WARNING"/>
  </r>
  <r>
    <x v="805"/>
    <d v="2025-03-01T00:00:00"/>
    <d v="2025-07-03T00:00:00"/>
    <n v="124"/>
    <s v="OK"/>
    <s v="CUST-6205"/>
    <s v="Arjun Bose"/>
    <x v="2"/>
    <x v="2"/>
    <s v="Andhra Pradesh"/>
    <s v="Vijayawada"/>
    <x v="0"/>
    <x v="5"/>
    <s v="Max Labels 970"/>
    <x v="2"/>
    <n v="7"/>
    <n v="567.15"/>
    <n v="0"/>
    <s v="OK"/>
    <n v="2977.54"/>
    <n v="1849.3"/>
    <n v="1128.24"/>
    <x v="2"/>
    <x v="1"/>
    <s v="OK"/>
    <n v="0"/>
    <n v="3970.05"/>
    <n v="2120.75"/>
    <n v="0.53420000000000001"/>
    <x v="7"/>
    <x v="1"/>
    <s v="CLEAN"/>
  </r>
  <r>
    <x v="806"/>
    <d v="2025-02-02T00:00:00"/>
    <d v="2025-02-06T00:00:00"/>
    <n v="4"/>
    <s v="OK"/>
    <s v="CUST-5231"/>
    <s v="Karan Malhotra"/>
    <x v="1"/>
    <x v="3"/>
    <s v="Rajasthan"/>
    <s v="Udaipur"/>
    <x v="1"/>
    <x v="1"/>
    <s v="Pro Tables 980"/>
    <x v="0"/>
    <n v="3"/>
    <n v="997.34"/>
    <n v="0.1"/>
    <s v="OK"/>
    <n v="2692.82"/>
    <n v="1820.08"/>
    <n v="872.74"/>
    <x v="0"/>
    <x v="0"/>
    <s v="OK"/>
    <n v="0.1"/>
    <n v="2692.82"/>
    <n v="872.74"/>
    <n v="0.3241"/>
    <x v="8"/>
    <x v="1"/>
    <s v="CLEAN"/>
  </r>
  <r>
    <x v="807"/>
    <d v="2025-06-24T00:00:00"/>
    <d v="2025-06-26T00:00:00"/>
    <n v="2"/>
    <s v="OK"/>
    <s v="CUST-4902"/>
    <s v="Vikram Iyer"/>
    <x v="0"/>
    <x v="0"/>
    <s v="Rajasthan"/>
    <s v="Jaipur"/>
    <x v="2"/>
    <x v="4"/>
    <s v="Pro Accessories 485"/>
    <x v="1"/>
    <n v="5"/>
    <n v="3722.66"/>
    <n v="0.55000000000000004"/>
    <s v="OK"/>
    <n v="16751.97"/>
    <n v="11678.32"/>
    <n v="5073.6499999999996"/>
    <x v="0"/>
    <x v="0"/>
    <s v="OK"/>
    <n v="0.55000000000000004"/>
    <n v="8375.99"/>
    <n v="-3302.33"/>
    <n v="-0.39429999999999998"/>
    <x v="2"/>
    <x v="1"/>
    <s v="CLEAN"/>
  </r>
  <r>
    <x v="808"/>
    <d v="2025-03-20T00:00:00"/>
    <d v="2025-03-26T00:00:00"/>
    <n v="6"/>
    <s v="OK"/>
    <s v="CUST-6504"/>
    <s v="Sneha Kapoor"/>
    <x v="0"/>
    <x v="1"/>
    <s v="Assam"/>
    <s v="Guwahati"/>
    <x v="1"/>
    <x v="9"/>
    <s v="Elite Bookcases 113"/>
    <x v="2"/>
    <n v="4"/>
    <n v="4357.66"/>
    <n v="0.05"/>
    <s v="OK"/>
    <n v="16559.11"/>
    <n v="13233.79"/>
    <n v="3325.32"/>
    <x v="0"/>
    <x v="0"/>
    <s v="OK"/>
    <n v="0.05"/>
    <n v="16559.11"/>
    <n v="3325.32"/>
    <n v="0.20080000000000001"/>
    <x v="7"/>
    <x v="1"/>
    <s v="CLEAN"/>
  </r>
  <r>
    <x v="809"/>
    <d v="2025-01-19T00:00:00"/>
    <d v="2025-01-23T00:00:00"/>
    <n v="4"/>
    <s v="OK"/>
    <s v="CUST-8036"/>
    <s v="Kabir Singh"/>
    <x v="3"/>
    <x v="0"/>
    <s v="Punjab"/>
    <s v="Ludhiana"/>
    <x v="2"/>
    <x v="8"/>
    <s v="Eco Phones 787"/>
    <x v="1"/>
    <n v="7"/>
    <n v="1363.04"/>
    <n v="0.15"/>
    <s v="OK"/>
    <n v="8110.09"/>
    <n v="6417.32"/>
    <n v="1692.77"/>
    <x v="0"/>
    <x v="2"/>
    <s v="OK"/>
    <n v="0.15"/>
    <n v="8110.09"/>
    <n v="1692.77"/>
    <n v="0.2087"/>
    <x v="6"/>
    <x v="1"/>
    <s v="CLEAN"/>
  </r>
  <r>
    <x v="810"/>
    <d v="2025-02-02T00:00:00"/>
    <d v="2025-02-02T00:00:00"/>
    <n v="0"/>
    <s v="OK"/>
    <s v="CUST-6176"/>
    <s v="Kabir Singh"/>
    <x v="2"/>
    <x v="1"/>
    <s v="West Bengal"/>
    <s v="Kolkata"/>
    <x v="2"/>
    <x v="12"/>
    <s v="Basic Machines 172"/>
    <x v="2"/>
    <n v="1"/>
    <n v="4326.75"/>
    <n v="0.05"/>
    <s v="OK"/>
    <n v="4110.41"/>
    <n v="2394.14"/>
    <n v="1716.27"/>
    <x v="1"/>
    <x v="1"/>
    <s v="OK"/>
    <n v="0.05"/>
    <n v="4110.41"/>
    <n v="1716.27"/>
    <n v="0.41749999999999998"/>
    <x v="8"/>
    <x v="1"/>
    <s v="CLEAN"/>
  </r>
  <r>
    <x v="811"/>
    <d v="2025-06-06T00:00:00"/>
    <d v="2025-06-10T00:00:00"/>
    <n v="4"/>
    <s v="OK"/>
    <s v="CUST-2548"/>
    <s v="Mira Das"/>
    <x v="0"/>
    <x v="3"/>
    <s v="Rajasthan"/>
    <s v="Udaipur"/>
    <x v="2"/>
    <x v="12"/>
    <s v="Pro Machines 987"/>
    <x v="0"/>
    <n v="1"/>
    <n v="289.97000000000003"/>
    <n v="0.25"/>
    <s v="OK"/>
    <n v="217.48"/>
    <n v="132.13"/>
    <n v="85.35"/>
    <x v="0"/>
    <x v="0"/>
    <s v="OK"/>
    <n v="0.25"/>
    <n v="217.48"/>
    <n v="85.35"/>
    <n v="0.39240000000000003"/>
    <x v="2"/>
    <x v="1"/>
    <s v="CLEAN"/>
  </r>
  <r>
    <x v="812"/>
    <d v="2025-03-22T00:00:00"/>
    <d v="2025-03-23T00:00:00"/>
    <n v="1"/>
    <s v="OK"/>
    <s v="CUST-9902"/>
    <s v="Karan Malhotra"/>
    <x v="3"/>
    <x v="0"/>
    <s v="Delhi"/>
    <s v="New Delhi"/>
    <x v="2"/>
    <x v="6"/>
    <s v="Pro Copiers 206"/>
    <x v="3"/>
    <n v="9"/>
    <n v="2075.02"/>
    <n v="0"/>
    <s v="OK"/>
    <n v="18675.18"/>
    <n v="13974.7"/>
    <n v="4700.4799999999996"/>
    <x v="0"/>
    <x v="0"/>
    <s v="OK"/>
    <n v="0"/>
    <n v="18675.18"/>
    <n v="4700.4799999999996"/>
    <n v="0.25169999999999998"/>
    <x v="7"/>
    <x v="1"/>
    <s v="CLEAN"/>
  </r>
  <r>
    <x v="813"/>
    <d v="2025-08-22T00:00:00"/>
    <d v="2025-08-27T00:00:00"/>
    <n v="5"/>
    <s v="OK"/>
    <s v="CUST-7446"/>
    <s v="Priya Menon"/>
    <x v="0"/>
    <x v="0"/>
    <s v="Haryana"/>
    <s v="Gurugram"/>
    <x v="1"/>
    <x v="10"/>
    <s v="Max Chairs 372"/>
    <x v="0"/>
    <n v="7"/>
    <n v="2843.09"/>
    <n v="0"/>
    <s v="OK"/>
    <n v="19901.63"/>
    <n v="15492.03"/>
    <n v="4409.6000000000004"/>
    <x v="2"/>
    <x v="2"/>
    <s v="OK"/>
    <n v="0"/>
    <n v="19901.63"/>
    <n v="4409.6000000000004"/>
    <n v="0.22159999999999999"/>
    <x v="1"/>
    <x v="1"/>
    <s v="CLEAN"/>
  </r>
  <r>
    <x v="814"/>
    <d v="2025-08-26T00:00:00"/>
    <d v="2025-08-31T00:00:00"/>
    <n v="5"/>
    <s v="OK"/>
    <s v="CUST-7540"/>
    <s v="Diya Patel"/>
    <x v="1"/>
    <x v="0"/>
    <s v="Haryana"/>
    <s v="Gurugram"/>
    <x v="2"/>
    <x v="8"/>
    <s v="Basic Phones 496"/>
    <x v="2"/>
    <n v="1"/>
    <n v="3388.02"/>
    <n v="0.15"/>
    <s v="OK"/>
    <n v="2879.82"/>
    <n v="1824.88"/>
    <n v="1054.94"/>
    <x v="0"/>
    <x v="0"/>
    <s v="OK"/>
    <n v="0.15"/>
    <n v="2879.82"/>
    <n v="1054.94"/>
    <n v="0.36630000000000001"/>
    <x v="1"/>
    <x v="1"/>
    <s v="CLEAN"/>
  </r>
  <r>
    <x v="815"/>
    <d v="2025-12-10T00:00:00"/>
    <d v="2025-10-15T00:00:00"/>
    <n v="-56"/>
    <s v="INVALID"/>
    <s v="CUST-8351"/>
    <s v="Kabir Singh"/>
    <x v="1"/>
    <x v="0"/>
    <s v="Haryana"/>
    <s v="Gurugram"/>
    <x v="2"/>
    <x v="12"/>
    <s v="Prime Machines 612"/>
    <x v="3"/>
    <n v="9"/>
    <n v="2598.92"/>
    <n v="0.2"/>
    <s v="OK"/>
    <n v="18712.22"/>
    <n v="11852.22"/>
    <n v="6860"/>
    <x v="1"/>
    <x v="2"/>
    <s v="OK"/>
    <n v="0.2"/>
    <n v="18712.22"/>
    <n v="6860"/>
    <n v="0.36659999999999998"/>
    <x v="5"/>
    <x v="1"/>
    <s v="INVALID"/>
  </r>
  <r>
    <x v="816"/>
    <d v="2025-09-08T00:00:00"/>
    <d v="2025-09-09T00:00:00"/>
    <n v="1"/>
    <s v="OK"/>
    <s v="CUST-3190"/>
    <s v="Kabir Singh"/>
    <x v="2"/>
    <x v="3"/>
    <s v="Gujarat"/>
    <s v="Ahmedabad"/>
    <x v="0"/>
    <x v="2"/>
    <s v="Pro Art 447"/>
    <x v="1"/>
    <n v="2"/>
    <n v="2372.41"/>
    <n v="0.2"/>
    <s v="OK"/>
    <n v="3795.86"/>
    <n v="2264.92"/>
    <n v="1530.94"/>
    <x v="0"/>
    <x v="0"/>
    <s v="OK"/>
    <n v="0.2"/>
    <n v="3795.86"/>
    <n v="1530.94"/>
    <n v="0.40329999999999999"/>
    <x v="11"/>
    <x v="1"/>
    <s v="CLEAN"/>
  </r>
  <r>
    <x v="817"/>
    <d v="2025-06-19T00:00:00"/>
    <d v="2025-06-23T00:00:00"/>
    <n v="4"/>
    <s v="OK"/>
    <s v="CUST-7606"/>
    <s v="Sneha Kapoor"/>
    <x v="0"/>
    <x v="2"/>
    <s v="Karnataka"/>
    <s v="Bengaluru"/>
    <x v="2"/>
    <x v="6"/>
    <s v="Pro Copiers 532"/>
    <x v="2"/>
    <n v="5"/>
    <n v="2729.95"/>
    <n v="0"/>
    <s v="OK"/>
    <n v="13649.75"/>
    <n v="10288.030000000001"/>
    <n v="3361.72"/>
    <x v="0"/>
    <x v="0"/>
    <s v="OK"/>
    <n v="0"/>
    <n v="13649.75"/>
    <n v="3361.72"/>
    <n v="0.24629999999999999"/>
    <x v="2"/>
    <x v="1"/>
    <s v="CLEAN"/>
  </r>
  <r>
    <x v="818"/>
    <d v="2025-10-06T00:00:00"/>
    <d v="2025-10-13T00:00:00"/>
    <n v="7"/>
    <s v="OK"/>
    <s v="CUST-4335"/>
    <s v="Kabir Singh"/>
    <x v="3"/>
    <x v="1"/>
    <s v="Jharkhand"/>
    <s v="Ranchi"/>
    <x v="2"/>
    <x v="4"/>
    <s v="Eco Accessories 364"/>
    <x v="3"/>
    <n v="6"/>
    <n v="2391.9299999999998"/>
    <n v="0.05"/>
    <s v="OK"/>
    <n v="13634"/>
    <n v="9589.81"/>
    <n v="4044.19"/>
    <x v="3"/>
    <x v="1"/>
    <s v="OK"/>
    <n v="0.05"/>
    <n v="13634"/>
    <n v="4044.19"/>
    <n v="0.29659999999999997"/>
    <x v="9"/>
    <x v="1"/>
    <s v="INVALID"/>
  </r>
  <r>
    <x v="819"/>
    <d v="2025-10-05T00:00:00"/>
    <d v="2025-10-12T00:00:00"/>
    <n v="7"/>
    <s v="OK"/>
    <s v="CUST-6371"/>
    <s v="Priya Menon"/>
    <x v="2"/>
    <x v="2"/>
    <s v="Karnataka"/>
    <s v="Bengaluru"/>
    <x v="1"/>
    <x v="1"/>
    <s v="Max Tables 309"/>
    <x v="0"/>
    <n v="7"/>
    <n v="2134.73"/>
    <n v="0"/>
    <s v="OK"/>
    <n v="14943.11"/>
    <n v="8521.5"/>
    <n v="6421.61"/>
    <x v="0"/>
    <x v="0"/>
    <s v="OK"/>
    <n v="0"/>
    <n v="14943.11"/>
    <n v="6421.61"/>
    <n v="0.42970000000000003"/>
    <x v="9"/>
    <x v="1"/>
    <s v="CLEAN"/>
  </r>
  <r>
    <x v="820"/>
    <d v="2025-05-17T00:00:00"/>
    <d v="2025-05-25T00:00:00"/>
    <n v="8"/>
    <s v="OK"/>
    <s v="CUST-8713"/>
    <s v="Ananya Rao"/>
    <x v="2"/>
    <x v="2"/>
    <s v="Tamil Nadu"/>
    <s v="Chennai"/>
    <x v="2"/>
    <x v="12"/>
    <s v="Pro Machines 563"/>
    <x v="1"/>
    <n v="6"/>
    <n v="1810.63"/>
    <n v="0.15"/>
    <s v="OK"/>
    <n v="9234.2099999999991"/>
    <n v="5516.52"/>
    <n v="3717.69"/>
    <x v="0"/>
    <x v="0"/>
    <s v="OK"/>
    <n v="0.15"/>
    <n v="9234.2099999999991"/>
    <n v="3717.69"/>
    <n v="0.40260000000000001"/>
    <x v="4"/>
    <x v="1"/>
    <s v="CLEAN"/>
  </r>
  <r>
    <x v="821"/>
    <d v="2025-06-19T00:00:00"/>
    <d v="2025-06-24T00:00:00"/>
    <n v="5"/>
    <s v="OK"/>
    <s v="CUST-6765"/>
    <s v="Arjun Bose"/>
    <x v="0"/>
    <x v="1"/>
    <s v="West Bengal"/>
    <s v="Kolkata"/>
    <x v="0"/>
    <x v="2"/>
    <s v="Elite Art 696"/>
    <x v="0"/>
    <n v="4"/>
    <n v="782.01"/>
    <n v="0.15"/>
    <s v="OK"/>
    <n v="2658.83"/>
    <n v="2226.9699999999998"/>
    <n v="431.86"/>
    <x v="2"/>
    <x v="1"/>
    <s v="OK"/>
    <n v="0.15"/>
    <n v="2658.83"/>
    <n v="431.86"/>
    <n v="0.16239999999999999"/>
    <x v="2"/>
    <x v="1"/>
    <s v="CLEAN"/>
  </r>
  <r>
    <x v="822"/>
    <d v="2025-02-20T00:00:00"/>
    <d v="2025-02-22T00:00:00"/>
    <n v="2"/>
    <s v="OK"/>
    <s v="CUST-5334"/>
    <s v="Priya Menon"/>
    <x v="2"/>
    <x v="2"/>
    <s v="Kerala"/>
    <s v="Kochi"/>
    <x v="0"/>
    <x v="0"/>
    <s v="Prime Paper 307"/>
    <x v="2"/>
    <n v="1"/>
    <n v="2188.19"/>
    <n v="0"/>
    <s v="OK"/>
    <n v="2188.19"/>
    <n v="1298.8399999999999"/>
    <n v="889.35"/>
    <x v="0"/>
    <x v="0"/>
    <s v="OK"/>
    <n v="0"/>
    <n v="2188.19"/>
    <n v="889.35"/>
    <n v="0.40639999999999998"/>
    <x v="8"/>
    <x v="1"/>
    <s v="CLEAN"/>
  </r>
  <r>
    <x v="823"/>
    <d v="2025-04-23T00:00:00"/>
    <d v="2025-04-25T00:00:00"/>
    <n v="2"/>
    <s v="OK"/>
    <s v="CUST-3285"/>
    <s v="Isha Nair"/>
    <x v="3"/>
    <x v="2"/>
    <s v="Tamil Nadu"/>
    <s v="Chennai"/>
    <x v="1"/>
    <x v="10"/>
    <s v="Max Chairs 706"/>
    <x v="0"/>
    <n v="3"/>
    <n v="2951.12"/>
    <n v="0"/>
    <s v="OK"/>
    <n v="7082.69"/>
    <n v="5596.34"/>
    <n v="1486.35"/>
    <x v="0"/>
    <x v="2"/>
    <s v="OK"/>
    <n v="0"/>
    <n v="8853.36"/>
    <n v="3257.02"/>
    <n v="0.3679"/>
    <x v="10"/>
    <x v="1"/>
    <s v="CLEAN"/>
  </r>
  <r>
    <x v="824"/>
    <d v="2025-02-12T00:00:00"/>
    <d v="2025-02-14T00:00:00"/>
    <n v="2"/>
    <s v="OK"/>
    <s v="CUST-6231"/>
    <s v="Sneha Kapoor"/>
    <x v="0"/>
    <x v="0"/>
    <s v="Uttar Pradesh"/>
    <s v="Noida"/>
    <x v="0"/>
    <x v="2"/>
    <s v="Basic Art 764"/>
    <x v="3"/>
    <n v="6"/>
    <n v="491.4"/>
    <n v="0.25"/>
    <s v="OK"/>
    <n v="2211.3000000000002"/>
    <n v="1735.64"/>
    <n v="475.66"/>
    <x v="0"/>
    <x v="0"/>
    <s v="OK"/>
    <n v="0.25"/>
    <n v="2211.3000000000002"/>
    <n v="475.66"/>
    <n v="0.21510000000000001"/>
    <x v="8"/>
    <x v="1"/>
    <s v="CLEAN"/>
  </r>
  <r>
    <x v="825"/>
    <d v="2025-08-17T00:00:00"/>
    <d v="2025-08-20T00:00:00"/>
    <n v="3"/>
    <s v="OK"/>
    <s v="CUST-2021"/>
    <s v="Mira Das"/>
    <x v="3"/>
    <x v="0"/>
    <s v="Punjab"/>
    <s v="Ludhiana"/>
    <x v="0"/>
    <x v="11"/>
    <s v="Prime Binders 181"/>
    <x v="2"/>
    <n v="5"/>
    <n v="2701.89"/>
    <n v="0.1"/>
    <s v="OK"/>
    <n v="12158.5"/>
    <n v="10260.07"/>
    <n v="1898.43"/>
    <x v="0"/>
    <x v="2"/>
    <s v="OK"/>
    <n v="0.1"/>
    <n v="12158.51"/>
    <n v="1898.44"/>
    <n v="0.15609999999999999"/>
    <x v="1"/>
    <x v="1"/>
    <s v="CLEAN"/>
  </r>
  <r>
    <x v="826"/>
    <d v="2025-01-04T00:00:00"/>
    <d v="2025-10-01T00:00:00"/>
    <n v="270"/>
    <s v="OK"/>
    <s v="CUST-2314"/>
    <s v="Aarav Sharma"/>
    <x v="3"/>
    <x v="1"/>
    <s v="West Bengal"/>
    <s v="Kolkata"/>
    <x v="0"/>
    <x v="0"/>
    <s v="Pro Paper 662"/>
    <x v="3"/>
    <n v="4"/>
    <n v="2583.19"/>
    <n v="0.2"/>
    <s v="OK"/>
    <n v="8266.2099999999991"/>
    <n v="6236.32"/>
    <n v="2029.89"/>
    <x v="0"/>
    <x v="0"/>
    <s v="OK"/>
    <n v="0.2"/>
    <n v="8266.2099999999991"/>
    <n v="2029.89"/>
    <n v="0.24560000000000001"/>
    <x v="6"/>
    <x v="1"/>
    <s v="CLEAN"/>
  </r>
  <r>
    <x v="827"/>
    <d v="2025-06-02T00:00:00"/>
    <d v="2025-06-02T00:00:00"/>
    <n v="0"/>
    <s v="OK"/>
    <s v="CUST-7036"/>
    <s v="Aarav Sharma"/>
    <x v="3"/>
    <x v="2"/>
    <s v="Telangana"/>
    <s v="Hyderabad"/>
    <x v="2"/>
    <x v="4"/>
    <s v="Max Accessories 291"/>
    <x v="2"/>
    <n v="8"/>
    <n v="3925.93"/>
    <n v="0.15"/>
    <s v="OK"/>
    <n v="26696.32"/>
    <n v="22724.52"/>
    <n v="3971.8"/>
    <x v="0"/>
    <x v="0"/>
    <s v="OK"/>
    <n v="0.15"/>
    <n v="26696.32"/>
    <n v="3971.8"/>
    <n v="0.14879999999999999"/>
    <x v="2"/>
    <x v="1"/>
    <s v="CLEAN"/>
  </r>
  <r>
    <x v="828"/>
    <d v="2025-07-18T00:00:00"/>
    <d v="2025-07-19T00:00:00"/>
    <n v="1"/>
    <s v="OK"/>
    <s v="CUST-8512"/>
    <s v="Priya Menon"/>
    <x v="3"/>
    <x v="4"/>
    <s v="Uttar Pradesh"/>
    <s v="Noida"/>
    <x v="2"/>
    <x v="12"/>
    <s v="Eco Machines 414"/>
    <x v="4"/>
    <n v="3"/>
    <n v="2963.25"/>
    <n v="0.05"/>
    <s v="OK"/>
    <n v="8445.26"/>
    <n v="6937.6"/>
    <n v="1507.66"/>
    <x v="0"/>
    <x v="0"/>
    <s v="OK"/>
    <n v="0.05"/>
    <n v="8445.26"/>
    <n v="1507.66"/>
    <n v="0.17849999999999999"/>
    <x v="0"/>
    <x v="1"/>
    <s v="WARNING"/>
  </r>
  <r>
    <x v="829"/>
    <d v="2025-06-04T00:00:00"/>
    <d v="2025-06-04T00:00:00"/>
    <n v="0"/>
    <s v="OK"/>
    <s v="CUST-7960"/>
    <s v="Neha Gupta"/>
    <x v="2"/>
    <x v="2"/>
    <s v="Kerala"/>
    <s v="Kochi"/>
    <x v="0"/>
    <x v="7"/>
    <s v="Elite Storage 857"/>
    <x v="3"/>
    <n v="4"/>
    <n v="891.34"/>
    <n v="0.25"/>
    <s v="OK"/>
    <n v="2674.02"/>
    <n v="2207.5700000000002"/>
    <n v="466.45"/>
    <x v="0"/>
    <x v="0"/>
    <s v="OK"/>
    <n v="0.25"/>
    <n v="2674.02"/>
    <n v="466.45"/>
    <n v="0.1744"/>
    <x v="2"/>
    <x v="1"/>
    <s v="CLEAN"/>
  </r>
  <r>
    <x v="830"/>
    <d v="2025-07-20T00:00:00"/>
    <d v="2025-07-24T00:00:00"/>
    <n v="4"/>
    <s v="OK"/>
    <s v="CUST-3365"/>
    <s v="Priya Menon"/>
    <x v="3"/>
    <x v="3"/>
    <s v="Madhya Pradesh"/>
    <s v="Indore"/>
    <x v="0"/>
    <x v="7"/>
    <s v="Prime Storage 183"/>
    <x v="0"/>
    <n v="5"/>
    <n v="2481.7399999999998"/>
    <n v="0.2"/>
    <s v="OK"/>
    <n v="9926.9599999999991"/>
    <n v="7994.98"/>
    <n v="1931.98"/>
    <x v="0"/>
    <x v="0"/>
    <s v="OK"/>
    <n v="0.2"/>
    <n v="9926.9599999999991"/>
    <n v="1931.98"/>
    <n v="0.1946"/>
    <x v="0"/>
    <x v="1"/>
    <s v="CLEAN"/>
  </r>
  <r>
    <x v="831"/>
    <d v="2025-08-01T00:00:00"/>
    <d v="2025-08-03T00:00:00"/>
    <n v="2"/>
    <s v="OK"/>
    <s v="CUST-3058"/>
    <s v="Aditi Sen"/>
    <x v="1"/>
    <x v="2"/>
    <s v="Kerala"/>
    <s v="Kochi"/>
    <x v="1"/>
    <x v="9"/>
    <s v="Classic Bookcases 310"/>
    <x v="3"/>
    <n v="3"/>
    <n v="1904.78"/>
    <n v="0.25"/>
    <s v="OK"/>
    <n v="4285.76"/>
    <n v="2386.33"/>
    <n v="1899.43"/>
    <x v="3"/>
    <x v="2"/>
    <s v="OK"/>
    <n v="0.25"/>
    <n v="4285.76"/>
    <n v="1899.43"/>
    <n v="0.44319999999999998"/>
    <x v="1"/>
    <x v="1"/>
    <s v="INVALID"/>
  </r>
  <r>
    <x v="832"/>
    <d v="2025-08-27T00:00:00"/>
    <d v="2025-08-31T00:00:00"/>
    <n v="4"/>
    <s v="OK"/>
    <s v="CUST-8948"/>
    <s v="Isha Nair"/>
    <x v="0"/>
    <x v="2"/>
    <s v="Karnataka"/>
    <s v="Bengaluru"/>
    <x v="2"/>
    <x v="12"/>
    <s v="Max Machines 364"/>
    <x v="2"/>
    <n v="3"/>
    <n v="2489.12"/>
    <n v="0"/>
    <s v="OK"/>
    <n v="7467.36"/>
    <n v="5010.6099999999997"/>
    <n v="2456.75"/>
    <x v="0"/>
    <x v="0"/>
    <s v="OK"/>
    <n v="0"/>
    <n v="7467.36"/>
    <n v="2456.75"/>
    <n v="0.32900000000000001"/>
    <x v="1"/>
    <x v="1"/>
    <s v="CLEAN"/>
  </r>
  <r>
    <x v="833"/>
    <d v="2025-08-23T00:00:00"/>
    <d v="2025-08-25T00:00:00"/>
    <n v="2"/>
    <s v="OK"/>
    <s v="CUST-4086"/>
    <s v="Diya Patel"/>
    <x v="0"/>
    <x v="0"/>
    <s v="Rajasthan"/>
    <s v="Jaipur"/>
    <x v="1"/>
    <x v="3"/>
    <s v="Elite Furnishings 169"/>
    <x v="1"/>
    <n v="6"/>
    <n v="2742.48"/>
    <n v="0"/>
    <s v="OK"/>
    <n v="16454.88"/>
    <n v="12081.54"/>
    <n v="4373.34"/>
    <x v="0"/>
    <x v="0"/>
    <s v="OK"/>
    <n v="0"/>
    <n v="16454.88"/>
    <n v="4373.34"/>
    <n v="0.26579999999999998"/>
    <x v="1"/>
    <x v="1"/>
    <s v="CLEAN"/>
  </r>
  <r>
    <x v="834"/>
    <d v="2025-04-13T00:00:00"/>
    <d v="2025-04-13T00:00:00"/>
    <n v="0"/>
    <s v="OK"/>
    <s v="CUST-5174"/>
    <s v="Priya Menon"/>
    <x v="2"/>
    <x v="2"/>
    <s v="Kerala"/>
    <s v="Kochi"/>
    <x v="1"/>
    <x v="9"/>
    <s v="Pro Bookcases 615"/>
    <x v="2"/>
    <n v="6"/>
    <n v="4414"/>
    <n v="0.05"/>
    <s v="OK"/>
    <n v="25159.8"/>
    <n v="21606.83"/>
    <n v="3552.97"/>
    <x v="0"/>
    <x v="0"/>
    <s v="OK"/>
    <n v="0.05"/>
    <n v="25159.8"/>
    <n v="3552.97"/>
    <n v="0.14119999999999999"/>
    <x v="10"/>
    <x v="1"/>
    <s v="CLEAN"/>
  </r>
  <r>
    <x v="835"/>
    <d v="2025-06-29T00:00:00"/>
    <d v="2025-07-03T00:00:00"/>
    <n v="4"/>
    <s v="OK"/>
    <s v="CUST-8747"/>
    <s v="Vikram Iyer"/>
    <x v="2"/>
    <x v="1"/>
    <s v="Jharkhand"/>
    <s v="Ranchi"/>
    <x v="0"/>
    <x v="5"/>
    <s v="Max Labels 136"/>
    <x v="2"/>
    <n v="3"/>
    <n v="608.14"/>
    <n v="0"/>
    <s v="OK"/>
    <n v="1824.42"/>
    <n v="1214.8699999999999"/>
    <n v="609.54999999999995"/>
    <x v="0"/>
    <x v="0"/>
    <s v="OK"/>
    <n v="0"/>
    <n v="1824.42"/>
    <n v="609.54999999999995"/>
    <n v="0.33410000000000001"/>
    <x v="2"/>
    <x v="1"/>
    <s v="CLEAN"/>
  </r>
  <r>
    <x v="836"/>
    <d v="2025-04-02T00:00:00"/>
    <d v="2025-04-04T00:00:00"/>
    <n v="2"/>
    <s v="OK"/>
    <s v="CUST-8808"/>
    <s v="Sneha Kapoor"/>
    <x v="3"/>
    <x v="1"/>
    <s v="Jharkhand"/>
    <s v="Ranchi"/>
    <x v="0"/>
    <x v="0"/>
    <s v="Classic Paper 280"/>
    <x v="1"/>
    <n v="5"/>
    <n v="3234.24"/>
    <n v="0.1"/>
    <s v="OK"/>
    <n v="14554.08"/>
    <n v="11166.84"/>
    <n v="3387.24"/>
    <x v="0"/>
    <x v="0"/>
    <s v="OK"/>
    <n v="0.1"/>
    <n v="14554.08"/>
    <n v="3387.24"/>
    <n v="0.23269999999999999"/>
    <x v="10"/>
    <x v="1"/>
    <s v="CLEAN"/>
  </r>
  <r>
    <x v="837"/>
    <d v="2025-07-15T00:00:00"/>
    <d v="2025-07-19T00:00:00"/>
    <n v="4"/>
    <s v="OK"/>
    <s v="CUST-8422"/>
    <s v="Diya Patel"/>
    <x v="0"/>
    <x v="2"/>
    <s v="Tamil Nadu"/>
    <s v="Chennai"/>
    <x v="1"/>
    <x v="10"/>
    <s v="Basic Chairs 279"/>
    <x v="1"/>
    <n v="1"/>
    <n v="3903.22"/>
    <n v="0.05"/>
    <s v="OK"/>
    <n v="3708.06"/>
    <n v="2760.29"/>
    <n v="947.77"/>
    <x v="1"/>
    <x v="2"/>
    <s v="OK"/>
    <n v="0.05"/>
    <n v="3708.06"/>
    <n v="947.77"/>
    <n v="0.25559999999999999"/>
    <x v="0"/>
    <x v="1"/>
    <s v="CLEAN"/>
  </r>
  <r>
    <x v="838"/>
    <d v="2025-02-21T00:00:00"/>
    <d v="2025-02-21T00:00:00"/>
    <n v="0"/>
    <s v="OK"/>
    <s v="CUST-4766"/>
    <s v="Karan Malhotra"/>
    <x v="3"/>
    <x v="3"/>
    <s v="Gujarat"/>
    <s v="Ahmedabad"/>
    <x v="2"/>
    <x v="8"/>
    <s v="Basic Phones 753"/>
    <x v="4"/>
    <n v="4"/>
    <n v="2945.07"/>
    <n v="0.2"/>
    <s v="OK"/>
    <n v="9424.2199999999993"/>
    <n v="6178.92"/>
    <n v="3245.3"/>
    <x v="0"/>
    <x v="0"/>
    <s v="OK"/>
    <n v="0.2"/>
    <n v="9424.2199999999993"/>
    <n v="3245.3"/>
    <n v="0.34439999999999998"/>
    <x v="8"/>
    <x v="1"/>
    <s v="WARNING"/>
  </r>
  <r>
    <x v="839"/>
    <d v="2025-07-08T00:00:00"/>
    <d v="2025-08-07T00:00:00"/>
    <n v="30"/>
    <s v="OK"/>
    <s v="CUST-1182"/>
    <s v="Kabir Singh"/>
    <x v="0"/>
    <x v="3"/>
    <s v="Rajasthan"/>
    <s v="Udaipur"/>
    <x v="2"/>
    <x v="12"/>
    <s v="Smart Machines 789"/>
    <x v="4"/>
    <n v="9"/>
    <n v="1076.75"/>
    <n v="0.2"/>
    <s v="OK"/>
    <n v="7752.6"/>
    <n v="4689.3"/>
    <n v="3063.3"/>
    <x v="0"/>
    <x v="0"/>
    <s v="OK"/>
    <n v="0.2"/>
    <n v="7752.6"/>
    <n v="3063.3"/>
    <n v="0.39510000000000001"/>
    <x v="0"/>
    <x v="1"/>
    <s v="WARNING"/>
  </r>
  <r>
    <x v="840"/>
    <d v="2025-08-06T00:00:00"/>
    <d v="2025-06-13T00:00:00"/>
    <n v="-54"/>
    <s v="INVALID"/>
    <s v="CUST-9690"/>
    <s v="Aditi Sen"/>
    <x v="1"/>
    <x v="0"/>
    <s v="Rajasthan"/>
    <s v="Jaipur"/>
    <x v="2"/>
    <x v="6"/>
    <s v="Eco Copiers 528"/>
    <x v="0"/>
    <n v="7"/>
    <n v="3857.13"/>
    <n v="0"/>
    <s v="OK"/>
    <n v="26999.91"/>
    <n v="17815.98"/>
    <n v="9183.93"/>
    <x v="0"/>
    <x v="0"/>
    <s v="OK"/>
    <n v="0"/>
    <n v="26999.91"/>
    <n v="9183.93"/>
    <n v="0.34010000000000001"/>
    <x v="1"/>
    <x v="1"/>
    <s v="INVALID"/>
  </r>
  <r>
    <x v="841"/>
    <d v="2025-03-14T00:00:00"/>
    <d v="2025-03-22T00:00:00"/>
    <n v="8"/>
    <s v="OK"/>
    <s v="CUST-9085"/>
    <s v="Mira Das"/>
    <x v="2"/>
    <x v="1"/>
    <s v="West Bengal"/>
    <s v="Kolkata"/>
    <x v="2"/>
    <x v="6"/>
    <s v="Basic Copiers 254"/>
    <x v="3"/>
    <n v="2"/>
    <n v="669.63"/>
    <n v="0.15"/>
    <s v="OK"/>
    <n v="1138.3699999999999"/>
    <n v="797.34"/>
    <n v="341.03"/>
    <x v="0"/>
    <x v="0"/>
    <s v="OK"/>
    <n v="0.15"/>
    <n v="1138.3699999999999"/>
    <n v="341.03"/>
    <n v="0.29959999999999998"/>
    <x v="7"/>
    <x v="1"/>
    <s v="CLEAN"/>
  </r>
  <r>
    <x v="842"/>
    <d v="2025-10-04T00:00:00"/>
    <d v="2025-10-05T00:00:00"/>
    <n v="1"/>
    <s v="OK"/>
    <s v="CUST-3119"/>
    <s v="Priya Menon"/>
    <x v="2"/>
    <x v="0"/>
    <s v="Punjab"/>
    <s v="Ludhiana"/>
    <x v="2"/>
    <x v="6"/>
    <s v="Max Copiers 551"/>
    <x v="2"/>
    <n v="4"/>
    <n v="418.18"/>
    <n v="0.05"/>
    <s v="OK"/>
    <n v="1589.08"/>
    <n v="1084.6600000000001"/>
    <n v="504.42"/>
    <x v="0"/>
    <x v="0"/>
    <s v="OK"/>
    <n v="0.05"/>
    <n v="1589.08"/>
    <n v="504.42"/>
    <n v="0.31740000000000002"/>
    <x v="9"/>
    <x v="1"/>
    <s v="CLEAN"/>
  </r>
  <r>
    <x v="843"/>
    <d v="2025-07-06T00:00:00"/>
    <d v="2025-07-08T00:00:00"/>
    <n v="2"/>
    <s v="OK"/>
    <s v="CUST-1343"/>
    <s v="Ananya Rao"/>
    <x v="2"/>
    <x v="0"/>
    <s v="Rajasthan"/>
    <s v="Jaipur"/>
    <x v="1"/>
    <x v="3"/>
    <s v="Pro Furnishings 233"/>
    <x v="4"/>
    <n v="4"/>
    <n v="715.45"/>
    <n v="0.05"/>
    <s v="OK"/>
    <n v="2718.71"/>
    <n v="2065.0500000000002"/>
    <n v="653.66"/>
    <x v="2"/>
    <x v="1"/>
    <s v="OK"/>
    <n v="0.05"/>
    <n v="2718.71"/>
    <n v="653.66"/>
    <n v="0.2404"/>
    <x v="0"/>
    <x v="1"/>
    <s v="WARNING"/>
  </r>
  <r>
    <x v="844"/>
    <d v="2025-03-07T00:00:00"/>
    <d v="2025-03-08T00:00:00"/>
    <n v="1"/>
    <s v="OK"/>
    <s v="CUST-1453"/>
    <s v="Priya Menon"/>
    <x v="3"/>
    <x v="4"/>
    <s v="Rajasthan"/>
    <s v="Udaipur"/>
    <x v="2"/>
    <x v="6"/>
    <s v="Smart Copiers 408"/>
    <x v="1"/>
    <n v="4"/>
    <n v="3537.48"/>
    <n v="0"/>
    <s v="OK"/>
    <n v="14149.92"/>
    <n v="9466.51"/>
    <n v="4683.41"/>
    <x v="0"/>
    <x v="0"/>
    <s v="OK"/>
    <n v="0"/>
    <n v="14149.92"/>
    <n v="4683.41"/>
    <n v="0.33100000000000002"/>
    <x v="7"/>
    <x v="1"/>
    <s v="WARNING"/>
  </r>
  <r>
    <x v="845"/>
    <d v="2025-06-04T00:00:00"/>
    <d v="2025-06-08T00:00:00"/>
    <n v="4"/>
    <s v="OK"/>
    <s v="CUST-1417"/>
    <s v="Arjun Bose"/>
    <x v="1"/>
    <x v="1"/>
    <s v="Assam"/>
    <s v="Guwahati"/>
    <x v="1"/>
    <x v="3"/>
    <s v="Elite Furnishings 852"/>
    <x v="0"/>
    <n v="1"/>
    <n v="3501.12"/>
    <n v="0.2"/>
    <s v="OK"/>
    <n v="2800.9"/>
    <n v="1735.98"/>
    <n v="1064.92"/>
    <x v="0"/>
    <x v="1"/>
    <s v="OK"/>
    <n v="0.2"/>
    <n v="2800.9"/>
    <n v="1064.92"/>
    <n v="0.38019999999999998"/>
    <x v="2"/>
    <x v="1"/>
    <s v="CLEAN"/>
  </r>
  <r>
    <x v="846"/>
    <d v="2025-06-22T00:00:00"/>
    <d v="2025-06-24T00:00:00"/>
    <n v="2"/>
    <s v="OK"/>
    <s v="CUST-2829"/>
    <s v="Sneha Kapoor"/>
    <x v="2"/>
    <x v="1"/>
    <s v="Assam"/>
    <s v="Guwahati"/>
    <x v="0"/>
    <x v="0"/>
    <s v="Elite Paper 847"/>
    <x v="3"/>
    <n v="9"/>
    <n v="951.55"/>
    <n v="0.15"/>
    <s v="OK"/>
    <n v="7279.36"/>
    <n v="4870.3900000000003"/>
    <n v="2408.9699999999998"/>
    <x v="0"/>
    <x v="0"/>
    <s v="OK"/>
    <n v="0.15"/>
    <n v="7279.36"/>
    <n v="2408.9699999999998"/>
    <n v="0.33090000000000003"/>
    <x v="2"/>
    <x v="1"/>
    <s v="CLEAN"/>
  </r>
  <r>
    <x v="847"/>
    <d v="2025-07-11T00:00:00"/>
    <d v="2025-09-07T00:00:00"/>
    <n v="58"/>
    <s v="OK"/>
    <s v="CUST-7553"/>
    <s v="Aditi Sen"/>
    <x v="2"/>
    <x v="0"/>
    <s v="Delhi"/>
    <s v="New Delhi"/>
    <x v="1"/>
    <x v="3"/>
    <s v="Classic Furnishings 348"/>
    <x v="3"/>
    <n v="9"/>
    <n v="1706.05"/>
    <n v="0"/>
    <s v="OK"/>
    <n v="15354.45"/>
    <n v="9656.5"/>
    <n v="5697.95"/>
    <x v="0"/>
    <x v="0"/>
    <s v="OK"/>
    <n v="0"/>
    <n v="15354.45"/>
    <n v="5697.95"/>
    <n v="0.37109999999999999"/>
    <x v="0"/>
    <x v="1"/>
    <s v="CLEAN"/>
  </r>
  <r>
    <x v="848"/>
    <d v="2025-10-08T00:00:00"/>
    <d v="2025-10-15T00:00:00"/>
    <n v="7"/>
    <s v="OK"/>
    <s v="CUST-3344"/>
    <s v="Aarav Sharma"/>
    <x v="3"/>
    <x v="1"/>
    <s v="Odisha"/>
    <s v="Bhubaneswar"/>
    <x v="2"/>
    <x v="4"/>
    <s v="Pro Accessories 500"/>
    <x v="0"/>
    <n v="3"/>
    <n v="3372.21"/>
    <n v="0.2"/>
    <s v="OK"/>
    <n v="8093.3"/>
    <n v="6052.43"/>
    <n v="2040.87"/>
    <x v="1"/>
    <x v="2"/>
    <s v="OK"/>
    <n v="0.2"/>
    <n v="8093.3"/>
    <n v="2040.87"/>
    <n v="0.25219999999999998"/>
    <x v="9"/>
    <x v="1"/>
    <s v="CLEAN"/>
  </r>
  <r>
    <x v="849"/>
    <d v="2025-02-16T00:00:00"/>
    <d v="2025-02-16T00:00:00"/>
    <n v="0"/>
    <s v="OK"/>
    <s v="CUST-5866"/>
    <s v="Rohan Mehta"/>
    <x v="1"/>
    <x v="1"/>
    <s v="Assam"/>
    <s v="Guwahati"/>
    <x v="1"/>
    <x v="3"/>
    <s v="Pro Furnishings 909"/>
    <x v="0"/>
    <n v="6"/>
    <n v="1441.91"/>
    <n v="0"/>
    <s v="OK"/>
    <n v="8651.4599999999991"/>
    <n v="5254.62"/>
    <n v="3396.84"/>
    <x v="3"/>
    <x v="1"/>
    <s v="OK"/>
    <n v="0"/>
    <n v="8651.4599999999991"/>
    <n v="3396.84"/>
    <n v="0.3926"/>
    <x v="8"/>
    <x v="1"/>
    <s v="INVALID"/>
  </r>
  <r>
    <x v="850"/>
    <d v="2025-10-09T00:00:00"/>
    <d v="2025-09-18T00:00:00"/>
    <n v="-21"/>
    <s v="INVALID"/>
    <s v="CUST-8745"/>
    <s v="Rahul Verma"/>
    <x v="3"/>
    <x v="2"/>
    <s v="Telangana"/>
    <s v="Hyderabad"/>
    <x v="1"/>
    <x v="3"/>
    <s v="Eco Furnishings 541"/>
    <x v="3"/>
    <n v="1"/>
    <n v="2050.62"/>
    <n v="0.05"/>
    <s v="OK"/>
    <n v="1948.09"/>
    <n v="1507.08"/>
    <n v="441.01"/>
    <x v="0"/>
    <x v="0"/>
    <s v="OK"/>
    <n v="0.05"/>
    <n v="1948.09"/>
    <n v="441.01"/>
    <n v="0.22639999999999999"/>
    <x v="9"/>
    <x v="1"/>
    <s v="INVALID"/>
  </r>
  <r>
    <x v="851"/>
    <d v="2025-04-06T00:00:00"/>
    <d v="2025-07-04T00:00:00"/>
    <n v="89"/>
    <s v="OK"/>
    <s v="CUST-2098"/>
    <s v="Priya Menon"/>
    <x v="3"/>
    <x v="1"/>
    <s v="Assam"/>
    <s v="Guwahati"/>
    <x v="0"/>
    <x v="11"/>
    <s v="Classic Binders 103"/>
    <x v="0"/>
    <n v="2"/>
    <n v="2030.06"/>
    <n v="0.25"/>
    <s v="OK"/>
    <n v="3045.09"/>
    <n v="2601.09"/>
    <n v="444"/>
    <x v="0"/>
    <x v="0"/>
    <s v="OK"/>
    <n v="0.25"/>
    <n v="3045.09"/>
    <n v="444"/>
    <n v="0.14580000000000001"/>
    <x v="10"/>
    <x v="1"/>
    <s v="CLEAN"/>
  </r>
  <r>
    <x v="852"/>
    <d v="2025-02-07T00:00:00"/>
    <d v="2025-02-08T00:00:00"/>
    <n v="1"/>
    <s v="OK"/>
    <s v="CUST-5884"/>
    <s v="Karan Malhotra"/>
    <x v="1"/>
    <x v="2"/>
    <s v="Telangana"/>
    <s v="Hyderabad"/>
    <x v="0"/>
    <x v="5"/>
    <s v="Smart Labels 436"/>
    <x v="3"/>
    <n v="2"/>
    <n v="2432.98"/>
    <n v="0.1"/>
    <s v="OK"/>
    <n v="4379.3599999999997"/>
    <n v="3723.93"/>
    <n v="655.43"/>
    <x v="0"/>
    <x v="0"/>
    <s v="OK"/>
    <n v="0.1"/>
    <n v="4379.3599999999997"/>
    <n v="655.43"/>
    <n v="0.1497"/>
    <x v="8"/>
    <x v="1"/>
    <s v="CLEAN"/>
  </r>
  <r>
    <x v="853"/>
    <d v="2025-08-31T00:00:00"/>
    <d v="2025-08-28T00:00:00"/>
    <n v="-3"/>
    <s v="INVALID"/>
    <s v="CUST-7503"/>
    <s v="Aarav Sharma"/>
    <x v="1"/>
    <x v="2"/>
    <s v="Tamil Nadu"/>
    <s v="Chennai"/>
    <x v="1"/>
    <x v="3"/>
    <s v="Pro Furnishings 386"/>
    <x v="2"/>
    <n v="7"/>
    <n v="977.28"/>
    <n v="0.2"/>
    <s v="OK"/>
    <n v="5472.77"/>
    <n v="4477.33"/>
    <n v="995.44"/>
    <x v="0"/>
    <x v="0"/>
    <s v="OK"/>
    <n v="0.2"/>
    <n v="5472.77"/>
    <n v="995.44"/>
    <n v="0.18190000000000001"/>
    <x v="1"/>
    <x v="1"/>
    <s v="INVALID"/>
  </r>
  <r>
    <x v="854"/>
    <d v="2025-06-25T00:00:00"/>
    <d v="2025-06-25T00:00:00"/>
    <n v="0"/>
    <s v="OK"/>
    <s v="CUST-6973"/>
    <s v="Arjun Bose"/>
    <x v="1"/>
    <x v="4"/>
    <s v="Punjab"/>
    <s v="Ludhiana"/>
    <x v="0"/>
    <x v="11"/>
    <s v="Eco Binders 601"/>
    <x v="0"/>
    <n v="6"/>
    <n v="1366.13"/>
    <n v="0.1"/>
    <s v="OK"/>
    <n v="7377.1"/>
    <n v="5085.21"/>
    <n v="2291.89"/>
    <x v="0"/>
    <x v="0"/>
    <s v="OK"/>
    <n v="0.1"/>
    <n v="7377.1"/>
    <n v="2291.89"/>
    <n v="0.31069999999999998"/>
    <x v="2"/>
    <x v="1"/>
    <s v="WARNING"/>
  </r>
  <r>
    <x v="855"/>
    <d v="2025-04-06T00:00:00"/>
    <d v="2025-04-10T00:00:00"/>
    <n v="4"/>
    <s v="OK"/>
    <s v="CUST-7848"/>
    <s v="Rohan Mehta"/>
    <x v="0"/>
    <x v="1"/>
    <s v="Odisha"/>
    <s v="Bhubaneswar"/>
    <x v="1"/>
    <x v="9"/>
    <s v="Elite Bookcases 988"/>
    <x v="3"/>
    <n v="2"/>
    <n v="1337.67"/>
    <n v="0"/>
    <s v="OK"/>
    <n v="2675.34"/>
    <n v="1595.87"/>
    <n v="1079.47"/>
    <x v="0"/>
    <x v="0"/>
    <s v="OK"/>
    <n v="0"/>
    <n v="2675.34"/>
    <n v="1079.47"/>
    <n v="0.40350000000000003"/>
    <x v="10"/>
    <x v="1"/>
    <s v="CLEAN"/>
  </r>
  <r>
    <x v="856"/>
    <d v="2025-08-06T00:00:00"/>
    <d v="2025-08-11T00:00:00"/>
    <n v="5"/>
    <s v="OK"/>
    <s v="CUST-9048"/>
    <s v="Arjun Bose"/>
    <x v="0"/>
    <x v="3"/>
    <s v="Madhya Pradesh"/>
    <s v="Indore"/>
    <x v="0"/>
    <x v="5"/>
    <s v="Smart Labels 126"/>
    <x v="2"/>
    <n v="2"/>
    <n v="2375.94"/>
    <n v="0.25"/>
    <s v="OK"/>
    <n v="3563.91"/>
    <n v="2639.7"/>
    <n v="924.21"/>
    <x v="0"/>
    <x v="0"/>
    <s v="OK"/>
    <n v="0.25"/>
    <n v="3563.91"/>
    <n v="924.21"/>
    <n v="0.25929999999999997"/>
    <x v="1"/>
    <x v="1"/>
    <s v="CLEAN"/>
  </r>
  <r>
    <x v="857"/>
    <d v="2025-04-05T00:00:00"/>
    <d v="2025-04-05T00:00:00"/>
    <n v="0"/>
    <s v="OK"/>
    <s v="CUST-2221"/>
    <s v="Sneha Kapoor"/>
    <x v="0"/>
    <x v="1"/>
    <s v="Bihar"/>
    <s v="Patna"/>
    <x v="0"/>
    <x v="11"/>
    <s v="Classic Binders 873"/>
    <x v="3"/>
    <n v="6"/>
    <n v="1829.69"/>
    <n v="0.25"/>
    <s v="OK"/>
    <n v="8233.6"/>
    <n v="4713.79"/>
    <n v="3519.81"/>
    <x v="0"/>
    <x v="0"/>
    <s v="OK"/>
    <n v="0.25"/>
    <n v="8233.61"/>
    <n v="3519.82"/>
    <n v="0.42749999999999999"/>
    <x v="10"/>
    <x v="1"/>
    <s v="CLEAN"/>
  </r>
  <r>
    <x v="858"/>
    <d v="2025-06-02T00:00:00"/>
    <d v="2025-10-02T00:00:00"/>
    <n v="122"/>
    <s v="OK"/>
    <s v="CUST-2041"/>
    <s v="Ananya Rao"/>
    <x v="3"/>
    <x v="0"/>
    <s v="Uttar Pradesh"/>
    <s v="Noida"/>
    <x v="1"/>
    <x v="9"/>
    <s v="Classic Bookcases 882"/>
    <x v="3"/>
    <n v="2"/>
    <n v="319.57"/>
    <n v="0.2"/>
    <s v="OK"/>
    <n v="511.31"/>
    <n v="436.43"/>
    <n v="74.88"/>
    <x v="0"/>
    <x v="0"/>
    <s v="OK"/>
    <n v="0.2"/>
    <n v="511.31"/>
    <n v="74.88"/>
    <n v="0.1464"/>
    <x v="2"/>
    <x v="1"/>
    <s v="CLEAN"/>
  </r>
  <r>
    <x v="859"/>
    <d v="2025-01-06T00:00:00"/>
    <d v="2025-01-12T00:00:00"/>
    <n v="6"/>
    <s v="OK"/>
    <s v="CUST-6638"/>
    <s v="Mira Das"/>
    <x v="3"/>
    <x v="3"/>
    <s v="Goa"/>
    <s v="Panaji"/>
    <x v="0"/>
    <x v="0"/>
    <s v="Basic Paper 899"/>
    <x v="1"/>
    <n v="3"/>
    <n v="668.33"/>
    <n v="0.15"/>
    <s v="OK"/>
    <n v="1704.24"/>
    <n v="957.55"/>
    <n v="746.69"/>
    <x v="0"/>
    <x v="0"/>
    <s v="OK"/>
    <n v="0.15"/>
    <n v="1704.24"/>
    <n v="746.69"/>
    <n v="0.43809999999999999"/>
    <x v="6"/>
    <x v="1"/>
    <s v="CLEAN"/>
  </r>
  <r>
    <x v="860"/>
    <d v="2025-03-21T00:00:00"/>
    <d v="2025-03-22T00:00:00"/>
    <n v="1"/>
    <s v="OK"/>
    <s v="CUST-3540"/>
    <s v="Priya Menon"/>
    <x v="0"/>
    <x v="3"/>
    <s v="Goa"/>
    <s v="Panaji"/>
    <x v="0"/>
    <x v="0"/>
    <s v="Pro Paper 267"/>
    <x v="2"/>
    <n v="8"/>
    <n v="4436.74"/>
    <n v="0.05"/>
    <s v="OK"/>
    <n v="33719.22"/>
    <n v="28924.43"/>
    <n v="4794.79"/>
    <x v="0"/>
    <x v="0"/>
    <s v="OK"/>
    <n v="0.05"/>
    <n v="33719.22"/>
    <n v="4794.79"/>
    <n v="0.14219999999999999"/>
    <x v="7"/>
    <x v="1"/>
    <s v="CLEAN"/>
  </r>
  <r>
    <x v="861"/>
    <d v="2025-04-16T00:00:00"/>
    <d v="2025-04-17T00:00:00"/>
    <n v="1"/>
    <s v="OK"/>
    <s v="CUST-3351"/>
    <s v="Vikram Iyer"/>
    <x v="1"/>
    <x v="0"/>
    <s v="Uttar Pradesh"/>
    <s v="Noida"/>
    <x v="2"/>
    <x v="12"/>
    <s v="Basic Machines 832"/>
    <x v="2"/>
    <n v="1"/>
    <n v="2720.17"/>
    <n v="0"/>
    <s v="OK"/>
    <n v="2720.17"/>
    <n v="1834.23"/>
    <n v="885.94"/>
    <x v="0"/>
    <x v="0"/>
    <s v="OK"/>
    <n v="0"/>
    <n v="2720.17"/>
    <n v="885.94"/>
    <n v="0.32569999999999999"/>
    <x v="10"/>
    <x v="1"/>
    <s v="CLEAN"/>
  </r>
  <r>
    <x v="862"/>
    <d v="2025-08-10T00:00:00"/>
    <d v="2025-08-14T00:00:00"/>
    <n v="4"/>
    <s v="OK"/>
    <s v="CUST-4375"/>
    <s v="Aditi Sen"/>
    <x v="0"/>
    <x v="3"/>
    <s v="Rajasthan"/>
    <s v="Udaipur"/>
    <x v="2"/>
    <x v="4"/>
    <s v="Elite Accessories 790"/>
    <x v="3"/>
    <n v="5"/>
    <n v="2190.14"/>
    <n v="0.25"/>
    <s v="OK"/>
    <n v="8213.02"/>
    <n v="5569.3"/>
    <n v="2643.72"/>
    <x v="0"/>
    <x v="0"/>
    <s v="OK"/>
    <n v="0.25"/>
    <n v="8213.0300000000007"/>
    <n v="2643.73"/>
    <n v="0.32190000000000002"/>
    <x v="1"/>
    <x v="1"/>
    <s v="CLEAN"/>
  </r>
  <r>
    <x v="863"/>
    <d v="2025-10-10T00:00:00"/>
    <d v="2025-11-10T00:00:00"/>
    <n v="31"/>
    <s v="OK"/>
    <s v="CUST-6010"/>
    <s v="Karan Malhotra"/>
    <x v="2"/>
    <x v="1"/>
    <s v="Odisha"/>
    <s v="Bhubaneswar"/>
    <x v="1"/>
    <x v="10"/>
    <s v="Elite Chairs 979"/>
    <x v="0"/>
    <n v="7"/>
    <n v="3791.96"/>
    <n v="0.05"/>
    <s v="OK"/>
    <n v="25216.53"/>
    <n v="14216.94"/>
    <n v="10999.59"/>
    <x v="3"/>
    <x v="2"/>
    <s v="OK"/>
    <n v="0.05"/>
    <n v="25216.53"/>
    <n v="10999.59"/>
    <n v="0.43619999999999998"/>
    <x v="9"/>
    <x v="1"/>
    <s v="INVALID"/>
  </r>
  <r>
    <x v="864"/>
    <d v="2025-07-15T00:00:00"/>
    <d v="2025-07-18T00:00:00"/>
    <n v="3"/>
    <s v="OK"/>
    <s v="CUST-7929"/>
    <s v="Aditi Sen"/>
    <x v="1"/>
    <x v="4"/>
    <s v="Tamil Nadu"/>
    <s v="Chennai"/>
    <x v="2"/>
    <x v="12"/>
    <s v="Smart Machines 951"/>
    <x v="2"/>
    <n v="6"/>
    <n v="2382.88"/>
    <n v="0.1"/>
    <s v="OK"/>
    <n v="12867.55"/>
    <n v="10068.94"/>
    <n v="2798.61"/>
    <x v="0"/>
    <x v="0"/>
    <s v="OK"/>
    <n v="0.1"/>
    <n v="12867.55"/>
    <n v="2798.61"/>
    <n v="0.2175"/>
    <x v="0"/>
    <x v="1"/>
    <s v="WARNING"/>
  </r>
  <r>
    <x v="865"/>
    <d v="2025-04-03T00:00:00"/>
    <d v="2025-03-04T00:00:00"/>
    <n v="-30"/>
    <s v="INVALID"/>
    <s v="CUST-1106"/>
    <s v="Diya Patel"/>
    <x v="3"/>
    <x v="4"/>
    <s v="Haryana"/>
    <s v="Gurugram"/>
    <x v="1"/>
    <x v="10"/>
    <s v="Smart Chairs 794"/>
    <x v="2"/>
    <n v="9"/>
    <n v="3462.7"/>
    <n v="0.15"/>
    <s v="OK"/>
    <n v="26489.65"/>
    <n v="15818.46"/>
    <n v="10671.19"/>
    <x v="3"/>
    <x v="1"/>
    <s v="OK"/>
    <n v="0.15"/>
    <n v="26489.66"/>
    <n v="10671.2"/>
    <n v="0.40279999999999999"/>
    <x v="10"/>
    <x v="1"/>
    <s v="INVALID"/>
  </r>
  <r>
    <x v="866"/>
    <d v="2025-05-26T00:00:00"/>
    <d v="2025-05-28T00:00:00"/>
    <n v="2"/>
    <s v="OK"/>
    <s v="CUST-9557"/>
    <s v="Kabir Singh"/>
    <x v="1"/>
    <x v="2"/>
    <s v="Andhra Pradesh"/>
    <s v="Vijayawada"/>
    <x v="2"/>
    <x v="8"/>
    <s v="Max Phones 919"/>
    <x v="0"/>
    <n v="9"/>
    <n v="4302.0200000000004"/>
    <n v="0.05"/>
    <s v="OK"/>
    <n v="36782.269999999997"/>
    <n v="25902.81"/>
    <n v="10879.46"/>
    <x v="0"/>
    <x v="0"/>
    <s v="OK"/>
    <n v="0.05"/>
    <n v="36782.269999999997"/>
    <n v="10879.46"/>
    <n v="0.29580000000000001"/>
    <x v="4"/>
    <x v="1"/>
    <s v="CLEAN"/>
  </r>
  <r>
    <x v="867"/>
    <d v="2025-09-26T00:00:00"/>
    <d v="2025-04-10T00:00:00"/>
    <n v="-169"/>
    <s v="INVALID"/>
    <s v="CUST-5150"/>
    <s v="Priya Menon"/>
    <x v="1"/>
    <x v="1"/>
    <s v="Assam"/>
    <s v="Guwahati"/>
    <x v="2"/>
    <x v="8"/>
    <s v="Prime Phones 338"/>
    <x v="0"/>
    <n v="7"/>
    <n v="1509.59"/>
    <n v="0.05"/>
    <s v="OK"/>
    <n v="10038.77"/>
    <n v="5673.1"/>
    <n v="4365.67"/>
    <x v="0"/>
    <x v="0"/>
    <s v="OK"/>
    <n v="0.05"/>
    <n v="10038.77"/>
    <n v="4365.67"/>
    <n v="0.43490000000000001"/>
    <x v="11"/>
    <x v="1"/>
    <s v="INVALID"/>
  </r>
  <r>
    <x v="868"/>
    <d v="2025-09-27T00:00:00"/>
    <d v="2025-09-28T00:00:00"/>
    <n v="1"/>
    <s v="OK"/>
    <s v="CUST-2551"/>
    <s v="Karan Malhotra"/>
    <x v="3"/>
    <x v="3"/>
    <s v="Maharashtra"/>
    <s v="Mumbai"/>
    <x v="0"/>
    <x v="0"/>
    <s v="Prime Paper 812"/>
    <x v="2"/>
    <n v="3"/>
    <n v="4177.63"/>
    <n v="0.25"/>
    <s v="OK"/>
    <n v="9399.67"/>
    <n v="6540.37"/>
    <n v="2859.3"/>
    <x v="0"/>
    <x v="0"/>
    <s v="OK"/>
    <n v="0.25"/>
    <n v="9399.67"/>
    <n v="2859.3"/>
    <n v="0.30420000000000003"/>
    <x v="11"/>
    <x v="1"/>
    <s v="CLEAN"/>
  </r>
  <r>
    <x v="869"/>
    <d v="2025-04-03T00:00:00"/>
    <d v="2025-04-07T00:00:00"/>
    <n v="4"/>
    <s v="OK"/>
    <s v="CUST-4708"/>
    <s v="Ananya Rao"/>
    <x v="1"/>
    <x v="3"/>
    <s v="Goa"/>
    <s v="Panaji"/>
    <x v="0"/>
    <x v="0"/>
    <s v="Pro Paper 355"/>
    <x v="1"/>
    <n v="1"/>
    <n v="1470.57"/>
    <n v="0"/>
    <s v="OK"/>
    <n v="1470.57"/>
    <n v="834.02"/>
    <n v="636.54999999999995"/>
    <x v="0"/>
    <x v="1"/>
    <s v="OK"/>
    <n v="0"/>
    <n v="1470.57"/>
    <n v="636.54999999999995"/>
    <n v="0.43290000000000001"/>
    <x v="10"/>
    <x v="1"/>
    <s v="CLEAN"/>
  </r>
  <r>
    <x v="870"/>
    <d v="2025-09-19T00:00:00"/>
    <d v="2025-09-19T00:00:00"/>
    <n v="0"/>
    <s v="OK"/>
    <s v="CUST-1297"/>
    <s v="Neha Gupta"/>
    <x v="3"/>
    <x v="0"/>
    <s v="Delhi"/>
    <s v="New Delhi"/>
    <x v="1"/>
    <x v="10"/>
    <s v="Classic Chairs 204"/>
    <x v="1"/>
    <n v="4"/>
    <n v="1584.11"/>
    <n v="0"/>
    <s v="OK"/>
    <n v="6336.44"/>
    <n v="4680.68"/>
    <n v="1655.76"/>
    <x v="0"/>
    <x v="0"/>
    <s v="OK"/>
    <n v="0"/>
    <n v="6336.44"/>
    <n v="1655.76"/>
    <n v="0.26129999999999998"/>
    <x v="11"/>
    <x v="1"/>
    <s v="CLEAN"/>
  </r>
  <r>
    <x v="871"/>
    <d v="2025-02-06T00:00:00"/>
    <d v="2025-02-12T00:00:00"/>
    <n v="6"/>
    <s v="OK"/>
    <s v="CUST-7558"/>
    <s v="Ananya Rao"/>
    <x v="1"/>
    <x v="1"/>
    <s v="Bihar"/>
    <s v="Patna"/>
    <x v="0"/>
    <x v="2"/>
    <s v="Max Art 339"/>
    <x v="3"/>
    <n v="9"/>
    <n v="3237.16"/>
    <n v="0.25"/>
    <s v="OK"/>
    <n v="21850.83"/>
    <n v="16600.13"/>
    <n v="5250.7"/>
    <x v="0"/>
    <x v="0"/>
    <s v="OK"/>
    <n v="0.25"/>
    <n v="21850.83"/>
    <n v="5250.7"/>
    <n v="0.24030000000000001"/>
    <x v="8"/>
    <x v="1"/>
    <s v="CLEAN"/>
  </r>
  <r>
    <x v="872"/>
    <d v="2025-07-18T00:00:00"/>
    <d v="2025-07-25T00:00:00"/>
    <n v="7"/>
    <s v="OK"/>
    <s v="CUST-7333"/>
    <s v="Priya Menon"/>
    <x v="1"/>
    <x v="0"/>
    <s v="Uttar Pradesh"/>
    <s v="Noida"/>
    <x v="2"/>
    <x v="8"/>
    <s v="Prime Phones 482"/>
    <x v="2"/>
    <n v="9"/>
    <n v="3989.52"/>
    <n v="-0.02"/>
    <s v="INVALID-NEGATIVE"/>
    <n v="35905.68"/>
    <n v="23916.1"/>
    <n v="11989.58"/>
    <x v="0"/>
    <x v="0"/>
    <s v="OK"/>
    <n v="0"/>
    <n v="35905.68"/>
    <n v="11989.58"/>
    <n v="0.33389999999999997"/>
    <x v="0"/>
    <x v="1"/>
    <s v="INVALID"/>
  </r>
  <r>
    <x v="873"/>
    <d v="2025-01-20T00:00:00"/>
    <d v="2025-01-25T00:00:00"/>
    <n v="5"/>
    <s v="OK"/>
    <s v="CUST-2086"/>
    <s v="Aditi Sen"/>
    <x v="3"/>
    <x v="3"/>
    <s v="Goa"/>
    <s v="Panaji"/>
    <x v="0"/>
    <x v="2"/>
    <s v="Pro Art 588"/>
    <x v="2"/>
    <n v="1"/>
    <n v="3515.15"/>
    <n v="0"/>
    <s v="OK"/>
    <n v="3515.15"/>
    <n v="2216.34"/>
    <n v="1298.81"/>
    <x v="0"/>
    <x v="0"/>
    <s v="OK"/>
    <n v="0"/>
    <n v="3515.15"/>
    <n v="1298.81"/>
    <n v="0.3695"/>
    <x v="6"/>
    <x v="1"/>
    <s v="CLEAN"/>
  </r>
  <r>
    <x v="874"/>
    <d v="2025-05-20T00:00:00"/>
    <d v="2025-05-22T00:00:00"/>
    <n v="2"/>
    <s v="OK"/>
    <s v="CUST-8329"/>
    <s v="Diya Patel"/>
    <x v="3"/>
    <x v="1"/>
    <s v="Odisha"/>
    <s v="Bhubaneswar"/>
    <x v="1"/>
    <x v="1"/>
    <s v="Pro Tables 828"/>
    <x v="0"/>
    <n v="2"/>
    <n v="210.08"/>
    <n v="0.2"/>
    <s v="OK"/>
    <n v="336.13"/>
    <n v="242.19"/>
    <n v="93.94"/>
    <x v="0"/>
    <x v="0"/>
    <s v="OK"/>
    <n v="0.2"/>
    <n v="336.13"/>
    <n v="93.94"/>
    <n v="0.27950000000000003"/>
    <x v="4"/>
    <x v="1"/>
    <s v="CLEAN"/>
  </r>
  <r>
    <x v="875"/>
    <d v="2025-05-27T00:00:00"/>
    <d v="2025-05-29T00:00:00"/>
    <n v="2"/>
    <s v="OK"/>
    <s v="CUST-4426"/>
    <s v="Rahul Verma"/>
    <x v="3"/>
    <x v="2"/>
    <s v="Tamil Nadu"/>
    <s v="Chennai"/>
    <x v="1"/>
    <x v="3"/>
    <s v="Elite Furnishings 480"/>
    <x v="0"/>
    <n v="1"/>
    <n v="1744.35"/>
    <n v="0.25"/>
    <s v="OK"/>
    <n v="1308.26"/>
    <n v="1083.56"/>
    <n v="224.7"/>
    <x v="0"/>
    <x v="0"/>
    <s v="OK"/>
    <n v="0.25"/>
    <n v="1308.26"/>
    <n v="224.7"/>
    <n v="0.17180000000000001"/>
    <x v="4"/>
    <x v="1"/>
    <s v="CLEAN"/>
  </r>
  <r>
    <x v="876"/>
    <d v="2025-05-16T00:00:00"/>
    <d v="2025-05-22T00:00:00"/>
    <n v="6"/>
    <s v="OK"/>
    <s v="CUST-8274"/>
    <s v="Arjun Bose"/>
    <x v="2"/>
    <x v="2"/>
    <s v="Tamil Nadu"/>
    <s v="Chennai"/>
    <x v="2"/>
    <x v="4"/>
    <s v="Elite Accessories 708"/>
    <x v="1"/>
    <n v="8"/>
    <n v="579.79999999999995"/>
    <n v="0.2"/>
    <s v="OK"/>
    <n v="3710.72"/>
    <n v="3115.29"/>
    <n v="595.42999999999995"/>
    <x v="0"/>
    <x v="0"/>
    <s v="OK"/>
    <n v="0.2"/>
    <n v="3710.72"/>
    <n v="595.42999999999995"/>
    <n v="0.1605"/>
    <x v="4"/>
    <x v="1"/>
    <s v="CLEAN"/>
  </r>
  <r>
    <x v="877"/>
    <d v="2025-03-25T00:00:00"/>
    <d v="2025-04-02T00:00:00"/>
    <n v="8"/>
    <s v="OK"/>
    <s v="CUST-2514"/>
    <s v="Priya Menon"/>
    <x v="0"/>
    <x v="2"/>
    <s v="Karnataka"/>
    <s v="Bengaluru"/>
    <x v="1"/>
    <x v="9"/>
    <s v="Max Bookcases 381"/>
    <x v="0"/>
    <n v="4"/>
    <n v="2233.64"/>
    <n v="0.05"/>
    <s v="OK"/>
    <n v="8487.83"/>
    <n v="5245.72"/>
    <n v="3242.11"/>
    <x v="0"/>
    <x v="0"/>
    <s v="OK"/>
    <n v="0.05"/>
    <n v="8487.83"/>
    <n v="3242.11"/>
    <n v="0.38200000000000001"/>
    <x v="7"/>
    <x v="1"/>
    <s v="CLEAN"/>
  </r>
  <r>
    <x v="878"/>
    <d v="2025-03-08T00:00:00"/>
    <d v="2025-03-09T00:00:00"/>
    <n v="1"/>
    <s v="OK"/>
    <s v="CUST-9448"/>
    <s v="Priya Menon"/>
    <x v="3"/>
    <x v="0"/>
    <s v="Delhi"/>
    <s v="New Delhi"/>
    <x v="1"/>
    <x v="3"/>
    <s v="Smart Furnishings 892"/>
    <x v="1"/>
    <n v="4"/>
    <n v="3405.68"/>
    <n v="0.2"/>
    <s v="OK"/>
    <n v="10898.18"/>
    <n v="6231.41"/>
    <n v="4666.7700000000004"/>
    <x v="0"/>
    <x v="0"/>
    <s v="OK"/>
    <n v="0.2"/>
    <n v="10898.18"/>
    <n v="4666.7700000000004"/>
    <n v="0.42820000000000003"/>
    <x v="7"/>
    <x v="1"/>
    <s v="CLEAN"/>
  </r>
  <r>
    <x v="879"/>
    <d v="2025-03-26T00:00:00"/>
    <d v="2025-03-31T00:00:00"/>
    <n v="5"/>
    <s v="OK"/>
    <s v="CUST-8354"/>
    <s v="Priya Menon"/>
    <x v="1"/>
    <x v="1"/>
    <s v="Jharkhand"/>
    <s v="Ranchi"/>
    <x v="0"/>
    <x v="11"/>
    <s v="Pro Binders 488"/>
    <x v="2"/>
    <n v="5"/>
    <n v="1395.14"/>
    <n v="0"/>
    <s v="OK"/>
    <n v="6975.7"/>
    <n v="4797.88"/>
    <n v="2177.8200000000002"/>
    <x v="0"/>
    <x v="2"/>
    <s v="OK"/>
    <n v="0"/>
    <n v="6975.7"/>
    <n v="2177.8200000000002"/>
    <n v="0.31219999999999998"/>
    <x v="7"/>
    <x v="1"/>
    <s v="CLEAN"/>
  </r>
  <r>
    <x v="880"/>
    <d v="2025-09-06T00:00:00"/>
    <d v="2025-09-08T00:00:00"/>
    <n v="2"/>
    <s v="OK"/>
    <s v="CUST-2200"/>
    <s v="Aarav Sharma"/>
    <x v="3"/>
    <x v="3"/>
    <s v="Madhya Pradesh"/>
    <s v="Indore"/>
    <x v="1"/>
    <x v="3"/>
    <s v="Prime Furnishings 679"/>
    <x v="1"/>
    <n v="3"/>
    <n v="2937.23"/>
    <n v="0"/>
    <s v="OK"/>
    <n v="8811.69"/>
    <n v="6765.91"/>
    <n v="2045.78"/>
    <x v="0"/>
    <x v="0"/>
    <s v="OK"/>
    <n v="0"/>
    <n v="8811.69"/>
    <n v="2045.78"/>
    <n v="0.23219999999999999"/>
    <x v="11"/>
    <x v="1"/>
    <s v="CLEAN"/>
  </r>
  <r>
    <x v="881"/>
    <d v="2025-09-02T00:00:00"/>
    <d v="2025-05-09T00:00:00"/>
    <n v="-116"/>
    <s v="INVALID"/>
    <s v="CUST-1178"/>
    <s v="Vikram Iyer"/>
    <x v="0"/>
    <x v="2"/>
    <s v="Tamil Nadu"/>
    <s v="Chennai"/>
    <x v="2"/>
    <x v="8"/>
    <s v="Smart Phones 158"/>
    <x v="2"/>
    <n v="5"/>
    <n v="3406.87"/>
    <n v="0"/>
    <s v="OK"/>
    <n v="17034.349999999999"/>
    <n v="14631.36"/>
    <n v="2402.9899999999998"/>
    <x v="0"/>
    <x v="0"/>
    <s v="OK"/>
    <n v="0"/>
    <n v="17034.349999999999"/>
    <n v="2402.9899999999998"/>
    <n v="0.1411"/>
    <x v="11"/>
    <x v="1"/>
    <s v="INVALID"/>
  </r>
  <r>
    <x v="882"/>
    <d v="2025-06-02T00:00:00"/>
    <d v="2025-02-14T00:00:00"/>
    <n v="-108"/>
    <s v="INVALID"/>
    <s v="CUST-8099"/>
    <s v="Kabir Singh"/>
    <x v="0"/>
    <x v="3"/>
    <s v="Maharashtra"/>
    <s v="Mumbai"/>
    <x v="0"/>
    <x v="5"/>
    <s v="Classic Labels 218"/>
    <x v="0"/>
    <n v="2"/>
    <n v="3992.04"/>
    <n v="0"/>
    <s v="OK"/>
    <n v="7984.08"/>
    <n v="5658.05"/>
    <n v="2326.0300000000002"/>
    <x v="0"/>
    <x v="0"/>
    <s v="OK"/>
    <n v="0"/>
    <n v="7984.08"/>
    <n v="2326.0300000000002"/>
    <n v="0.2913"/>
    <x v="2"/>
    <x v="1"/>
    <s v="INVALID"/>
  </r>
  <r>
    <x v="883"/>
    <d v="2025-02-26T00:00:00"/>
    <d v="2025-03-06T00:00:00"/>
    <n v="8"/>
    <s v="OK"/>
    <s v="CUST-7596"/>
    <s v="Priya Menon"/>
    <x v="0"/>
    <x v="1"/>
    <s v="Bihar"/>
    <s v="Patna"/>
    <x v="1"/>
    <x v="9"/>
    <s v="Smart Bookcases 552"/>
    <x v="2"/>
    <n v="9"/>
    <n v="3043.37"/>
    <n v="0.2"/>
    <s v="OK"/>
    <n v="21912.26"/>
    <n v="16367.78"/>
    <n v="5544.48"/>
    <x v="1"/>
    <x v="2"/>
    <s v="OK"/>
    <n v="0.2"/>
    <n v="21912.26"/>
    <n v="5544.48"/>
    <n v="0.253"/>
    <x v="8"/>
    <x v="1"/>
    <s v="CLEAN"/>
  </r>
  <r>
    <x v="884"/>
    <d v="2025-11-04T00:00:00"/>
    <d v="2025-04-15T00:00:00"/>
    <n v="-203"/>
    <s v="INVALID"/>
    <s v="CUST-8483"/>
    <s v="Vikram Iyer"/>
    <x v="3"/>
    <x v="2"/>
    <s v="Karnataka"/>
    <s v="Bengaluru"/>
    <x v="0"/>
    <x v="7"/>
    <s v="Elite Storage 187"/>
    <x v="1"/>
    <n v="9"/>
    <n v="224.94"/>
    <n v="0.05"/>
    <s v="OK"/>
    <n v="1923.24"/>
    <n v="1093.6600000000001"/>
    <n v="829.58"/>
    <x v="0"/>
    <x v="0"/>
    <s v="OK"/>
    <n v="0.05"/>
    <n v="1923.24"/>
    <n v="829.58"/>
    <n v="0.43130000000000002"/>
    <x v="3"/>
    <x v="1"/>
    <s v="INVALID"/>
  </r>
  <r>
    <x v="885"/>
    <d v="2025-03-06T00:00:00"/>
    <d v="2025-07-03T00:00:00"/>
    <n v="119"/>
    <s v="OK"/>
    <s v="CUST-2388"/>
    <s v="Rohan Mehta"/>
    <x v="3"/>
    <x v="4"/>
    <s v="Delhi"/>
    <s v="New Delhi"/>
    <x v="1"/>
    <x v="10"/>
    <s v="Max Chairs 487"/>
    <x v="1"/>
    <n v="6"/>
    <n v="796.65"/>
    <n v="0.1"/>
    <s v="OK"/>
    <n v="4301.91"/>
    <n v="2374.4"/>
    <n v="1927.51"/>
    <x v="0"/>
    <x v="0"/>
    <s v="OK"/>
    <n v="0.1"/>
    <n v="4301.91"/>
    <n v="1927.51"/>
    <n v="0.4481"/>
    <x v="7"/>
    <x v="1"/>
    <s v="WARNING"/>
  </r>
  <r>
    <x v="886"/>
    <d v="2025-06-06T00:00:00"/>
    <d v="2025-06-07T00:00:00"/>
    <n v="1"/>
    <s v="OK"/>
    <s v="CUST-7054"/>
    <s v="Vikram Iyer"/>
    <x v="2"/>
    <x v="3"/>
    <s v="Goa"/>
    <s v="Panaji"/>
    <x v="1"/>
    <x v="1"/>
    <s v="Max Tables 281"/>
    <x v="3"/>
    <n v="9"/>
    <n v="2932.92"/>
    <n v="0.15"/>
    <s v="OK"/>
    <n v="22436.84"/>
    <n v="17454.669999999998"/>
    <n v="4982.17"/>
    <x v="0"/>
    <x v="2"/>
    <s v="OK"/>
    <n v="0.15"/>
    <n v="22436.84"/>
    <n v="4982.17"/>
    <n v="0.22209999999999999"/>
    <x v="2"/>
    <x v="1"/>
    <s v="CLEAN"/>
  </r>
  <r>
    <x v="887"/>
    <d v="2025-02-01T00:00:00"/>
    <d v="2025-08-02T00:00:00"/>
    <n v="182"/>
    <s v="OK"/>
    <s v="CUST-8160"/>
    <s v="Aditi Sen"/>
    <x v="3"/>
    <x v="3"/>
    <s v="Gujarat"/>
    <s v="Ahmedabad"/>
    <x v="0"/>
    <x v="7"/>
    <s v="Elite Storage 144"/>
    <x v="0"/>
    <n v="8"/>
    <n v="623.30999999999995"/>
    <n v="0.1"/>
    <s v="OK"/>
    <n v="4487.83"/>
    <n v="2633.78"/>
    <n v="1854.05"/>
    <x v="0"/>
    <x v="0"/>
    <s v="OK"/>
    <n v="0.1"/>
    <n v="4487.83"/>
    <n v="1854.05"/>
    <n v="0.41310000000000002"/>
    <x v="8"/>
    <x v="1"/>
    <s v="CLEAN"/>
  </r>
  <r>
    <x v="888"/>
    <d v="2025-07-15T00:00:00"/>
    <d v="2025-07-16T00:00:00"/>
    <n v="1"/>
    <s v="OK"/>
    <s v="CUST-8770"/>
    <s v="Vikram Iyer"/>
    <x v="1"/>
    <x v="3"/>
    <s v="Maharashtra"/>
    <s v="Mumbai"/>
    <x v="0"/>
    <x v="0"/>
    <s v="Elite Paper 309"/>
    <x v="3"/>
    <n v="8"/>
    <n v="3924.88"/>
    <n v="0.05"/>
    <s v="OK"/>
    <n v="29829.09"/>
    <n v="20710.18"/>
    <n v="9118.91"/>
    <x v="0"/>
    <x v="0"/>
    <s v="OK"/>
    <n v="0.05"/>
    <n v="29829.09"/>
    <n v="9118.91"/>
    <n v="0.30570000000000003"/>
    <x v="0"/>
    <x v="1"/>
    <s v="CLEAN"/>
  </r>
  <r>
    <x v="889"/>
    <d v="2025-08-26T00:00:00"/>
    <d v="2025-09-03T00:00:00"/>
    <n v="8"/>
    <s v="OK"/>
    <s v="CUST-7146"/>
    <s v="Aarav Sharma"/>
    <x v="0"/>
    <x v="3"/>
    <s v="Rajasthan"/>
    <s v="Udaipur"/>
    <x v="0"/>
    <x v="7"/>
    <s v="Max Storage 438"/>
    <x v="0"/>
    <n v="6"/>
    <n v="674.36"/>
    <n v="0.1"/>
    <s v="OK"/>
    <n v="3641.54"/>
    <n v="2690.37"/>
    <n v="951.17"/>
    <x v="0"/>
    <x v="0"/>
    <s v="OK"/>
    <n v="0.1"/>
    <n v="3641.54"/>
    <n v="951.17"/>
    <n v="0.26119999999999999"/>
    <x v="1"/>
    <x v="1"/>
    <s v="CLEAN"/>
  </r>
  <r>
    <x v="890"/>
    <d v="2025-08-27T00:00:00"/>
    <d v="2025-08-28T00:00:00"/>
    <n v="1"/>
    <s v="OK"/>
    <s v="CUST-4486"/>
    <s v="Ananya Rao"/>
    <x v="3"/>
    <x v="0"/>
    <s v="Uttar Pradesh"/>
    <s v="Noida"/>
    <x v="0"/>
    <x v="2"/>
    <s v="Smart Art 990"/>
    <x v="3"/>
    <n v="6"/>
    <n v="1182.03"/>
    <n v="0.15"/>
    <s v="OK"/>
    <n v="6028.35"/>
    <n v="4433.63"/>
    <n v="1594.72"/>
    <x v="0"/>
    <x v="0"/>
    <s v="OK"/>
    <n v="0.15"/>
    <n v="6028.35"/>
    <n v="1594.72"/>
    <n v="0.26450000000000001"/>
    <x v="1"/>
    <x v="1"/>
    <s v="CLEAN"/>
  </r>
  <r>
    <x v="891"/>
    <d v="2025-02-02T00:00:00"/>
    <d v="2025-02-10T00:00:00"/>
    <n v="8"/>
    <s v="OK"/>
    <s v="CUST-4983"/>
    <s v="Sneha Kapoor"/>
    <x v="2"/>
    <x v="1"/>
    <s v="Bihar"/>
    <s v="Patna"/>
    <x v="2"/>
    <x v="4"/>
    <s v="Basic Accessories 607"/>
    <x v="3"/>
    <n v="4"/>
    <n v="1912.45"/>
    <n v="0"/>
    <s v="OK"/>
    <n v="7649.8"/>
    <n v="4894.53"/>
    <n v="2755.27"/>
    <x v="1"/>
    <x v="1"/>
    <s v="OK"/>
    <n v="0"/>
    <n v="7649.8"/>
    <n v="2755.27"/>
    <n v="0.36020000000000002"/>
    <x v="8"/>
    <x v="1"/>
    <s v="CLEAN"/>
  </r>
  <r>
    <x v="892"/>
    <d v="2025-04-28T00:00:00"/>
    <d v="2025-05-01T00:00:00"/>
    <n v="3"/>
    <s v="OK"/>
    <s v="CUST-2597"/>
    <s v="Aarav Sharma"/>
    <x v="1"/>
    <x v="3"/>
    <s v="Goa"/>
    <s v="Panaji"/>
    <x v="0"/>
    <x v="7"/>
    <s v="Classic Storage 211"/>
    <x v="1"/>
    <n v="1"/>
    <n v="1620.87"/>
    <n v="0"/>
    <s v="OK"/>
    <n v="1620.87"/>
    <n v="1103.6099999999999"/>
    <n v="517.26"/>
    <x v="0"/>
    <x v="0"/>
    <s v="OK"/>
    <n v="0"/>
    <n v="1620.87"/>
    <n v="517.26"/>
    <n v="0.31909999999999999"/>
    <x v="10"/>
    <x v="1"/>
    <s v="CLEAN"/>
  </r>
  <r>
    <x v="893"/>
    <d v="2025-01-18T00:00:00"/>
    <d v="2025-01-25T00:00:00"/>
    <n v="7"/>
    <s v="OK"/>
    <s v="CUST-7505"/>
    <s v="Neha Gupta"/>
    <x v="3"/>
    <x v="2"/>
    <s v="Karnataka"/>
    <s v="Bengaluru"/>
    <x v="0"/>
    <x v="7"/>
    <s v="Eco Storage 783"/>
    <x v="1"/>
    <n v="2"/>
    <n v="2098.54"/>
    <n v="0.15"/>
    <s v="OK"/>
    <n v="3567.52"/>
    <n v="2411.8000000000002"/>
    <n v="1155.72"/>
    <x v="0"/>
    <x v="0"/>
    <s v="OK"/>
    <n v="0.15"/>
    <n v="3567.52"/>
    <n v="1155.72"/>
    <n v="0.32400000000000001"/>
    <x v="6"/>
    <x v="1"/>
    <s v="CLEAN"/>
  </r>
  <r>
    <x v="894"/>
    <d v="2025-04-26T00:00:00"/>
    <d v="2025-03-05T00:00:00"/>
    <n v="-52"/>
    <s v="INVALID"/>
    <s v="CUST-3549"/>
    <s v="Arjun Bose"/>
    <x v="3"/>
    <x v="2"/>
    <s v="Tamil Nadu"/>
    <s v="Chennai"/>
    <x v="2"/>
    <x v="4"/>
    <s v="Max Accessories 541"/>
    <x v="2"/>
    <n v="7"/>
    <n v="3989.9"/>
    <n v="0.15"/>
    <s v="OK"/>
    <n v="23739.9"/>
    <n v="17716.52"/>
    <n v="6023.38"/>
    <x v="0"/>
    <x v="2"/>
    <s v="OK"/>
    <n v="0.15"/>
    <n v="23739.91"/>
    <n v="6023.39"/>
    <n v="0.25369999999999998"/>
    <x v="10"/>
    <x v="1"/>
    <s v="INVALID"/>
  </r>
  <r>
    <x v="895"/>
    <d v="2025-06-08T00:00:00"/>
    <d v="2025-07-08T00:00:00"/>
    <n v="30"/>
    <s v="OK"/>
    <s v="CUST-1081"/>
    <s v="Rahul Verma"/>
    <x v="1"/>
    <x v="3"/>
    <s v="Maharashtra"/>
    <s v="Mumbai"/>
    <x v="0"/>
    <x v="2"/>
    <s v="Pro Art 620"/>
    <x v="3"/>
    <n v="4"/>
    <n v="3523.64"/>
    <n v="0.1"/>
    <s v="OK"/>
    <n v="12685.1"/>
    <n v="10779.56"/>
    <n v="1905.54"/>
    <x v="2"/>
    <x v="2"/>
    <s v="OK"/>
    <n v="0.1"/>
    <n v="12685.1"/>
    <n v="1905.54"/>
    <n v="0.1502"/>
    <x v="2"/>
    <x v="1"/>
    <s v="CLEAN"/>
  </r>
  <r>
    <x v="896"/>
    <d v="2025-03-10T00:00:00"/>
    <d v="2025-03-11T00:00:00"/>
    <n v="1"/>
    <s v="OK"/>
    <s v="CUST-8467"/>
    <s v="Aditi Sen"/>
    <x v="3"/>
    <x v="3"/>
    <s v="Madhya Pradesh"/>
    <s v="Indore"/>
    <x v="0"/>
    <x v="7"/>
    <s v="Prime Storage 806"/>
    <x v="2"/>
    <n v="2"/>
    <n v="3922.08"/>
    <n v="0.25"/>
    <s v="OK"/>
    <n v="5883.12"/>
    <n v="4647.91"/>
    <n v="1235.21"/>
    <x v="0"/>
    <x v="1"/>
    <s v="OK"/>
    <n v="0.25"/>
    <n v="5883.12"/>
    <n v="1235.21"/>
    <n v="0.21"/>
    <x v="7"/>
    <x v="1"/>
    <s v="CLEAN"/>
  </r>
  <r>
    <x v="897"/>
    <d v="2025-04-12T00:00:00"/>
    <d v="2025-04-18T00:00:00"/>
    <n v="6"/>
    <s v="OK"/>
    <s v="CUST-5087"/>
    <s v="Isha Nair"/>
    <x v="1"/>
    <x v="1"/>
    <s v="Jharkhand"/>
    <s v="Ranchi"/>
    <x v="2"/>
    <x v="6"/>
    <s v="Elite Copiers 221"/>
    <x v="1"/>
    <n v="1"/>
    <n v="726.89"/>
    <n v="0.2"/>
    <s v="OK"/>
    <n v="581.51"/>
    <n v="423.86"/>
    <n v="157.65"/>
    <x v="0"/>
    <x v="0"/>
    <s v="OK"/>
    <n v="0.2"/>
    <n v="581.51"/>
    <n v="157.65"/>
    <n v="0.27110000000000001"/>
    <x v="10"/>
    <x v="1"/>
    <s v="CLEAN"/>
  </r>
  <r>
    <x v="898"/>
    <d v="2025-04-29T00:00:00"/>
    <d v="2025-05-03T00:00:00"/>
    <n v="4"/>
    <s v="OK"/>
    <s v="CUST-2897"/>
    <s v="Rohan Mehta"/>
    <x v="2"/>
    <x v="0"/>
    <s v="Haryana"/>
    <s v="Gurugram"/>
    <x v="0"/>
    <x v="0"/>
    <s v="Eco Paper 747"/>
    <x v="2"/>
    <n v="4"/>
    <n v="1786.65"/>
    <n v="0.05"/>
    <s v="OK"/>
    <n v="6789.27"/>
    <n v="5626.43"/>
    <n v="1162.8399999999999"/>
    <x v="0"/>
    <x v="0"/>
    <s v="OK"/>
    <n v="0.05"/>
    <n v="6789.27"/>
    <n v="1162.8399999999999"/>
    <n v="0.17130000000000001"/>
    <x v="10"/>
    <x v="1"/>
    <s v="CLEAN"/>
  </r>
  <r>
    <x v="899"/>
    <d v="2025-05-27T00:00:00"/>
    <d v="2025-06-03T00:00:00"/>
    <n v="7"/>
    <s v="OK"/>
    <s v="CUST-3789"/>
    <s v="Karan Malhotra"/>
    <x v="0"/>
    <x v="0"/>
    <s v="Punjab"/>
    <s v="Ludhiana"/>
    <x v="1"/>
    <x v="10"/>
    <s v="Elite Chairs 971"/>
    <x v="2"/>
    <n v="5"/>
    <n v="881.08"/>
    <n v="0.25"/>
    <s v="OK"/>
    <n v="3304.05"/>
    <n v="2279.41"/>
    <n v="1024.6400000000001"/>
    <x v="3"/>
    <x v="2"/>
    <s v="OK"/>
    <n v="0.25"/>
    <n v="3304.05"/>
    <n v="1024.6400000000001"/>
    <n v="0.31009999999999999"/>
    <x v="4"/>
    <x v="1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08DF2-F1B3-4008-8BE4-FA726C9DA853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30" firstHeaderRow="1" firstDataRow="1" firstDataCol="1"/>
  <pivotFields count="32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30"/>
    <field x="29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A8EA4-4883-4F7B-822E-B1FAC95E7C6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6:K34" firstHeaderRow="1" firstDataRow="3" firstDataCol="1"/>
  <pivotFields count="32">
    <pivotField dataField="1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h="1" x="0"/>
        <item h="1" x="1"/>
        <item x="2"/>
        <item t="default"/>
      </items>
    </pivotField>
    <pivotField axis="axisCol"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3"/>
    <field x="22"/>
  </colFields>
  <colItems count="4">
    <i>
      <x/>
      <x/>
    </i>
    <i r="1">
      <x v="3"/>
    </i>
    <i t="default">
      <x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D462A-601F-4EFF-88B8-2CF1ED6E152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H20" firstHeaderRow="1" firstDataRow="1" firstDataCol="1"/>
  <pivotFields count="32">
    <pivotField showAll="0"/>
    <pivotField numFmtId="165" showAll="0"/>
    <pivotField numFmtId="165"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8" subtotal="average" baseField="7" baseItem="0" numFmtId="1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09BE3-D6F9-42A6-907E-F5E328B6438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0" firstHeaderRow="1" firstDataRow="1" firstDataCol="1"/>
  <pivotFields count="32">
    <pivotField dataField="1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C7074-D1A8-4FA7-A16F-6CC298B6523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32" firstHeaderRow="0" firstDataRow="1" firstDataCol="1"/>
  <pivotFields count="32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11"/>
    <field x="12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6" baseField="0" baseItem="0"/>
    <dataField name="Sum of Calculated_Profit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2D641-8806-403A-902D-9BA1AB029E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02">
        <item x="122"/>
        <item x="811"/>
        <item x="498"/>
        <item x="363"/>
        <item x="177"/>
        <item x="874"/>
        <item x="241"/>
        <item x="267"/>
        <item x="118"/>
        <item x="290"/>
        <item x="748"/>
        <item x="297"/>
        <item x="577"/>
        <item x="114"/>
        <item x="148"/>
        <item x="74"/>
        <item x="858"/>
        <item x="139"/>
        <item x="745"/>
        <item x="897"/>
        <item x="7"/>
        <item x="51"/>
        <item x="450"/>
        <item x="75"/>
        <item x="37"/>
        <item x="589"/>
        <item x="307"/>
        <item x="799"/>
        <item x="264"/>
        <item x="120"/>
        <item x="786"/>
        <item x="665"/>
        <item x="735"/>
        <item x="69"/>
        <item x="391"/>
        <item x="183"/>
        <item x="604"/>
        <item x="445"/>
        <item x="178"/>
        <item x="64"/>
        <item x="320"/>
        <item x="712"/>
        <item x="426"/>
        <item x="79"/>
        <item x="258"/>
        <item x="417"/>
        <item x="49"/>
        <item x="38"/>
        <item x="153"/>
        <item x="233"/>
        <item x="578"/>
        <item x="377"/>
        <item x="368"/>
        <item x="382"/>
        <item x="260"/>
        <item x="80"/>
        <item x="300"/>
        <item x="454"/>
        <item x="219"/>
        <item x="112"/>
        <item x="481"/>
        <item x="306"/>
        <item x="724"/>
        <item x="841"/>
        <item x="585"/>
        <item x="278"/>
        <item x="590"/>
        <item x="666"/>
        <item x="61"/>
        <item x="760"/>
        <item x="344"/>
        <item x="774"/>
        <item x="34"/>
        <item x="582"/>
        <item x="311"/>
        <item x="875"/>
        <item x="678"/>
        <item x="425"/>
        <item x="772"/>
        <item x="90"/>
        <item x="538"/>
        <item x="568"/>
        <item x="73"/>
        <item x="408"/>
        <item x="869"/>
        <item x="125"/>
        <item x="309"/>
        <item x="351"/>
        <item x="362"/>
        <item x="511"/>
        <item x="321"/>
        <item x="464"/>
        <item x="223"/>
        <item x="842"/>
        <item x="106"/>
        <item x="284"/>
        <item x="892"/>
        <item x="531"/>
        <item x="575"/>
        <item x="477"/>
        <item x="359"/>
        <item x="459"/>
        <item x="355"/>
        <item x="551"/>
        <item x="600"/>
        <item x="628"/>
        <item x="614"/>
        <item x="704"/>
        <item x="794"/>
        <item x="859"/>
        <item x="98"/>
        <item x="405"/>
        <item x="115"/>
        <item x="664"/>
        <item x="313"/>
        <item x="105"/>
        <item x="779"/>
        <item x="687"/>
        <item x="608"/>
        <item x="611"/>
        <item x="679"/>
        <item x="835"/>
        <item x="689"/>
        <item x="257"/>
        <item x="683"/>
        <item x="756"/>
        <item x="461"/>
        <item x="199"/>
        <item x="747"/>
        <item x="72"/>
        <item x="385"/>
        <item x="730"/>
        <item x="2"/>
        <item x="229"/>
        <item x="884"/>
        <item x="606"/>
        <item x="293"/>
        <item x="708"/>
        <item x="850"/>
        <item x="619"/>
        <item x="662"/>
        <item x="587"/>
        <item x="394"/>
        <item x="269"/>
        <item x="216"/>
        <item x="504"/>
        <item x="784"/>
        <item x="250"/>
        <item x="554"/>
        <item x="782"/>
        <item x="652"/>
        <item x="530"/>
        <item x="319"/>
        <item x="291"/>
        <item x="822"/>
        <item x="516"/>
        <item x="262"/>
        <item x="93"/>
        <item x="824"/>
        <item x="283"/>
        <item x="673"/>
        <item x="686"/>
        <item x="595"/>
        <item x="94"/>
        <item x="624"/>
        <item x="400"/>
        <item x="167"/>
        <item x="441"/>
        <item x="553"/>
        <item x="52"/>
        <item x="383"/>
        <item x="364"/>
        <item x="483"/>
        <item x="268"/>
        <item x="521"/>
        <item x="67"/>
        <item x="427"/>
        <item x="149"/>
        <item x="328"/>
        <item x="271"/>
        <item x="645"/>
        <item x="680"/>
        <item x="172"/>
        <item x="251"/>
        <item x="4"/>
        <item x="556"/>
        <item x="657"/>
        <item x="442"/>
        <item x="15"/>
        <item x="19"/>
        <item x="410"/>
        <item x="204"/>
        <item x="821"/>
        <item x="829"/>
        <item x="855"/>
        <item x="537"/>
        <item x="806"/>
        <item x="179"/>
        <item x="126"/>
        <item x="843"/>
        <item x="861"/>
        <item x="332"/>
        <item x="50"/>
        <item x="88"/>
        <item x="494"/>
        <item x="845"/>
        <item x="254"/>
        <item x="208"/>
        <item x="698"/>
        <item x="312"/>
        <item x="814"/>
        <item x="407"/>
        <item x="236"/>
        <item x="792"/>
        <item x="263"/>
        <item x="740"/>
        <item x="16"/>
        <item x="440"/>
        <item x="634"/>
        <item x="488"/>
        <item x="26"/>
        <item x="851"/>
        <item x="86"/>
        <item x="17"/>
        <item x="163"/>
        <item x="463"/>
        <item x="175"/>
        <item x="41"/>
        <item x="135"/>
        <item x="317"/>
        <item x="759"/>
        <item x="245"/>
        <item x="642"/>
        <item x="685"/>
        <item x="668"/>
        <item x="111"/>
        <item x="899"/>
        <item x="514"/>
        <item x="798"/>
        <item x="239"/>
        <item x="605"/>
        <item x="688"/>
        <item x="674"/>
        <item x="327"/>
        <item x="318"/>
        <item x="240"/>
        <item x="339"/>
        <item x="507"/>
        <item x="506"/>
        <item x="539"/>
        <item x="419"/>
        <item x="249"/>
        <item x="375"/>
        <item x="667"/>
        <item x="484"/>
        <item x="151"/>
        <item x="873"/>
        <item x="804"/>
        <item x="856"/>
        <item x="893"/>
        <item x="532"/>
        <item x="401"/>
        <item x="752"/>
        <item x="889"/>
        <item x="231"/>
        <item x="281"/>
        <item x="213"/>
        <item x="837"/>
        <item x="876"/>
        <item x="374"/>
        <item x="609"/>
        <item x="270"/>
        <item x="816"/>
        <item x="455"/>
        <item x="676"/>
        <item x="58"/>
        <item x="765"/>
        <item x="85"/>
        <item x="68"/>
        <item x="789"/>
        <item x="805"/>
        <item x="746"/>
        <item x="95"/>
        <item x="492"/>
        <item x="84"/>
        <item x="768"/>
        <item x="453"/>
        <item x="592"/>
        <item x="621"/>
        <item x="762"/>
        <item x="42"/>
        <item x="303"/>
        <item x="709"/>
        <item x="217"/>
        <item x="681"/>
        <item x="8"/>
        <item x="810"/>
        <item x="116"/>
        <item x="155"/>
        <item x="412"/>
        <item x="468"/>
        <item x="76"/>
        <item x="576"/>
        <item x="501"/>
        <item x="47"/>
        <item x="444"/>
        <item x="431"/>
        <item x="831"/>
        <item x="885"/>
        <item x="535"/>
        <item x="439"/>
        <item x="390"/>
        <item x="646"/>
        <item x="852"/>
        <item x="77"/>
        <item x="182"/>
        <item x="159"/>
        <item x="304"/>
        <item x="718"/>
        <item x="275"/>
        <item x="661"/>
        <item x="887"/>
        <item x="65"/>
        <item x="428"/>
        <item x="703"/>
        <item x="437"/>
        <item x="581"/>
        <item x="157"/>
        <item x="706"/>
        <item x="469"/>
        <item x="373"/>
        <item x="310"/>
        <item x="764"/>
        <item x="158"/>
        <item x="388"/>
        <item x="143"/>
        <item x="550"/>
        <item x="40"/>
        <item x="259"/>
        <item x="583"/>
        <item x="485"/>
        <item x="23"/>
        <item x="197"/>
        <item x="573"/>
        <item x="422"/>
        <item x="356"/>
        <item x="365"/>
        <item x="349"/>
        <item x="273"/>
        <item x="505"/>
        <item x="558"/>
        <item x="124"/>
        <item x="103"/>
        <item x="769"/>
        <item x="314"/>
        <item x="104"/>
        <item x="341"/>
        <item x="853"/>
        <item x="519"/>
        <item x="191"/>
        <item x="557"/>
        <item x="145"/>
        <item x="596"/>
        <item x="335"/>
        <item x="308"/>
        <item x="591"/>
        <item x="788"/>
        <item x="215"/>
        <item x="536"/>
        <item x="285"/>
        <item x="487"/>
        <item x="92"/>
        <item x="896"/>
        <item x="671"/>
        <item x="415"/>
        <item x="717"/>
        <item x="737"/>
        <item x="647"/>
        <item x="164"/>
        <item x="372"/>
        <item x="48"/>
        <item x="147"/>
        <item x="141"/>
        <item x="890"/>
        <item x="716"/>
        <item x="137"/>
        <item x="594"/>
        <item x="489"/>
        <item x="211"/>
        <item x="669"/>
        <item x="707"/>
        <item x="203"/>
        <item x="234"/>
        <item x="790"/>
        <item x="232"/>
        <item x="650"/>
        <item x="54"/>
        <item x="496"/>
        <item x="620"/>
        <item x="71"/>
        <item x="870"/>
        <item x="361"/>
        <item x="775"/>
        <item x="566"/>
        <item x="228"/>
        <item x="329"/>
        <item x="598"/>
        <item x="626"/>
        <item x="525"/>
        <item x="160"/>
        <item x="451"/>
        <item x="700"/>
        <item x="235"/>
        <item x="340"/>
        <item x="711"/>
        <item x="500"/>
        <item x="423"/>
        <item x="31"/>
        <item x="497"/>
        <item x="778"/>
        <item x="898"/>
        <item x="256"/>
        <item x="25"/>
        <item x="649"/>
        <item x="879"/>
        <item x="180"/>
        <item x="579"/>
        <item x="509"/>
        <item x="429"/>
        <item x="255"/>
        <item x="187"/>
        <item x="672"/>
        <item x="513"/>
        <item x="460"/>
        <item x="399"/>
        <item x="846"/>
        <item x="1"/>
        <item x="279"/>
        <item x="14"/>
        <item x="569"/>
        <item x="854"/>
        <item x="386"/>
        <item x="161"/>
        <item x="694"/>
        <item x="502"/>
        <item x="456"/>
        <item x="832"/>
        <item x="751"/>
        <item x="169"/>
        <item x="637"/>
        <item x="11"/>
        <item x="891"/>
        <item x="654"/>
        <item x="705"/>
        <item x="640"/>
        <item x="91"/>
        <item x="547"/>
        <item x="350"/>
        <item x="210"/>
        <item x="839"/>
        <item x="795"/>
        <item x="380"/>
        <item x="528"/>
        <item x="658"/>
        <item x="633"/>
        <item x="670"/>
        <item x="796"/>
        <item x="515"/>
        <item x="529"/>
        <item x="221"/>
        <item x="458"/>
        <item x="206"/>
        <item x="882"/>
        <item x="62"/>
        <item x="302"/>
        <item x="392"/>
        <item x="848"/>
        <item x="809"/>
        <item x="418"/>
        <item x="862"/>
        <item x="857"/>
        <item x="613"/>
        <item x="561"/>
        <item x="826"/>
        <item x="495"/>
        <item x="3"/>
        <item x="807"/>
        <item x="207"/>
        <item x="720"/>
        <item x="828"/>
        <item x="343"/>
        <item x="280"/>
        <item x="877"/>
        <item x="801"/>
        <item x="420"/>
        <item x="381"/>
        <item x="248"/>
        <item x="783"/>
        <item x="352"/>
        <item x="697"/>
        <item x="731"/>
        <item x="849"/>
        <item x="588"/>
        <item x="266"/>
        <item x="565"/>
        <item x="736"/>
        <item x="83"/>
        <item x="761"/>
        <item x="109"/>
        <item x="376"/>
        <item x="880"/>
        <item x="651"/>
        <item x="398"/>
        <item x="471"/>
        <item x="823"/>
        <item x="205"/>
        <item x="743"/>
        <item x="593"/>
        <item x="156"/>
        <item x="653"/>
        <item x="714"/>
        <item x="70"/>
        <item x="404"/>
        <item x="108"/>
        <item x="517"/>
        <item x="32"/>
        <item x="773"/>
        <item x="741"/>
        <item x="820"/>
        <item x="403"/>
        <item x="432"/>
        <item x="222"/>
        <item x="21"/>
        <item x="617"/>
        <item x="209"/>
        <item x="110"/>
        <item x="868"/>
        <item x="838"/>
        <item x="224"/>
        <item x="520"/>
        <item x="379"/>
        <item x="508"/>
        <item x="526"/>
        <item x="123"/>
        <item x="102"/>
        <item x="292"/>
        <item x="570"/>
        <item x="6"/>
        <item x="360"/>
        <item x="435"/>
        <item x="244"/>
        <item x="387"/>
        <item x="162"/>
        <item x="296"/>
        <item x="138"/>
        <item x="113"/>
        <item x="830"/>
        <item x="10"/>
        <item x="272"/>
        <item x="406"/>
        <item x="867"/>
        <item x="655"/>
        <item x="490"/>
        <item x="545"/>
        <item x="181"/>
        <item x="563"/>
        <item x="301"/>
        <item x="46"/>
        <item x="449"/>
        <item x="97"/>
        <item x="734"/>
        <item x="225"/>
        <item x="542"/>
        <item x="644"/>
        <item x="342"/>
        <item x="699"/>
        <item x="660"/>
        <item x="766"/>
        <item x="523"/>
        <item x="276"/>
        <item x="323"/>
        <item x="770"/>
        <item x="643"/>
        <item x="184"/>
        <item x="165"/>
        <item x="480"/>
        <item x="448"/>
        <item x="878"/>
        <item x="733"/>
        <item x="66"/>
        <item x="512"/>
        <item x="130"/>
        <item x="345"/>
        <item x="358"/>
        <item x="580"/>
        <item x="757"/>
        <item x="246"/>
        <item x="127"/>
        <item x="176"/>
        <item x="35"/>
        <item x="87"/>
        <item x="287"/>
        <item x="402"/>
        <item x="252"/>
        <item x="128"/>
        <item x="527"/>
        <item x="767"/>
        <item x="635"/>
        <item x="466"/>
        <item x="696"/>
        <item x="803"/>
        <item x="12"/>
        <item x="150"/>
        <item x="409"/>
        <item x="802"/>
        <item x="586"/>
        <item x="474"/>
        <item x="702"/>
        <item x="719"/>
        <item x="194"/>
        <item x="192"/>
        <item x="325"/>
        <item x="424"/>
        <item x="18"/>
        <item x="367"/>
        <item x="548"/>
        <item x="825"/>
        <item x="465"/>
        <item x="411"/>
        <item x="638"/>
        <item x="63"/>
        <item x="625"/>
        <item x="722"/>
        <item x="33"/>
        <item x="134"/>
        <item x="338"/>
        <item x="895"/>
        <item x="597"/>
        <item x="864"/>
        <item x="564"/>
        <item x="572"/>
        <item x="185"/>
        <item x="168"/>
        <item x="170"/>
        <item x="348"/>
        <item x="603"/>
        <item x="243"/>
        <item x="202"/>
        <item x="354"/>
        <item x="101"/>
        <item x="755"/>
        <item x="574"/>
        <item x="89"/>
        <item x="601"/>
        <item x="414"/>
        <item x="13"/>
        <item x="45"/>
        <item x="818"/>
        <item x="817"/>
        <item x="200"/>
        <item x="436"/>
        <item x="725"/>
        <item x="791"/>
        <item x="119"/>
        <item x="22"/>
        <item x="479"/>
        <item x="721"/>
        <item x="24"/>
        <item x="844"/>
        <item x="776"/>
        <item x="771"/>
        <item x="728"/>
        <item x="142"/>
        <item x="656"/>
        <item x="524"/>
        <item x="777"/>
        <item x="836"/>
        <item x="534"/>
        <item x="742"/>
        <item x="622"/>
        <item x="739"/>
        <item x="396"/>
        <item x="371"/>
        <item x="819"/>
        <item x="413"/>
        <item x="140"/>
        <item x="316"/>
        <item x="543"/>
        <item x="630"/>
        <item x="59"/>
        <item x="599"/>
        <item x="131"/>
        <item x="389"/>
        <item x="710"/>
        <item x="675"/>
        <item x="847"/>
        <item x="693"/>
        <item x="632"/>
        <item x="800"/>
        <item x="629"/>
        <item x="552"/>
        <item x="395"/>
        <item x="357"/>
        <item x="446"/>
        <item x="99"/>
        <item x="559"/>
        <item x="186"/>
        <item x="787"/>
        <item x="384"/>
        <item x="196"/>
        <item x="29"/>
        <item x="475"/>
        <item x="171"/>
        <item x="749"/>
        <item x="265"/>
        <item x="347"/>
        <item x="493"/>
        <item x="289"/>
        <item x="833"/>
        <item x="60"/>
        <item x="610"/>
        <item x="36"/>
        <item x="808"/>
        <item x="416"/>
        <item x="659"/>
        <item x="218"/>
        <item x="478"/>
        <item x="881"/>
        <item x="726"/>
        <item x="298"/>
        <item x="713"/>
        <item x="571"/>
        <item x="533"/>
        <item x="277"/>
        <item x="30"/>
        <item x="684"/>
        <item x="198"/>
        <item x="618"/>
        <item x="443"/>
        <item x="274"/>
        <item x="727"/>
        <item x="237"/>
        <item x="430"/>
        <item x="78"/>
        <item x="189"/>
        <item x="146"/>
        <item x="780"/>
        <item x="369"/>
        <item x="326"/>
        <item x="677"/>
        <item x="631"/>
        <item x="812"/>
        <item x="815"/>
        <item x="616"/>
        <item x="336"/>
        <item x="0"/>
        <item x="20"/>
        <item x="541"/>
        <item x="121"/>
        <item x="253"/>
        <item x="193"/>
        <item x="144"/>
        <item x="641"/>
        <item x="331"/>
        <item x="201"/>
        <item x="56"/>
        <item x="758"/>
        <item x="242"/>
        <item x="470"/>
        <item x="738"/>
        <item x="729"/>
        <item x="43"/>
        <item x="813"/>
        <item x="247"/>
        <item x="785"/>
        <item x="663"/>
        <item x="195"/>
        <item x="701"/>
        <item x="793"/>
        <item x="690"/>
        <item x="154"/>
        <item x="334"/>
        <item x="322"/>
        <item x="486"/>
        <item x="136"/>
        <item x="636"/>
        <item x="282"/>
        <item x="173"/>
        <item x="133"/>
        <item x="55"/>
        <item x="370"/>
        <item x="438"/>
        <item x="744"/>
        <item x="433"/>
        <item x="44"/>
        <item x="295"/>
        <item x="472"/>
        <item x="152"/>
        <item x="871"/>
        <item x="732"/>
        <item x="692"/>
        <item x="39"/>
        <item x="883"/>
        <item x="226"/>
        <item x="886"/>
        <item x="333"/>
        <item x="607"/>
        <item x="473"/>
        <item x="627"/>
        <item x="81"/>
        <item x="546"/>
        <item x="555"/>
        <item x="715"/>
        <item x="53"/>
        <item x="315"/>
        <item x="452"/>
        <item x="421"/>
        <item x="894"/>
        <item x="9"/>
        <item x="107"/>
        <item x="560"/>
        <item x="510"/>
        <item x="82"/>
        <item x="562"/>
        <item x="132"/>
        <item x="457"/>
        <item x="220"/>
        <item x="797"/>
        <item x="337"/>
        <item x="462"/>
        <item x="5"/>
        <item x="467"/>
        <item x="476"/>
        <item x="834"/>
        <item x="397"/>
        <item x="863"/>
        <item x="695"/>
        <item x="238"/>
        <item x="482"/>
        <item x="544"/>
        <item x="261"/>
        <item x="584"/>
        <item x="434"/>
        <item x="330"/>
        <item x="353"/>
        <item x="491"/>
        <item x="188"/>
        <item x="682"/>
        <item x="57"/>
        <item x="865"/>
        <item x="781"/>
        <item x="827"/>
        <item x="27"/>
        <item x="840"/>
        <item x="117"/>
        <item x="230"/>
        <item x="227"/>
        <item x="214"/>
        <item x="750"/>
        <item x="754"/>
        <item x="378"/>
        <item x="499"/>
        <item x="393"/>
        <item x="503"/>
        <item x="623"/>
        <item x="174"/>
        <item x="288"/>
        <item x="888"/>
        <item x="28"/>
        <item x="567"/>
        <item x="294"/>
        <item x="324"/>
        <item x="299"/>
        <item x="763"/>
        <item x="100"/>
        <item x="639"/>
        <item x="190"/>
        <item x="540"/>
        <item x="366"/>
        <item x="129"/>
        <item x="346"/>
        <item x="166"/>
        <item x="753"/>
        <item x="305"/>
        <item x="602"/>
        <item x="723"/>
        <item x="518"/>
        <item x="860"/>
        <item x="615"/>
        <item x="549"/>
        <item x="691"/>
        <item x="447"/>
        <item x="286"/>
        <item x="648"/>
        <item x="96"/>
        <item x="872"/>
        <item x="522"/>
        <item x="212"/>
        <item x="612"/>
        <item x="866"/>
        <item x="90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Profit" fld="27" baseField="0" baseItem="0"/>
    <dataField name="Sum of Calculated_sales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000D-0625-48C4-B6B2-021471D0F330}">
  <dimension ref="A1:AF933"/>
  <sheetViews>
    <sheetView tabSelected="1" topLeftCell="Z891" workbookViewId="0">
      <selection activeCell="AB913" sqref="AB913"/>
    </sheetView>
  </sheetViews>
  <sheetFormatPr defaultColWidth="23.6640625" defaultRowHeight="14.4"/>
  <cols>
    <col min="2" max="3" width="23.6640625" style="10"/>
    <col min="4" max="4" width="23.6640625" style="3"/>
  </cols>
  <sheetData>
    <row r="1" spans="1:32">
      <c r="A1" s="1" t="s">
        <v>0</v>
      </c>
      <c r="B1" s="9" t="s">
        <v>1</v>
      </c>
      <c r="C1" s="9" t="s">
        <v>2</v>
      </c>
      <c r="D1" s="2" t="s">
        <v>2763</v>
      </c>
      <c r="E1" s="1" t="s">
        <v>2764</v>
      </c>
      <c r="F1" s="1" t="s">
        <v>3</v>
      </c>
      <c r="G1" s="1" t="s">
        <v>2761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2765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2827</v>
      </c>
      <c r="Z1" s="1" t="s">
        <v>2829</v>
      </c>
      <c r="AA1" s="1" t="s">
        <v>2766</v>
      </c>
      <c r="AB1" s="1" t="s">
        <v>2830</v>
      </c>
      <c r="AC1" s="1" t="s">
        <v>2831</v>
      </c>
      <c r="AD1" s="1" t="s">
        <v>2832</v>
      </c>
      <c r="AE1" s="1" t="s">
        <v>2833</v>
      </c>
      <c r="AF1" s="1" t="s">
        <v>2834</v>
      </c>
    </row>
    <row r="2" spans="1:32">
      <c r="A2" t="s">
        <v>20</v>
      </c>
      <c r="B2" s="10">
        <v>45494</v>
      </c>
      <c r="C2" s="10">
        <v>45500</v>
      </c>
      <c r="D2">
        <f t="shared" ref="D2:D65" si="0">C2-B2</f>
        <v>6</v>
      </c>
      <c r="E2" t="str">
        <f>IF(D2&lt;0,"INVALID","OK")</f>
        <v>OK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8</v>
      </c>
      <c r="Q2">
        <v>2976.45</v>
      </c>
      <c r="R2">
        <v>0.2</v>
      </c>
      <c r="S2" t="str">
        <f>IF(R2&lt;0,"INVALID-NEGATIVE",IF(R2&gt;1,"INVALID-ABOVE","OK"))</f>
        <v>OK</v>
      </c>
      <c r="T2">
        <v>19049.28</v>
      </c>
      <c r="U2">
        <v>15841.89</v>
      </c>
      <c r="V2">
        <v>3207.39</v>
      </c>
      <c r="W2" t="s">
        <v>31</v>
      </c>
      <c r="X2" t="s">
        <v>32</v>
      </c>
      <c r="Y2" t="str">
        <f>IF(COUNTIF($A$2:$A$901,A2)&gt;1,
  IF(COUNTIF($A$2:A2,A2)=1,
    " ORIGINAL",
    "CONFLICTING DUPLICATE - REVIEW"),
"OK")</f>
        <v>OK</v>
      </c>
      <c r="Z2">
        <f>IF(R2&lt;0, 0,
  IF(ISNUMBER(R2), R2,
    IFERROR(VALUE(SUBSTITUTE(R2,"%",""))/100, 0)))</f>
        <v>0.2</v>
      </c>
      <c r="AA2">
        <f>ROUND(P2*Q2*(1-Z2),2)</f>
        <v>19049.28</v>
      </c>
      <c r="AB2">
        <f>ROUND(AA2-U2,2)</f>
        <v>3207.39</v>
      </c>
      <c r="AC2">
        <f>IFERROR(ROUND(AB2/AA2,4),0)</f>
        <v>0.16839999999999999</v>
      </c>
      <c r="AD2">
        <f>IFERROR(MONTH(B2),"INVALID")</f>
        <v>7</v>
      </c>
      <c r="AE2">
        <f>IFERROR(YEAR(B2),"INVALID")</f>
        <v>2024</v>
      </c>
      <c r="AF2" t="str">
        <f>IF(OR(R2&lt;0,NOT(ISNUMBER(R2)),D2&lt;0,W2="Failed"),"INVALID",IF(OR(I2="Unknown",O2="Unknown",R2&gt;1,AA2&lt;0),"WARNING","CLEAN"))</f>
        <v>CLEAN</v>
      </c>
    </row>
    <row r="3" spans="1:32">
      <c r="A3" t="s">
        <v>33</v>
      </c>
      <c r="B3" s="10">
        <v>45535</v>
      </c>
      <c r="C3" s="10">
        <v>45540</v>
      </c>
      <c r="D3">
        <f t="shared" si="0"/>
        <v>5</v>
      </c>
      <c r="E3" t="str">
        <f t="shared" ref="E3:E65" si="1">IF(D3&lt;0,"INVALID","OK")</f>
        <v>OK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>
        <v>3</v>
      </c>
      <c r="Q3">
        <v>2437.5</v>
      </c>
      <c r="R3">
        <v>0</v>
      </c>
      <c r="S3" t="str">
        <f t="shared" ref="S3:S66" si="2">IF(R3&lt;0,"INVALID-NEGATIVE",IF(R3&gt;1,"INVALID-ABOVE","OK"))</f>
        <v>OK</v>
      </c>
      <c r="T3">
        <v>7312.5</v>
      </c>
      <c r="U3">
        <v>4904.7299999999996</v>
      </c>
      <c r="V3">
        <v>2407.77</v>
      </c>
      <c r="W3" t="s">
        <v>31</v>
      </c>
      <c r="X3" t="s">
        <v>32</v>
      </c>
      <c r="Y3" t="str">
        <f>IF(COUNTIF($A$2:$A$901,A3)&gt;1,
  IF(COUNTIF($A$2:A3,A3)=1,
    " ORIGINAL",
    "CONFLICTING DUPLICATE - REVIEW"),
"OK")</f>
        <v>OK</v>
      </c>
      <c r="Z3">
        <f t="shared" ref="Z3:Z66" si="3">IF(R3&lt;0, 0,
  IF(ISNUMBER(R3), R3,
    IFERROR(VALUE(SUBSTITUTE(R3,"%",""))/100, 0)))</f>
        <v>0</v>
      </c>
      <c r="AA3">
        <f t="shared" ref="AA3:AA66" si="4">ROUND(P3*Q3*(1-Z3),2)</f>
        <v>7312.5</v>
      </c>
      <c r="AB3">
        <f t="shared" ref="AB3:AB66" si="5">ROUND(AA3-U3,2)</f>
        <v>2407.77</v>
      </c>
      <c r="AC3">
        <f t="shared" ref="AC3:AC66" si="6">IFERROR(ROUND(AB3/AA3,4),0)</f>
        <v>0.32929999999999998</v>
      </c>
      <c r="AD3">
        <f>IFERROR(MONTH(B3),"INVALID")</f>
        <v>8</v>
      </c>
      <c r="AE3">
        <f t="shared" ref="AE3:AE66" si="7">IFERROR(YEAR(B3),"INVALID")</f>
        <v>2024</v>
      </c>
      <c r="AF3" t="str">
        <f t="shared" ref="AF3:AF66" si="8">IF(OR(R3&lt;0,NOT(ISNUMBER(R3)),D3&lt;0,W3="Failed"),"INVALID",IF(OR(I3="Unknown",O3="Unknown",R3&gt;1,AA3&lt;0),"WARNING","CLEAN"))</f>
        <v>CLEAN</v>
      </c>
    </row>
    <row r="4" spans="1:32">
      <c r="A4" t="s">
        <v>44</v>
      </c>
      <c r="B4" s="10">
        <v>45451</v>
      </c>
      <c r="C4" s="10">
        <v>45458</v>
      </c>
      <c r="D4">
        <f t="shared" si="0"/>
        <v>7</v>
      </c>
      <c r="E4" t="str">
        <f t="shared" si="1"/>
        <v>OK</v>
      </c>
      <c r="F4" t="s">
        <v>45</v>
      </c>
      <c r="G4" t="s">
        <v>46</v>
      </c>
      <c r="H4" t="s">
        <v>23</v>
      </c>
      <c r="I4" t="s">
        <v>37</v>
      </c>
      <c r="J4" t="s">
        <v>38</v>
      </c>
      <c r="K4" t="s">
        <v>39</v>
      </c>
      <c r="L4" t="s">
        <v>27</v>
      </c>
      <c r="M4" t="s">
        <v>47</v>
      </c>
      <c r="N4" t="s">
        <v>48</v>
      </c>
      <c r="O4" t="s">
        <v>49</v>
      </c>
      <c r="P4">
        <v>4</v>
      </c>
      <c r="Q4">
        <v>1065.43</v>
      </c>
      <c r="R4">
        <v>0.55000000000000004</v>
      </c>
      <c r="S4" t="str">
        <f t="shared" si="2"/>
        <v>OK</v>
      </c>
      <c r="T4">
        <v>4261.72</v>
      </c>
      <c r="U4">
        <v>2465.69</v>
      </c>
      <c r="V4">
        <v>1796.03</v>
      </c>
      <c r="W4" t="s">
        <v>31</v>
      </c>
      <c r="X4" t="s">
        <v>32</v>
      </c>
      <c r="Y4" t="str">
        <f>IF(COUNTIF($A$2:$A$901,A4)&gt;1,
  IF(COUNTIF($A$2:A4,A4)=1,
    " ORIGINAL",
    "CONFLICTING DUPLICATE - REVIEW"),
"OK")</f>
        <v>OK</v>
      </c>
      <c r="Z4">
        <f t="shared" si="3"/>
        <v>0.55000000000000004</v>
      </c>
      <c r="AA4">
        <f t="shared" si="4"/>
        <v>1917.77</v>
      </c>
      <c r="AB4">
        <f t="shared" si="5"/>
        <v>-547.91999999999996</v>
      </c>
      <c r="AC4">
        <f t="shared" si="6"/>
        <v>-0.28570000000000001</v>
      </c>
      <c r="AD4">
        <f t="shared" ref="AD4:AD66" si="9">IFERROR(MONTH(B4),"INVALID")</f>
        <v>6</v>
      </c>
      <c r="AE4">
        <f t="shared" si="7"/>
        <v>2024</v>
      </c>
      <c r="AF4" t="str">
        <f t="shared" si="8"/>
        <v>CLEAN</v>
      </c>
    </row>
    <row r="5" spans="1:32">
      <c r="A5" t="s">
        <v>50</v>
      </c>
      <c r="B5" s="10">
        <v>45624</v>
      </c>
      <c r="C5" s="10">
        <v>45625</v>
      </c>
      <c r="D5">
        <f t="shared" si="0"/>
        <v>1</v>
      </c>
      <c r="E5" t="str">
        <f t="shared" si="1"/>
        <v>OK</v>
      </c>
      <c r="F5" t="s">
        <v>51</v>
      </c>
      <c r="G5" t="s">
        <v>52</v>
      </c>
      <c r="H5" t="s">
        <v>36</v>
      </c>
      <c r="I5" t="s">
        <v>53</v>
      </c>
      <c r="J5" t="s">
        <v>54</v>
      </c>
      <c r="K5" t="s">
        <v>55</v>
      </c>
      <c r="L5" t="s">
        <v>40</v>
      </c>
      <c r="M5" t="s">
        <v>56</v>
      </c>
      <c r="N5" t="s">
        <v>57</v>
      </c>
      <c r="O5" t="s">
        <v>58</v>
      </c>
      <c r="P5">
        <v>6</v>
      </c>
      <c r="Q5">
        <v>1848.43</v>
      </c>
      <c r="R5">
        <v>0.25</v>
      </c>
      <c r="S5" t="str">
        <f t="shared" si="2"/>
        <v>OK</v>
      </c>
      <c r="T5">
        <v>8317.93</v>
      </c>
      <c r="U5">
        <v>6796.77</v>
      </c>
      <c r="V5">
        <v>1521.16</v>
      </c>
      <c r="W5" t="s">
        <v>31</v>
      </c>
      <c r="X5" t="s">
        <v>32</v>
      </c>
      <c r="Y5" t="str">
        <f>IF(COUNTIF($A$2:$A$901,A5)&gt;1,
  IF(COUNTIF($A$2:A5,A5)=1,
    " ORIGINAL",
    "CONFLICTING DUPLICATE - REVIEW"),
"OK")</f>
        <v>OK</v>
      </c>
      <c r="Z5">
        <f t="shared" si="3"/>
        <v>0.25</v>
      </c>
      <c r="AA5">
        <f t="shared" si="4"/>
        <v>8317.94</v>
      </c>
      <c r="AB5">
        <f t="shared" si="5"/>
        <v>1521.17</v>
      </c>
      <c r="AC5">
        <f t="shared" si="6"/>
        <v>0.18290000000000001</v>
      </c>
      <c r="AD5">
        <f t="shared" si="9"/>
        <v>11</v>
      </c>
      <c r="AE5">
        <f t="shared" si="7"/>
        <v>2024</v>
      </c>
      <c r="AF5" t="str">
        <f t="shared" si="8"/>
        <v>CLEAN</v>
      </c>
    </row>
    <row r="6" spans="1:32">
      <c r="A6" t="s">
        <v>68</v>
      </c>
      <c r="B6" s="10">
        <v>45436</v>
      </c>
      <c r="C6" s="10">
        <v>45440</v>
      </c>
      <c r="D6">
        <f t="shared" si="0"/>
        <v>4</v>
      </c>
      <c r="E6" t="str">
        <f t="shared" si="1"/>
        <v>OK</v>
      </c>
      <c r="F6" t="s">
        <v>69</v>
      </c>
      <c r="G6" t="s">
        <v>70</v>
      </c>
      <c r="H6" t="s">
        <v>36</v>
      </c>
      <c r="I6" t="s">
        <v>62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43</v>
      </c>
      <c r="P6">
        <v>3</v>
      </c>
      <c r="Q6">
        <v>1053.1099999999999</v>
      </c>
      <c r="R6">
        <v>0.2</v>
      </c>
      <c r="S6" t="str">
        <f t="shared" si="2"/>
        <v>OK</v>
      </c>
      <c r="T6">
        <v>2527.46</v>
      </c>
      <c r="U6">
        <v>1533.58</v>
      </c>
      <c r="V6">
        <v>993.88</v>
      </c>
      <c r="W6" t="s">
        <v>31</v>
      </c>
      <c r="X6" t="s">
        <v>32</v>
      </c>
      <c r="Y6" t="str">
        <f>IF(COUNTIF($A$2:$A$901,A6)&gt;1,
  IF(COUNTIF($A$2:A6,A6)=1,
    " ORIGINAL",
    "CONFLICTING DUPLICATE - REVIEW"),
"OK")</f>
        <v>OK</v>
      </c>
      <c r="Z6">
        <f t="shared" si="3"/>
        <v>0.2</v>
      </c>
      <c r="AA6">
        <f t="shared" si="4"/>
        <v>2527.46</v>
      </c>
      <c r="AB6">
        <f t="shared" si="5"/>
        <v>993.88</v>
      </c>
      <c r="AC6">
        <f t="shared" si="6"/>
        <v>0.39319999999999999</v>
      </c>
      <c r="AD6">
        <f t="shared" si="9"/>
        <v>5</v>
      </c>
      <c r="AE6">
        <f t="shared" si="7"/>
        <v>2024</v>
      </c>
      <c r="AF6" t="str">
        <f t="shared" si="8"/>
        <v>CLEAN</v>
      </c>
    </row>
    <row r="7" spans="1:32">
      <c r="A7" t="s">
        <v>86</v>
      </c>
      <c r="B7" s="10">
        <v>45601</v>
      </c>
      <c r="C7" s="10">
        <v>45606</v>
      </c>
      <c r="D7">
        <f t="shared" si="0"/>
        <v>5</v>
      </c>
      <c r="E7" t="str">
        <f t="shared" si="1"/>
        <v>OK</v>
      </c>
      <c r="F7" t="s">
        <v>87</v>
      </c>
      <c r="G7" t="s">
        <v>88</v>
      </c>
      <c r="H7" t="s">
        <v>89</v>
      </c>
      <c r="I7" t="s">
        <v>53</v>
      </c>
      <c r="J7" t="s">
        <v>54</v>
      </c>
      <c r="K7" t="s">
        <v>55</v>
      </c>
      <c r="L7" t="s">
        <v>27</v>
      </c>
      <c r="M7" t="s">
        <v>90</v>
      </c>
      <c r="N7" t="s">
        <v>91</v>
      </c>
      <c r="O7" t="s">
        <v>49</v>
      </c>
      <c r="P7">
        <v>8</v>
      </c>
      <c r="Q7">
        <v>3134.2</v>
      </c>
      <c r="R7">
        <v>0</v>
      </c>
      <c r="S7" t="str">
        <f t="shared" si="2"/>
        <v>OK</v>
      </c>
      <c r="T7">
        <v>25073.599999999999</v>
      </c>
      <c r="U7">
        <v>17347.23</v>
      </c>
      <c r="V7">
        <v>7726.37</v>
      </c>
      <c r="W7" t="s">
        <v>31</v>
      </c>
      <c r="X7" t="s">
        <v>32</v>
      </c>
      <c r="Y7" t="str">
        <f>IF(COUNTIF($A$2:$A$901,A7)&gt;1,
  IF(COUNTIF($A$2:A7,A7)=1,
    " ORIGINAL",
    "CONFLICTING DUPLICATE - REVIEW"),
"OK")</f>
        <v>OK</v>
      </c>
      <c r="Z7">
        <f t="shared" si="3"/>
        <v>0</v>
      </c>
      <c r="AA7">
        <f t="shared" si="4"/>
        <v>25073.599999999999</v>
      </c>
      <c r="AB7">
        <f t="shared" si="5"/>
        <v>7726.37</v>
      </c>
      <c r="AC7">
        <f t="shared" si="6"/>
        <v>0.30809999999999998</v>
      </c>
      <c r="AD7">
        <f t="shared" si="9"/>
        <v>11</v>
      </c>
      <c r="AE7">
        <f t="shared" si="7"/>
        <v>2024</v>
      </c>
      <c r="AF7" t="str">
        <f t="shared" si="8"/>
        <v>CLEAN</v>
      </c>
    </row>
    <row r="8" spans="1:32">
      <c r="A8" t="s">
        <v>103</v>
      </c>
      <c r="B8" s="10">
        <v>45495</v>
      </c>
      <c r="C8" s="10">
        <v>45496</v>
      </c>
      <c r="D8">
        <f t="shared" si="0"/>
        <v>1</v>
      </c>
      <c r="E8" t="str">
        <f t="shared" si="1"/>
        <v>OK</v>
      </c>
      <c r="F8" t="s">
        <v>104</v>
      </c>
      <c r="G8" t="s">
        <v>70</v>
      </c>
      <c r="H8" t="s">
        <v>36</v>
      </c>
      <c r="I8" t="s">
        <v>37</v>
      </c>
      <c r="J8" t="s">
        <v>38</v>
      </c>
      <c r="K8" t="s">
        <v>39</v>
      </c>
      <c r="L8" t="s">
        <v>73</v>
      </c>
      <c r="M8" t="s">
        <v>74</v>
      </c>
      <c r="N8" t="s">
        <v>105</v>
      </c>
      <c r="O8" t="s">
        <v>43</v>
      </c>
      <c r="P8">
        <v>6</v>
      </c>
      <c r="Q8">
        <v>2005.95</v>
      </c>
      <c r="R8">
        <v>0.2</v>
      </c>
      <c r="S8" t="str">
        <f t="shared" si="2"/>
        <v>OK</v>
      </c>
      <c r="T8">
        <v>9628.56</v>
      </c>
      <c r="U8">
        <v>8038.59</v>
      </c>
      <c r="V8">
        <v>1589.97</v>
      </c>
      <c r="W8" t="s">
        <v>31</v>
      </c>
      <c r="X8" t="s">
        <v>32</v>
      </c>
      <c r="Y8" t="str">
        <f>IF(COUNTIF($A$2:$A$901,A8)&gt;1,
  IF(COUNTIF($A$2:A8,A8)=1,
    " ORIGINAL",
    "CONFLICTING DUPLICATE - REVIEW"),
"OK")</f>
        <v>OK</v>
      </c>
      <c r="Z8">
        <f t="shared" si="3"/>
        <v>0.2</v>
      </c>
      <c r="AA8">
        <f t="shared" si="4"/>
        <v>9628.56</v>
      </c>
      <c r="AB8">
        <f t="shared" si="5"/>
        <v>1589.97</v>
      </c>
      <c r="AC8">
        <f t="shared" si="6"/>
        <v>0.1651</v>
      </c>
      <c r="AD8">
        <f t="shared" si="9"/>
        <v>7</v>
      </c>
      <c r="AE8">
        <f t="shared" si="7"/>
        <v>2024</v>
      </c>
      <c r="AF8" t="str">
        <f t="shared" si="8"/>
        <v>CLEAN</v>
      </c>
    </row>
    <row r="9" spans="1:32">
      <c r="A9" t="s">
        <v>106</v>
      </c>
      <c r="B9" s="10">
        <v>45646</v>
      </c>
      <c r="C9" s="10">
        <v>45647</v>
      </c>
      <c r="D9">
        <f t="shared" si="0"/>
        <v>1</v>
      </c>
      <c r="E9" t="str">
        <f t="shared" si="1"/>
        <v>OK</v>
      </c>
      <c r="F9" t="s">
        <v>107</v>
      </c>
      <c r="G9" t="s">
        <v>61</v>
      </c>
      <c r="H9" t="s">
        <v>89</v>
      </c>
      <c r="I9" t="s">
        <v>62</v>
      </c>
      <c r="J9" t="s">
        <v>25</v>
      </c>
      <c r="K9" t="s">
        <v>108</v>
      </c>
      <c r="L9" t="s">
        <v>27</v>
      </c>
      <c r="M9" t="s">
        <v>28</v>
      </c>
      <c r="N9" t="s">
        <v>109</v>
      </c>
      <c r="O9" t="s">
        <v>49</v>
      </c>
      <c r="P9">
        <v>1</v>
      </c>
      <c r="Q9">
        <v>702.14</v>
      </c>
      <c r="R9">
        <v>0.15</v>
      </c>
      <c r="S9" t="str">
        <f t="shared" si="2"/>
        <v>OK</v>
      </c>
      <c r="T9">
        <v>596.82000000000005</v>
      </c>
      <c r="U9">
        <v>380.25</v>
      </c>
      <c r="V9">
        <v>216.57</v>
      </c>
      <c r="W9" t="s">
        <v>110</v>
      </c>
      <c r="X9" t="s">
        <v>102</v>
      </c>
      <c r="Y9" t="str">
        <f>IF(COUNTIF($A$2:$A$901,A9)&gt;1,
  IF(COUNTIF($A$2:A9,A9)=1,
    " ORIGINAL",
    "CONFLICTING DUPLICATE - REVIEW"),
"OK")</f>
        <v>OK</v>
      </c>
      <c r="Z9">
        <f t="shared" si="3"/>
        <v>0.15</v>
      </c>
      <c r="AA9">
        <f t="shared" si="4"/>
        <v>596.82000000000005</v>
      </c>
      <c r="AB9">
        <f t="shared" si="5"/>
        <v>216.57</v>
      </c>
      <c r="AC9">
        <f t="shared" si="6"/>
        <v>0.3629</v>
      </c>
      <c r="AD9">
        <f t="shared" si="9"/>
        <v>12</v>
      </c>
      <c r="AE9">
        <f t="shared" si="7"/>
        <v>2024</v>
      </c>
      <c r="AF9" t="str">
        <f t="shared" si="8"/>
        <v>CLEAN</v>
      </c>
    </row>
    <row r="10" spans="1:32">
      <c r="A10" t="s">
        <v>115</v>
      </c>
      <c r="B10" s="10">
        <v>45653</v>
      </c>
      <c r="C10" s="10">
        <v>45654</v>
      </c>
      <c r="D10">
        <f t="shared" si="0"/>
        <v>1</v>
      </c>
      <c r="E10" t="str">
        <f t="shared" si="1"/>
        <v>OK</v>
      </c>
      <c r="F10" t="s">
        <v>116</v>
      </c>
      <c r="G10" t="s">
        <v>117</v>
      </c>
      <c r="H10" t="s">
        <v>23</v>
      </c>
      <c r="I10" t="s">
        <v>62</v>
      </c>
      <c r="J10" t="s">
        <v>25</v>
      </c>
      <c r="K10" t="s">
        <v>108</v>
      </c>
      <c r="L10" t="s">
        <v>73</v>
      </c>
      <c r="M10" t="s">
        <v>79</v>
      </c>
      <c r="N10" t="s">
        <v>118</v>
      </c>
      <c r="O10" t="s">
        <v>58</v>
      </c>
      <c r="P10">
        <v>2</v>
      </c>
      <c r="Q10">
        <v>2737.83</v>
      </c>
      <c r="R10">
        <v>0.25</v>
      </c>
      <c r="S10" t="str">
        <f t="shared" si="2"/>
        <v>OK</v>
      </c>
      <c r="T10">
        <v>4106.74</v>
      </c>
      <c r="U10">
        <v>2666.3</v>
      </c>
      <c r="V10">
        <v>1440.44</v>
      </c>
      <c r="W10" t="s">
        <v>31</v>
      </c>
      <c r="X10" t="s">
        <v>32</v>
      </c>
      <c r="Y10" t="str">
        <f>IF(COUNTIF($A$2:$A$901,A10)&gt;1,
  IF(COUNTIF($A$2:A10,A10)=1,
    " ORIGINAL",
    "CONFLICTING DUPLICATE - REVIEW"),
"OK")</f>
        <v>OK</v>
      </c>
      <c r="Z10">
        <f t="shared" si="3"/>
        <v>0.25</v>
      </c>
      <c r="AA10">
        <f t="shared" si="4"/>
        <v>4106.75</v>
      </c>
      <c r="AB10">
        <f t="shared" si="5"/>
        <v>1440.45</v>
      </c>
      <c r="AC10">
        <f t="shared" si="6"/>
        <v>0.3508</v>
      </c>
      <c r="AD10">
        <f t="shared" si="9"/>
        <v>12</v>
      </c>
      <c r="AE10">
        <f t="shared" si="7"/>
        <v>2024</v>
      </c>
      <c r="AF10" t="str">
        <f t="shared" si="8"/>
        <v>CLEAN</v>
      </c>
    </row>
    <row r="11" spans="1:32">
      <c r="A11" t="s">
        <v>119</v>
      </c>
      <c r="B11" s="10">
        <v>45482</v>
      </c>
      <c r="C11" s="10">
        <v>45482</v>
      </c>
      <c r="D11">
        <f t="shared" si="0"/>
        <v>0</v>
      </c>
      <c r="E11" t="str">
        <f t="shared" si="1"/>
        <v>OK</v>
      </c>
      <c r="F11" t="s">
        <v>120</v>
      </c>
      <c r="G11" t="s">
        <v>22</v>
      </c>
      <c r="H11" t="s">
        <v>36</v>
      </c>
      <c r="I11" t="s">
        <v>24</v>
      </c>
      <c r="J11" t="s">
        <v>121</v>
      </c>
      <c r="K11" t="s">
        <v>122</v>
      </c>
      <c r="L11" t="s">
        <v>27</v>
      </c>
      <c r="M11" t="s">
        <v>123</v>
      </c>
      <c r="N11" t="s">
        <v>124</v>
      </c>
      <c r="O11" t="s">
        <v>30</v>
      </c>
      <c r="P11">
        <v>6</v>
      </c>
      <c r="Q11">
        <v>3965.76</v>
      </c>
      <c r="R11">
        <v>0</v>
      </c>
      <c r="S11" t="str">
        <f t="shared" si="2"/>
        <v>OK</v>
      </c>
      <c r="T11">
        <v>23794.560000000001</v>
      </c>
      <c r="U11">
        <v>15698.47</v>
      </c>
      <c r="V11">
        <v>8096.09</v>
      </c>
      <c r="W11" t="s">
        <v>31</v>
      </c>
      <c r="X11" t="s">
        <v>32</v>
      </c>
      <c r="Y11" t="str">
        <f>IF(COUNTIF($A$2:$A$901,A11)&gt;1,
  IF(COUNTIF($A$2:A11,A11)=1,
    " ORIGINAL",
    "CONFLICTING DUPLICATE - REVIEW"),
"OK")</f>
        <v>OK</v>
      </c>
      <c r="Z11">
        <f t="shared" si="3"/>
        <v>0</v>
      </c>
      <c r="AA11">
        <f t="shared" si="4"/>
        <v>23794.560000000001</v>
      </c>
      <c r="AB11">
        <f t="shared" si="5"/>
        <v>8096.09</v>
      </c>
      <c r="AC11">
        <f t="shared" si="6"/>
        <v>0.3402</v>
      </c>
      <c r="AD11">
        <f t="shared" si="9"/>
        <v>7</v>
      </c>
      <c r="AE11">
        <f t="shared" si="7"/>
        <v>2024</v>
      </c>
      <c r="AF11" t="str">
        <f t="shared" si="8"/>
        <v>CLEAN</v>
      </c>
    </row>
    <row r="12" spans="1:32">
      <c r="A12" t="s">
        <v>125</v>
      </c>
      <c r="B12" s="10">
        <v>45420</v>
      </c>
      <c r="C12" s="10">
        <v>45427</v>
      </c>
      <c r="D12">
        <f t="shared" si="0"/>
        <v>7</v>
      </c>
      <c r="E12" t="str">
        <f t="shared" si="1"/>
        <v>OK</v>
      </c>
      <c r="F12" t="s">
        <v>126</v>
      </c>
      <c r="G12" t="s">
        <v>127</v>
      </c>
      <c r="H12" t="s">
        <v>23</v>
      </c>
      <c r="I12" t="s">
        <v>53</v>
      </c>
      <c r="J12" t="s">
        <v>54</v>
      </c>
      <c r="K12" t="s">
        <v>55</v>
      </c>
      <c r="L12" t="s">
        <v>27</v>
      </c>
      <c r="M12" t="s">
        <v>47</v>
      </c>
      <c r="N12" t="s">
        <v>128</v>
      </c>
      <c r="O12" t="s">
        <v>49</v>
      </c>
      <c r="P12">
        <v>4</v>
      </c>
      <c r="Q12">
        <v>3323.51</v>
      </c>
      <c r="R12">
        <v>0.25</v>
      </c>
      <c r="S12" t="str">
        <f t="shared" si="2"/>
        <v>OK</v>
      </c>
      <c r="T12">
        <v>9970.5300000000007</v>
      </c>
      <c r="U12">
        <v>5668.17</v>
      </c>
      <c r="V12">
        <v>4302.3599999999997</v>
      </c>
      <c r="W12" t="s">
        <v>31</v>
      </c>
      <c r="X12" t="s">
        <v>32</v>
      </c>
      <c r="Y12" t="str">
        <f>IF(COUNTIF($A$2:$A$901,A12)&gt;1,
  IF(COUNTIF($A$2:A12,A12)=1,
    " ORIGINAL",
    "CONFLICTING DUPLICATE - REVIEW"),
"OK")</f>
        <v>OK</v>
      </c>
      <c r="Z12">
        <f t="shared" si="3"/>
        <v>0.25</v>
      </c>
      <c r="AA12">
        <f t="shared" si="4"/>
        <v>9970.5300000000007</v>
      </c>
      <c r="AB12">
        <f t="shared" si="5"/>
        <v>4302.3599999999997</v>
      </c>
      <c r="AC12">
        <f t="shared" si="6"/>
        <v>0.43149999999999999</v>
      </c>
      <c r="AD12">
        <f t="shared" si="9"/>
        <v>5</v>
      </c>
      <c r="AE12">
        <f t="shared" si="7"/>
        <v>2024</v>
      </c>
      <c r="AF12" t="str">
        <f t="shared" si="8"/>
        <v>CLEAN</v>
      </c>
    </row>
    <row r="13" spans="1:32">
      <c r="A13" t="s">
        <v>129</v>
      </c>
      <c r="B13" s="10">
        <v>45298</v>
      </c>
      <c r="C13" s="10">
        <v>45299</v>
      </c>
      <c r="D13">
        <f t="shared" si="0"/>
        <v>1</v>
      </c>
      <c r="E13" t="str">
        <f t="shared" si="1"/>
        <v>OK</v>
      </c>
      <c r="F13" t="s">
        <v>130</v>
      </c>
      <c r="G13" t="s">
        <v>131</v>
      </c>
      <c r="H13" t="s">
        <v>36</v>
      </c>
      <c r="I13" t="s">
        <v>24</v>
      </c>
      <c r="J13" t="s">
        <v>25</v>
      </c>
      <c r="K13" t="s">
        <v>26</v>
      </c>
      <c r="L13" t="s">
        <v>40</v>
      </c>
      <c r="M13" t="s">
        <v>56</v>
      </c>
      <c r="N13" t="s">
        <v>132</v>
      </c>
      <c r="O13" t="s">
        <v>43</v>
      </c>
      <c r="P13">
        <v>5</v>
      </c>
      <c r="Q13">
        <v>1526.78</v>
      </c>
      <c r="R13">
        <v>0</v>
      </c>
      <c r="S13" t="str">
        <f t="shared" si="2"/>
        <v>OK</v>
      </c>
      <c r="T13">
        <v>7633.9</v>
      </c>
      <c r="U13">
        <v>4706.91</v>
      </c>
      <c r="V13">
        <v>2926.99</v>
      </c>
      <c r="W13" t="s">
        <v>31</v>
      </c>
      <c r="X13" t="s">
        <v>32</v>
      </c>
      <c r="Y13" t="str">
        <f>IF(COUNTIF($A$2:$A$901,A13)&gt;1,
  IF(COUNTIF($A$2:A13,A13)=1,
    " ORIGINAL",
    "CONFLICTING DUPLICATE - REVIEW"),
"OK")</f>
        <v>OK</v>
      </c>
      <c r="Z13">
        <f t="shared" si="3"/>
        <v>0</v>
      </c>
      <c r="AA13">
        <f t="shared" si="4"/>
        <v>7633.9</v>
      </c>
      <c r="AB13">
        <f t="shared" si="5"/>
        <v>2926.99</v>
      </c>
      <c r="AC13">
        <f t="shared" si="6"/>
        <v>0.38340000000000002</v>
      </c>
      <c r="AD13">
        <f t="shared" si="9"/>
        <v>1</v>
      </c>
      <c r="AE13">
        <f t="shared" si="7"/>
        <v>2024</v>
      </c>
      <c r="AF13" t="str">
        <f t="shared" si="8"/>
        <v>CLEAN</v>
      </c>
    </row>
    <row r="14" spans="1:32">
      <c r="A14" t="s">
        <v>138</v>
      </c>
      <c r="B14" s="10">
        <v>45500</v>
      </c>
      <c r="C14" s="10">
        <v>45504</v>
      </c>
      <c r="D14">
        <f t="shared" si="0"/>
        <v>4</v>
      </c>
      <c r="E14" t="str">
        <f t="shared" si="1"/>
        <v>OK</v>
      </c>
      <c r="F14" t="s">
        <v>139</v>
      </c>
      <c r="G14" t="s">
        <v>140</v>
      </c>
      <c r="H14" t="s">
        <v>94</v>
      </c>
      <c r="I14" t="s">
        <v>62</v>
      </c>
      <c r="J14" t="s">
        <v>71</v>
      </c>
      <c r="K14" t="s">
        <v>72</v>
      </c>
      <c r="L14" t="s">
        <v>27</v>
      </c>
      <c r="M14" t="s">
        <v>123</v>
      </c>
      <c r="N14" t="s">
        <v>141</v>
      </c>
      <c r="O14" t="s">
        <v>30</v>
      </c>
      <c r="P14">
        <v>3</v>
      </c>
      <c r="Q14">
        <v>3887.94</v>
      </c>
      <c r="R14">
        <v>-0.19</v>
      </c>
      <c r="S14" t="str">
        <f t="shared" si="2"/>
        <v>INVALID-NEGATIVE</v>
      </c>
      <c r="T14">
        <v>9331.06</v>
      </c>
      <c r="U14">
        <v>7529.31</v>
      </c>
      <c r="V14">
        <v>1801.75</v>
      </c>
      <c r="W14" t="s">
        <v>31</v>
      </c>
      <c r="X14" t="s">
        <v>32</v>
      </c>
      <c r="Y14" t="str">
        <f>IF(COUNTIF($A$2:$A$901,A14)&gt;1,
  IF(COUNTIF($A$2:A14,A14)=1,
    " ORIGINAL",
    "CONFLICTING DUPLICATE - REVIEW"),
"OK")</f>
        <v>OK</v>
      </c>
      <c r="Z14">
        <f t="shared" si="3"/>
        <v>0</v>
      </c>
      <c r="AA14">
        <f t="shared" si="4"/>
        <v>11663.82</v>
      </c>
      <c r="AB14">
        <f t="shared" si="5"/>
        <v>4134.51</v>
      </c>
      <c r="AC14">
        <f t="shared" si="6"/>
        <v>0.35449999999999998</v>
      </c>
      <c r="AD14">
        <f t="shared" si="9"/>
        <v>7</v>
      </c>
      <c r="AE14">
        <f t="shared" si="7"/>
        <v>2024</v>
      </c>
      <c r="AF14" t="str">
        <f t="shared" si="8"/>
        <v>INVALID</v>
      </c>
    </row>
    <row r="15" spans="1:32">
      <c r="A15" t="s">
        <v>159</v>
      </c>
      <c r="B15" s="10">
        <v>45355</v>
      </c>
      <c r="C15" s="10">
        <v>45352</v>
      </c>
      <c r="D15">
        <f t="shared" si="0"/>
        <v>-3</v>
      </c>
      <c r="E15" t="str">
        <f t="shared" si="1"/>
        <v>INVALID</v>
      </c>
      <c r="F15" t="s">
        <v>160</v>
      </c>
      <c r="G15" t="s">
        <v>161</v>
      </c>
      <c r="H15" t="s">
        <v>23</v>
      </c>
      <c r="I15" t="s">
        <v>24</v>
      </c>
      <c r="J15" t="s">
        <v>121</v>
      </c>
      <c r="K15" t="s">
        <v>122</v>
      </c>
      <c r="L15" t="s">
        <v>27</v>
      </c>
      <c r="M15" t="s">
        <v>47</v>
      </c>
      <c r="N15" t="s">
        <v>162</v>
      </c>
      <c r="O15" t="s">
        <v>58</v>
      </c>
      <c r="P15">
        <v>4</v>
      </c>
      <c r="Q15">
        <v>4492.9399999999996</v>
      </c>
      <c r="R15">
        <v>0.25</v>
      </c>
      <c r="S15" t="str">
        <f t="shared" si="2"/>
        <v>OK</v>
      </c>
      <c r="T15">
        <v>13478.82</v>
      </c>
      <c r="U15">
        <v>10937.35</v>
      </c>
      <c r="V15">
        <v>2541.4699999999998</v>
      </c>
      <c r="W15" t="s">
        <v>110</v>
      </c>
      <c r="X15" t="s">
        <v>67</v>
      </c>
      <c r="Y15" t="str">
        <f>IF(COUNTIF($A$2:$A$901,A15)&gt;1,
  IF(COUNTIF($A$2:A15,A15)=1,
    " ORIGINAL",
    "CONFLICTING DUPLICATE - REVIEW"),
"OK")</f>
        <v>OK</v>
      </c>
      <c r="Z15">
        <f t="shared" si="3"/>
        <v>0.25</v>
      </c>
      <c r="AA15">
        <f t="shared" si="4"/>
        <v>13478.82</v>
      </c>
      <c r="AB15">
        <f t="shared" si="5"/>
        <v>2541.4699999999998</v>
      </c>
      <c r="AC15">
        <f t="shared" si="6"/>
        <v>0.18859999999999999</v>
      </c>
      <c r="AD15">
        <f t="shared" si="9"/>
        <v>3</v>
      </c>
      <c r="AE15">
        <f t="shared" si="7"/>
        <v>2024</v>
      </c>
      <c r="AF15" t="str">
        <f t="shared" si="8"/>
        <v>INVALID</v>
      </c>
    </row>
    <row r="16" spans="1:32">
      <c r="A16" t="s">
        <v>163</v>
      </c>
      <c r="B16" s="10">
        <v>45606</v>
      </c>
      <c r="C16" s="10">
        <v>45584</v>
      </c>
      <c r="D16">
        <f t="shared" si="0"/>
        <v>-22</v>
      </c>
      <c r="E16" t="str">
        <f t="shared" si="1"/>
        <v>INVALID</v>
      </c>
      <c r="F16" t="s">
        <v>164</v>
      </c>
      <c r="G16" t="s">
        <v>52</v>
      </c>
      <c r="H16" t="s">
        <v>89</v>
      </c>
      <c r="I16" t="s">
        <v>37</v>
      </c>
      <c r="J16" t="s">
        <v>165</v>
      </c>
      <c r="K16" t="s">
        <v>166</v>
      </c>
      <c r="L16" t="s">
        <v>73</v>
      </c>
      <c r="M16" t="s">
        <v>74</v>
      </c>
      <c r="N16" t="s">
        <v>167</v>
      </c>
      <c r="O16" t="s">
        <v>49</v>
      </c>
      <c r="P16">
        <v>2</v>
      </c>
      <c r="Q16">
        <v>4315.2</v>
      </c>
      <c r="R16">
        <v>0.15</v>
      </c>
      <c r="S16" t="str">
        <f t="shared" si="2"/>
        <v>OK</v>
      </c>
      <c r="T16">
        <v>7335.84</v>
      </c>
      <c r="U16">
        <v>4968.41</v>
      </c>
      <c r="V16">
        <v>2367.4299999999998</v>
      </c>
      <c r="W16" t="s">
        <v>31</v>
      </c>
      <c r="X16" t="s">
        <v>32</v>
      </c>
      <c r="Y16" t="str">
        <f>IF(COUNTIF($A$2:$A$901,A16)&gt;1,
  IF(COUNTIF($A$2:A16,A16)=1,
    " ORIGINAL",
    "CONFLICTING DUPLICATE - REVIEW"),
"OK")</f>
        <v>OK</v>
      </c>
      <c r="Z16">
        <f t="shared" si="3"/>
        <v>0.15</v>
      </c>
      <c r="AA16">
        <f t="shared" si="4"/>
        <v>7335.84</v>
      </c>
      <c r="AB16">
        <f t="shared" si="5"/>
        <v>2367.4299999999998</v>
      </c>
      <c r="AC16">
        <f t="shared" si="6"/>
        <v>0.32269999999999999</v>
      </c>
      <c r="AD16">
        <f t="shared" si="9"/>
        <v>11</v>
      </c>
      <c r="AE16">
        <f t="shared" si="7"/>
        <v>2024</v>
      </c>
      <c r="AF16" t="str">
        <f t="shared" si="8"/>
        <v>INVALID</v>
      </c>
    </row>
    <row r="17" spans="1:32">
      <c r="A17" t="s">
        <v>168</v>
      </c>
      <c r="B17" s="10">
        <v>45619</v>
      </c>
      <c r="C17" s="10">
        <v>45619</v>
      </c>
      <c r="D17">
        <f t="shared" si="0"/>
        <v>0</v>
      </c>
      <c r="E17" t="str">
        <f t="shared" si="1"/>
        <v>OK</v>
      </c>
      <c r="F17" t="s">
        <v>169</v>
      </c>
      <c r="G17" t="s">
        <v>161</v>
      </c>
      <c r="H17" t="s">
        <v>89</v>
      </c>
      <c r="I17" t="s">
        <v>24</v>
      </c>
      <c r="J17" t="s">
        <v>135</v>
      </c>
      <c r="K17" t="s">
        <v>136</v>
      </c>
      <c r="L17" t="s">
        <v>73</v>
      </c>
      <c r="M17" t="s">
        <v>170</v>
      </c>
      <c r="N17" t="s">
        <v>171</v>
      </c>
      <c r="O17" t="s">
        <v>58</v>
      </c>
      <c r="P17">
        <v>4</v>
      </c>
      <c r="Q17">
        <v>716.13</v>
      </c>
      <c r="R17">
        <v>0.1</v>
      </c>
      <c r="S17" t="str">
        <f t="shared" si="2"/>
        <v>OK</v>
      </c>
      <c r="T17">
        <v>2578.0700000000002</v>
      </c>
      <c r="U17">
        <v>1527.55</v>
      </c>
      <c r="V17">
        <v>1050.52</v>
      </c>
      <c r="W17" t="s">
        <v>31</v>
      </c>
      <c r="X17" t="s">
        <v>102</v>
      </c>
      <c r="Y17" t="str">
        <f>IF(COUNTIF($A$2:$A$901,A17)&gt;1,
  IF(COUNTIF($A$2:A17,A17)=1,
    " ORIGINAL",
    "CONFLICTING DUPLICATE - REVIEW"),
"OK")</f>
        <v>OK</v>
      </c>
      <c r="Z17">
        <f t="shared" si="3"/>
        <v>0.1</v>
      </c>
      <c r="AA17">
        <f t="shared" si="4"/>
        <v>2578.0700000000002</v>
      </c>
      <c r="AB17">
        <f t="shared" si="5"/>
        <v>1050.52</v>
      </c>
      <c r="AC17">
        <f t="shared" si="6"/>
        <v>0.40749999999999997</v>
      </c>
      <c r="AD17">
        <f t="shared" si="9"/>
        <v>11</v>
      </c>
      <c r="AE17">
        <f t="shared" si="7"/>
        <v>2024</v>
      </c>
      <c r="AF17" t="str">
        <f t="shared" si="8"/>
        <v>CLEAN</v>
      </c>
    </row>
    <row r="18" spans="1:32">
      <c r="A18" t="s">
        <v>177</v>
      </c>
      <c r="B18" s="10">
        <v>45606</v>
      </c>
      <c r="C18" s="10">
        <v>45583</v>
      </c>
      <c r="D18">
        <f t="shared" si="0"/>
        <v>-23</v>
      </c>
      <c r="E18" t="str">
        <f t="shared" si="1"/>
        <v>INVALID</v>
      </c>
      <c r="F18" t="s">
        <v>178</v>
      </c>
      <c r="G18" t="s">
        <v>61</v>
      </c>
      <c r="H18" t="s">
        <v>94</v>
      </c>
      <c r="I18" t="s">
        <v>62</v>
      </c>
      <c r="J18" t="s">
        <v>179</v>
      </c>
      <c r="K18" t="s">
        <v>180</v>
      </c>
      <c r="L18" t="s">
        <v>73</v>
      </c>
      <c r="M18" t="s">
        <v>170</v>
      </c>
      <c r="N18" t="s">
        <v>181</v>
      </c>
      <c r="O18" t="s">
        <v>30</v>
      </c>
      <c r="P18">
        <v>2</v>
      </c>
      <c r="Q18">
        <v>1942.22</v>
      </c>
      <c r="R18">
        <v>0.25</v>
      </c>
      <c r="S18" t="str">
        <f t="shared" si="2"/>
        <v>OK</v>
      </c>
      <c r="T18">
        <v>2913.33</v>
      </c>
      <c r="U18">
        <v>2122.33</v>
      </c>
      <c r="V18">
        <v>791</v>
      </c>
      <c r="W18" t="s">
        <v>101</v>
      </c>
      <c r="X18" t="s">
        <v>67</v>
      </c>
      <c r="Y18" t="str">
        <f>IF(COUNTIF($A$2:$A$901,A18)&gt;1,
  IF(COUNTIF($A$2:A18,A18)=1,
    " ORIGINAL",
    "CONFLICTING DUPLICATE - REVIEW"),
"OK")</f>
        <v>OK</v>
      </c>
      <c r="Z18">
        <f t="shared" si="3"/>
        <v>0.25</v>
      </c>
      <c r="AA18">
        <f t="shared" si="4"/>
        <v>2913.33</v>
      </c>
      <c r="AB18">
        <f t="shared" si="5"/>
        <v>791</v>
      </c>
      <c r="AC18">
        <f t="shared" si="6"/>
        <v>0.27150000000000002</v>
      </c>
      <c r="AD18">
        <f t="shared" si="9"/>
        <v>11</v>
      </c>
      <c r="AE18">
        <f t="shared" si="7"/>
        <v>2024</v>
      </c>
      <c r="AF18" t="str">
        <f t="shared" si="8"/>
        <v>INVALID</v>
      </c>
    </row>
    <row r="19" spans="1:32">
      <c r="A19" t="s">
        <v>187</v>
      </c>
      <c r="B19" s="10">
        <v>45331</v>
      </c>
      <c r="C19" s="10">
        <v>45334</v>
      </c>
      <c r="D19">
        <f t="shared" si="0"/>
        <v>3</v>
      </c>
      <c r="E19" t="str">
        <f t="shared" si="1"/>
        <v>OK</v>
      </c>
      <c r="F19" t="s">
        <v>188</v>
      </c>
      <c r="G19" t="s">
        <v>61</v>
      </c>
      <c r="H19" t="s">
        <v>89</v>
      </c>
      <c r="I19" t="s">
        <v>62</v>
      </c>
      <c r="J19" t="s">
        <v>189</v>
      </c>
      <c r="K19" t="s">
        <v>190</v>
      </c>
      <c r="L19" t="s">
        <v>27</v>
      </c>
      <c r="M19" t="s">
        <v>90</v>
      </c>
      <c r="N19" t="s">
        <v>191</v>
      </c>
      <c r="O19" t="s">
        <v>49</v>
      </c>
      <c r="P19">
        <v>1</v>
      </c>
      <c r="Q19">
        <v>3421.77</v>
      </c>
      <c r="R19">
        <v>0.1</v>
      </c>
      <c r="S19" t="str">
        <f t="shared" si="2"/>
        <v>OK</v>
      </c>
      <c r="T19">
        <v>3079.59</v>
      </c>
      <c r="U19">
        <v>2001.89</v>
      </c>
      <c r="V19">
        <v>1077.7</v>
      </c>
      <c r="W19" t="s">
        <v>31</v>
      </c>
      <c r="X19" t="s">
        <v>32</v>
      </c>
      <c r="Y19" t="str">
        <f>IF(COUNTIF($A$2:$A$901,A19)&gt;1,
  IF(COUNTIF($A$2:A19,A19)=1,
    " ORIGINAL",
    "CONFLICTING DUPLICATE - REVIEW"),
"OK")</f>
        <v>OK</v>
      </c>
      <c r="Z19">
        <f t="shared" si="3"/>
        <v>0.1</v>
      </c>
      <c r="AA19">
        <f t="shared" si="4"/>
        <v>3079.59</v>
      </c>
      <c r="AB19">
        <f t="shared" si="5"/>
        <v>1077.7</v>
      </c>
      <c r="AC19">
        <f t="shared" si="6"/>
        <v>0.34989999999999999</v>
      </c>
      <c r="AD19">
        <f t="shared" si="9"/>
        <v>2</v>
      </c>
      <c r="AE19">
        <f t="shared" si="7"/>
        <v>2024</v>
      </c>
      <c r="AF19" t="str">
        <f t="shared" si="8"/>
        <v>CLEAN</v>
      </c>
    </row>
    <row r="20" spans="1:32">
      <c r="A20" t="s">
        <v>195</v>
      </c>
      <c r="B20" s="10">
        <v>45618</v>
      </c>
      <c r="C20" s="10">
        <v>45622</v>
      </c>
      <c r="D20">
        <f t="shared" si="0"/>
        <v>4</v>
      </c>
      <c r="E20" t="str">
        <f t="shared" si="1"/>
        <v>OK</v>
      </c>
      <c r="F20" t="s">
        <v>196</v>
      </c>
      <c r="G20" t="s">
        <v>127</v>
      </c>
      <c r="H20" t="s">
        <v>89</v>
      </c>
      <c r="I20" t="s">
        <v>53</v>
      </c>
      <c r="J20" t="s">
        <v>83</v>
      </c>
      <c r="K20" t="s">
        <v>84</v>
      </c>
      <c r="L20" t="s">
        <v>73</v>
      </c>
      <c r="M20" t="s">
        <v>170</v>
      </c>
      <c r="N20" t="s">
        <v>197</v>
      </c>
      <c r="O20" t="s">
        <v>30</v>
      </c>
      <c r="P20">
        <v>3</v>
      </c>
      <c r="Q20">
        <v>4001.25</v>
      </c>
      <c r="R20">
        <v>0</v>
      </c>
      <c r="S20" t="str">
        <f t="shared" si="2"/>
        <v>OK</v>
      </c>
      <c r="T20">
        <v>9002.81</v>
      </c>
      <c r="U20">
        <v>7529.92</v>
      </c>
      <c r="V20">
        <v>1472.89</v>
      </c>
      <c r="W20" t="s">
        <v>31</v>
      </c>
      <c r="X20" t="s">
        <v>32</v>
      </c>
      <c r="Y20" t="str">
        <f>IF(COUNTIF($A$2:$A$901,A20)&gt;1,
  IF(COUNTIF($A$2:A20,A20)=1,
    " ORIGINAL",
    "CONFLICTING DUPLICATE - REVIEW"),
"OK")</f>
        <v>OK</v>
      </c>
      <c r="Z20">
        <f t="shared" si="3"/>
        <v>0</v>
      </c>
      <c r="AA20">
        <f t="shared" si="4"/>
        <v>12003.75</v>
      </c>
      <c r="AB20">
        <f t="shared" si="5"/>
        <v>4473.83</v>
      </c>
      <c r="AC20">
        <f t="shared" si="6"/>
        <v>0.37269999999999998</v>
      </c>
      <c r="AD20">
        <f t="shared" si="9"/>
        <v>11</v>
      </c>
      <c r="AE20">
        <f t="shared" si="7"/>
        <v>2024</v>
      </c>
      <c r="AF20" t="str">
        <f t="shared" si="8"/>
        <v>CLEAN</v>
      </c>
    </row>
    <row r="21" spans="1:32">
      <c r="A21" t="s">
        <v>198</v>
      </c>
      <c r="B21" s="10">
        <v>45495</v>
      </c>
      <c r="C21" s="10">
        <v>45500</v>
      </c>
      <c r="D21">
        <f t="shared" si="0"/>
        <v>5</v>
      </c>
      <c r="E21" t="str">
        <f t="shared" si="1"/>
        <v>OK</v>
      </c>
      <c r="F21" t="s">
        <v>199</v>
      </c>
      <c r="G21" t="s">
        <v>113</v>
      </c>
      <c r="H21" t="s">
        <v>94</v>
      </c>
      <c r="I21" t="s">
        <v>62</v>
      </c>
      <c r="J21" t="s">
        <v>189</v>
      </c>
      <c r="K21" t="s">
        <v>190</v>
      </c>
      <c r="L21" t="s">
        <v>40</v>
      </c>
      <c r="M21" t="s">
        <v>41</v>
      </c>
      <c r="N21" t="s">
        <v>200</v>
      </c>
      <c r="O21" t="s">
        <v>43</v>
      </c>
      <c r="P21">
        <v>7</v>
      </c>
      <c r="Q21">
        <v>492.41</v>
      </c>
      <c r="R21">
        <v>0.25</v>
      </c>
      <c r="S21" t="str">
        <f t="shared" si="2"/>
        <v>OK</v>
      </c>
      <c r="T21">
        <v>2585.15</v>
      </c>
      <c r="U21">
        <v>2070.73</v>
      </c>
      <c r="V21">
        <v>514.41999999999996</v>
      </c>
      <c r="W21" t="s">
        <v>31</v>
      </c>
      <c r="X21" t="s">
        <v>32</v>
      </c>
      <c r="Y21" t="str">
        <f>IF(COUNTIF($A$2:$A$901,A21)&gt;1,
  IF(COUNTIF($A$2:A21,A21)=1,
    " ORIGINAL",
    "CONFLICTING DUPLICATE - REVIEW"),
"OK")</f>
        <v>OK</v>
      </c>
      <c r="Z21">
        <f t="shared" si="3"/>
        <v>0.25</v>
      </c>
      <c r="AA21">
        <f t="shared" si="4"/>
        <v>2585.15</v>
      </c>
      <c r="AB21">
        <f t="shared" si="5"/>
        <v>514.41999999999996</v>
      </c>
      <c r="AC21">
        <f t="shared" si="6"/>
        <v>0.19900000000000001</v>
      </c>
      <c r="AD21">
        <f t="shared" si="9"/>
        <v>7</v>
      </c>
      <c r="AE21">
        <f t="shared" si="7"/>
        <v>2024</v>
      </c>
      <c r="AF21" t="str">
        <f t="shared" si="8"/>
        <v>CLEAN</v>
      </c>
    </row>
    <row r="22" spans="1:32">
      <c r="A22" t="s">
        <v>204</v>
      </c>
      <c r="B22" s="10">
        <v>45441</v>
      </c>
      <c r="C22" s="10">
        <v>45441</v>
      </c>
      <c r="D22">
        <f t="shared" si="0"/>
        <v>0</v>
      </c>
      <c r="E22" t="str">
        <f t="shared" si="1"/>
        <v>OK</v>
      </c>
      <c r="F22" t="s">
        <v>205</v>
      </c>
      <c r="G22" t="s">
        <v>131</v>
      </c>
      <c r="H22" t="s">
        <v>36</v>
      </c>
      <c r="I22" t="s">
        <v>62</v>
      </c>
      <c r="J22" t="s">
        <v>179</v>
      </c>
      <c r="K22" t="s">
        <v>180</v>
      </c>
      <c r="L22" t="s">
        <v>40</v>
      </c>
      <c r="M22" t="s">
        <v>157</v>
      </c>
      <c r="N22" t="s">
        <v>206</v>
      </c>
      <c r="O22" t="s">
        <v>30</v>
      </c>
      <c r="P22">
        <v>8</v>
      </c>
      <c r="Q22">
        <v>2507.12</v>
      </c>
      <c r="R22">
        <v>0.05</v>
      </c>
      <c r="S22" t="str">
        <f t="shared" si="2"/>
        <v>OK</v>
      </c>
      <c r="T22">
        <v>19054.11</v>
      </c>
      <c r="U22">
        <v>15313.83</v>
      </c>
      <c r="V22">
        <v>3740.28</v>
      </c>
      <c r="W22" t="s">
        <v>110</v>
      </c>
      <c r="X22" t="s">
        <v>102</v>
      </c>
      <c r="Y22" t="str">
        <f>IF(COUNTIF($A$2:$A$901,A22)&gt;1,
  IF(COUNTIF($A$2:A22,A22)=1,
    " ORIGINAL",
    "CONFLICTING DUPLICATE - REVIEW"),
"OK")</f>
        <v>OK</v>
      </c>
      <c r="Z22">
        <f t="shared" si="3"/>
        <v>0.05</v>
      </c>
      <c r="AA22">
        <f t="shared" si="4"/>
        <v>19054.11</v>
      </c>
      <c r="AB22">
        <f t="shared" si="5"/>
        <v>3740.28</v>
      </c>
      <c r="AC22">
        <f t="shared" si="6"/>
        <v>0.1963</v>
      </c>
      <c r="AD22">
        <f t="shared" si="9"/>
        <v>5</v>
      </c>
      <c r="AE22">
        <f t="shared" si="7"/>
        <v>2024</v>
      </c>
      <c r="AF22" t="str">
        <f t="shared" si="8"/>
        <v>CLEAN</v>
      </c>
    </row>
    <row r="23" spans="1:32">
      <c r="A23" t="s">
        <v>207</v>
      </c>
      <c r="B23" s="10">
        <v>45590</v>
      </c>
      <c r="C23" s="10">
        <v>45593</v>
      </c>
      <c r="D23">
        <f t="shared" si="0"/>
        <v>3</v>
      </c>
      <c r="E23" t="str">
        <f t="shared" si="1"/>
        <v>OK</v>
      </c>
      <c r="F23" t="s">
        <v>208</v>
      </c>
      <c r="G23" t="s">
        <v>140</v>
      </c>
      <c r="H23" t="s">
        <v>89</v>
      </c>
      <c r="I23" t="s">
        <v>62</v>
      </c>
      <c r="J23" t="s">
        <v>63</v>
      </c>
      <c r="K23" t="s">
        <v>64</v>
      </c>
      <c r="L23" t="s">
        <v>40</v>
      </c>
      <c r="M23" t="s">
        <v>157</v>
      </c>
      <c r="N23" t="s">
        <v>209</v>
      </c>
      <c r="O23" t="s">
        <v>30</v>
      </c>
      <c r="P23">
        <v>3</v>
      </c>
      <c r="Q23">
        <v>3126.47</v>
      </c>
      <c r="R23">
        <v>0</v>
      </c>
      <c r="S23" t="str">
        <f t="shared" si="2"/>
        <v>OK</v>
      </c>
      <c r="T23">
        <v>9379.41</v>
      </c>
      <c r="U23">
        <v>6670.85</v>
      </c>
      <c r="V23">
        <v>2708.56</v>
      </c>
      <c r="W23" t="s">
        <v>31</v>
      </c>
      <c r="X23" t="s">
        <v>102</v>
      </c>
      <c r="Y23" t="str">
        <f>IF(COUNTIF($A$2:$A$901,A23)&gt;1,
  IF(COUNTIF($A$2:A23,A23)=1,
    " ORIGINAL",
    "CONFLICTING DUPLICATE - REVIEW"),
"OK")</f>
        <v>OK</v>
      </c>
      <c r="Z23">
        <f t="shared" si="3"/>
        <v>0</v>
      </c>
      <c r="AA23">
        <f t="shared" si="4"/>
        <v>9379.41</v>
      </c>
      <c r="AB23">
        <f t="shared" si="5"/>
        <v>2708.56</v>
      </c>
      <c r="AC23">
        <f t="shared" si="6"/>
        <v>0.2888</v>
      </c>
      <c r="AD23">
        <f t="shared" si="9"/>
        <v>10</v>
      </c>
      <c r="AE23">
        <f t="shared" si="7"/>
        <v>2024</v>
      </c>
      <c r="AF23" t="str">
        <f t="shared" si="8"/>
        <v>CLEAN</v>
      </c>
    </row>
    <row r="24" spans="1:32">
      <c r="A24" t="s">
        <v>213</v>
      </c>
      <c r="B24" s="10">
        <v>45460</v>
      </c>
      <c r="C24" s="10">
        <v>45465</v>
      </c>
      <c r="D24">
        <f t="shared" si="0"/>
        <v>5</v>
      </c>
      <c r="E24" t="str">
        <f t="shared" si="1"/>
        <v>OK</v>
      </c>
      <c r="F24" t="s">
        <v>214</v>
      </c>
      <c r="G24" t="s">
        <v>127</v>
      </c>
      <c r="H24" t="s">
        <v>89</v>
      </c>
      <c r="I24" t="s">
        <v>62</v>
      </c>
      <c r="J24" t="s">
        <v>179</v>
      </c>
      <c r="K24" t="s">
        <v>180</v>
      </c>
      <c r="L24" t="s">
        <v>73</v>
      </c>
      <c r="M24" t="s">
        <v>170</v>
      </c>
      <c r="N24" t="s">
        <v>215</v>
      </c>
      <c r="O24" t="s">
        <v>49</v>
      </c>
      <c r="P24">
        <v>7</v>
      </c>
      <c r="Q24">
        <v>2210.6799999999998</v>
      </c>
      <c r="R24">
        <v>0.1</v>
      </c>
      <c r="S24" t="str">
        <f t="shared" si="2"/>
        <v>OK</v>
      </c>
      <c r="T24">
        <v>13927.28</v>
      </c>
      <c r="U24">
        <v>10504.87</v>
      </c>
      <c r="V24">
        <v>3422.41</v>
      </c>
      <c r="W24" t="s">
        <v>31</v>
      </c>
      <c r="X24" t="s">
        <v>32</v>
      </c>
      <c r="Y24" t="str">
        <f>IF(COUNTIF($A$2:$A$901,A24)&gt;1,
  IF(COUNTIF($A$2:A24,A24)=1,
    " ORIGINAL",
    "CONFLICTING DUPLICATE - REVIEW"),
"OK")</f>
        <v>OK</v>
      </c>
      <c r="Z24">
        <f t="shared" si="3"/>
        <v>0.1</v>
      </c>
      <c r="AA24">
        <f t="shared" si="4"/>
        <v>13927.28</v>
      </c>
      <c r="AB24">
        <f t="shared" si="5"/>
        <v>3422.41</v>
      </c>
      <c r="AC24">
        <f t="shared" si="6"/>
        <v>0.2457</v>
      </c>
      <c r="AD24">
        <f t="shared" si="9"/>
        <v>6</v>
      </c>
      <c r="AE24">
        <f t="shared" si="7"/>
        <v>2024</v>
      </c>
      <c r="AF24" t="str">
        <f t="shared" si="8"/>
        <v>CLEAN</v>
      </c>
    </row>
    <row r="25" spans="1:32">
      <c r="A25" t="s">
        <v>216</v>
      </c>
      <c r="B25" s="10">
        <v>45637</v>
      </c>
      <c r="C25" s="10">
        <v>45637</v>
      </c>
      <c r="D25">
        <f t="shared" si="0"/>
        <v>0</v>
      </c>
      <c r="E25" t="str">
        <f t="shared" si="1"/>
        <v>OK</v>
      </c>
      <c r="F25" t="s">
        <v>217</v>
      </c>
      <c r="G25" t="s">
        <v>35</v>
      </c>
      <c r="H25" t="s">
        <v>36</v>
      </c>
      <c r="I25" t="s">
        <v>62</v>
      </c>
      <c r="J25" t="s">
        <v>71</v>
      </c>
      <c r="K25" t="s">
        <v>72</v>
      </c>
      <c r="L25" t="s">
        <v>73</v>
      </c>
      <c r="M25" t="s">
        <v>79</v>
      </c>
      <c r="N25" t="s">
        <v>218</v>
      </c>
      <c r="O25" t="s">
        <v>49</v>
      </c>
      <c r="P25">
        <v>4</v>
      </c>
      <c r="Q25">
        <v>1370.92</v>
      </c>
      <c r="R25">
        <v>0.1</v>
      </c>
      <c r="S25" t="str">
        <f t="shared" si="2"/>
        <v>OK</v>
      </c>
      <c r="T25">
        <v>4935.3100000000004</v>
      </c>
      <c r="U25">
        <v>3374.77</v>
      </c>
      <c r="V25">
        <v>1560.54</v>
      </c>
      <c r="W25" t="s">
        <v>110</v>
      </c>
      <c r="X25" t="s">
        <v>102</v>
      </c>
      <c r="Y25" t="str">
        <f>IF(COUNTIF($A$2:$A$901,A25)&gt;1,
  IF(COUNTIF($A$2:A25,A25)=1,
    " ORIGINAL",
    "CONFLICTING DUPLICATE - REVIEW"),
"OK")</f>
        <v>OK</v>
      </c>
      <c r="Z25">
        <f t="shared" si="3"/>
        <v>0.1</v>
      </c>
      <c r="AA25">
        <f t="shared" si="4"/>
        <v>4935.3100000000004</v>
      </c>
      <c r="AB25">
        <f t="shared" si="5"/>
        <v>1560.54</v>
      </c>
      <c r="AC25">
        <f t="shared" si="6"/>
        <v>0.31619999999999998</v>
      </c>
      <c r="AD25">
        <f t="shared" si="9"/>
        <v>12</v>
      </c>
      <c r="AE25">
        <f t="shared" si="7"/>
        <v>2024</v>
      </c>
      <c r="AF25" t="str">
        <f t="shared" si="8"/>
        <v>CLEAN</v>
      </c>
    </row>
    <row r="26" spans="1:32">
      <c r="A26" t="s">
        <v>219</v>
      </c>
      <c r="B26" s="10">
        <v>45575</v>
      </c>
      <c r="C26" s="10">
        <v>45581</v>
      </c>
      <c r="D26">
        <f t="shared" si="0"/>
        <v>6</v>
      </c>
      <c r="E26" t="str">
        <f t="shared" si="1"/>
        <v>OK</v>
      </c>
      <c r="F26" t="s">
        <v>220</v>
      </c>
      <c r="G26" t="s">
        <v>46</v>
      </c>
      <c r="H26" t="s">
        <v>94</v>
      </c>
      <c r="I26" t="s">
        <v>62</v>
      </c>
      <c r="J26" t="s">
        <v>25</v>
      </c>
      <c r="K26" t="s">
        <v>108</v>
      </c>
      <c r="L26" t="s">
        <v>73</v>
      </c>
      <c r="M26" t="s">
        <v>79</v>
      </c>
      <c r="N26" t="s">
        <v>221</v>
      </c>
      <c r="O26" t="s">
        <v>58</v>
      </c>
      <c r="P26">
        <v>7</v>
      </c>
      <c r="Q26">
        <v>2509.27</v>
      </c>
      <c r="R26">
        <v>0.2</v>
      </c>
      <c r="S26" t="str">
        <f t="shared" si="2"/>
        <v>OK</v>
      </c>
      <c r="T26">
        <v>14051.91</v>
      </c>
      <c r="U26">
        <v>11990.37</v>
      </c>
      <c r="V26">
        <v>2061.54</v>
      </c>
      <c r="W26" t="s">
        <v>31</v>
      </c>
      <c r="X26" t="s">
        <v>32</v>
      </c>
      <c r="Y26" t="str">
        <f>IF(COUNTIF($A$2:$A$901,A26)&gt;1,
  IF(COUNTIF($A$2:A26,A26)=1,
    " ORIGINAL",
    "CONFLICTING DUPLICATE - REVIEW"),
"OK")</f>
        <v>OK</v>
      </c>
      <c r="Z26">
        <f t="shared" si="3"/>
        <v>0.2</v>
      </c>
      <c r="AA26">
        <f t="shared" si="4"/>
        <v>14051.91</v>
      </c>
      <c r="AB26">
        <f t="shared" si="5"/>
        <v>2061.54</v>
      </c>
      <c r="AC26">
        <f t="shared" si="6"/>
        <v>0.1467</v>
      </c>
      <c r="AD26">
        <f t="shared" si="9"/>
        <v>10</v>
      </c>
      <c r="AE26">
        <f t="shared" si="7"/>
        <v>2024</v>
      </c>
      <c r="AF26" t="str">
        <f t="shared" si="8"/>
        <v>CLEAN</v>
      </c>
    </row>
    <row r="27" spans="1:32">
      <c r="A27" t="s">
        <v>222</v>
      </c>
      <c r="B27" s="10">
        <v>45363</v>
      </c>
      <c r="C27" s="10">
        <v>45368</v>
      </c>
      <c r="D27">
        <f t="shared" si="0"/>
        <v>5</v>
      </c>
      <c r="E27" t="str">
        <f t="shared" si="1"/>
        <v>OK</v>
      </c>
      <c r="F27" t="s">
        <v>223</v>
      </c>
      <c r="G27" t="s">
        <v>127</v>
      </c>
      <c r="H27" t="s">
        <v>36</v>
      </c>
      <c r="I27" t="s">
        <v>37</v>
      </c>
      <c r="J27" t="s">
        <v>38</v>
      </c>
      <c r="K27" t="s">
        <v>39</v>
      </c>
      <c r="L27" t="s">
        <v>40</v>
      </c>
      <c r="M27" t="s">
        <v>157</v>
      </c>
      <c r="N27" t="s">
        <v>224</v>
      </c>
      <c r="O27" t="s">
        <v>43</v>
      </c>
      <c r="P27">
        <v>8</v>
      </c>
      <c r="Q27">
        <v>855.81</v>
      </c>
      <c r="R27">
        <v>0</v>
      </c>
      <c r="S27" t="str">
        <f t="shared" si="2"/>
        <v>OK</v>
      </c>
      <c r="T27">
        <v>6846.48</v>
      </c>
      <c r="U27">
        <v>4239.8900000000003</v>
      </c>
      <c r="V27">
        <v>2606.59</v>
      </c>
      <c r="W27" t="s">
        <v>110</v>
      </c>
      <c r="X27" t="s">
        <v>67</v>
      </c>
      <c r="Y27" t="str">
        <f>IF(COUNTIF($A$2:$A$901,A27)&gt;1,
  IF(COUNTIF($A$2:A27,A27)=1,
    " ORIGINAL",
    "CONFLICTING DUPLICATE - REVIEW"),
"OK")</f>
        <v>OK</v>
      </c>
      <c r="Z27">
        <f t="shared" si="3"/>
        <v>0</v>
      </c>
      <c r="AA27">
        <f t="shared" si="4"/>
        <v>6846.48</v>
      </c>
      <c r="AB27">
        <f t="shared" si="5"/>
        <v>2606.59</v>
      </c>
      <c r="AC27">
        <f t="shared" si="6"/>
        <v>0.38069999999999998</v>
      </c>
      <c r="AD27">
        <f t="shared" si="9"/>
        <v>3</v>
      </c>
      <c r="AE27">
        <f t="shared" si="7"/>
        <v>2024</v>
      </c>
      <c r="AF27" t="str">
        <f t="shared" si="8"/>
        <v>CLEAN</v>
      </c>
    </row>
    <row r="28" spans="1:32">
      <c r="A28" t="s">
        <v>230</v>
      </c>
      <c r="B28" s="10">
        <v>45481</v>
      </c>
      <c r="C28" s="10">
        <v>45487</v>
      </c>
      <c r="D28">
        <f t="shared" si="0"/>
        <v>6</v>
      </c>
      <c r="E28" t="str">
        <f t="shared" si="1"/>
        <v>OK</v>
      </c>
      <c r="F28" t="s">
        <v>231</v>
      </c>
      <c r="G28" t="s">
        <v>113</v>
      </c>
      <c r="H28" t="s">
        <v>36</v>
      </c>
      <c r="I28" t="s">
        <v>37</v>
      </c>
      <c r="J28" t="s">
        <v>38</v>
      </c>
      <c r="K28" t="s">
        <v>39</v>
      </c>
      <c r="L28" t="s">
        <v>40</v>
      </c>
      <c r="M28" t="s">
        <v>56</v>
      </c>
      <c r="N28" t="s">
        <v>232</v>
      </c>
      <c r="O28" t="s">
        <v>43</v>
      </c>
      <c r="P28">
        <v>3</v>
      </c>
      <c r="Q28">
        <v>1010.23</v>
      </c>
      <c r="R28">
        <v>0</v>
      </c>
      <c r="S28" t="str">
        <f t="shared" si="2"/>
        <v>OK</v>
      </c>
      <c r="T28">
        <v>3030.69</v>
      </c>
      <c r="U28">
        <v>1721.08</v>
      </c>
      <c r="V28">
        <v>1309.6099999999999</v>
      </c>
      <c r="W28" t="s">
        <v>31</v>
      </c>
      <c r="X28" t="s">
        <v>32</v>
      </c>
      <c r="Y28" t="str">
        <f>IF(COUNTIF($A$2:$A$901,A28)&gt;1,
  IF(COUNTIF($A$2:A28,A28)=1,
    " ORIGINAL",
    "CONFLICTING DUPLICATE - REVIEW"),
"OK")</f>
        <v>OK</v>
      </c>
      <c r="Z28">
        <f t="shared" si="3"/>
        <v>0</v>
      </c>
      <c r="AA28">
        <f t="shared" si="4"/>
        <v>3030.69</v>
      </c>
      <c r="AB28">
        <f t="shared" si="5"/>
        <v>1309.6099999999999</v>
      </c>
      <c r="AC28">
        <f t="shared" si="6"/>
        <v>0.43209999999999998</v>
      </c>
      <c r="AD28">
        <f t="shared" si="9"/>
        <v>7</v>
      </c>
      <c r="AE28">
        <f t="shared" si="7"/>
        <v>2024</v>
      </c>
      <c r="AF28" t="str">
        <f t="shared" si="8"/>
        <v>CLEAN</v>
      </c>
    </row>
    <row r="29" spans="1:32">
      <c r="A29" t="s">
        <v>233</v>
      </c>
      <c r="B29" s="10">
        <v>45465</v>
      </c>
      <c r="C29" s="10">
        <v>45468</v>
      </c>
      <c r="D29">
        <f t="shared" si="0"/>
        <v>3</v>
      </c>
      <c r="E29" t="str">
        <f t="shared" si="1"/>
        <v>OK</v>
      </c>
      <c r="F29" t="s">
        <v>234</v>
      </c>
      <c r="G29" t="s">
        <v>140</v>
      </c>
      <c r="H29" t="s">
        <v>36</v>
      </c>
      <c r="I29" t="s">
        <v>24</v>
      </c>
      <c r="J29" t="s">
        <v>235</v>
      </c>
      <c r="K29" t="s">
        <v>236</v>
      </c>
      <c r="L29" t="s">
        <v>40</v>
      </c>
      <c r="M29" t="s">
        <v>65</v>
      </c>
      <c r="N29" t="s">
        <v>237</v>
      </c>
      <c r="O29" t="s">
        <v>58</v>
      </c>
      <c r="P29">
        <v>9</v>
      </c>
      <c r="Q29">
        <v>3329.77</v>
      </c>
      <c r="R29">
        <v>0.1</v>
      </c>
      <c r="S29" t="str">
        <f t="shared" si="2"/>
        <v>OK</v>
      </c>
      <c r="T29">
        <v>26971.14</v>
      </c>
      <c r="U29">
        <v>17376.2</v>
      </c>
      <c r="V29">
        <v>9594.94</v>
      </c>
      <c r="W29" t="s">
        <v>31</v>
      </c>
      <c r="X29" t="s">
        <v>32</v>
      </c>
      <c r="Y29" t="str">
        <f>IF(COUNTIF($A$2:$A$901,A29)&gt;1,
  IF(COUNTIF($A$2:A29,A29)=1,
    " ORIGINAL",
    "CONFLICTING DUPLICATE - REVIEW"),
"OK")</f>
        <v>OK</v>
      </c>
      <c r="Z29">
        <f t="shared" si="3"/>
        <v>0.1</v>
      </c>
      <c r="AA29">
        <f t="shared" si="4"/>
        <v>26971.14</v>
      </c>
      <c r="AB29">
        <f t="shared" si="5"/>
        <v>9594.94</v>
      </c>
      <c r="AC29">
        <f t="shared" si="6"/>
        <v>0.35570000000000002</v>
      </c>
      <c r="AD29">
        <f t="shared" si="9"/>
        <v>6</v>
      </c>
      <c r="AE29">
        <f t="shared" si="7"/>
        <v>2024</v>
      </c>
      <c r="AF29" t="str">
        <f t="shared" si="8"/>
        <v>CLEAN</v>
      </c>
    </row>
    <row r="30" spans="1:32">
      <c r="A30" t="s">
        <v>238</v>
      </c>
      <c r="B30" s="10">
        <v>45309</v>
      </c>
      <c r="C30" s="10">
        <v>45315</v>
      </c>
      <c r="D30">
        <f t="shared" si="0"/>
        <v>6</v>
      </c>
      <c r="E30" t="str">
        <f t="shared" si="1"/>
        <v>OK</v>
      </c>
      <c r="F30" t="s">
        <v>239</v>
      </c>
      <c r="G30" t="s">
        <v>46</v>
      </c>
      <c r="H30" t="s">
        <v>94</v>
      </c>
      <c r="I30" t="s">
        <v>37</v>
      </c>
      <c r="J30" t="s">
        <v>144</v>
      </c>
      <c r="K30" t="s">
        <v>145</v>
      </c>
      <c r="L30" t="s">
        <v>27</v>
      </c>
      <c r="M30" t="s">
        <v>47</v>
      </c>
      <c r="N30" t="s">
        <v>240</v>
      </c>
      <c r="O30" t="s">
        <v>30</v>
      </c>
      <c r="P30">
        <v>8</v>
      </c>
      <c r="Q30">
        <v>3927.82</v>
      </c>
      <c r="R30">
        <v>0.05</v>
      </c>
      <c r="S30" t="str">
        <f t="shared" si="2"/>
        <v>OK</v>
      </c>
      <c r="T30">
        <v>29851.43</v>
      </c>
      <c r="U30">
        <v>17487.48</v>
      </c>
      <c r="V30">
        <v>12363.95</v>
      </c>
      <c r="W30" t="s">
        <v>110</v>
      </c>
      <c r="X30" t="s">
        <v>102</v>
      </c>
      <c r="Y30" t="str">
        <f>IF(COUNTIF($A$2:$A$901,A30)&gt;1,
  IF(COUNTIF($A$2:A30,A30)=1,
    " ORIGINAL",
    "CONFLICTING DUPLICATE - REVIEW"),
"OK")</f>
        <v>OK</v>
      </c>
      <c r="Z30">
        <f t="shared" si="3"/>
        <v>0.05</v>
      </c>
      <c r="AA30">
        <f t="shared" si="4"/>
        <v>29851.43</v>
      </c>
      <c r="AB30">
        <f t="shared" si="5"/>
        <v>12363.95</v>
      </c>
      <c r="AC30">
        <f t="shared" si="6"/>
        <v>0.41420000000000001</v>
      </c>
      <c r="AD30">
        <f t="shared" si="9"/>
        <v>1</v>
      </c>
      <c r="AE30">
        <f t="shared" si="7"/>
        <v>2024</v>
      </c>
      <c r="AF30" t="str">
        <f t="shared" si="8"/>
        <v>CLEAN</v>
      </c>
    </row>
    <row r="31" spans="1:32">
      <c r="A31" t="s">
        <v>241</v>
      </c>
      <c r="B31" s="10">
        <v>45492</v>
      </c>
      <c r="C31" s="10">
        <v>45492</v>
      </c>
      <c r="D31">
        <f t="shared" si="0"/>
        <v>0</v>
      </c>
      <c r="E31" t="str">
        <f t="shared" si="1"/>
        <v>OK</v>
      </c>
      <c r="F31" t="s">
        <v>242</v>
      </c>
      <c r="G31" t="s">
        <v>61</v>
      </c>
      <c r="H31" t="s">
        <v>36</v>
      </c>
      <c r="I31" t="s">
        <v>53</v>
      </c>
      <c r="J31" t="s">
        <v>184</v>
      </c>
      <c r="K31" t="s">
        <v>185</v>
      </c>
      <c r="L31" t="s">
        <v>40</v>
      </c>
      <c r="M31" t="s">
        <v>157</v>
      </c>
      <c r="N31" t="s">
        <v>243</v>
      </c>
      <c r="O31" t="s">
        <v>58</v>
      </c>
      <c r="P31">
        <v>9</v>
      </c>
      <c r="Q31">
        <v>2386.79</v>
      </c>
      <c r="R31">
        <v>0.25</v>
      </c>
      <c r="S31" t="str">
        <f t="shared" si="2"/>
        <v>OK</v>
      </c>
      <c r="T31">
        <v>16110.83</v>
      </c>
      <c r="U31">
        <v>10680.03</v>
      </c>
      <c r="V31">
        <v>5430.8</v>
      </c>
      <c r="W31" t="s">
        <v>101</v>
      </c>
      <c r="X31" t="s">
        <v>102</v>
      </c>
      <c r="Y31" t="str">
        <f>IF(COUNTIF($A$2:$A$901,A31)&gt;1,
  IF(COUNTIF($A$2:A31,A31)=1,
    " ORIGINAL",
    "CONFLICTING DUPLICATE - REVIEW"),
"OK")</f>
        <v>OK</v>
      </c>
      <c r="Z31">
        <f t="shared" si="3"/>
        <v>0.25</v>
      </c>
      <c r="AA31">
        <f t="shared" si="4"/>
        <v>16110.83</v>
      </c>
      <c r="AB31">
        <f t="shared" si="5"/>
        <v>5430.8</v>
      </c>
      <c r="AC31">
        <f t="shared" si="6"/>
        <v>0.33710000000000001</v>
      </c>
      <c r="AD31">
        <f t="shared" si="9"/>
        <v>7</v>
      </c>
      <c r="AE31">
        <f t="shared" si="7"/>
        <v>2024</v>
      </c>
      <c r="AF31" t="str">
        <f t="shared" si="8"/>
        <v>CLEAN</v>
      </c>
    </row>
    <row r="32" spans="1:32">
      <c r="A32" t="s">
        <v>244</v>
      </c>
      <c r="B32" s="10">
        <v>45634</v>
      </c>
      <c r="C32" s="10">
        <v>45516</v>
      </c>
      <c r="D32">
        <f t="shared" si="0"/>
        <v>-118</v>
      </c>
      <c r="E32" t="str">
        <f t="shared" si="1"/>
        <v>INVALID</v>
      </c>
      <c r="F32" t="s">
        <v>245</v>
      </c>
      <c r="G32" t="s">
        <v>117</v>
      </c>
      <c r="H32" t="s">
        <v>89</v>
      </c>
      <c r="I32" t="s">
        <v>53</v>
      </c>
      <c r="J32" t="s">
        <v>246</v>
      </c>
      <c r="K32" t="s">
        <v>247</v>
      </c>
      <c r="L32" t="s">
        <v>27</v>
      </c>
      <c r="M32" t="s">
        <v>123</v>
      </c>
      <c r="N32" t="s">
        <v>248</v>
      </c>
      <c r="O32" t="s">
        <v>58</v>
      </c>
      <c r="P32">
        <v>8</v>
      </c>
      <c r="Q32">
        <v>2445.31</v>
      </c>
      <c r="R32">
        <v>0.1</v>
      </c>
      <c r="S32" t="str">
        <f t="shared" si="2"/>
        <v>OK</v>
      </c>
      <c r="T32">
        <v>17606.23</v>
      </c>
      <c r="U32">
        <v>12438.96</v>
      </c>
      <c r="V32">
        <v>5167.2700000000004</v>
      </c>
      <c r="W32" t="s">
        <v>31</v>
      </c>
      <c r="X32" t="s">
        <v>32</v>
      </c>
      <c r="Y32" t="str">
        <f>IF(COUNTIF($A$2:$A$901,A32)&gt;1,
  IF(COUNTIF($A$2:A32,A32)=1,
    " ORIGINAL",
    "CONFLICTING DUPLICATE - REVIEW"),
"OK")</f>
        <v>OK</v>
      </c>
      <c r="Z32">
        <f t="shared" si="3"/>
        <v>0.1</v>
      </c>
      <c r="AA32">
        <f t="shared" si="4"/>
        <v>17606.23</v>
      </c>
      <c r="AB32">
        <f t="shared" si="5"/>
        <v>5167.2700000000004</v>
      </c>
      <c r="AC32">
        <f t="shared" si="6"/>
        <v>0.29349999999999998</v>
      </c>
      <c r="AD32">
        <f t="shared" si="9"/>
        <v>12</v>
      </c>
      <c r="AE32">
        <f t="shared" si="7"/>
        <v>2024</v>
      </c>
      <c r="AF32" t="str">
        <f t="shared" si="8"/>
        <v>INVALID</v>
      </c>
    </row>
    <row r="33" spans="1:32">
      <c r="A33" t="s">
        <v>252</v>
      </c>
      <c r="B33" s="10">
        <v>45388</v>
      </c>
      <c r="C33" s="10">
        <v>45395</v>
      </c>
      <c r="D33">
        <f t="shared" si="0"/>
        <v>7</v>
      </c>
      <c r="E33" t="str">
        <f t="shared" si="1"/>
        <v>OK</v>
      </c>
      <c r="F33" t="s">
        <v>253</v>
      </c>
      <c r="G33" t="s">
        <v>127</v>
      </c>
      <c r="H33" t="s">
        <v>94</v>
      </c>
      <c r="I33" t="s">
        <v>24</v>
      </c>
      <c r="J33" t="s">
        <v>135</v>
      </c>
      <c r="K33" t="s">
        <v>136</v>
      </c>
      <c r="L33" t="s">
        <v>73</v>
      </c>
      <c r="M33" t="s">
        <v>79</v>
      </c>
      <c r="N33" t="s">
        <v>254</v>
      </c>
      <c r="O33" t="s">
        <v>30</v>
      </c>
      <c r="P33">
        <v>9</v>
      </c>
      <c r="Q33">
        <v>792.11</v>
      </c>
      <c r="R33">
        <v>0.05</v>
      </c>
      <c r="S33" t="str">
        <f t="shared" si="2"/>
        <v>OK</v>
      </c>
      <c r="T33">
        <v>6772.54</v>
      </c>
      <c r="U33">
        <v>5755.46</v>
      </c>
      <c r="V33">
        <v>1017.08</v>
      </c>
      <c r="W33" t="s">
        <v>31</v>
      </c>
      <c r="X33" t="s">
        <v>32</v>
      </c>
      <c r="Y33" t="str">
        <f>IF(COUNTIF($A$2:$A$901,A33)&gt;1,
  IF(COUNTIF($A$2:A33,A33)=1,
    " ORIGINAL",
    "CONFLICTING DUPLICATE - REVIEW"),
"OK")</f>
        <v>OK</v>
      </c>
      <c r="Z33">
        <f t="shared" si="3"/>
        <v>0.05</v>
      </c>
      <c r="AA33">
        <f t="shared" si="4"/>
        <v>6772.54</v>
      </c>
      <c r="AB33">
        <f t="shared" si="5"/>
        <v>1017.08</v>
      </c>
      <c r="AC33">
        <f t="shared" si="6"/>
        <v>0.1502</v>
      </c>
      <c r="AD33">
        <f t="shared" si="9"/>
        <v>4</v>
      </c>
      <c r="AE33">
        <f t="shared" si="7"/>
        <v>2024</v>
      </c>
      <c r="AF33" t="str">
        <f t="shared" si="8"/>
        <v>CLEAN</v>
      </c>
    </row>
    <row r="34" spans="1:32">
      <c r="A34" t="s">
        <v>258</v>
      </c>
      <c r="B34" s="10">
        <v>45406</v>
      </c>
      <c r="C34" s="10">
        <v>45411</v>
      </c>
      <c r="D34">
        <f t="shared" si="0"/>
        <v>5</v>
      </c>
      <c r="E34" t="str">
        <f t="shared" si="1"/>
        <v>OK</v>
      </c>
      <c r="F34" t="s">
        <v>259</v>
      </c>
      <c r="G34" t="s">
        <v>61</v>
      </c>
      <c r="H34" t="s">
        <v>89</v>
      </c>
      <c r="I34" t="s">
        <v>53</v>
      </c>
      <c r="J34" t="s">
        <v>54</v>
      </c>
      <c r="K34" t="s">
        <v>55</v>
      </c>
      <c r="L34" t="s">
        <v>27</v>
      </c>
      <c r="M34" t="s">
        <v>47</v>
      </c>
      <c r="N34" t="s">
        <v>260</v>
      </c>
      <c r="O34" t="s">
        <v>58</v>
      </c>
      <c r="P34">
        <v>6</v>
      </c>
      <c r="Q34">
        <v>1528.08</v>
      </c>
      <c r="R34">
        <v>0</v>
      </c>
      <c r="S34" t="str">
        <f t="shared" si="2"/>
        <v>OK</v>
      </c>
      <c r="T34">
        <v>9168.48</v>
      </c>
      <c r="U34">
        <v>7439.77</v>
      </c>
      <c r="V34">
        <v>1728.71</v>
      </c>
      <c r="W34" t="s">
        <v>31</v>
      </c>
      <c r="X34" t="s">
        <v>32</v>
      </c>
      <c r="Y34" t="str">
        <f>IF(COUNTIF($A$2:$A$901,A34)&gt;1,
  IF(COUNTIF($A$2:A34,A34)=1,
    " ORIGINAL",
    "CONFLICTING DUPLICATE - REVIEW"),
"OK")</f>
        <v>OK</v>
      </c>
      <c r="Z34">
        <f t="shared" si="3"/>
        <v>0</v>
      </c>
      <c r="AA34">
        <f t="shared" si="4"/>
        <v>9168.48</v>
      </c>
      <c r="AB34">
        <f t="shared" si="5"/>
        <v>1728.71</v>
      </c>
      <c r="AC34">
        <f t="shared" si="6"/>
        <v>0.1885</v>
      </c>
      <c r="AD34">
        <f t="shared" si="9"/>
        <v>4</v>
      </c>
      <c r="AE34">
        <f t="shared" si="7"/>
        <v>2024</v>
      </c>
      <c r="AF34" t="str">
        <f t="shared" si="8"/>
        <v>CLEAN</v>
      </c>
    </row>
    <row r="35" spans="1:32">
      <c r="A35" t="s">
        <v>261</v>
      </c>
      <c r="B35" s="10">
        <v>45591</v>
      </c>
      <c r="C35" s="10">
        <v>45593</v>
      </c>
      <c r="D35">
        <f t="shared" si="0"/>
        <v>2</v>
      </c>
      <c r="E35" t="str">
        <f t="shared" si="1"/>
        <v>OK</v>
      </c>
      <c r="F35" t="s">
        <v>262</v>
      </c>
      <c r="G35" t="s">
        <v>263</v>
      </c>
      <c r="H35" t="s">
        <v>36</v>
      </c>
      <c r="I35" t="s">
        <v>24</v>
      </c>
      <c r="J35" t="s">
        <v>25</v>
      </c>
      <c r="K35" t="s">
        <v>26</v>
      </c>
      <c r="L35" t="s">
        <v>40</v>
      </c>
      <c r="M35" t="s">
        <v>65</v>
      </c>
      <c r="N35" t="s">
        <v>264</v>
      </c>
      <c r="O35" t="s">
        <v>49</v>
      </c>
      <c r="P35">
        <v>9</v>
      </c>
      <c r="Q35">
        <v>1399.63</v>
      </c>
      <c r="R35">
        <v>0</v>
      </c>
      <c r="S35" t="str">
        <f t="shared" si="2"/>
        <v>OK</v>
      </c>
      <c r="T35">
        <v>12596.67</v>
      </c>
      <c r="U35">
        <v>10603.29</v>
      </c>
      <c r="V35">
        <v>1993.38</v>
      </c>
      <c r="W35" t="s">
        <v>154</v>
      </c>
      <c r="X35" t="s">
        <v>67</v>
      </c>
      <c r="Y35" t="str">
        <f>IF(COUNTIF($A$2:$A$901,A35)&gt;1,
  IF(COUNTIF($A$2:A35,A35)=1,
    " ORIGINAL",
    "CONFLICTING DUPLICATE - REVIEW"),
"OK")</f>
        <v>OK</v>
      </c>
      <c r="Z35">
        <f t="shared" si="3"/>
        <v>0</v>
      </c>
      <c r="AA35">
        <f t="shared" si="4"/>
        <v>12596.67</v>
      </c>
      <c r="AB35">
        <f t="shared" si="5"/>
        <v>1993.38</v>
      </c>
      <c r="AC35">
        <f t="shared" si="6"/>
        <v>0.15820000000000001</v>
      </c>
      <c r="AD35">
        <f t="shared" si="9"/>
        <v>10</v>
      </c>
      <c r="AE35">
        <f t="shared" si="7"/>
        <v>2024</v>
      </c>
      <c r="AF35" t="str">
        <f t="shared" si="8"/>
        <v>INVALID</v>
      </c>
    </row>
    <row r="36" spans="1:32">
      <c r="A36" t="s">
        <v>278</v>
      </c>
      <c r="B36" s="10">
        <v>45329</v>
      </c>
      <c r="C36" s="10">
        <v>45337</v>
      </c>
      <c r="D36">
        <f t="shared" si="0"/>
        <v>8</v>
      </c>
      <c r="E36" t="str">
        <f t="shared" si="1"/>
        <v>OK</v>
      </c>
      <c r="F36" t="s">
        <v>279</v>
      </c>
      <c r="G36" t="s">
        <v>113</v>
      </c>
      <c r="H36" t="s">
        <v>23</v>
      </c>
      <c r="I36" t="s">
        <v>62</v>
      </c>
      <c r="J36" t="s">
        <v>189</v>
      </c>
      <c r="K36" t="s">
        <v>190</v>
      </c>
      <c r="L36" t="s">
        <v>40</v>
      </c>
      <c r="M36" t="s">
        <v>65</v>
      </c>
      <c r="N36" t="s">
        <v>280</v>
      </c>
      <c r="O36" t="s">
        <v>43</v>
      </c>
      <c r="P36">
        <v>5</v>
      </c>
      <c r="Q36">
        <v>255.87</v>
      </c>
      <c r="R36">
        <v>0</v>
      </c>
      <c r="S36" t="str">
        <f t="shared" si="2"/>
        <v>OK</v>
      </c>
      <c r="T36">
        <v>1279.3499999999999</v>
      </c>
      <c r="U36">
        <v>1091.54</v>
      </c>
      <c r="V36">
        <v>187.81</v>
      </c>
      <c r="W36" t="s">
        <v>31</v>
      </c>
      <c r="X36" t="s">
        <v>32</v>
      </c>
      <c r="Y36" t="str">
        <f>IF(COUNTIF($A$2:$A$901,A36)&gt;1,
  IF(COUNTIF($A$2:A36,A36)=1,
    " ORIGINAL",
    "CONFLICTING DUPLICATE - REVIEW"),
"OK")</f>
        <v>OK</v>
      </c>
      <c r="Z36">
        <f t="shared" si="3"/>
        <v>0</v>
      </c>
      <c r="AA36">
        <f t="shared" si="4"/>
        <v>1279.3499999999999</v>
      </c>
      <c r="AB36">
        <f t="shared" si="5"/>
        <v>187.81</v>
      </c>
      <c r="AC36">
        <f t="shared" si="6"/>
        <v>0.14680000000000001</v>
      </c>
      <c r="AD36">
        <f t="shared" si="9"/>
        <v>2</v>
      </c>
      <c r="AE36">
        <f t="shared" si="7"/>
        <v>2024</v>
      </c>
      <c r="AF36" t="str">
        <f t="shared" si="8"/>
        <v>CLEAN</v>
      </c>
    </row>
    <row r="37" spans="1:32">
      <c r="A37" t="s">
        <v>281</v>
      </c>
      <c r="B37" s="10">
        <v>45536</v>
      </c>
      <c r="C37" s="10">
        <v>45542</v>
      </c>
      <c r="D37">
        <f t="shared" si="0"/>
        <v>6</v>
      </c>
      <c r="E37" t="str">
        <f t="shared" si="1"/>
        <v>OK</v>
      </c>
      <c r="F37" t="s">
        <v>282</v>
      </c>
      <c r="G37" t="s">
        <v>46</v>
      </c>
      <c r="H37" t="s">
        <v>94</v>
      </c>
      <c r="I37" t="s">
        <v>24</v>
      </c>
      <c r="J37" t="s">
        <v>25</v>
      </c>
      <c r="K37" t="s">
        <v>26</v>
      </c>
      <c r="L37" t="s">
        <v>27</v>
      </c>
      <c r="M37" t="s">
        <v>123</v>
      </c>
      <c r="N37" t="s">
        <v>283</v>
      </c>
      <c r="O37" t="s">
        <v>2762</v>
      </c>
      <c r="P37">
        <v>9</v>
      </c>
      <c r="Q37">
        <v>1389.48</v>
      </c>
      <c r="R37">
        <v>0.1</v>
      </c>
      <c r="S37" t="str">
        <f t="shared" si="2"/>
        <v>OK</v>
      </c>
      <c r="T37">
        <v>11254.79</v>
      </c>
      <c r="U37">
        <v>6578.06</v>
      </c>
      <c r="V37">
        <v>4676.7299999999996</v>
      </c>
      <c r="W37" t="s">
        <v>110</v>
      </c>
      <c r="X37" t="s">
        <v>102</v>
      </c>
      <c r="Y37" t="str">
        <f>IF(COUNTIF($A$2:$A$901,A37)&gt;1,
  IF(COUNTIF($A$2:A37,A37)=1,
    " ORIGINAL",
    "CONFLICTING DUPLICATE - REVIEW"),
"OK")</f>
        <v>OK</v>
      </c>
      <c r="Z37">
        <f t="shared" si="3"/>
        <v>0.1</v>
      </c>
      <c r="AA37">
        <f t="shared" si="4"/>
        <v>11254.79</v>
      </c>
      <c r="AB37">
        <f t="shared" si="5"/>
        <v>4676.7299999999996</v>
      </c>
      <c r="AC37">
        <f t="shared" si="6"/>
        <v>0.41549999999999998</v>
      </c>
      <c r="AD37">
        <f t="shared" si="9"/>
        <v>9</v>
      </c>
      <c r="AE37">
        <f t="shared" si="7"/>
        <v>2024</v>
      </c>
      <c r="AF37" t="str">
        <f t="shared" si="8"/>
        <v>WARNING</v>
      </c>
    </row>
    <row r="38" spans="1:32">
      <c r="A38" t="s">
        <v>284</v>
      </c>
      <c r="B38" s="10">
        <v>45493</v>
      </c>
      <c r="C38" s="10">
        <v>45498</v>
      </c>
      <c r="D38">
        <f t="shared" si="0"/>
        <v>5</v>
      </c>
      <c r="E38" t="str">
        <f t="shared" si="1"/>
        <v>OK</v>
      </c>
      <c r="F38" t="s">
        <v>285</v>
      </c>
      <c r="G38" t="s">
        <v>113</v>
      </c>
      <c r="H38" t="s">
        <v>89</v>
      </c>
      <c r="I38" t="s">
        <v>37</v>
      </c>
      <c r="J38" t="s">
        <v>165</v>
      </c>
      <c r="K38" t="s">
        <v>166</v>
      </c>
      <c r="L38" t="s">
        <v>27</v>
      </c>
      <c r="M38" t="s">
        <v>90</v>
      </c>
      <c r="N38" t="s">
        <v>286</v>
      </c>
      <c r="O38" t="s">
        <v>43</v>
      </c>
      <c r="P38">
        <v>5</v>
      </c>
      <c r="Q38">
        <v>4133.8500000000004</v>
      </c>
      <c r="R38">
        <v>0.2</v>
      </c>
      <c r="S38" t="str">
        <f t="shared" si="2"/>
        <v>OK</v>
      </c>
      <c r="T38">
        <v>16535.400000000001</v>
      </c>
      <c r="U38">
        <v>12990.21</v>
      </c>
      <c r="V38">
        <v>3545.19</v>
      </c>
      <c r="W38" t="s">
        <v>31</v>
      </c>
      <c r="X38" t="s">
        <v>67</v>
      </c>
      <c r="Y38" t="str">
        <f>IF(COUNTIF($A$2:$A$901,A38)&gt;1,
  IF(COUNTIF($A$2:A38,A38)=1,
    " ORIGINAL",
    "CONFLICTING DUPLICATE - REVIEW"),
"OK")</f>
        <v>OK</v>
      </c>
      <c r="Z38">
        <f t="shared" si="3"/>
        <v>0.2</v>
      </c>
      <c r="AA38">
        <f t="shared" si="4"/>
        <v>16535.400000000001</v>
      </c>
      <c r="AB38">
        <f t="shared" si="5"/>
        <v>3545.19</v>
      </c>
      <c r="AC38">
        <f t="shared" si="6"/>
        <v>0.21440000000000001</v>
      </c>
      <c r="AD38">
        <f t="shared" si="9"/>
        <v>7</v>
      </c>
      <c r="AE38">
        <f t="shared" si="7"/>
        <v>2024</v>
      </c>
      <c r="AF38" t="str">
        <f t="shared" si="8"/>
        <v>CLEAN</v>
      </c>
    </row>
    <row r="39" spans="1:32">
      <c r="A39" t="s">
        <v>287</v>
      </c>
      <c r="B39" s="10">
        <v>45486</v>
      </c>
      <c r="C39" s="10">
        <v>45492</v>
      </c>
      <c r="D39">
        <f t="shared" si="0"/>
        <v>6</v>
      </c>
      <c r="E39" t="str">
        <f t="shared" si="1"/>
        <v>OK</v>
      </c>
      <c r="F39" t="s">
        <v>288</v>
      </c>
      <c r="G39" t="s">
        <v>61</v>
      </c>
      <c r="H39" t="s">
        <v>89</v>
      </c>
      <c r="I39" t="s">
        <v>37</v>
      </c>
      <c r="J39" t="s">
        <v>165</v>
      </c>
      <c r="K39" t="s">
        <v>166</v>
      </c>
      <c r="L39" t="s">
        <v>27</v>
      </c>
      <c r="M39" t="s">
        <v>90</v>
      </c>
      <c r="N39" t="s">
        <v>289</v>
      </c>
      <c r="O39" t="s">
        <v>43</v>
      </c>
      <c r="P39">
        <v>3</v>
      </c>
      <c r="Q39">
        <v>275.76</v>
      </c>
      <c r="R39">
        <v>0.2</v>
      </c>
      <c r="S39" t="str">
        <f t="shared" si="2"/>
        <v>OK</v>
      </c>
      <c r="T39">
        <v>661.82</v>
      </c>
      <c r="U39">
        <v>481.47</v>
      </c>
      <c r="V39">
        <v>180.35</v>
      </c>
      <c r="W39" t="s">
        <v>101</v>
      </c>
      <c r="X39" t="s">
        <v>67</v>
      </c>
      <c r="Y39" t="str">
        <f>IF(COUNTIF($A$2:$A$901,A39)&gt;1,
  IF(COUNTIF($A$2:A39,A39)=1,
    " ORIGINAL",
    "CONFLICTING DUPLICATE - REVIEW"),
"OK")</f>
        <v>OK</v>
      </c>
      <c r="Z39">
        <f t="shared" si="3"/>
        <v>0.2</v>
      </c>
      <c r="AA39">
        <f t="shared" si="4"/>
        <v>661.82</v>
      </c>
      <c r="AB39">
        <f t="shared" si="5"/>
        <v>180.35</v>
      </c>
      <c r="AC39">
        <f t="shared" si="6"/>
        <v>0.27250000000000002</v>
      </c>
      <c r="AD39">
        <f t="shared" si="9"/>
        <v>7</v>
      </c>
      <c r="AE39">
        <f t="shared" si="7"/>
        <v>2024</v>
      </c>
      <c r="AF39" t="str">
        <f t="shared" si="8"/>
        <v>CLEAN</v>
      </c>
    </row>
    <row r="40" spans="1:32">
      <c r="A40" t="s">
        <v>290</v>
      </c>
      <c r="B40" s="10">
        <v>45398</v>
      </c>
      <c r="C40" s="10">
        <v>45398</v>
      </c>
      <c r="D40">
        <f t="shared" si="0"/>
        <v>0</v>
      </c>
      <c r="E40" t="str">
        <f t="shared" si="1"/>
        <v>OK</v>
      </c>
      <c r="F40" t="s">
        <v>291</v>
      </c>
      <c r="G40" t="s">
        <v>70</v>
      </c>
      <c r="H40" t="s">
        <v>94</v>
      </c>
      <c r="I40" t="s">
        <v>37</v>
      </c>
      <c r="J40" t="s">
        <v>144</v>
      </c>
      <c r="K40" t="s">
        <v>145</v>
      </c>
      <c r="L40" t="s">
        <v>40</v>
      </c>
      <c r="M40" t="s">
        <v>157</v>
      </c>
      <c r="N40" t="s">
        <v>292</v>
      </c>
      <c r="O40" t="s">
        <v>58</v>
      </c>
      <c r="P40">
        <v>1</v>
      </c>
      <c r="Q40">
        <v>949.59</v>
      </c>
      <c r="R40">
        <v>0</v>
      </c>
      <c r="S40" t="str">
        <f t="shared" si="2"/>
        <v>OK</v>
      </c>
      <c r="T40">
        <v>949.59</v>
      </c>
      <c r="U40">
        <v>751.25</v>
      </c>
      <c r="V40">
        <v>198.34</v>
      </c>
      <c r="W40" t="s">
        <v>31</v>
      </c>
      <c r="X40" t="s">
        <v>32</v>
      </c>
      <c r="Y40" t="str">
        <f>IF(COUNTIF($A$2:$A$901,A40)&gt;1,
  IF(COUNTIF($A$2:A40,A40)=1,
    " ORIGINAL",
    "CONFLICTING DUPLICATE - REVIEW"),
"OK")</f>
        <v>OK</v>
      </c>
      <c r="Z40">
        <f t="shared" si="3"/>
        <v>0</v>
      </c>
      <c r="AA40">
        <f t="shared" si="4"/>
        <v>949.59</v>
      </c>
      <c r="AB40">
        <f t="shared" si="5"/>
        <v>198.34</v>
      </c>
      <c r="AC40">
        <f t="shared" si="6"/>
        <v>0.2089</v>
      </c>
      <c r="AD40">
        <f t="shared" si="9"/>
        <v>4</v>
      </c>
      <c r="AE40">
        <f t="shared" si="7"/>
        <v>2024</v>
      </c>
      <c r="AF40" t="str">
        <f t="shared" si="8"/>
        <v>CLEAN</v>
      </c>
    </row>
    <row r="41" spans="1:32">
      <c r="A41" t="s">
        <v>293</v>
      </c>
      <c r="B41" s="10">
        <v>45595</v>
      </c>
      <c r="C41" s="10">
        <v>45333</v>
      </c>
      <c r="D41">
        <f t="shared" si="0"/>
        <v>-262</v>
      </c>
      <c r="E41" t="str">
        <f t="shared" si="1"/>
        <v>INVALID</v>
      </c>
      <c r="F41" t="s">
        <v>294</v>
      </c>
      <c r="G41" t="s">
        <v>131</v>
      </c>
      <c r="H41" t="s">
        <v>94</v>
      </c>
      <c r="I41" t="s">
        <v>24</v>
      </c>
      <c r="J41" t="s">
        <v>25</v>
      </c>
      <c r="K41" t="s">
        <v>26</v>
      </c>
      <c r="L41" t="s">
        <v>73</v>
      </c>
      <c r="M41" t="s">
        <v>170</v>
      </c>
      <c r="N41" t="s">
        <v>295</v>
      </c>
      <c r="O41" t="s">
        <v>58</v>
      </c>
      <c r="P41">
        <v>9</v>
      </c>
      <c r="Q41">
        <v>3042.29</v>
      </c>
      <c r="R41">
        <v>0.2</v>
      </c>
      <c r="S41" t="str">
        <f t="shared" si="2"/>
        <v>OK</v>
      </c>
      <c r="T41">
        <v>21904.49</v>
      </c>
      <c r="U41">
        <v>13570.55</v>
      </c>
      <c r="V41">
        <v>8333.94</v>
      </c>
      <c r="W41" t="s">
        <v>31</v>
      </c>
      <c r="X41" t="s">
        <v>32</v>
      </c>
      <c r="Y41" t="str">
        <f>IF(COUNTIF($A$2:$A$901,A41)&gt;1,
  IF(COUNTIF($A$2:A41,A41)=1,
    " ORIGINAL",
    "CONFLICTING DUPLICATE - REVIEW"),
"OK")</f>
        <v>OK</v>
      </c>
      <c r="Z41">
        <f t="shared" si="3"/>
        <v>0.2</v>
      </c>
      <c r="AA41">
        <f t="shared" si="4"/>
        <v>21904.49</v>
      </c>
      <c r="AB41">
        <f t="shared" si="5"/>
        <v>8333.94</v>
      </c>
      <c r="AC41">
        <f t="shared" si="6"/>
        <v>0.3805</v>
      </c>
      <c r="AD41">
        <f t="shared" si="9"/>
        <v>10</v>
      </c>
      <c r="AE41">
        <f t="shared" si="7"/>
        <v>2024</v>
      </c>
      <c r="AF41" t="str">
        <f t="shared" si="8"/>
        <v>INVALID</v>
      </c>
    </row>
    <row r="42" spans="1:32">
      <c r="A42" t="s">
        <v>296</v>
      </c>
      <c r="B42" s="10">
        <v>45316</v>
      </c>
      <c r="C42" s="10">
        <v>45293</v>
      </c>
      <c r="D42">
        <f t="shared" si="0"/>
        <v>-23</v>
      </c>
      <c r="E42" t="str">
        <f t="shared" si="1"/>
        <v>INVALID</v>
      </c>
      <c r="F42" t="s">
        <v>297</v>
      </c>
      <c r="G42" t="s">
        <v>131</v>
      </c>
      <c r="H42" t="s">
        <v>94</v>
      </c>
      <c r="I42" t="s">
        <v>24</v>
      </c>
      <c r="J42" t="s">
        <v>235</v>
      </c>
      <c r="K42" t="s">
        <v>236</v>
      </c>
      <c r="L42" t="s">
        <v>27</v>
      </c>
      <c r="M42" t="s">
        <v>152</v>
      </c>
      <c r="N42" t="s">
        <v>298</v>
      </c>
      <c r="O42" t="s">
        <v>43</v>
      </c>
      <c r="P42">
        <v>2</v>
      </c>
      <c r="Q42">
        <v>2832.77</v>
      </c>
      <c r="R42">
        <v>0.15</v>
      </c>
      <c r="S42" t="str">
        <f t="shared" si="2"/>
        <v>OK</v>
      </c>
      <c r="T42">
        <v>4815.71</v>
      </c>
      <c r="U42">
        <v>3027.75</v>
      </c>
      <c r="V42">
        <v>1917.47</v>
      </c>
      <c r="W42" t="s">
        <v>31</v>
      </c>
      <c r="X42" t="s">
        <v>32</v>
      </c>
      <c r="Y42" t="str">
        <f>IF(COUNTIF($A$2:$A$901,A42)&gt;1,
  IF(COUNTIF($A$2:A42,A42)=1,
    " ORIGINAL",
    "CONFLICTING DUPLICATE - REVIEW"),
"OK")</f>
        <v>OK</v>
      </c>
      <c r="Z42">
        <f t="shared" si="3"/>
        <v>0.15</v>
      </c>
      <c r="AA42">
        <f t="shared" si="4"/>
        <v>4815.71</v>
      </c>
      <c r="AB42">
        <f t="shared" si="5"/>
        <v>1787.96</v>
      </c>
      <c r="AC42">
        <f t="shared" si="6"/>
        <v>0.37130000000000002</v>
      </c>
      <c r="AD42">
        <f t="shared" si="9"/>
        <v>1</v>
      </c>
      <c r="AE42">
        <f t="shared" si="7"/>
        <v>2024</v>
      </c>
      <c r="AF42" t="str">
        <f t="shared" si="8"/>
        <v>INVALID</v>
      </c>
    </row>
    <row r="43" spans="1:32">
      <c r="A43" t="s">
        <v>299</v>
      </c>
      <c r="B43" s="10">
        <v>45649</v>
      </c>
      <c r="C43" s="10">
        <v>45655</v>
      </c>
      <c r="D43">
        <f t="shared" si="0"/>
        <v>6</v>
      </c>
      <c r="E43" t="str">
        <f t="shared" si="1"/>
        <v>OK</v>
      </c>
      <c r="F43" t="s">
        <v>300</v>
      </c>
      <c r="G43" t="s">
        <v>127</v>
      </c>
      <c r="H43" t="s">
        <v>89</v>
      </c>
      <c r="I43" t="s">
        <v>37</v>
      </c>
      <c r="J43" t="s">
        <v>227</v>
      </c>
      <c r="K43" t="s">
        <v>228</v>
      </c>
      <c r="L43" t="s">
        <v>27</v>
      </c>
      <c r="M43" t="s">
        <v>28</v>
      </c>
      <c r="N43" t="s">
        <v>301</v>
      </c>
      <c r="O43" t="s">
        <v>49</v>
      </c>
      <c r="P43">
        <v>7</v>
      </c>
      <c r="Q43">
        <v>447.84</v>
      </c>
      <c r="R43">
        <v>0</v>
      </c>
      <c r="S43" t="str">
        <f t="shared" si="2"/>
        <v>OK</v>
      </c>
      <c r="T43">
        <v>3134.88</v>
      </c>
      <c r="U43">
        <v>2367.63</v>
      </c>
      <c r="V43">
        <v>767.25</v>
      </c>
      <c r="W43" t="s">
        <v>101</v>
      </c>
      <c r="X43" t="s">
        <v>102</v>
      </c>
      <c r="Y43" t="str">
        <f>IF(COUNTIF($A$2:$A$901,A43)&gt;1,
  IF(COUNTIF($A$2:A43,A43)=1,
    " ORIGINAL",
    "CONFLICTING DUPLICATE - REVIEW"),
"OK")</f>
        <v>OK</v>
      </c>
      <c r="Z43">
        <f t="shared" si="3"/>
        <v>0</v>
      </c>
      <c r="AA43">
        <f t="shared" si="4"/>
        <v>3134.88</v>
      </c>
      <c r="AB43">
        <f t="shared" si="5"/>
        <v>767.25</v>
      </c>
      <c r="AC43">
        <f t="shared" si="6"/>
        <v>0.2447</v>
      </c>
      <c r="AD43">
        <f t="shared" si="9"/>
        <v>12</v>
      </c>
      <c r="AE43">
        <f t="shared" si="7"/>
        <v>2024</v>
      </c>
      <c r="AF43" t="str">
        <f t="shared" si="8"/>
        <v>CLEAN</v>
      </c>
    </row>
    <row r="44" spans="1:32">
      <c r="A44" t="s">
        <v>302</v>
      </c>
      <c r="B44" s="10">
        <v>45404</v>
      </c>
      <c r="C44" s="10">
        <v>45409</v>
      </c>
      <c r="D44">
        <f t="shared" si="0"/>
        <v>5</v>
      </c>
      <c r="E44" t="str">
        <f t="shared" si="1"/>
        <v>OK</v>
      </c>
      <c r="F44" t="s">
        <v>303</v>
      </c>
      <c r="G44" t="s">
        <v>35</v>
      </c>
      <c r="H44" t="s">
        <v>94</v>
      </c>
      <c r="I44" t="s">
        <v>62</v>
      </c>
      <c r="J44" t="s">
        <v>63</v>
      </c>
      <c r="K44" t="s">
        <v>64</v>
      </c>
      <c r="L44" t="s">
        <v>27</v>
      </c>
      <c r="M44" t="s">
        <v>28</v>
      </c>
      <c r="N44" t="s">
        <v>304</v>
      </c>
      <c r="O44" t="s">
        <v>30</v>
      </c>
      <c r="P44">
        <v>1</v>
      </c>
      <c r="Q44">
        <v>4280.1899999999996</v>
      </c>
      <c r="R44">
        <v>0.05</v>
      </c>
      <c r="S44" t="str">
        <f t="shared" si="2"/>
        <v>OK</v>
      </c>
      <c r="T44">
        <v>4066.18</v>
      </c>
      <c r="U44">
        <v>2628.92</v>
      </c>
      <c r="V44">
        <v>1437.26</v>
      </c>
      <c r="W44" t="s">
        <v>31</v>
      </c>
      <c r="X44" t="s">
        <v>32</v>
      </c>
      <c r="Y44" t="str">
        <f>IF(COUNTIF($A$2:$A$901,A44)&gt;1,
  IF(COUNTIF($A$2:A44,A44)=1,
    " ORIGINAL",
    "CONFLICTING DUPLICATE - REVIEW"),
"OK")</f>
        <v>OK</v>
      </c>
      <c r="Z44">
        <f t="shared" si="3"/>
        <v>0.05</v>
      </c>
      <c r="AA44">
        <f t="shared" si="4"/>
        <v>4066.18</v>
      </c>
      <c r="AB44">
        <f t="shared" si="5"/>
        <v>1437.26</v>
      </c>
      <c r="AC44">
        <f t="shared" si="6"/>
        <v>0.35349999999999998</v>
      </c>
      <c r="AD44">
        <f t="shared" si="9"/>
        <v>4</v>
      </c>
      <c r="AE44">
        <f t="shared" si="7"/>
        <v>2024</v>
      </c>
      <c r="AF44" t="str">
        <f t="shared" si="8"/>
        <v>CLEAN</v>
      </c>
    </row>
    <row r="45" spans="1:32">
      <c r="A45" t="s">
        <v>311</v>
      </c>
      <c r="B45" s="10">
        <v>45606</v>
      </c>
      <c r="C45" s="10">
        <v>45609</v>
      </c>
      <c r="D45">
        <f t="shared" si="0"/>
        <v>3</v>
      </c>
      <c r="E45" t="str">
        <f t="shared" si="1"/>
        <v>OK</v>
      </c>
      <c r="F45" t="s">
        <v>312</v>
      </c>
      <c r="G45" t="s">
        <v>46</v>
      </c>
      <c r="H45" t="s">
        <v>89</v>
      </c>
      <c r="I45" t="s">
        <v>37</v>
      </c>
      <c r="J45" t="s">
        <v>227</v>
      </c>
      <c r="K45" t="s">
        <v>228</v>
      </c>
      <c r="L45" t="s">
        <v>27</v>
      </c>
      <c r="M45" t="s">
        <v>123</v>
      </c>
      <c r="N45" t="s">
        <v>313</v>
      </c>
      <c r="O45" t="s">
        <v>30</v>
      </c>
      <c r="P45">
        <v>9</v>
      </c>
      <c r="Q45">
        <v>2211.12</v>
      </c>
      <c r="R45">
        <v>0</v>
      </c>
      <c r="S45" t="str">
        <f t="shared" si="2"/>
        <v>OK</v>
      </c>
      <c r="T45">
        <v>19900.080000000002</v>
      </c>
      <c r="U45">
        <v>10962.66</v>
      </c>
      <c r="V45">
        <v>8937.42</v>
      </c>
      <c r="W45" t="s">
        <v>154</v>
      </c>
      <c r="X45" t="s">
        <v>102</v>
      </c>
      <c r="Y45" t="str">
        <f>IF(COUNTIF($A$2:$A$901,A45)&gt;1,
  IF(COUNTIF($A$2:A45,A45)=1,
    " ORIGINAL",
    "CONFLICTING DUPLICATE - REVIEW"),
"OK")</f>
        <v>OK</v>
      </c>
      <c r="Z45">
        <f t="shared" si="3"/>
        <v>0</v>
      </c>
      <c r="AA45">
        <f t="shared" si="4"/>
        <v>19900.080000000002</v>
      </c>
      <c r="AB45">
        <f t="shared" si="5"/>
        <v>8937.42</v>
      </c>
      <c r="AC45">
        <f t="shared" si="6"/>
        <v>0.4491</v>
      </c>
      <c r="AD45">
        <f t="shared" si="9"/>
        <v>11</v>
      </c>
      <c r="AE45">
        <f t="shared" si="7"/>
        <v>2024</v>
      </c>
      <c r="AF45" t="str">
        <f t="shared" si="8"/>
        <v>INVALID</v>
      </c>
    </row>
    <row r="46" spans="1:32">
      <c r="A46" t="s">
        <v>314</v>
      </c>
      <c r="B46" s="10">
        <v>45391</v>
      </c>
      <c r="C46" s="10">
        <v>45396</v>
      </c>
      <c r="D46">
        <f t="shared" si="0"/>
        <v>5</v>
      </c>
      <c r="E46" t="str">
        <f t="shared" si="1"/>
        <v>OK</v>
      </c>
      <c r="F46" t="s">
        <v>315</v>
      </c>
      <c r="G46" t="s">
        <v>78</v>
      </c>
      <c r="H46" t="s">
        <v>36</v>
      </c>
      <c r="I46" t="s">
        <v>62</v>
      </c>
      <c r="J46" t="s">
        <v>179</v>
      </c>
      <c r="K46" t="s">
        <v>180</v>
      </c>
      <c r="L46" t="s">
        <v>73</v>
      </c>
      <c r="M46" t="s">
        <v>273</v>
      </c>
      <c r="N46" t="s">
        <v>316</v>
      </c>
      <c r="O46" t="s">
        <v>43</v>
      </c>
      <c r="P46">
        <v>7</v>
      </c>
      <c r="Q46">
        <v>3417.09</v>
      </c>
      <c r="R46">
        <v>0.1</v>
      </c>
      <c r="S46" t="str">
        <f t="shared" si="2"/>
        <v>OK</v>
      </c>
      <c r="T46">
        <v>21527.67</v>
      </c>
      <c r="U46">
        <v>18287.580000000002</v>
      </c>
      <c r="V46">
        <v>3240.09</v>
      </c>
      <c r="W46" t="s">
        <v>101</v>
      </c>
      <c r="X46" t="s">
        <v>102</v>
      </c>
      <c r="Y46" t="str">
        <f>IF(COUNTIF($A$2:$A$901,A46)&gt;1,
  IF(COUNTIF($A$2:A46,A46)=1,
    " ORIGINAL",
    "CONFLICTING DUPLICATE - REVIEW"),
"OK")</f>
        <v>OK</v>
      </c>
      <c r="Z46">
        <f t="shared" si="3"/>
        <v>0.1</v>
      </c>
      <c r="AA46">
        <f t="shared" si="4"/>
        <v>21527.67</v>
      </c>
      <c r="AB46">
        <f t="shared" si="5"/>
        <v>3240.09</v>
      </c>
      <c r="AC46">
        <f t="shared" si="6"/>
        <v>0.15049999999999999</v>
      </c>
      <c r="AD46">
        <f t="shared" si="9"/>
        <v>4</v>
      </c>
      <c r="AE46">
        <f t="shared" si="7"/>
        <v>2024</v>
      </c>
      <c r="AF46" t="str">
        <f t="shared" si="8"/>
        <v>CLEAN</v>
      </c>
    </row>
    <row r="47" spans="1:32">
      <c r="A47" t="s">
        <v>323</v>
      </c>
      <c r="B47" s="10">
        <v>45333</v>
      </c>
      <c r="C47" s="10">
        <v>45329</v>
      </c>
      <c r="D47">
        <f t="shared" si="0"/>
        <v>-4</v>
      </c>
      <c r="E47" t="str">
        <f t="shared" si="1"/>
        <v>INVALID</v>
      </c>
      <c r="F47" t="s">
        <v>324</v>
      </c>
      <c r="G47" t="s">
        <v>22</v>
      </c>
      <c r="H47" t="s">
        <v>94</v>
      </c>
      <c r="I47" t="s">
        <v>53</v>
      </c>
      <c r="J47" t="s">
        <v>246</v>
      </c>
      <c r="K47" t="s">
        <v>247</v>
      </c>
      <c r="L47" t="s">
        <v>40</v>
      </c>
      <c r="M47" t="s">
        <v>41</v>
      </c>
      <c r="N47" t="s">
        <v>325</v>
      </c>
      <c r="O47" t="s">
        <v>49</v>
      </c>
      <c r="P47">
        <v>7</v>
      </c>
      <c r="Q47">
        <v>2287.4699999999998</v>
      </c>
      <c r="R47">
        <v>0.15</v>
      </c>
      <c r="S47" t="str">
        <f t="shared" si="2"/>
        <v>OK</v>
      </c>
      <c r="T47">
        <v>13610.45</v>
      </c>
      <c r="U47">
        <v>10039.049999999999</v>
      </c>
      <c r="V47">
        <v>3571.4</v>
      </c>
      <c r="W47" t="s">
        <v>31</v>
      </c>
      <c r="X47" t="s">
        <v>32</v>
      </c>
      <c r="Y47" t="str">
        <f>IF(COUNTIF($A$2:$A$901,A47)&gt;1,
  IF(COUNTIF($A$2:A47,A47)=1,
    " ORIGINAL",
    "CONFLICTING DUPLICATE - REVIEW"),
"OK")</f>
        <v>OK</v>
      </c>
      <c r="Z47">
        <f t="shared" si="3"/>
        <v>0.15</v>
      </c>
      <c r="AA47">
        <f t="shared" si="4"/>
        <v>13610.45</v>
      </c>
      <c r="AB47">
        <f t="shared" si="5"/>
        <v>3571.4</v>
      </c>
      <c r="AC47">
        <f t="shared" si="6"/>
        <v>0.26240000000000002</v>
      </c>
      <c r="AD47">
        <f t="shared" si="9"/>
        <v>2</v>
      </c>
      <c r="AE47">
        <f t="shared" si="7"/>
        <v>2024</v>
      </c>
      <c r="AF47" t="str">
        <f t="shared" si="8"/>
        <v>INVALID</v>
      </c>
    </row>
    <row r="48" spans="1:32">
      <c r="A48" t="s">
        <v>335</v>
      </c>
      <c r="B48" s="10">
        <v>45599</v>
      </c>
      <c r="C48" s="10">
        <v>45607</v>
      </c>
      <c r="D48">
        <f t="shared" si="0"/>
        <v>8</v>
      </c>
      <c r="E48" t="str">
        <f t="shared" si="1"/>
        <v>OK</v>
      </c>
      <c r="F48" t="s">
        <v>336</v>
      </c>
      <c r="G48" t="s">
        <v>61</v>
      </c>
      <c r="H48" t="s">
        <v>89</v>
      </c>
      <c r="I48" t="s">
        <v>37</v>
      </c>
      <c r="J48" t="s">
        <v>227</v>
      </c>
      <c r="K48" t="s">
        <v>228</v>
      </c>
      <c r="L48" t="s">
        <v>27</v>
      </c>
      <c r="M48" t="s">
        <v>90</v>
      </c>
      <c r="N48" t="s">
        <v>337</v>
      </c>
      <c r="O48" t="s">
        <v>30</v>
      </c>
      <c r="P48">
        <v>3</v>
      </c>
      <c r="Q48">
        <v>3406.27</v>
      </c>
      <c r="R48">
        <v>0</v>
      </c>
      <c r="S48" t="str">
        <f t="shared" si="2"/>
        <v>OK</v>
      </c>
      <c r="T48">
        <v>10218.81</v>
      </c>
      <c r="U48">
        <v>7616.97</v>
      </c>
      <c r="V48">
        <v>2601.84</v>
      </c>
      <c r="W48" t="s">
        <v>31</v>
      </c>
      <c r="X48" t="s">
        <v>32</v>
      </c>
      <c r="Y48" t="str">
        <f>IF(COUNTIF($A$2:$A$901,A48)&gt;1,
  IF(COUNTIF($A$2:A48,A48)=1,
    " ORIGINAL",
    "CONFLICTING DUPLICATE - REVIEW"),
"OK")</f>
        <v>OK</v>
      </c>
      <c r="Z48">
        <f t="shared" si="3"/>
        <v>0</v>
      </c>
      <c r="AA48">
        <f t="shared" si="4"/>
        <v>10218.81</v>
      </c>
      <c r="AB48">
        <f t="shared" si="5"/>
        <v>2601.84</v>
      </c>
      <c r="AC48">
        <f t="shared" si="6"/>
        <v>0.25459999999999999</v>
      </c>
      <c r="AD48">
        <f t="shared" si="9"/>
        <v>11</v>
      </c>
      <c r="AE48">
        <f t="shared" si="7"/>
        <v>2024</v>
      </c>
      <c r="AF48" t="str">
        <f t="shared" si="8"/>
        <v>CLEAN</v>
      </c>
    </row>
    <row r="49" spans="1:32">
      <c r="A49" t="s">
        <v>347</v>
      </c>
      <c r="B49" s="10">
        <v>45514</v>
      </c>
      <c r="C49" s="10">
        <v>45518</v>
      </c>
      <c r="D49">
        <f t="shared" si="0"/>
        <v>4</v>
      </c>
      <c r="E49" t="str">
        <f t="shared" si="1"/>
        <v>OK</v>
      </c>
      <c r="F49" t="s">
        <v>348</v>
      </c>
      <c r="G49" t="s">
        <v>127</v>
      </c>
      <c r="H49" t="s">
        <v>36</v>
      </c>
      <c r="I49" t="s">
        <v>24</v>
      </c>
      <c r="J49" t="s">
        <v>349</v>
      </c>
      <c r="K49" t="s">
        <v>350</v>
      </c>
      <c r="L49" t="s">
        <v>27</v>
      </c>
      <c r="M49" t="s">
        <v>123</v>
      </c>
      <c r="N49" t="s">
        <v>351</v>
      </c>
      <c r="O49" t="s">
        <v>30</v>
      </c>
      <c r="P49">
        <v>4</v>
      </c>
      <c r="Q49">
        <v>1182.32</v>
      </c>
      <c r="R49">
        <v>0.1</v>
      </c>
      <c r="S49" t="str">
        <f t="shared" si="2"/>
        <v>OK</v>
      </c>
      <c r="T49">
        <v>4256.3500000000004</v>
      </c>
      <c r="U49">
        <v>2495.33</v>
      </c>
      <c r="V49">
        <v>1761.02</v>
      </c>
      <c r="W49" t="s">
        <v>110</v>
      </c>
      <c r="X49" t="s">
        <v>102</v>
      </c>
      <c r="Y49" t="str">
        <f>IF(COUNTIF($A$2:$A$901,A49)&gt;1,
  IF(COUNTIF($A$2:A49,A49)=1,
    " ORIGINAL",
    "CONFLICTING DUPLICATE - REVIEW"),
"OK")</f>
        <v>OK</v>
      </c>
      <c r="Z49">
        <f t="shared" si="3"/>
        <v>0.1</v>
      </c>
      <c r="AA49">
        <f t="shared" si="4"/>
        <v>4256.3500000000004</v>
      </c>
      <c r="AB49">
        <f t="shared" si="5"/>
        <v>1761.02</v>
      </c>
      <c r="AC49">
        <f t="shared" si="6"/>
        <v>0.41370000000000001</v>
      </c>
      <c r="AD49">
        <f t="shared" si="9"/>
        <v>8</v>
      </c>
      <c r="AE49">
        <f t="shared" si="7"/>
        <v>2024</v>
      </c>
      <c r="AF49" t="str">
        <f t="shared" si="8"/>
        <v>CLEAN</v>
      </c>
    </row>
    <row r="50" spans="1:32">
      <c r="A50" t="s">
        <v>355</v>
      </c>
      <c r="B50" s="10">
        <v>45507</v>
      </c>
      <c r="C50" s="10">
        <v>45390</v>
      </c>
      <c r="D50">
        <f t="shared" si="0"/>
        <v>-117</v>
      </c>
      <c r="E50" t="str">
        <f t="shared" si="1"/>
        <v>INVALID</v>
      </c>
      <c r="F50" t="s">
        <v>356</v>
      </c>
      <c r="G50" t="s">
        <v>52</v>
      </c>
      <c r="H50" t="s">
        <v>23</v>
      </c>
      <c r="I50" t="s">
        <v>24</v>
      </c>
      <c r="J50" t="s">
        <v>135</v>
      </c>
      <c r="K50" t="s">
        <v>136</v>
      </c>
      <c r="L50" t="s">
        <v>73</v>
      </c>
      <c r="M50" t="s">
        <v>79</v>
      </c>
      <c r="N50" t="s">
        <v>357</v>
      </c>
      <c r="O50" t="s">
        <v>30</v>
      </c>
      <c r="P50">
        <v>6</v>
      </c>
      <c r="Q50">
        <v>1001.73</v>
      </c>
      <c r="R50">
        <v>0</v>
      </c>
      <c r="S50" t="str">
        <f t="shared" si="2"/>
        <v>OK</v>
      </c>
      <c r="T50">
        <v>6010.38</v>
      </c>
      <c r="U50">
        <v>3762.85</v>
      </c>
      <c r="V50">
        <v>2247.5300000000002</v>
      </c>
      <c r="W50" t="s">
        <v>154</v>
      </c>
      <c r="X50" t="s">
        <v>102</v>
      </c>
      <c r="Y50" t="str">
        <f>IF(COUNTIF($A$2:$A$901,A50)&gt;1,
  IF(COUNTIF($A$2:A50,A50)=1,
    " ORIGINAL",
    "CONFLICTING DUPLICATE - REVIEW"),
"OK")</f>
        <v>OK</v>
      </c>
      <c r="Z50">
        <f t="shared" si="3"/>
        <v>0</v>
      </c>
      <c r="AA50">
        <f t="shared" si="4"/>
        <v>6010.38</v>
      </c>
      <c r="AB50">
        <f t="shared" si="5"/>
        <v>2247.5300000000002</v>
      </c>
      <c r="AC50">
        <f t="shared" si="6"/>
        <v>0.37390000000000001</v>
      </c>
      <c r="AD50">
        <f t="shared" si="9"/>
        <v>8</v>
      </c>
      <c r="AE50">
        <f t="shared" si="7"/>
        <v>2024</v>
      </c>
      <c r="AF50" t="str">
        <f t="shared" si="8"/>
        <v>INVALID</v>
      </c>
    </row>
    <row r="51" spans="1:32">
      <c r="A51" t="s">
        <v>358</v>
      </c>
      <c r="B51" s="10">
        <v>45591</v>
      </c>
      <c r="C51" s="10">
        <v>45594</v>
      </c>
      <c r="D51">
        <f t="shared" si="0"/>
        <v>3</v>
      </c>
      <c r="E51" t="str">
        <f t="shared" si="1"/>
        <v>OK</v>
      </c>
      <c r="F51" t="s">
        <v>359</v>
      </c>
      <c r="G51" t="s">
        <v>88</v>
      </c>
      <c r="H51" t="s">
        <v>94</v>
      </c>
      <c r="I51" t="s">
        <v>62</v>
      </c>
      <c r="J51" t="s">
        <v>63</v>
      </c>
      <c r="K51" t="s">
        <v>64</v>
      </c>
      <c r="L51" t="s">
        <v>40</v>
      </c>
      <c r="M51" t="s">
        <v>41</v>
      </c>
      <c r="N51" t="s">
        <v>360</v>
      </c>
      <c r="O51" t="s">
        <v>30</v>
      </c>
      <c r="P51">
        <v>9</v>
      </c>
      <c r="Q51">
        <v>131.74</v>
      </c>
      <c r="R51">
        <v>0.2</v>
      </c>
      <c r="S51" t="str">
        <f t="shared" si="2"/>
        <v>OK</v>
      </c>
      <c r="T51">
        <v>948.53</v>
      </c>
      <c r="U51">
        <v>674.62</v>
      </c>
      <c r="V51">
        <v>273.91000000000003</v>
      </c>
      <c r="W51" t="s">
        <v>31</v>
      </c>
      <c r="X51" t="s">
        <v>32</v>
      </c>
      <c r="Y51" t="str">
        <f>IF(COUNTIF($A$2:$A$901,A51)&gt;1,
  IF(COUNTIF($A$2:A51,A51)=1,
    " ORIGINAL",
    "CONFLICTING DUPLICATE - REVIEW"),
"OK")</f>
        <v>OK</v>
      </c>
      <c r="Z51">
        <f t="shared" si="3"/>
        <v>0.2</v>
      </c>
      <c r="AA51">
        <f t="shared" si="4"/>
        <v>948.53</v>
      </c>
      <c r="AB51">
        <f t="shared" si="5"/>
        <v>273.91000000000003</v>
      </c>
      <c r="AC51">
        <f t="shared" si="6"/>
        <v>0.2888</v>
      </c>
      <c r="AD51">
        <f t="shared" si="9"/>
        <v>10</v>
      </c>
      <c r="AE51">
        <f t="shared" si="7"/>
        <v>2024</v>
      </c>
      <c r="AF51" t="str">
        <f t="shared" si="8"/>
        <v>CLEAN</v>
      </c>
    </row>
    <row r="52" spans="1:32">
      <c r="A52" t="s">
        <v>361</v>
      </c>
      <c r="B52" s="10">
        <v>45566</v>
      </c>
      <c r="C52" s="10">
        <v>45568</v>
      </c>
      <c r="D52">
        <f t="shared" si="0"/>
        <v>2</v>
      </c>
      <c r="E52" t="str">
        <f t="shared" si="1"/>
        <v>OK</v>
      </c>
      <c r="F52" t="s">
        <v>362</v>
      </c>
      <c r="G52" t="s">
        <v>140</v>
      </c>
      <c r="H52" t="s">
        <v>89</v>
      </c>
      <c r="I52" t="s">
        <v>53</v>
      </c>
      <c r="J52" t="s">
        <v>246</v>
      </c>
      <c r="K52" t="s">
        <v>247</v>
      </c>
      <c r="L52" t="s">
        <v>73</v>
      </c>
      <c r="M52" t="s">
        <v>170</v>
      </c>
      <c r="N52" t="s">
        <v>363</v>
      </c>
      <c r="O52" t="s">
        <v>30</v>
      </c>
      <c r="P52">
        <v>6</v>
      </c>
      <c r="Q52">
        <v>570.28</v>
      </c>
      <c r="R52">
        <v>0.2</v>
      </c>
      <c r="S52" t="str">
        <f t="shared" si="2"/>
        <v>OK</v>
      </c>
      <c r="T52">
        <v>2737.34</v>
      </c>
      <c r="U52">
        <v>2085.44</v>
      </c>
      <c r="V52">
        <v>651.9</v>
      </c>
      <c r="W52" t="s">
        <v>31</v>
      </c>
      <c r="X52" t="s">
        <v>32</v>
      </c>
      <c r="Y52" t="str">
        <f>IF(COUNTIF($A$2:$A$901,A52)&gt;1,
  IF(COUNTIF($A$2:A52,A52)=1,
    " ORIGINAL",
    "CONFLICTING DUPLICATE - REVIEW"),
"OK")</f>
        <v>OK</v>
      </c>
      <c r="Z52">
        <f t="shared" si="3"/>
        <v>0.2</v>
      </c>
      <c r="AA52">
        <f t="shared" si="4"/>
        <v>2737.34</v>
      </c>
      <c r="AB52">
        <f t="shared" si="5"/>
        <v>651.9</v>
      </c>
      <c r="AC52">
        <f t="shared" si="6"/>
        <v>0.2382</v>
      </c>
      <c r="AD52">
        <f t="shared" si="9"/>
        <v>10</v>
      </c>
      <c r="AE52">
        <f t="shared" si="7"/>
        <v>2024</v>
      </c>
      <c r="AF52" t="str">
        <f t="shared" si="8"/>
        <v>CLEAN</v>
      </c>
    </row>
    <row r="53" spans="1:32">
      <c r="A53" t="s">
        <v>364</v>
      </c>
      <c r="B53" s="10">
        <v>45503</v>
      </c>
      <c r="C53" s="10">
        <v>45509</v>
      </c>
      <c r="D53">
        <f t="shared" si="0"/>
        <v>6</v>
      </c>
      <c r="E53" t="str">
        <f t="shared" si="1"/>
        <v>OK</v>
      </c>
      <c r="F53" t="s">
        <v>365</v>
      </c>
      <c r="G53" t="s">
        <v>263</v>
      </c>
      <c r="H53" t="s">
        <v>89</v>
      </c>
      <c r="I53" t="s">
        <v>24</v>
      </c>
      <c r="J53" t="s">
        <v>349</v>
      </c>
      <c r="K53" t="s">
        <v>350</v>
      </c>
      <c r="L53" t="s">
        <v>27</v>
      </c>
      <c r="M53" t="s">
        <v>152</v>
      </c>
      <c r="N53" t="s">
        <v>366</v>
      </c>
      <c r="O53" t="s">
        <v>58</v>
      </c>
      <c r="P53">
        <v>1</v>
      </c>
      <c r="Q53">
        <v>608.64</v>
      </c>
      <c r="R53">
        <v>0</v>
      </c>
      <c r="S53" t="str">
        <f t="shared" si="2"/>
        <v>OK</v>
      </c>
      <c r="T53">
        <v>608.64</v>
      </c>
      <c r="U53">
        <v>343.99</v>
      </c>
      <c r="V53">
        <v>264.64999999999998</v>
      </c>
      <c r="W53" t="s">
        <v>31</v>
      </c>
      <c r="X53" t="s">
        <v>67</v>
      </c>
      <c r="Y53" t="str">
        <f>IF(COUNTIF($A$2:$A$901,A53)&gt;1,
  IF(COUNTIF($A$2:A53,A53)=1,
    " ORIGINAL",
    "CONFLICTING DUPLICATE - REVIEW"),
"OK")</f>
        <v>OK</v>
      </c>
      <c r="Z53">
        <f t="shared" si="3"/>
        <v>0</v>
      </c>
      <c r="AA53">
        <f t="shared" si="4"/>
        <v>608.64</v>
      </c>
      <c r="AB53">
        <f t="shared" si="5"/>
        <v>264.64999999999998</v>
      </c>
      <c r="AC53">
        <f t="shared" si="6"/>
        <v>0.43480000000000002</v>
      </c>
      <c r="AD53">
        <f t="shared" si="9"/>
        <v>7</v>
      </c>
      <c r="AE53">
        <f t="shared" si="7"/>
        <v>2024</v>
      </c>
      <c r="AF53" t="str">
        <f t="shared" si="8"/>
        <v>CLEAN</v>
      </c>
    </row>
    <row r="54" spans="1:32">
      <c r="A54" t="s">
        <v>367</v>
      </c>
      <c r="B54" s="10">
        <v>45474</v>
      </c>
      <c r="C54" s="10">
        <v>45474</v>
      </c>
      <c r="D54">
        <f t="shared" si="0"/>
        <v>0</v>
      </c>
      <c r="E54" t="str">
        <f t="shared" si="1"/>
        <v>OK</v>
      </c>
      <c r="F54" t="s">
        <v>368</v>
      </c>
      <c r="G54" t="s">
        <v>61</v>
      </c>
      <c r="H54" t="s">
        <v>36</v>
      </c>
      <c r="I54" t="s">
        <v>24</v>
      </c>
      <c r="J54" t="s">
        <v>349</v>
      </c>
      <c r="K54" t="s">
        <v>350</v>
      </c>
      <c r="L54" t="s">
        <v>73</v>
      </c>
      <c r="M54" t="s">
        <v>79</v>
      </c>
      <c r="N54" t="s">
        <v>369</v>
      </c>
      <c r="O54" t="s">
        <v>30</v>
      </c>
      <c r="P54">
        <v>3</v>
      </c>
      <c r="Q54">
        <v>885.28</v>
      </c>
      <c r="R54">
        <v>0.1</v>
      </c>
      <c r="S54" t="str">
        <f t="shared" si="2"/>
        <v>OK</v>
      </c>
      <c r="T54">
        <v>2390.2600000000002</v>
      </c>
      <c r="U54">
        <v>1495.94</v>
      </c>
      <c r="V54">
        <v>894.32</v>
      </c>
      <c r="W54" t="s">
        <v>101</v>
      </c>
      <c r="X54" t="s">
        <v>67</v>
      </c>
      <c r="Y54" t="str">
        <f>IF(COUNTIF($A$2:$A$901,A54)&gt;1,
  IF(COUNTIF($A$2:A54,A54)=1,
    " ORIGINAL",
    "CONFLICTING DUPLICATE - REVIEW"),
"OK")</f>
        <v>OK</v>
      </c>
      <c r="Z54">
        <f t="shared" si="3"/>
        <v>0.1</v>
      </c>
      <c r="AA54">
        <f t="shared" si="4"/>
        <v>2390.2600000000002</v>
      </c>
      <c r="AB54">
        <f t="shared" si="5"/>
        <v>894.32</v>
      </c>
      <c r="AC54">
        <f t="shared" si="6"/>
        <v>0.37419999999999998</v>
      </c>
      <c r="AD54">
        <f t="shared" si="9"/>
        <v>7</v>
      </c>
      <c r="AE54">
        <f t="shared" si="7"/>
        <v>2024</v>
      </c>
      <c r="AF54" t="str">
        <f t="shared" si="8"/>
        <v>CLEAN</v>
      </c>
    </row>
    <row r="55" spans="1:32">
      <c r="A55" t="s">
        <v>370</v>
      </c>
      <c r="B55" s="10">
        <v>45330</v>
      </c>
      <c r="C55" s="10">
        <v>45507</v>
      </c>
      <c r="D55">
        <f t="shared" si="0"/>
        <v>177</v>
      </c>
      <c r="E55" t="str">
        <f t="shared" si="1"/>
        <v>OK</v>
      </c>
      <c r="F55" t="s">
        <v>371</v>
      </c>
      <c r="G55" t="s">
        <v>70</v>
      </c>
      <c r="H55" t="s">
        <v>23</v>
      </c>
      <c r="I55" t="s">
        <v>37</v>
      </c>
      <c r="J55" t="s">
        <v>165</v>
      </c>
      <c r="K55" t="s">
        <v>166</v>
      </c>
      <c r="L55" t="s">
        <v>27</v>
      </c>
      <c r="M55" t="s">
        <v>152</v>
      </c>
      <c r="N55" t="s">
        <v>372</v>
      </c>
      <c r="O55" t="s">
        <v>58</v>
      </c>
      <c r="P55">
        <v>7</v>
      </c>
      <c r="Q55">
        <v>3345.22</v>
      </c>
      <c r="R55">
        <v>0</v>
      </c>
      <c r="S55" t="str">
        <f t="shared" si="2"/>
        <v>OK</v>
      </c>
      <c r="T55">
        <v>23416.54</v>
      </c>
      <c r="U55">
        <v>15490.89</v>
      </c>
      <c r="V55">
        <v>7925.65</v>
      </c>
      <c r="W55" t="s">
        <v>31</v>
      </c>
      <c r="X55" t="s">
        <v>32</v>
      </c>
      <c r="Y55" t="str">
        <f>IF(COUNTIF($A$2:$A$901,A55)&gt;1,
  IF(COUNTIF($A$2:A55,A55)=1,
    " ORIGINAL",
    "CONFLICTING DUPLICATE - REVIEW"),
"OK")</f>
        <v>OK</v>
      </c>
      <c r="Z55">
        <f t="shared" si="3"/>
        <v>0</v>
      </c>
      <c r="AA55">
        <f t="shared" si="4"/>
        <v>23416.54</v>
      </c>
      <c r="AB55">
        <f t="shared" si="5"/>
        <v>7925.65</v>
      </c>
      <c r="AC55">
        <f t="shared" si="6"/>
        <v>0.33850000000000002</v>
      </c>
      <c r="AD55">
        <f t="shared" si="9"/>
        <v>2</v>
      </c>
      <c r="AE55">
        <f t="shared" si="7"/>
        <v>2024</v>
      </c>
      <c r="AF55" t="str">
        <f t="shared" si="8"/>
        <v>CLEAN</v>
      </c>
    </row>
    <row r="56" spans="1:32">
      <c r="A56" t="s">
        <v>373</v>
      </c>
      <c r="B56" s="10">
        <v>45375</v>
      </c>
      <c r="C56" s="10">
        <v>45378</v>
      </c>
      <c r="D56">
        <f t="shared" si="0"/>
        <v>3</v>
      </c>
      <c r="E56" t="str">
        <f t="shared" si="1"/>
        <v>OK</v>
      </c>
      <c r="F56" t="s">
        <v>374</v>
      </c>
      <c r="G56" t="s">
        <v>140</v>
      </c>
      <c r="H56" t="s">
        <v>36</v>
      </c>
      <c r="I56" t="s">
        <v>62</v>
      </c>
      <c r="J56" t="s">
        <v>63</v>
      </c>
      <c r="K56" t="s">
        <v>64</v>
      </c>
      <c r="L56" t="s">
        <v>40</v>
      </c>
      <c r="M56" t="s">
        <v>157</v>
      </c>
      <c r="N56" t="s">
        <v>375</v>
      </c>
      <c r="O56" t="s">
        <v>58</v>
      </c>
      <c r="P56">
        <v>2</v>
      </c>
      <c r="Q56">
        <v>3284.75</v>
      </c>
      <c r="R56">
        <v>0.05</v>
      </c>
      <c r="S56" t="str">
        <f t="shared" si="2"/>
        <v>OK</v>
      </c>
      <c r="T56">
        <v>6241.02</v>
      </c>
      <c r="U56">
        <v>5345.88</v>
      </c>
      <c r="V56">
        <v>895.14</v>
      </c>
      <c r="W56" t="s">
        <v>31</v>
      </c>
      <c r="X56" t="s">
        <v>32</v>
      </c>
      <c r="Y56" t="str">
        <f>IF(COUNTIF($A$2:$A$901,A56)&gt;1,
  IF(COUNTIF($A$2:A56,A56)=1,
    " ORIGINAL",
    "CONFLICTING DUPLICATE - REVIEW"),
"OK")</f>
        <v>OK</v>
      </c>
      <c r="Z56">
        <f t="shared" si="3"/>
        <v>0.05</v>
      </c>
      <c r="AA56">
        <f t="shared" si="4"/>
        <v>6241.03</v>
      </c>
      <c r="AB56">
        <f t="shared" si="5"/>
        <v>895.15</v>
      </c>
      <c r="AC56">
        <f t="shared" si="6"/>
        <v>0.1434</v>
      </c>
      <c r="AD56">
        <f t="shared" si="9"/>
        <v>3</v>
      </c>
      <c r="AE56">
        <f t="shared" si="7"/>
        <v>2024</v>
      </c>
      <c r="AF56" t="str">
        <f t="shared" si="8"/>
        <v>CLEAN</v>
      </c>
    </row>
    <row r="57" spans="1:32">
      <c r="A57" t="s">
        <v>376</v>
      </c>
      <c r="B57" s="10">
        <v>45540</v>
      </c>
      <c r="C57" s="10">
        <v>45540</v>
      </c>
      <c r="D57">
        <f t="shared" si="0"/>
        <v>0</v>
      </c>
      <c r="E57" t="str">
        <f t="shared" si="1"/>
        <v>OK</v>
      </c>
      <c r="F57" t="s">
        <v>377</v>
      </c>
      <c r="G57" t="s">
        <v>263</v>
      </c>
      <c r="H57" t="s">
        <v>23</v>
      </c>
      <c r="I57" t="s">
        <v>53</v>
      </c>
      <c r="J57" t="s">
        <v>83</v>
      </c>
      <c r="K57" t="s">
        <v>84</v>
      </c>
      <c r="L57" t="s">
        <v>40</v>
      </c>
      <c r="M57" t="s">
        <v>157</v>
      </c>
      <c r="N57" t="s">
        <v>378</v>
      </c>
      <c r="O57" t="s">
        <v>58</v>
      </c>
      <c r="P57">
        <v>7</v>
      </c>
      <c r="Q57">
        <v>3761.09</v>
      </c>
      <c r="R57">
        <v>0.2</v>
      </c>
      <c r="S57" t="str">
        <f t="shared" si="2"/>
        <v>OK</v>
      </c>
      <c r="T57">
        <v>21062.1</v>
      </c>
      <c r="U57">
        <v>12057.13</v>
      </c>
      <c r="V57">
        <v>9004.9699999999993</v>
      </c>
      <c r="W57" t="s">
        <v>110</v>
      </c>
      <c r="X57" t="s">
        <v>67</v>
      </c>
      <c r="Y57" t="str">
        <f>IF(COUNTIF($A$2:$A$901,A57)&gt;1,
  IF(COUNTIF($A$2:A57,A57)=1,
    " ORIGINAL",
    "CONFLICTING DUPLICATE - REVIEW"),
"OK")</f>
        <v>OK</v>
      </c>
      <c r="Z57">
        <f t="shared" si="3"/>
        <v>0.2</v>
      </c>
      <c r="AA57">
        <f t="shared" si="4"/>
        <v>21062.1</v>
      </c>
      <c r="AB57">
        <f t="shared" si="5"/>
        <v>9004.9699999999993</v>
      </c>
      <c r="AC57">
        <f t="shared" si="6"/>
        <v>0.42749999999999999</v>
      </c>
      <c r="AD57">
        <f t="shared" si="9"/>
        <v>9</v>
      </c>
      <c r="AE57">
        <f t="shared" si="7"/>
        <v>2024</v>
      </c>
      <c r="AF57" t="str">
        <f t="shared" si="8"/>
        <v>CLEAN</v>
      </c>
    </row>
    <row r="58" spans="1:32">
      <c r="A58" t="s">
        <v>388</v>
      </c>
      <c r="B58" s="10">
        <v>45298</v>
      </c>
      <c r="C58" s="10">
        <v>45304</v>
      </c>
      <c r="D58">
        <f t="shared" si="0"/>
        <v>6</v>
      </c>
      <c r="E58" t="str">
        <f t="shared" si="1"/>
        <v>OK</v>
      </c>
      <c r="F58" t="s">
        <v>389</v>
      </c>
      <c r="G58" t="s">
        <v>140</v>
      </c>
      <c r="H58" t="s">
        <v>89</v>
      </c>
      <c r="I58" t="s">
        <v>24</v>
      </c>
      <c r="J58" t="s">
        <v>135</v>
      </c>
      <c r="K58" t="s">
        <v>136</v>
      </c>
      <c r="L58" t="s">
        <v>27</v>
      </c>
      <c r="M58" t="s">
        <v>152</v>
      </c>
      <c r="N58" t="s">
        <v>390</v>
      </c>
      <c r="O58" t="s">
        <v>58</v>
      </c>
      <c r="P58">
        <v>7</v>
      </c>
      <c r="Q58">
        <v>2788.97</v>
      </c>
      <c r="R58">
        <v>-0.09</v>
      </c>
      <c r="S58" t="str">
        <f t="shared" si="2"/>
        <v>INVALID-NEGATIVE</v>
      </c>
      <c r="T58">
        <v>19522.79</v>
      </c>
      <c r="U58">
        <v>12455.78</v>
      </c>
      <c r="V58">
        <v>7067.01</v>
      </c>
      <c r="W58" t="s">
        <v>31</v>
      </c>
      <c r="X58" t="s">
        <v>32</v>
      </c>
      <c r="Y58" t="str">
        <f>IF(COUNTIF($A$2:$A$901,A58)&gt;1,
  IF(COUNTIF($A$2:A58,A58)=1,
    " ORIGINAL",
    "CONFLICTING DUPLICATE - REVIEW"),
"OK")</f>
        <v>OK</v>
      </c>
      <c r="Z58">
        <f t="shared" si="3"/>
        <v>0</v>
      </c>
      <c r="AA58">
        <f t="shared" si="4"/>
        <v>19522.79</v>
      </c>
      <c r="AB58">
        <f t="shared" si="5"/>
        <v>7067.01</v>
      </c>
      <c r="AC58">
        <f t="shared" si="6"/>
        <v>0.36199999999999999</v>
      </c>
      <c r="AD58">
        <f t="shared" si="9"/>
        <v>1</v>
      </c>
      <c r="AE58">
        <f t="shared" si="7"/>
        <v>2024</v>
      </c>
      <c r="AF58" t="str">
        <f t="shared" si="8"/>
        <v>INVALID</v>
      </c>
    </row>
    <row r="59" spans="1:32">
      <c r="A59" t="s">
        <v>391</v>
      </c>
      <c r="B59" s="10">
        <v>45541</v>
      </c>
      <c r="C59" s="10">
        <v>45544</v>
      </c>
      <c r="D59">
        <f t="shared" si="0"/>
        <v>3</v>
      </c>
      <c r="E59" t="str">
        <f t="shared" si="1"/>
        <v>OK</v>
      </c>
      <c r="F59" t="s">
        <v>392</v>
      </c>
      <c r="G59" t="s">
        <v>161</v>
      </c>
      <c r="H59" t="s">
        <v>23</v>
      </c>
      <c r="I59" t="s">
        <v>24</v>
      </c>
      <c r="J59" t="s">
        <v>235</v>
      </c>
      <c r="K59" t="s">
        <v>236</v>
      </c>
      <c r="L59" t="s">
        <v>73</v>
      </c>
      <c r="M59" t="s">
        <v>170</v>
      </c>
      <c r="N59" t="s">
        <v>393</v>
      </c>
      <c r="O59" t="s">
        <v>30</v>
      </c>
      <c r="P59">
        <v>7</v>
      </c>
      <c r="Q59">
        <v>3781.53</v>
      </c>
      <c r="R59">
        <v>0</v>
      </c>
      <c r="S59" t="str">
        <f t="shared" si="2"/>
        <v>OK</v>
      </c>
      <c r="T59">
        <v>26470.71</v>
      </c>
      <c r="U59">
        <v>21367.599999999999</v>
      </c>
      <c r="V59">
        <v>5103.1099999999997</v>
      </c>
      <c r="W59" t="s">
        <v>110</v>
      </c>
      <c r="X59" t="s">
        <v>67</v>
      </c>
      <c r="Y59" t="str">
        <f>IF(COUNTIF($A$2:$A$901,A59)&gt;1,
  IF(COUNTIF($A$2:A59,A59)=1,
    " ORIGINAL",
    "CONFLICTING DUPLICATE - REVIEW"),
"OK")</f>
        <v>OK</v>
      </c>
      <c r="Z59">
        <f t="shared" si="3"/>
        <v>0</v>
      </c>
      <c r="AA59">
        <f t="shared" si="4"/>
        <v>26470.71</v>
      </c>
      <c r="AB59">
        <f t="shared" si="5"/>
        <v>5103.1099999999997</v>
      </c>
      <c r="AC59">
        <f t="shared" si="6"/>
        <v>0.1928</v>
      </c>
      <c r="AD59">
        <f t="shared" si="9"/>
        <v>9</v>
      </c>
      <c r="AE59">
        <f t="shared" si="7"/>
        <v>2024</v>
      </c>
      <c r="AF59" t="str">
        <f t="shared" si="8"/>
        <v>CLEAN</v>
      </c>
    </row>
    <row r="60" spans="1:32">
      <c r="A60" t="s">
        <v>397</v>
      </c>
      <c r="B60" s="10">
        <v>45448</v>
      </c>
      <c r="C60" s="10">
        <v>45479</v>
      </c>
      <c r="D60">
        <f t="shared" si="0"/>
        <v>31</v>
      </c>
      <c r="E60" t="str">
        <f t="shared" si="1"/>
        <v>OK</v>
      </c>
      <c r="F60" t="s">
        <v>398</v>
      </c>
      <c r="G60" t="s">
        <v>117</v>
      </c>
      <c r="H60" t="s">
        <v>94</v>
      </c>
      <c r="I60" t="s">
        <v>37</v>
      </c>
      <c r="J60" t="s">
        <v>38</v>
      </c>
      <c r="K60" t="s">
        <v>39</v>
      </c>
      <c r="L60" t="s">
        <v>73</v>
      </c>
      <c r="M60" t="s">
        <v>79</v>
      </c>
      <c r="N60" t="s">
        <v>399</v>
      </c>
      <c r="O60" t="s">
        <v>30</v>
      </c>
      <c r="P60">
        <v>2</v>
      </c>
      <c r="Q60">
        <v>2259.2399999999998</v>
      </c>
      <c r="R60">
        <v>0.15</v>
      </c>
      <c r="S60" t="str">
        <f t="shared" si="2"/>
        <v>OK</v>
      </c>
      <c r="T60">
        <v>3840.71</v>
      </c>
      <c r="U60">
        <v>2516.29</v>
      </c>
      <c r="V60">
        <v>1324.42</v>
      </c>
      <c r="W60" t="s">
        <v>31</v>
      </c>
      <c r="X60" t="s">
        <v>32</v>
      </c>
      <c r="Y60" t="str">
        <f>IF(COUNTIF($A$2:$A$901,A60)&gt;1,
  IF(COUNTIF($A$2:A60,A60)=1,
    " ORIGINAL",
    "CONFLICTING DUPLICATE - REVIEW"),
"OK")</f>
        <v>OK</v>
      </c>
      <c r="Z60">
        <f t="shared" si="3"/>
        <v>0.15</v>
      </c>
      <c r="AA60">
        <f t="shared" si="4"/>
        <v>3840.71</v>
      </c>
      <c r="AB60">
        <f t="shared" si="5"/>
        <v>1324.42</v>
      </c>
      <c r="AC60">
        <f t="shared" si="6"/>
        <v>0.3448</v>
      </c>
      <c r="AD60">
        <f t="shared" si="9"/>
        <v>6</v>
      </c>
      <c r="AE60">
        <f t="shared" si="7"/>
        <v>2024</v>
      </c>
      <c r="AF60" t="str">
        <f t="shared" si="8"/>
        <v>CLEAN</v>
      </c>
    </row>
    <row r="61" spans="1:32">
      <c r="A61" t="s">
        <v>403</v>
      </c>
      <c r="B61" s="10">
        <v>45317</v>
      </c>
      <c r="C61" s="10">
        <v>45323</v>
      </c>
      <c r="D61">
        <f t="shared" si="0"/>
        <v>6</v>
      </c>
      <c r="E61" t="str">
        <f t="shared" si="1"/>
        <v>OK</v>
      </c>
      <c r="F61" t="s">
        <v>404</v>
      </c>
      <c r="G61" t="s">
        <v>140</v>
      </c>
      <c r="H61" t="s">
        <v>94</v>
      </c>
      <c r="I61" t="s">
        <v>53</v>
      </c>
      <c r="J61" t="s">
        <v>184</v>
      </c>
      <c r="K61" t="s">
        <v>185</v>
      </c>
      <c r="L61" t="s">
        <v>73</v>
      </c>
      <c r="M61" t="s">
        <v>79</v>
      </c>
      <c r="N61" t="s">
        <v>405</v>
      </c>
      <c r="O61" t="s">
        <v>2762</v>
      </c>
      <c r="P61">
        <v>8</v>
      </c>
      <c r="Q61">
        <v>2108.9299999999998</v>
      </c>
      <c r="R61">
        <v>0.1</v>
      </c>
      <c r="S61" t="str">
        <f t="shared" si="2"/>
        <v>OK</v>
      </c>
      <c r="T61">
        <v>15184.3</v>
      </c>
      <c r="U61">
        <v>11270.74</v>
      </c>
      <c r="V61">
        <v>3913.56</v>
      </c>
      <c r="W61" t="s">
        <v>31</v>
      </c>
      <c r="X61" t="s">
        <v>32</v>
      </c>
      <c r="Y61" t="str">
        <f>IF(COUNTIF($A$2:$A$901,A61)&gt;1,
  IF(COUNTIF($A$2:A61,A61)=1,
    " ORIGINAL",
    "CONFLICTING DUPLICATE - REVIEW"),
"OK")</f>
        <v>OK</v>
      </c>
      <c r="Z61">
        <f t="shared" si="3"/>
        <v>0.1</v>
      </c>
      <c r="AA61">
        <f t="shared" si="4"/>
        <v>15184.3</v>
      </c>
      <c r="AB61">
        <f t="shared" si="5"/>
        <v>3913.56</v>
      </c>
      <c r="AC61">
        <f t="shared" si="6"/>
        <v>0.25769999999999998</v>
      </c>
      <c r="AD61">
        <f t="shared" si="9"/>
        <v>1</v>
      </c>
      <c r="AE61">
        <f t="shared" si="7"/>
        <v>2024</v>
      </c>
      <c r="AF61" t="str">
        <f t="shared" si="8"/>
        <v>WARNING</v>
      </c>
    </row>
    <row r="62" spans="1:32">
      <c r="A62" t="s">
        <v>412</v>
      </c>
      <c r="B62" s="10">
        <v>45465</v>
      </c>
      <c r="C62" s="10">
        <v>45469</v>
      </c>
      <c r="D62">
        <f t="shared" si="0"/>
        <v>4</v>
      </c>
      <c r="E62" t="str">
        <f t="shared" si="1"/>
        <v>OK</v>
      </c>
      <c r="F62" t="s">
        <v>413</v>
      </c>
      <c r="G62" t="s">
        <v>140</v>
      </c>
      <c r="H62" t="s">
        <v>94</v>
      </c>
      <c r="I62" t="s">
        <v>37</v>
      </c>
      <c r="J62" t="s">
        <v>144</v>
      </c>
      <c r="K62" t="s">
        <v>145</v>
      </c>
      <c r="L62" t="s">
        <v>40</v>
      </c>
      <c r="M62" t="s">
        <v>56</v>
      </c>
      <c r="N62" t="s">
        <v>414</v>
      </c>
      <c r="O62" t="s">
        <v>49</v>
      </c>
      <c r="P62">
        <v>5</v>
      </c>
      <c r="Q62">
        <v>4396.5200000000004</v>
      </c>
      <c r="R62">
        <v>0.25</v>
      </c>
      <c r="S62" t="str">
        <f t="shared" si="2"/>
        <v>OK</v>
      </c>
      <c r="T62">
        <v>16486.95</v>
      </c>
      <c r="U62">
        <v>12054.14</v>
      </c>
      <c r="V62">
        <v>4432.8100000000004</v>
      </c>
      <c r="W62" t="s">
        <v>31</v>
      </c>
      <c r="X62" t="s">
        <v>32</v>
      </c>
      <c r="Y62" t="str">
        <f>IF(COUNTIF($A$2:$A$901,A62)&gt;1,
  IF(COUNTIF($A$2:A62,A62)=1,
    " ORIGINAL",
    "CONFLICTING DUPLICATE - REVIEW"),
"OK")</f>
        <v>OK</v>
      </c>
      <c r="Z62">
        <f t="shared" si="3"/>
        <v>0.25</v>
      </c>
      <c r="AA62">
        <f t="shared" si="4"/>
        <v>16486.95</v>
      </c>
      <c r="AB62">
        <f t="shared" si="5"/>
        <v>4432.8100000000004</v>
      </c>
      <c r="AC62">
        <f t="shared" si="6"/>
        <v>0.26889999999999997</v>
      </c>
      <c r="AD62">
        <f t="shared" si="9"/>
        <v>6</v>
      </c>
      <c r="AE62">
        <f t="shared" si="7"/>
        <v>2024</v>
      </c>
      <c r="AF62" t="str">
        <f t="shared" si="8"/>
        <v>CLEAN</v>
      </c>
    </row>
    <row r="63" spans="1:32">
      <c r="A63" t="s">
        <v>424</v>
      </c>
      <c r="B63" s="10">
        <v>45467</v>
      </c>
      <c r="C63" s="10">
        <v>45472</v>
      </c>
      <c r="D63">
        <f t="shared" si="0"/>
        <v>5</v>
      </c>
      <c r="E63" t="str">
        <f t="shared" si="1"/>
        <v>OK</v>
      </c>
      <c r="F63" t="s">
        <v>425</v>
      </c>
      <c r="G63" t="s">
        <v>35</v>
      </c>
      <c r="H63" t="s">
        <v>94</v>
      </c>
      <c r="I63" t="s">
        <v>37</v>
      </c>
      <c r="J63" t="s">
        <v>98</v>
      </c>
      <c r="K63" t="s">
        <v>99</v>
      </c>
      <c r="L63" t="s">
        <v>40</v>
      </c>
      <c r="M63" t="s">
        <v>41</v>
      </c>
      <c r="N63" t="s">
        <v>426</v>
      </c>
      <c r="O63" t="s">
        <v>30</v>
      </c>
      <c r="P63">
        <v>2</v>
      </c>
      <c r="Q63">
        <v>685</v>
      </c>
      <c r="R63">
        <v>0.1</v>
      </c>
      <c r="S63" t="str">
        <f t="shared" si="2"/>
        <v>OK</v>
      </c>
      <c r="T63">
        <v>1233</v>
      </c>
      <c r="U63">
        <v>1006.9</v>
      </c>
      <c r="V63">
        <v>226.1</v>
      </c>
      <c r="W63" t="s">
        <v>31</v>
      </c>
      <c r="X63" t="s">
        <v>32</v>
      </c>
      <c r="Y63" t="str">
        <f>IF(COUNTIF($A$2:$A$901,A63)&gt;1,
  IF(COUNTIF($A$2:A63,A63)=1,
    " ORIGINAL",
    "CONFLICTING DUPLICATE - REVIEW"),
"OK")</f>
        <v>OK</v>
      </c>
      <c r="Z63">
        <f t="shared" si="3"/>
        <v>0.1</v>
      </c>
      <c r="AA63">
        <f t="shared" si="4"/>
        <v>1233</v>
      </c>
      <c r="AB63">
        <f t="shared" si="5"/>
        <v>226.1</v>
      </c>
      <c r="AC63">
        <f t="shared" si="6"/>
        <v>0.18340000000000001</v>
      </c>
      <c r="AD63">
        <f t="shared" si="9"/>
        <v>6</v>
      </c>
      <c r="AE63">
        <f t="shared" si="7"/>
        <v>2024</v>
      </c>
      <c r="AF63" t="str">
        <f t="shared" si="8"/>
        <v>CLEAN</v>
      </c>
    </row>
    <row r="64" spans="1:32">
      <c r="A64" t="s">
        <v>427</v>
      </c>
      <c r="B64" s="10">
        <v>45342</v>
      </c>
      <c r="C64" s="10">
        <v>45350</v>
      </c>
      <c r="D64">
        <f t="shared" si="0"/>
        <v>8</v>
      </c>
      <c r="E64" t="str">
        <f t="shared" si="1"/>
        <v>OK</v>
      </c>
      <c r="F64" t="s">
        <v>428</v>
      </c>
      <c r="G64" t="s">
        <v>52</v>
      </c>
      <c r="H64" t="s">
        <v>94</v>
      </c>
      <c r="I64" t="s">
        <v>37</v>
      </c>
      <c r="J64" t="s">
        <v>98</v>
      </c>
      <c r="K64" t="s">
        <v>99</v>
      </c>
      <c r="L64" t="s">
        <v>27</v>
      </c>
      <c r="M64" t="s">
        <v>28</v>
      </c>
      <c r="N64" t="s">
        <v>429</v>
      </c>
      <c r="O64" t="s">
        <v>58</v>
      </c>
      <c r="P64">
        <v>2</v>
      </c>
      <c r="Q64">
        <v>4004.04</v>
      </c>
      <c r="R64">
        <v>0</v>
      </c>
      <c r="S64" t="str">
        <f t="shared" si="2"/>
        <v>OK</v>
      </c>
      <c r="T64">
        <v>7207.27</v>
      </c>
      <c r="U64">
        <v>5709.39</v>
      </c>
      <c r="V64">
        <v>1497.88</v>
      </c>
      <c r="W64" t="s">
        <v>31</v>
      </c>
      <c r="X64" t="s">
        <v>67</v>
      </c>
      <c r="Y64" t="str">
        <f>IF(COUNTIF($A$2:$A$901,A64)&gt;1,
  IF(COUNTIF($A$2:A64,A64)=1,
    " ORIGINAL",
    "CONFLICTING DUPLICATE - REVIEW"),
"OK")</f>
        <v>OK</v>
      </c>
      <c r="Z64">
        <f t="shared" si="3"/>
        <v>0</v>
      </c>
      <c r="AA64">
        <f t="shared" si="4"/>
        <v>8008.08</v>
      </c>
      <c r="AB64">
        <f t="shared" si="5"/>
        <v>2298.69</v>
      </c>
      <c r="AC64">
        <f t="shared" si="6"/>
        <v>0.28699999999999998</v>
      </c>
      <c r="AD64">
        <f t="shared" si="9"/>
        <v>2</v>
      </c>
      <c r="AE64">
        <f t="shared" si="7"/>
        <v>2024</v>
      </c>
      <c r="AF64" t="str">
        <f t="shared" si="8"/>
        <v>CLEAN</v>
      </c>
    </row>
    <row r="65" spans="1:32">
      <c r="A65" t="s">
        <v>430</v>
      </c>
      <c r="B65" s="10">
        <v>45594</v>
      </c>
      <c r="C65" s="10">
        <v>45600</v>
      </c>
      <c r="D65">
        <f t="shared" si="0"/>
        <v>6</v>
      </c>
      <c r="E65" t="str">
        <f t="shared" si="1"/>
        <v>OK</v>
      </c>
      <c r="F65" t="s">
        <v>431</v>
      </c>
      <c r="G65" t="s">
        <v>140</v>
      </c>
      <c r="H65" t="s">
        <v>94</v>
      </c>
      <c r="I65" t="s">
        <v>37</v>
      </c>
      <c r="J65" t="s">
        <v>98</v>
      </c>
      <c r="K65" t="s">
        <v>99</v>
      </c>
      <c r="L65" t="s">
        <v>40</v>
      </c>
      <c r="M65" t="s">
        <v>56</v>
      </c>
      <c r="N65" t="s">
        <v>432</v>
      </c>
      <c r="O65" t="s">
        <v>49</v>
      </c>
      <c r="P65">
        <v>3</v>
      </c>
      <c r="Q65">
        <v>4302.8900000000003</v>
      </c>
      <c r="R65">
        <v>0.05</v>
      </c>
      <c r="S65" t="str">
        <f t="shared" si="2"/>
        <v>OK</v>
      </c>
      <c r="T65">
        <v>12263.24</v>
      </c>
      <c r="U65">
        <v>8925.57</v>
      </c>
      <c r="V65">
        <v>3337.67</v>
      </c>
      <c r="W65" t="s">
        <v>31</v>
      </c>
      <c r="X65" t="s">
        <v>32</v>
      </c>
      <c r="Y65" t="str">
        <f>IF(COUNTIF($A$2:$A$901,A65)&gt;1,
  IF(COUNTIF($A$2:A65,A65)=1,
    " ORIGINAL",
    "CONFLICTING DUPLICATE - REVIEW"),
"OK")</f>
        <v>OK</v>
      </c>
      <c r="Z65">
        <f t="shared" si="3"/>
        <v>0.05</v>
      </c>
      <c r="AA65">
        <f t="shared" si="4"/>
        <v>12263.24</v>
      </c>
      <c r="AB65">
        <f t="shared" si="5"/>
        <v>3337.67</v>
      </c>
      <c r="AC65">
        <f t="shared" si="6"/>
        <v>0.2722</v>
      </c>
      <c r="AD65">
        <f t="shared" si="9"/>
        <v>10</v>
      </c>
      <c r="AE65">
        <f t="shared" si="7"/>
        <v>2024</v>
      </c>
      <c r="AF65" t="str">
        <f t="shared" si="8"/>
        <v>CLEAN</v>
      </c>
    </row>
    <row r="66" spans="1:32">
      <c r="A66" t="s">
        <v>433</v>
      </c>
      <c r="B66" s="10">
        <v>45519</v>
      </c>
      <c r="C66" s="10">
        <v>45527</v>
      </c>
      <c r="D66">
        <f t="shared" ref="D66:D129" si="10">C66-B66</f>
        <v>8</v>
      </c>
      <c r="E66" t="str">
        <f t="shared" ref="E66:E129" si="11">IF(D66&lt;0,"INVALID","OK")</f>
        <v>OK</v>
      </c>
      <c r="F66" t="s">
        <v>434</v>
      </c>
      <c r="G66" t="s">
        <v>88</v>
      </c>
      <c r="H66" t="s">
        <v>36</v>
      </c>
      <c r="I66" t="s">
        <v>37</v>
      </c>
      <c r="J66" t="s">
        <v>38</v>
      </c>
      <c r="K66" t="s">
        <v>39</v>
      </c>
      <c r="L66" t="s">
        <v>40</v>
      </c>
      <c r="M66" t="s">
        <v>157</v>
      </c>
      <c r="N66" t="s">
        <v>435</v>
      </c>
      <c r="O66" t="s">
        <v>43</v>
      </c>
      <c r="P66">
        <v>2</v>
      </c>
      <c r="Q66">
        <v>537.54</v>
      </c>
      <c r="R66">
        <v>0.25</v>
      </c>
      <c r="S66" t="str">
        <f t="shared" si="2"/>
        <v>OK</v>
      </c>
      <c r="T66">
        <v>806.31</v>
      </c>
      <c r="U66">
        <v>498.5</v>
      </c>
      <c r="V66">
        <v>307.81</v>
      </c>
      <c r="W66" t="s">
        <v>31</v>
      </c>
      <c r="X66" t="s">
        <v>32</v>
      </c>
      <c r="Y66" t="str">
        <f>IF(COUNTIF($A$2:$A$901,A66)&gt;1,
  IF(COUNTIF($A$2:A66,A66)=1,
    " ORIGINAL",
    "CONFLICTING DUPLICATE - REVIEW"),
"OK")</f>
        <v>OK</v>
      </c>
      <c r="Z66">
        <f t="shared" si="3"/>
        <v>0.25</v>
      </c>
      <c r="AA66">
        <f t="shared" si="4"/>
        <v>806.31</v>
      </c>
      <c r="AB66">
        <f t="shared" si="5"/>
        <v>307.81</v>
      </c>
      <c r="AC66">
        <f t="shared" si="6"/>
        <v>0.38179999999999997</v>
      </c>
      <c r="AD66">
        <f t="shared" si="9"/>
        <v>8</v>
      </c>
      <c r="AE66">
        <f t="shared" si="7"/>
        <v>2024</v>
      </c>
      <c r="AF66" t="str">
        <f t="shared" si="8"/>
        <v>CLEAN</v>
      </c>
    </row>
    <row r="67" spans="1:32">
      <c r="A67" t="s">
        <v>439</v>
      </c>
      <c r="B67" s="10">
        <v>45583</v>
      </c>
      <c r="C67" s="10">
        <v>45589</v>
      </c>
      <c r="D67">
        <f t="shared" si="10"/>
        <v>6</v>
      </c>
      <c r="E67" t="str">
        <f t="shared" si="11"/>
        <v>OK</v>
      </c>
      <c r="F67" t="s">
        <v>440</v>
      </c>
      <c r="G67" t="s">
        <v>70</v>
      </c>
      <c r="H67" t="s">
        <v>89</v>
      </c>
      <c r="I67" t="s">
        <v>53</v>
      </c>
      <c r="J67" t="s">
        <v>184</v>
      </c>
      <c r="K67" t="s">
        <v>185</v>
      </c>
      <c r="L67" t="s">
        <v>27</v>
      </c>
      <c r="M67" t="s">
        <v>90</v>
      </c>
      <c r="N67" t="s">
        <v>441</v>
      </c>
      <c r="O67" t="s">
        <v>49</v>
      </c>
      <c r="P67">
        <v>2</v>
      </c>
      <c r="Q67">
        <v>2250.4699999999998</v>
      </c>
      <c r="R67">
        <v>0</v>
      </c>
      <c r="S67" t="str">
        <f t="shared" ref="S67:S130" si="12">IF(R67&lt;0,"INVALID-NEGATIVE",IF(R67&gt;1,"INVALID-ABOVE","OK"))</f>
        <v>OK</v>
      </c>
      <c r="T67">
        <v>4500.9399999999996</v>
      </c>
      <c r="U67">
        <v>2607.73</v>
      </c>
      <c r="V67">
        <v>1893.21</v>
      </c>
      <c r="W67" t="s">
        <v>101</v>
      </c>
      <c r="X67" t="s">
        <v>67</v>
      </c>
      <c r="Y67" t="str">
        <f>IF(COUNTIF($A$2:$A$901,A67)&gt;1,
  IF(COUNTIF($A$2:A67,A67)=1,
    " ORIGINAL",
    "CONFLICTING DUPLICATE - REVIEW"),
"OK")</f>
        <v>OK</v>
      </c>
      <c r="Z67">
        <f t="shared" ref="Z67:Z130" si="13">IF(R67&lt;0, 0,
  IF(ISNUMBER(R67), R67,
    IFERROR(VALUE(SUBSTITUTE(R67,"%",""))/100, 0)))</f>
        <v>0</v>
      </c>
      <c r="AA67">
        <f t="shared" ref="AA67:AA130" si="14">ROUND(P67*Q67*(1-Z67),2)</f>
        <v>4500.9399999999996</v>
      </c>
      <c r="AB67">
        <f t="shared" ref="AB67:AB130" si="15">ROUND(AA67-U67,2)</f>
        <v>1893.21</v>
      </c>
      <c r="AC67">
        <f t="shared" ref="AC67:AC130" si="16">IFERROR(ROUND(AB67/AA67,4),0)</f>
        <v>0.42059999999999997</v>
      </c>
      <c r="AD67">
        <f t="shared" ref="AD67:AD130" si="17">IFERROR(MONTH(B67),"INVALID")</f>
        <v>10</v>
      </c>
      <c r="AE67">
        <f t="shared" ref="AE67:AE130" si="18">IFERROR(YEAR(B67),"INVALID")</f>
        <v>2024</v>
      </c>
      <c r="AF67" t="str">
        <f t="shared" ref="AF67:AF130" si="19">IF(OR(R67&lt;0,NOT(ISNUMBER(R67)),D67&lt;0,W67="Failed"),"INVALID",IF(OR(I67="Unknown",O67="Unknown",R67&gt;1,AA67&lt;0),"WARNING","CLEAN"))</f>
        <v>CLEAN</v>
      </c>
    </row>
    <row r="68" spans="1:32">
      <c r="A68" t="s">
        <v>445</v>
      </c>
      <c r="B68" s="10">
        <v>45301</v>
      </c>
      <c r="C68" s="10">
        <v>45305</v>
      </c>
      <c r="D68">
        <f t="shared" si="10"/>
        <v>4</v>
      </c>
      <c r="E68" t="str">
        <f t="shared" si="11"/>
        <v>OK</v>
      </c>
      <c r="F68" t="s">
        <v>446</v>
      </c>
      <c r="G68" t="s">
        <v>131</v>
      </c>
      <c r="H68" t="s">
        <v>23</v>
      </c>
      <c r="I68" t="s">
        <v>2762</v>
      </c>
      <c r="J68" t="s">
        <v>179</v>
      </c>
      <c r="K68" t="s">
        <v>180</v>
      </c>
      <c r="L68" t="s">
        <v>73</v>
      </c>
      <c r="M68" t="s">
        <v>74</v>
      </c>
      <c r="N68" t="s">
        <v>447</v>
      </c>
      <c r="O68" t="s">
        <v>58</v>
      </c>
      <c r="P68">
        <v>3</v>
      </c>
      <c r="Q68">
        <v>3829.48</v>
      </c>
      <c r="R68">
        <v>0.05</v>
      </c>
      <c r="S68" t="str">
        <f t="shared" si="12"/>
        <v>OK</v>
      </c>
      <c r="T68">
        <v>10914.02</v>
      </c>
      <c r="U68">
        <v>6548.74</v>
      </c>
      <c r="V68">
        <v>4365.28</v>
      </c>
      <c r="W68" t="s">
        <v>31</v>
      </c>
      <c r="X68" t="s">
        <v>32</v>
      </c>
      <c r="Y68" t="str">
        <f>IF(COUNTIF($A$2:$A$901,A68)&gt;1,
  IF(COUNTIF($A$2:A68,A68)=1,
    " ORIGINAL",
    "CONFLICTING DUPLICATE - REVIEW"),
"OK")</f>
        <v>OK</v>
      </c>
      <c r="Z68">
        <f t="shared" si="13"/>
        <v>0.05</v>
      </c>
      <c r="AA68">
        <f t="shared" si="14"/>
        <v>10914.02</v>
      </c>
      <c r="AB68">
        <f t="shared" si="15"/>
        <v>4365.28</v>
      </c>
      <c r="AC68">
        <f t="shared" si="16"/>
        <v>0.4</v>
      </c>
      <c r="AD68">
        <f t="shared" si="17"/>
        <v>1</v>
      </c>
      <c r="AE68">
        <f t="shared" si="18"/>
        <v>2024</v>
      </c>
      <c r="AF68" t="str">
        <f t="shared" si="19"/>
        <v>WARNING</v>
      </c>
    </row>
    <row r="69" spans="1:32">
      <c r="A69" t="s">
        <v>448</v>
      </c>
      <c r="B69" s="10">
        <v>45628</v>
      </c>
      <c r="C69" s="10">
        <v>45628</v>
      </c>
      <c r="D69">
        <f t="shared" si="10"/>
        <v>0</v>
      </c>
      <c r="E69" t="str">
        <f t="shared" si="11"/>
        <v>OK</v>
      </c>
      <c r="F69" t="s">
        <v>359</v>
      </c>
      <c r="G69" t="s">
        <v>46</v>
      </c>
      <c r="H69" t="s">
        <v>94</v>
      </c>
      <c r="I69" t="s">
        <v>53</v>
      </c>
      <c r="J69" t="s">
        <v>246</v>
      </c>
      <c r="K69" t="s">
        <v>247</v>
      </c>
      <c r="L69" t="s">
        <v>40</v>
      </c>
      <c r="M69" t="s">
        <v>41</v>
      </c>
      <c r="N69" t="s">
        <v>449</v>
      </c>
      <c r="O69" t="s">
        <v>58</v>
      </c>
      <c r="P69">
        <v>3</v>
      </c>
      <c r="Q69">
        <v>1089.1500000000001</v>
      </c>
      <c r="R69">
        <v>0.25</v>
      </c>
      <c r="S69" t="str">
        <f t="shared" si="12"/>
        <v>OK</v>
      </c>
      <c r="T69">
        <v>2450.59</v>
      </c>
      <c r="U69">
        <v>1639.89</v>
      </c>
      <c r="V69">
        <v>810.7</v>
      </c>
      <c r="W69" t="s">
        <v>31</v>
      </c>
      <c r="X69" t="s">
        <v>32</v>
      </c>
      <c r="Y69" t="str">
        <f>IF(COUNTIF($A$2:$A$901,A69)&gt;1,
  IF(COUNTIF($A$2:A69,A69)=1,
    " ORIGINAL",
    "CONFLICTING DUPLICATE - REVIEW"),
"OK")</f>
        <v>OK</v>
      </c>
      <c r="Z69">
        <f t="shared" si="13"/>
        <v>0.25</v>
      </c>
      <c r="AA69">
        <f t="shared" si="14"/>
        <v>2450.59</v>
      </c>
      <c r="AB69">
        <f t="shared" si="15"/>
        <v>810.7</v>
      </c>
      <c r="AC69">
        <f t="shared" si="16"/>
        <v>0.33079999999999998</v>
      </c>
      <c r="AD69">
        <f t="shared" si="17"/>
        <v>12</v>
      </c>
      <c r="AE69">
        <f t="shared" si="18"/>
        <v>2024</v>
      </c>
      <c r="AF69" t="str">
        <f t="shared" si="19"/>
        <v>CLEAN</v>
      </c>
    </row>
    <row r="70" spans="1:32">
      <c r="A70" t="s">
        <v>450</v>
      </c>
      <c r="B70" s="10">
        <v>45560</v>
      </c>
      <c r="C70" s="10">
        <v>45565</v>
      </c>
      <c r="D70">
        <f t="shared" si="10"/>
        <v>5</v>
      </c>
      <c r="E70" t="str">
        <f t="shared" si="11"/>
        <v>OK</v>
      </c>
      <c r="F70" t="s">
        <v>451</v>
      </c>
      <c r="G70" t="s">
        <v>78</v>
      </c>
      <c r="H70" t="s">
        <v>36</v>
      </c>
      <c r="I70" t="s">
        <v>24</v>
      </c>
      <c r="J70" t="s">
        <v>25</v>
      </c>
      <c r="K70" t="s">
        <v>26</v>
      </c>
      <c r="L70" t="s">
        <v>73</v>
      </c>
      <c r="M70" t="s">
        <v>74</v>
      </c>
      <c r="N70" t="s">
        <v>452</v>
      </c>
      <c r="O70" t="s">
        <v>30</v>
      </c>
      <c r="P70">
        <v>1</v>
      </c>
      <c r="Q70">
        <v>4388.3999999999996</v>
      </c>
      <c r="R70">
        <v>0.1</v>
      </c>
      <c r="S70" t="str">
        <f t="shared" si="12"/>
        <v>OK</v>
      </c>
      <c r="T70">
        <v>3949.56</v>
      </c>
      <c r="U70">
        <v>3186.73</v>
      </c>
      <c r="V70">
        <v>762.83</v>
      </c>
      <c r="W70" t="s">
        <v>110</v>
      </c>
      <c r="X70" t="s">
        <v>67</v>
      </c>
      <c r="Y70" t="str">
        <f>IF(COUNTIF($A$2:$A$901,A70)&gt;1,
  IF(COUNTIF($A$2:A70,A70)=1,
    " ORIGINAL",
    "CONFLICTING DUPLICATE - REVIEW"),
"OK")</f>
        <v>OK</v>
      </c>
      <c r="Z70">
        <f t="shared" si="13"/>
        <v>0.1</v>
      </c>
      <c r="AA70">
        <f t="shared" si="14"/>
        <v>3949.56</v>
      </c>
      <c r="AB70">
        <f t="shared" si="15"/>
        <v>762.83</v>
      </c>
      <c r="AC70">
        <f t="shared" si="16"/>
        <v>0.19309999999999999</v>
      </c>
      <c r="AD70">
        <f t="shared" si="17"/>
        <v>9</v>
      </c>
      <c r="AE70">
        <f t="shared" si="18"/>
        <v>2024</v>
      </c>
      <c r="AF70" t="str">
        <f t="shared" si="19"/>
        <v>CLEAN</v>
      </c>
    </row>
    <row r="71" spans="1:32">
      <c r="A71" t="s">
        <v>453</v>
      </c>
      <c r="B71" s="10">
        <v>45653</v>
      </c>
      <c r="C71" s="10">
        <v>45658</v>
      </c>
      <c r="D71">
        <f t="shared" si="10"/>
        <v>5</v>
      </c>
      <c r="E71" t="str">
        <f t="shared" si="11"/>
        <v>OK</v>
      </c>
      <c r="F71" t="s">
        <v>454</v>
      </c>
      <c r="G71" t="s">
        <v>263</v>
      </c>
      <c r="H71" t="s">
        <v>89</v>
      </c>
      <c r="I71" t="s">
        <v>53</v>
      </c>
      <c r="J71" t="s">
        <v>246</v>
      </c>
      <c r="K71" t="s">
        <v>247</v>
      </c>
      <c r="L71" t="s">
        <v>27</v>
      </c>
      <c r="M71" t="s">
        <v>152</v>
      </c>
      <c r="N71" t="s">
        <v>455</v>
      </c>
      <c r="O71" t="s">
        <v>43</v>
      </c>
      <c r="P71">
        <v>2</v>
      </c>
      <c r="Q71">
        <v>446.34</v>
      </c>
      <c r="R71">
        <v>0.15</v>
      </c>
      <c r="S71" t="str">
        <f t="shared" si="12"/>
        <v>OK</v>
      </c>
      <c r="T71">
        <v>758.78</v>
      </c>
      <c r="U71">
        <v>490.74</v>
      </c>
      <c r="V71">
        <v>268.04000000000002</v>
      </c>
      <c r="W71" t="s">
        <v>31</v>
      </c>
      <c r="X71" t="s">
        <v>67</v>
      </c>
      <c r="Y71" t="str">
        <f>IF(COUNTIF($A$2:$A$901,A71)&gt;1,
  IF(COUNTIF($A$2:A71,A71)=1,
    " ORIGINAL",
    "CONFLICTING DUPLICATE - REVIEW"),
"OK")</f>
        <v>OK</v>
      </c>
      <c r="Z71">
        <f t="shared" si="13"/>
        <v>0.15</v>
      </c>
      <c r="AA71">
        <f t="shared" si="14"/>
        <v>758.78</v>
      </c>
      <c r="AB71">
        <f t="shared" si="15"/>
        <v>268.04000000000002</v>
      </c>
      <c r="AC71">
        <f t="shared" si="16"/>
        <v>0.3533</v>
      </c>
      <c r="AD71">
        <f t="shared" si="17"/>
        <v>12</v>
      </c>
      <c r="AE71">
        <f t="shared" si="18"/>
        <v>2024</v>
      </c>
      <c r="AF71" t="str">
        <f t="shared" si="19"/>
        <v>CLEAN</v>
      </c>
    </row>
    <row r="72" spans="1:32">
      <c r="A72" t="s">
        <v>459</v>
      </c>
      <c r="B72" s="10">
        <v>45337</v>
      </c>
      <c r="C72" s="10">
        <v>45339</v>
      </c>
      <c r="D72">
        <f t="shared" si="10"/>
        <v>2</v>
      </c>
      <c r="E72" t="str">
        <f t="shared" si="11"/>
        <v>OK</v>
      </c>
      <c r="F72" t="s">
        <v>460</v>
      </c>
      <c r="G72" t="s">
        <v>35</v>
      </c>
      <c r="H72" t="s">
        <v>94</v>
      </c>
      <c r="I72" t="s">
        <v>53</v>
      </c>
      <c r="J72" t="s">
        <v>246</v>
      </c>
      <c r="K72" t="s">
        <v>247</v>
      </c>
      <c r="L72" t="s">
        <v>73</v>
      </c>
      <c r="M72" t="s">
        <v>273</v>
      </c>
      <c r="N72" t="s">
        <v>461</v>
      </c>
      <c r="O72" t="s">
        <v>58</v>
      </c>
      <c r="P72">
        <v>9</v>
      </c>
      <c r="Q72">
        <v>3324.55</v>
      </c>
      <c r="R72" t="s">
        <v>462</v>
      </c>
      <c r="S72" t="str">
        <f t="shared" si="12"/>
        <v>INVALID-ABOVE</v>
      </c>
      <c r="T72">
        <v>25432.81</v>
      </c>
      <c r="U72">
        <v>20370.16</v>
      </c>
      <c r="V72">
        <v>5062.6499999999996</v>
      </c>
      <c r="W72" t="s">
        <v>31</v>
      </c>
      <c r="X72" t="s">
        <v>32</v>
      </c>
      <c r="Y72" t="str">
        <f>IF(COUNTIF($A$2:$A$901,A72)&gt;1,
  IF(COUNTIF($A$2:A72,A72)=1,
    " ORIGINAL",
    "CONFLICTING DUPLICATE - REVIEW"),
"OK")</f>
        <v>OK</v>
      </c>
      <c r="Z72">
        <f t="shared" si="13"/>
        <v>0.7</v>
      </c>
      <c r="AA72">
        <f t="shared" si="14"/>
        <v>8976.2900000000009</v>
      </c>
      <c r="AB72">
        <f t="shared" si="15"/>
        <v>-11393.87</v>
      </c>
      <c r="AC72">
        <f t="shared" si="16"/>
        <v>-1.2693000000000001</v>
      </c>
      <c r="AD72">
        <f t="shared" si="17"/>
        <v>2</v>
      </c>
      <c r="AE72">
        <f t="shared" si="18"/>
        <v>2024</v>
      </c>
      <c r="AF72" t="str">
        <f t="shared" si="19"/>
        <v>INVALID</v>
      </c>
    </row>
    <row r="73" spans="1:32">
      <c r="A73" t="s">
        <v>463</v>
      </c>
      <c r="B73" s="10">
        <v>45453</v>
      </c>
      <c r="C73" s="10">
        <v>45461</v>
      </c>
      <c r="D73">
        <f t="shared" si="10"/>
        <v>8</v>
      </c>
      <c r="E73" t="str">
        <f t="shared" si="11"/>
        <v>OK</v>
      </c>
      <c r="F73" t="s">
        <v>464</v>
      </c>
      <c r="G73" t="s">
        <v>70</v>
      </c>
      <c r="H73" t="s">
        <v>94</v>
      </c>
      <c r="I73" t="s">
        <v>53</v>
      </c>
      <c r="J73" t="s">
        <v>83</v>
      </c>
      <c r="K73" t="s">
        <v>84</v>
      </c>
      <c r="L73" t="s">
        <v>73</v>
      </c>
      <c r="M73" t="s">
        <v>79</v>
      </c>
      <c r="N73" t="s">
        <v>465</v>
      </c>
      <c r="O73" t="s">
        <v>43</v>
      </c>
      <c r="P73">
        <v>5</v>
      </c>
      <c r="Q73">
        <v>1580.27</v>
      </c>
      <c r="R73">
        <v>0.2</v>
      </c>
      <c r="S73" t="str">
        <f t="shared" si="12"/>
        <v>OK</v>
      </c>
      <c r="T73">
        <v>6321.08</v>
      </c>
      <c r="U73">
        <v>4407.22</v>
      </c>
      <c r="V73">
        <v>1913.86</v>
      </c>
      <c r="W73" t="s">
        <v>31</v>
      </c>
      <c r="X73" t="s">
        <v>32</v>
      </c>
      <c r="Y73" t="str">
        <f>IF(COUNTIF($A$2:$A$901,A73)&gt;1,
  IF(COUNTIF($A$2:A73,A73)=1,
    " ORIGINAL",
    "CONFLICTING DUPLICATE - REVIEW"),
"OK")</f>
        <v>OK</v>
      </c>
      <c r="Z73">
        <f t="shared" si="13"/>
        <v>0.2</v>
      </c>
      <c r="AA73">
        <f t="shared" si="14"/>
        <v>6321.08</v>
      </c>
      <c r="AB73">
        <f t="shared" si="15"/>
        <v>1913.86</v>
      </c>
      <c r="AC73">
        <f t="shared" si="16"/>
        <v>0.30280000000000001</v>
      </c>
      <c r="AD73">
        <f t="shared" si="17"/>
        <v>6</v>
      </c>
      <c r="AE73">
        <f t="shared" si="18"/>
        <v>2024</v>
      </c>
      <c r="AF73" t="str">
        <f t="shared" si="19"/>
        <v>CLEAN</v>
      </c>
    </row>
    <row r="74" spans="1:32">
      <c r="A74" t="s">
        <v>466</v>
      </c>
      <c r="B74" s="10">
        <v>45455</v>
      </c>
      <c r="C74" s="10">
        <v>45462</v>
      </c>
      <c r="D74">
        <f t="shared" si="10"/>
        <v>7</v>
      </c>
      <c r="E74" t="str">
        <f t="shared" si="11"/>
        <v>OK</v>
      </c>
      <c r="F74" t="s">
        <v>467</v>
      </c>
      <c r="G74" t="s">
        <v>88</v>
      </c>
      <c r="H74" t="s">
        <v>36</v>
      </c>
      <c r="I74" t="s">
        <v>53</v>
      </c>
      <c r="J74" t="s">
        <v>184</v>
      </c>
      <c r="K74" t="s">
        <v>185</v>
      </c>
      <c r="L74" t="s">
        <v>40</v>
      </c>
      <c r="M74" t="s">
        <v>65</v>
      </c>
      <c r="N74" t="s">
        <v>468</v>
      </c>
      <c r="O74" t="s">
        <v>58</v>
      </c>
      <c r="P74">
        <v>8</v>
      </c>
      <c r="Q74">
        <v>314.05</v>
      </c>
      <c r="R74">
        <v>0.25</v>
      </c>
      <c r="S74" t="str">
        <f t="shared" si="12"/>
        <v>OK</v>
      </c>
      <c r="T74">
        <v>1884.3</v>
      </c>
      <c r="U74">
        <v>1517.69</v>
      </c>
      <c r="V74">
        <v>366.61</v>
      </c>
      <c r="W74" t="s">
        <v>101</v>
      </c>
      <c r="X74" t="s">
        <v>102</v>
      </c>
      <c r="Y74" t="str">
        <f>IF(COUNTIF($A$2:$A$901,A74)&gt;1,
  IF(COUNTIF($A$2:A74,A74)=1,
    " ORIGINAL",
    "CONFLICTING DUPLICATE - REVIEW"),
"OK")</f>
        <v>OK</v>
      </c>
      <c r="Z74">
        <f t="shared" si="13"/>
        <v>0.25</v>
      </c>
      <c r="AA74">
        <f t="shared" si="14"/>
        <v>1884.3</v>
      </c>
      <c r="AB74">
        <f t="shared" si="15"/>
        <v>366.61</v>
      </c>
      <c r="AC74">
        <f t="shared" si="16"/>
        <v>0.1946</v>
      </c>
      <c r="AD74">
        <f t="shared" si="17"/>
        <v>6</v>
      </c>
      <c r="AE74">
        <f t="shared" si="18"/>
        <v>2024</v>
      </c>
      <c r="AF74" t="str">
        <f t="shared" si="19"/>
        <v>CLEAN</v>
      </c>
    </row>
    <row r="75" spans="1:32">
      <c r="A75" t="s">
        <v>469</v>
      </c>
      <c r="B75" s="10">
        <v>45514</v>
      </c>
      <c r="C75" s="10">
        <v>45522</v>
      </c>
      <c r="D75">
        <f t="shared" si="10"/>
        <v>8</v>
      </c>
      <c r="E75" t="str">
        <f t="shared" si="11"/>
        <v>OK</v>
      </c>
      <c r="F75" t="s">
        <v>470</v>
      </c>
      <c r="G75" t="s">
        <v>131</v>
      </c>
      <c r="H75" t="s">
        <v>36</v>
      </c>
      <c r="I75" t="s">
        <v>37</v>
      </c>
      <c r="J75" t="s">
        <v>144</v>
      </c>
      <c r="K75" t="s">
        <v>145</v>
      </c>
      <c r="L75" t="s">
        <v>73</v>
      </c>
      <c r="M75" t="s">
        <v>170</v>
      </c>
      <c r="N75" t="s">
        <v>471</v>
      </c>
      <c r="O75" t="s">
        <v>58</v>
      </c>
      <c r="P75">
        <v>1</v>
      </c>
      <c r="Q75">
        <v>1823.67</v>
      </c>
      <c r="R75">
        <v>0.2</v>
      </c>
      <c r="S75" t="str">
        <f t="shared" si="12"/>
        <v>OK</v>
      </c>
      <c r="T75">
        <v>1458.94</v>
      </c>
      <c r="U75">
        <v>893.2</v>
      </c>
      <c r="V75">
        <v>565.74</v>
      </c>
      <c r="W75" t="s">
        <v>31</v>
      </c>
      <c r="X75" t="s">
        <v>102</v>
      </c>
      <c r="Y75" t="str">
        <f>IF(COUNTIF($A$2:$A$901,A75)&gt;1,
  IF(COUNTIF($A$2:A75,A75)=1,
    " ORIGINAL",
    "CONFLICTING DUPLICATE - REVIEW"),
"OK")</f>
        <v>OK</v>
      </c>
      <c r="Z75">
        <f t="shared" si="13"/>
        <v>0.2</v>
      </c>
      <c r="AA75">
        <f t="shared" si="14"/>
        <v>1458.94</v>
      </c>
      <c r="AB75">
        <f t="shared" si="15"/>
        <v>565.74</v>
      </c>
      <c r="AC75">
        <f t="shared" si="16"/>
        <v>0.38779999999999998</v>
      </c>
      <c r="AD75">
        <f t="shared" si="17"/>
        <v>8</v>
      </c>
      <c r="AE75">
        <f t="shared" si="18"/>
        <v>2024</v>
      </c>
      <c r="AF75" t="str">
        <f t="shared" si="19"/>
        <v>CLEAN</v>
      </c>
    </row>
    <row r="76" spans="1:32">
      <c r="A76" t="s">
        <v>475</v>
      </c>
      <c r="B76" s="10">
        <v>45626</v>
      </c>
      <c r="C76" s="10">
        <v>45394</v>
      </c>
      <c r="D76">
        <f t="shared" si="10"/>
        <v>-232</v>
      </c>
      <c r="E76" t="str">
        <f t="shared" si="11"/>
        <v>INVALID</v>
      </c>
      <c r="F76" t="s">
        <v>476</v>
      </c>
      <c r="G76" t="s">
        <v>61</v>
      </c>
      <c r="H76" t="s">
        <v>36</v>
      </c>
      <c r="I76" t="s">
        <v>37</v>
      </c>
      <c r="J76" t="s">
        <v>165</v>
      </c>
      <c r="K76" t="s">
        <v>166</v>
      </c>
      <c r="L76" t="s">
        <v>40</v>
      </c>
      <c r="M76" t="s">
        <v>65</v>
      </c>
      <c r="N76" t="s">
        <v>477</v>
      </c>
      <c r="O76" t="s">
        <v>30</v>
      </c>
      <c r="P76">
        <v>3</v>
      </c>
      <c r="Q76">
        <v>170.35</v>
      </c>
      <c r="R76">
        <v>0</v>
      </c>
      <c r="S76" t="str">
        <f t="shared" si="12"/>
        <v>OK</v>
      </c>
      <c r="T76">
        <v>511.05</v>
      </c>
      <c r="U76">
        <v>367.18</v>
      </c>
      <c r="V76">
        <v>143.87</v>
      </c>
      <c r="W76" t="s">
        <v>31</v>
      </c>
      <c r="X76" t="s">
        <v>32</v>
      </c>
      <c r="Y76" t="str">
        <f>IF(COUNTIF($A$2:$A$901,A76)&gt;1,
  IF(COUNTIF($A$2:A76,A76)=1,
    " ORIGINAL",
    "CONFLICTING DUPLICATE - REVIEW"),
"OK")</f>
        <v>OK</v>
      </c>
      <c r="Z76">
        <f t="shared" si="13"/>
        <v>0</v>
      </c>
      <c r="AA76">
        <f t="shared" si="14"/>
        <v>511.05</v>
      </c>
      <c r="AB76">
        <f t="shared" si="15"/>
        <v>143.87</v>
      </c>
      <c r="AC76">
        <f t="shared" si="16"/>
        <v>0.28149999999999997</v>
      </c>
      <c r="AD76">
        <f t="shared" si="17"/>
        <v>11</v>
      </c>
      <c r="AE76">
        <f t="shared" si="18"/>
        <v>2024</v>
      </c>
      <c r="AF76" t="str">
        <f t="shared" si="19"/>
        <v>INVALID</v>
      </c>
    </row>
    <row r="77" spans="1:32">
      <c r="A77" t="s">
        <v>478</v>
      </c>
      <c r="B77" s="10">
        <v>45436</v>
      </c>
      <c r="C77" s="10">
        <v>45437</v>
      </c>
      <c r="D77">
        <f t="shared" si="10"/>
        <v>1</v>
      </c>
      <c r="E77" t="str">
        <f t="shared" si="11"/>
        <v>OK</v>
      </c>
      <c r="F77" t="s">
        <v>479</v>
      </c>
      <c r="G77" t="s">
        <v>131</v>
      </c>
      <c r="H77" t="s">
        <v>36</v>
      </c>
      <c r="I77" t="s">
        <v>24</v>
      </c>
      <c r="J77" t="s">
        <v>121</v>
      </c>
      <c r="K77" t="s">
        <v>122</v>
      </c>
      <c r="L77" t="s">
        <v>73</v>
      </c>
      <c r="M77" t="s">
        <v>79</v>
      </c>
      <c r="N77" t="s">
        <v>480</v>
      </c>
      <c r="O77" t="s">
        <v>43</v>
      </c>
      <c r="P77">
        <v>1</v>
      </c>
      <c r="Q77">
        <v>634.13</v>
      </c>
      <c r="R77">
        <v>0</v>
      </c>
      <c r="S77" t="str">
        <f t="shared" si="12"/>
        <v>OK</v>
      </c>
      <c r="T77">
        <v>634.13</v>
      </c>
      <c r="U77">
        <v>453.35</v>
      </c>
      <c r="V77">
        <v>180.78</v>
      </c>
      <c r="W77" t="s">
        <v>101</v>
      </c>
      <c r="X77" t="s">
        <v>67</v>
      </c>
      <c r="Y77" t="str">
        <f>IF(COUNTIF($A$2:$A$901,A77)&gt;1,
  IF(COUNTIF($A$2:A77,A77)=1,
    " ORIGINAL",
    "CONFLICTING DUPLICATE - REVIEW"),
"OK")</f>
        <v xml:space="preserve"> ORIGINAL</v>
      </c>
      <c r="Z77">
        <f t="shared" si="13"/>
        <v>0</v>
      </c>
      <c r="AA77">
        <f t="shared" si="14"/>
        <v>634.13</v>
      </c>
      <c r="AB77">
        <f t="shared" si="15"/>
        <v>180.78</v>
      </c>
      <c r="AC77">
        <f t="shared" si="16"/>
        <v>0.28510000000000002</v>
      </c>
      <c r="AD77">
        <f t="shared" si="17"/>
        <v>5</v>
      </c>
      <c r="AE77">
        <f t="shared" si="18"/>
        <v>2024</v>
      </c>
      <c r="AF77" t="str">
        <f t="shared" si="19"/>
        <v>CLEAN</v>
      </c>
    </row>
    <row r="78" spans="1:32">
      <c r="A78" t="s">
        <v>478</v>
      </c>
      <c r="B78" s="10">
        <v>45436</v>
      </c>
      <c r="C78" s="10">
        <v>45437</v>
      </c>
      <c r="D78">
        <f t="shared" si="10"/>
        <v>1</v>
      </c>
      <c r="E78" t="str">
        <f t="shared" si="11"/>
        <v>OK</v>
      </c>
      <c r="F78" t="s">
        <v>479</v>
      </c>
      <c r="G78" t="s">
        <v>131</v>
      </c>
      <c r="H78" t="s">
        <v>36</v>
      </c>
      <c r="I78" t="s">
        <v>24</v>
      </c>
      <c r="J78" t="s">
        <v>121</v>
      </c>
      <c r="K78" t="s">
        <v>122</v>
      </c>
      <c r="L78" t="s">
        <v>73</v>
      </c>
      <c r="M78" t="s">
        <v>79</v>
      </c>
      <c r="N78" t="s">
        <v>480</v>
      </c>
      <c r="O78" t="s">
        <v>43</v>
      </c>
      <c r="P78">
        <v>1</v>
      </c>
      <c r="Q78">
        <v>634.13</v>
      </c>
      <c r="R78">
        <v>0</v>
      </c>
      <c r="S78" t="str">
        <f t="shared" si="12"/>
        <v>OK</v>
      </c>
      <c r="T78">
        <v>808.67</v>
      </c>
      <c r="U78">
        <v>453.35</v>
      </c>
      <c r="V78">
        <v>180.78</v>
      </c>
      <c r="W78" t="s">
        <v>101</v>
      </c>
      <c r="X78" t="s">
        <v>102</v>
      </c>
      <c r="Y78" t="str">
        <f>IF(COUNTIF($A$2:$A$901,A78)&gt;1,
  IF(COUNTIF($A$2:A78,A78)=1,
    " ORIGINAL",
    "CONFLICTING DUPLICATE - REVIEW"),
"OK")</f>
        <v>CONFLICTING DUPLICATE - REVIEW</v>
      </c>
      <c r="Z78">
        <f t="shared" si="13"/>
        <v>0</v>
      </c>
      <c r="AA78">
        <f t="shared" si="14"/>
        <v>634.13</v>
      </c>
      <c r="AB78">
        <f t="shared" si="15"/>
        <v>180.78</v>
      </c>
      <c r="AC78">
        <f t="shared" si="16"/>
        <v>0.28510000000000002</v>
      </c>
      <c r="AD78">
        <f t="shared" si="17"/>
        <v>5</v>
      </c>
      <c r="AE78">
        <f t="shared" si="18"/>
        <v>2024</v>
      </c>
      <c r="AF78" t="str">
        <f t="shared" si="19"/>
        <v>CLEAN</v>
      </c>
    </row>
    <row r="79" spans="1:32">
      <c r="A79" t="s">
        <v>481</v>
      </c>
      <c r="B79" s="10">
        <v>45494</v>
      </c>
      <c r="C79" s="10">
        <v>45497</v>
      </c>
      <c r="D79">
        <f t="shared" si="10"/>
        <v>3</v>
      </c>
      <c r="E79" t="str">
        <f t="shared" si="11"/>
        <v>OK</v>
      </c>
      <c r="F79" t="s">
        <v>482</v>
      </c>
      <c r="G79" t="s">
        <v>46</v>
      </c>
      <c r="H79" t="s">
        <v>89</v>
      </c>
      <c r="I79" t="s">
        <v>53</v>
      </c>
      <c r="J79" t="s">
        <v>174</v>
      </c>
      <c r="K79" t="s">
        <v>175</v>
      </c>
      <c r="L79" t="s">
        <v>73</v>
      </c>
      <c r="M79" t="s">
        <v>79</v>
      </c>
      <c r="N79" t="s">
        <v>483</v>
      </c>
      <c r="O79" t="s">
        <v>58</v>
      </c>
      <c r="P79">
        <v>9</v>
      </c>
      <c r="Q79">
        <v>465.06</v>
      </c>
      <c r="R79">
        <v>-0.15</v>
      </c>
      <c r="S79" t="str">
        <f t="shared" si="12"/>
        <v>INVALID-NEGATIVE</v>
      </c>
      <c r="T79">
        <v>4185.54</v>
      </c>
      <c r="U79">
        <v>3443.74</v>
      </c>
      <c r="V79">
        <v>741.8</v>
      </c>
      <c r="W79" t="s">
        <v>31</v>
      </c>
      <c r="X79" t="s">
        <v>32</v>
      </c>
      <c r="Y79" t="str">
        <f>IF(COUNTIF($A$2:$A$901,A79)&gt;1,
  IF(COUNTIF($A$2:A79,A79)=1,
    " ORIGINAL",
    "CONFLICTING DUPLICATE - REVIEW"),
"OK")</f>
        <v>OK</v>
      </c>
      <c r="Z79">
        <f t="shared" si="13"/>
        <v>0</v>
      </c>
      <c r="AA79">
        <f t="shared" si="14"/>
        <v>4185.54</v>
      </c>
      <c r="AB79">
        <f t="shared" si="15"/>
        <v>741.8</v>
      </c>
      <c r="AC79">
        <f t="shared" si="16"/>
        <v>0.1772</v>
      </c>
      <c r="AD79">
        <f t="shared" si="17"/>
        <v>7</v>
      </c>
      <c r="AE79">
        <f t="shared" si="18"/>
        <v>2024</v>
      </c>
      <c r="AF79" t="str">
        <f t="shared" si="19"/>
        <v>INVALID</v>
      </c>
    </row>
    <row r="80" spans="1:32">
      <c r="A80" t="s">
        <v>493</v>
      </c>
      <c r="B80" s="10">
        <v>45639</v>
      </c>
      <c r="C80" s="10">
        <v>45642</v>
      </c>
      <c r="D80">
        <f t="shared" si="10"/>
        <v>3</v>
      </c>
      <c r="E80" t="str">
        <f t="shared" si="11"/>
        <v>OK</v>
      </c>
      <c r="F80" t="s">
        <v>494</v>
      </c>
      <c r="G80" t="s">
        <v>78</v>
      </c>
      <c r="H80" t="s">
        <v>36</v>
      </c>
      <c r="I80" t="s">
        <v>37</v>
      </c>
      <c r="J80" t="s">
        <v>38</v>
      </c>
      <c r="K80" t="s">
        <v>39</v>
      </c>
      <c r="L80" t="s">
        <v>40</v>
      </c>
      <c r="M80" t="s">
        <v>56</v>
      </c>
      <c r="N80" t="s">
        <v>495</v>
      </c>
      <c r="O80" t="s">
        <v>58</v>
      </c>
      <c r="P80">
        <v>5</v>
      </c>
      <c r="Q80">
        <v>923.45</v>
      </c>
      <c r="R80">
        <v>0.05</v>
      </c>
      <c r="S80" t="str">
        <f t="shared" si="12"/>
        <v>OK</v>
      </c>
      <c r="T80">
        <v>4386.3900000000003</v>
      </c>
      <c r="U80">
        <v>3366.88</v>
      </c>
      <c r="V80">
        <v>1019.51</v>
      </c>
      <c r="W80" t="s">
        <v>31</v>
      </c>
      <c r="X80" t="s">
        <v>102</v>
      </c>
      <c r="Y80" t="str">
        <f>IF(COUNTIF($A$2:$A$901,A80)&gt;1,
  IF(COUNTIF($A$2:A80,A80)=1,
    " ORIGINAL",
    "CONFLICTING DUPLICATE - REVIEW"),
"OK")</f>
        <v>OK</v>
      </c>
      <c r="Z80">
        <f t="shared" si="13"/>
        <v>0.05</v>
      </c>
      <c r="AA80">
        <f t="shared" si="14"/>
        <v>4386.3900000000003</v>
      </c>
      <c r="AB80">
        <f t="shared" si="15"/>
        <v>1019.51</v>
      </c>
      <c r="AC80">
        <f t="shared" si="16"/>
        <v>0.2324</v>
      </c>
      <c r="AD80">
        <f t="shared" si="17"/>
        <v>12</v>
      </c>
      <c r="AE80">
        <f t="shared" si="18"/>
        <v>2024</v>
      </c>
      <c r="AF80" t="str">
        <f t="shared" si="19"/>
        <v>CLEAN</v>
      </c>
    </row>
    <row r="81" spans="1:32">
      <c r="A81" t="s">
        <v>496</v>
      </c>
      <c r="B81" s="10">
        <v>45492</v>
      </c>
      <c r="C81" s="10">
        <v>45498</v>
      </c>
      <c r="D81">
        <f t="shared" si="10"/>
        <v>6</v>
      </c>
      <c r="E81" t="str">
        <f t="shared" si="11"/>
        <v>OK</v>
      </c>
      <c r="F81" t="s">
        <v>497</v>
      </c>
      <c r="G81" t="s">
        <v>46</v>
      </c>
      <c r="H81" t="s">
        <v>36</v>
      </c>
      <c r="I81" t="s">
        <v>62</v>
      </c>
      <c r="J81" t="s">
        <v>189</v>
      </c>
      <c r="K81" t="s">
        <v>190</v>
      </c>
      <c r="L81" t="s">
        <v>27</v>
      </c>
      <c r="M81" t="s">
        <v>152</v>
      </c>
      <c r="N81" t="s">
        <v>498</v>
      </c>
      <c r="O81" t="s">
        <v>58</v>
      </c>
      <c r="P81">
        <v>7</v>
      </c>
      <c r="Q81">
        <v>2741.29</v>
      </c>
      <c r="R81">
        <v>0.05</v>
      </c>
      <c r="S81" t="str">
        <f t="shared" si="12"/>
        <v>OK</v>
      </c>
      <c r="T81">
        <v>18229.580000000002</v>
      </c>
      <c r="U81">
        <v>15139.15</v>
      </c>
      <c r="V81">
        <v>3090.43</v>
      </c>
      <c r="W81" t="s">
        <v>31</v>
      </c>
      <c r="X81" t="s">
        <v>32</v>
      </c>
      <c r="Y81" t="str">
        <f>IF(COUNTIF($A$2:$A$901,A81)&gt;1,
  IF(COUNTIF($A$2:A81,A81)=1,
    " ORIGINAL",
    "CONFLICTING DUPLICATE - REVIEW"),
"OK")</f>
        <v>OK</v>
      </c>
      <c r="Z81">
        <f t="shared" si="13"/>
        <v>0.05</v>
      </c>
      <c r="AA81">
        <f t="shared" si="14"/>
        <v>18229.580000000002</v>
      </c>
      <c r="AB81">
        <f t="shared" si="15"/>
        <v>3090.43</v>
      </c>
      <c r="AC81">
        <f t="shared" si="16"/>
        <v>0.16950000000000001</v>
      </c>
      <c r="AD81">
        <f t="shared" si="17"/>
        <v>7</v>
      </c>
      <c r="AE81">
        <f t="shared" si="18"/>
        <v>2024</v>
      </c>
      <c r="AF81" t="str">
        <f t="shared" si="19"/>
        <v>CLEAN</v>
      </c>
    </row>
    <row r="82" spans="1:32">
      <c r="A82" t="s">
        <v>499</v>
      </c>
      <c r="B82" s="10">
        <v>45318</v>
      </c>
      <c r="C82" s="10">
        <v>45324</v>
      </c>
      <c r="D82">
        <f t="shared" si="10"/>
        <v>6</v>
      </c>
      <c r="E82" t="str">
        <f t="shared" si="11"/>
        <v>OK</v>
      </c>
      <c r="F82" t="s">
        <v>500</v>
      </c>
      <c r="G82" t="s">
        <v>52</v>
      </c>
      <c r="H82" t="s">
        <v>23</v>
      </c>
      <c r="I82" t="s">
        <v>62</v>
      </c>
      <c r="J82" t="s">
        <v>179</v>
      </c>
      <c r="K82" t="s">
        <v>180</v>
      </c>
      <c r="L82" t="s">
        <v>27</v>
      </c>
      <c r="M82" t="s">
        <v>90</v>
      </c>
      <c r="N82" t="s">
        <v>501</v>
      </c>
      <c r="O82" t="s">
        <v>43</v>
      </c>
      <c r="P82">
        <v>5</v>
      </c>
      <c r="Q82">
        <v>218.42</v>
      </c>
      <c r="R82">
        <v>0.2</v>
      </c>
      <c r="S82" t="str">
        <f t="shared" si="12"/>
        <v>OK</v>
      </c>
      <c r="T82">
        <v>873.68</v>
      </c>
      <c r="U82">
        <v>661.72</v>
      </c>
      <c r="V82">
        <v>211.96</v>
      </c>
      <c r="W82" t="s">
        <v>110</v>
      </c>
      <c r="X82" t="s">
        <v>67</v>
      </c>
      <c r="Y82" t="str">
        <f>IF(COUNTIF($A$2:$A$901,A82)&gt;1,
  IF(COUNTIF($A$2:A82,A82)=1,
    " ORIGINAL",
    "CONFLICTING DUPLICATE - REVIEW"),
"OK")</f>
        <v>OK</v>
      </c>
      <c r="Z82">
        <f t="shared" si="13"/>
        <v>0.2</v>
      </c>
      <c r="AA82">
        <f t="shared" si="14"/>
        <v>873.68</v>
      </c>
      <c r="AB82">
        <f t="shared" si="15"/>
        <v>211.96</v>
      </c>
      <c r="AC82">
        <f t="shared" si="16"/>
        <v>0.24260000000000001</v>
      </c>
      <c r="AD82">
        <f t="shared" si="17"/>
        <v>1</v>
      </c>
      <c r="AE82">
        <f t="shared" si="18"/>
        <v>2024</v>
      </c>
      <c r="AF82" t="str">
        <f t="shared" si="19"/>
        <v>CLEAN</v>
      </c>
    </row>
    <row r="83" spans="1:32">
      <c r="A83" t="s">
        <v>505</v>
      </c>
      <c r="B83" s="10">
        <v>45600</v>
      </c>
      <c r="C83" s="10">
        <v>45600</v>
      </c>
      <c r="D83">
        <f t="shared" si="10"/>
        <v>0</v>
      </c>
      <c r="E83" t="str">
        <f t="shared" si="11"/>
        <v>OK</v>
      </c>
      <c r="F83" t="s">
        <v>506</v>
      </c>
      <c r="G83" t="s">
        <v>263</v>
      </c>
      <c r="H83" t="s">
        <v>89</v>
      </c>
      <c r="I83" t="s">
        <v>37</v>
      </c>
      <c r="J83" t="s">
        <v>165</v>
      </c>
      <c r="K83" t="s">
        <v>166</v>
      </c>
      <c r="L83" t="s">
        <v>73</v>
      </c>
      <c r="M83" t="s">
        <v>273</v>
      </c>
      <c r="N83" t="s">
        <v>507</v>
      </c>
      <c r="O83" t="s">
        <v>49</v>
      </c>
      <c r="P83">
        <v>2</v>
      </c>
      <c r="Q83">
        <v>533.08000000000004</v>
      </c>
      <c r="R83">
        <v>0</v>
      </c>
      <c r="S83" t="str">
        <f t="shared" si="12"/>
        <v>OK</v>
      </c>
      <c r="T83">
        <v>1066.1600000000001</v>
      </c>
      <c r="U83">
        <v>656.3</v>
      </c>
      <c r="V83">
        <v>409.86</v>
      </c>
      <c r="W83" t="s">
        <v>154</v>
      </c>
      <c r="X83" t="s">
        <v>67</v>
      </c>
      <c r="Y83" t="str">
        <f>IF(COUNTIF($A$2:$A$901,A83)&gt;1,
  IF(COUNTIF($A$2:A83,A83)=1,
    " ORIGINAL",
    "CONFLICTING DUPLICATE - REVIEW"),
"OK")</f>
        <v>OK</v>
      </c>
      <c r="Z83">
        <f t="shared" si="13"/>
        <v>0</v>
      </c>
      <c r="AA83">
        <f t="shared" si="14"/>
        <v>1066.1600000000001</v>
      </c>
      <c r="AB83">
        <f t="shared" si="15"/>
        <v>409.86</v>
      </c>
      <c r="AC83">
        <f t="shared" si="16"/>
        <v>0.38440000000000002</v>
      </c>
      <c r="AD83">
        <f t="shared" si="17"/>
        <v>11</v>
      </c>
      <c r="AE83">
        <f t="shared" si="18"/>
        <v>2024</v>
      </c>
      <c r="AF83" t="str">
        <f t="shared" si="19"/>
        <v>INVALID</v>
      </c>
    </row>
    <row r="84" spans="1:32">
      <c r="A84" t="s">
        <v>508</v>
      </c>
      <c r="B84" s="10">
        <v>45639</v>
      </c>
      <c r="C84" s="10">
        <v>45644</v>
      </c>
      <c r="D84">
        <f t="shared" si="10"/>
        <v>5</v>
      </c>
      <c r="E84" t="str">
        <f t="shared" si="11"/>
        <v>OK</v>
      </c>
      <c r="F84" t="s">
        <v>509</v>
      </c>
      <c r="G84" t="s">
        <v>22</v>
      </c>
      <c r="H84" t="s">
        <v>23</v>
      </c>
      <c r="I84" t="s">
        <v>62</v>
      </c>
      <c r="J84" t="s">
        <v>189</v>
      </c>
      <c r="K84" t="s">
        <v>190</v>
      </c>
      <c r="L84" t="s">
        <v>73</v>
      </c>
      <c r="M84" t="s">
        <v>170</v>
      </c>
      <c r="N84" t="s">
        <v>510</v>
      </c>
      <c r="O84" t="s">
        <v>30</v>
      </c>
      <c r="P84">
        <v>8</v>
      </c>
      <c r="Q84">
        <v>3372.15</v>
      </c>
      <c r="R84">
        <v>0.15</v>
      </c>
      <c r="S84" t="str">
        <f t="shared" si="12"/>
        <v>OK</v>
      </c>
      <c r="T84">
        <v>22930.62</v>
      </c>
      <c r="U84">
        <v>16875.55</v>
      </c>
      <c r="V84">
        <v>6055.07</v>
      </c>
      <c r="W84" t="s">
        <v>31</v>
      </c>
      <c r="X84" t="s">
        <v>32</v>
      </c>
      <c r="Y84" t="str">
        <f>IF(COUNTIF($A$2:$A$901,A84)&gt;1,
  IF(COUNTIF($A$2:A84,A84)=1,
    " ORIGINAL",
    "CONFLICTING DUPLICATE - REVIEW"),
"OK")</f>
        <v>OK</v>
      </c>
      <c r="Z84">
        <f t="shared" si="13"/>
        <v>0.15</v>
      </c>
      <c r="AA84">
        <f t="shared" si="14"/>
        <v>22930.62</v>
      </c>
      <c r="AB84">
        <f t="shared" si="15"/>
        <v>6055.07</v>
      </c>
      <c r="AC84">
        <f t="shared" si="16"/>
        <v>0.2641</v>
      </c>
      <c r="AD84">
        <f t="shared" si="17"/>
        <v>12</v>
      </c>
      <c r="AE84">
        <f t="shared" si="18"/>
        <v>2024</v>
      </c>
      <c r="AF84" t="str">
        <f t="shared" si="19"/>
        <v>CLEAN</v>
      </c>
    </row>
    <row r="85" spans="1:32">
      <c r="A85" t="s">
        <v>523</v>
      </c>
      <c r="B85" s="10">
        <v>45311</v>
      </c>
      <c r="C85" s="10">
        <v>45317</v>
      </c>
      <c r="D85">
        <f t="shared" si="10"/>
        <v>6</v>
      </c>
      <c r="E85" t="str">
        <f t="shared" si="11"/>
        <v>OK</v>
      </c>
      <c r="F85" t="s">
        <v>524</v>
      </c>
      <c r="G85" t="s">
        <v>161</v>
      </c>
      <c r="H85" t="s">
        <v>94</v>
      </c>
      <c r="I85" t="s">
        <v>37</v>
      </c>
      <c r="J85" t="s">
        <v>227</v>
      </c>
      <c r="K85" t="s">
        <v>228</v>
      </c>
      <c r="L85" t="s">
        <v>73</v>
      </c>
      <c r="M85" t="s">
        <v>273</v>
      </c>
      <c r="N85" t="s">
        <v>525</v>
      </c>
      <c r="O85" t="s">
        <v>58</v>
      </c>
      <c r="P85">
        <v>8</v>
      </c>
      <c r="Q85">
        <v>4003.05</v>
      </c>
      <c r="R85">
        <v>0.25</v>
      </c>
      <c r="S85" t="str">
        <f t="shared" si="12"/>
        <v>OK</v>
      </c>
      <c r="T85">
        <v>24018.3</v>
      </c>
      <c r="U85">
        <v>14070.78</v>
      </c>
      <c r="V85">
        <v>9947.52</v>
      </c>
      <c r="W85" t="s">
        <v>31</v>
      </c>
      <c r="X85" t="s">
        <v>32</v>
      </c>
      <c r="Y85" t="str">
        <f>IF(COUNTIF($A$2:$A$901,A85)&gt;1,
  IF(COUNTIF($A$2:A85,A85)=1,
    " ORIGINAL",
    "CONFLICTING DUPLICATE - REVIEW"),
"OK")</f>
        <v>OK</v>
      </c>
      <c r="Z85">
        <f t="shared" si="13"/>
        <v>0.25</v>
      </c>
      <c r="AA85">
        <f t="shared" si="14"/>
        <v>24018.3</v>
      </c>
      <c r="AB85">
        <f t="shared" si="15"/>
        <v>9947.52</v>
      </c>
      <c r="AC85">
        <f t="shared" si="16"/>
        <v>0.41420000000000001</v>
      </c>
      <c r="AD85">
        <f t="shared" si="17"/>
        <v>1</v>
      </c>
      <c r="AE85">
        <f t="shared" si="18"/>
        <v>2024</v>
      </c>
      <c r="AF85" t="str">
        <f t="shared" si="19"/>
        <v>CLEAN</v>
      </c>
    </row>
    <row r="86" spans="1:32">
      <c r="A86" t="s">
        <v>529</v>
      </c>
      <c r="B86" s="10">
        <v>45443</v>
      </c>
      <c r="C86" s="10">
        <v>45444</v>
      </c>
      <c r="D86">
        <f t="shared" si="10"/>
        <v>1</v>
      </c>
      <c r="E86" t="str">
        <f t="shared" si="11"/>
        <v>OK</v>
      </c>
      <c r="F86" t="s">
        <v>530</v>
      </c>
      <c r="G86" t="s">
        <v>35</v>
      </c>
      <c r="H86" t="s">
        <v>89</v>
      </c>
      <c r="I86" t="s">
        <v>53</v>
      </c>
      <c r="J86" t="s">
        <v>174</v>
      </c>
      <c r="K86" t="s">
        <v>175</v>
      </c>
      <c r="L86" t="s">
        <v>40</v>
      </c>
      <c r="M86" t="s">
        <v>157</v>
      </c>
      <c r="N86" t="s">
        <v>531</v>
      </c>
      <c r="O86" t="s">
        <v>43</v>
      </c>
      <c r="P86">
        <v>3</v>
      </c>
      <c r="Q86">
        <v>2914.55</v>
      </c>
      <c r="R86">
        <v>0</v>
      </c>
      <c r="S86" t="str">
        <f t="shared" si="12"/>
        <v>OK</v>
      </c>
      <c r="T86">
        <v>8743.65</v>
      </c>
      <c r="U86">
        <v>6603.76</v>
      </c>
      <c r="V86">
        <v>2139.89</v>
      </c>
      <c r="W86" t="s">
        <v>31</v>
      </c>
      <c r="X86" t="s">
        <v>32</v>
      </c>
      <c r="Y86" t="str">
        <f>IF(COUNTIF($A$2:$A$901,A86)&gt;1,
  IF(COUNTIF($A$2:A86,A86)=1,
    " ORIGINAL",
    "CONFLICTING DUPLICATE - REVIEW"),
"OK")</f>
        <v>OK</v>
      </c>
      <c r="Z86">
        <f t="shared" si="13"/>
        <v>0</v>
      </c>
      <c r="AA86">
        <f t="shared" si="14"/>
        <v>8743.65</v>
      </c>
      <c r="AB86">
        <f t="shared" si="15"/>
        <v>2139.89</v>
      </c>
      <c r="AC86">
        <f t="shared" si="16"/>
        <v>0.2447</v>
      </c>
      <c r="AD86">
        <f t="shared" si="17"/>
        <v>5</v>
      </c>
      <c r="AE86">
        <f t="shared" si="18"/>
        <v>2024</v>
      </c>
      <c r="AF86" t="str">
        <f t="shared" si="19"/>
        <v>CLEAN</v>
      </c>
    </row>
    <row r="87" spans="1:32">
      <c r="A87" t="s">
        <v>532</v>
      </c>
      <c r="B87" s="10">
        <v>45374</v>
      </c>
      <c r="C87" s="10">
        <v>45380</v>
      </c>
      <c r="D87">
        <f t="shared" si="10"/>
        <v>6</v>
      </c>
      <c r="E87" t="str">
        <f t="shared" si="11"/>
        <v>OK</v>
      </c>
      <c r="F87" t="s">
        <v>533</v>
      </c>
      <c r="G87" t="s">
        <v>113</v>
      </c>
      <c r="H87" t="s">
        <v>89</v>
      </c>
      <c r="I87" t="s">
        <v>24</v>
      </c>
      <c r="J87" t="s">
        <v>349</v>
      </c>
      <c r="K87" t="s">
        <v>350</v>
      </c>
      <c r="L87" t="s">
        <v>40</v>
      </c>
      <c r="M87" t="s">
        <v>157</v>
      </c>
      <c r="N87" t="s">
        <v>534</v>
      </c>
      <c r="O87" t="s">
        <v>43</v>
      </c>
      <c r="P87">
        <v>7</v>
      </c>
      <c r="Q87">
        <v>634.29</v>
      </c>
      <c r="R87">
        <v>0.1</v>
      </c>
      <c r="S87" t="str">
        <f t="shared" si="12"/>
        <v>OK</v>
      </c>
      <c r="T87">
        <v>3996.03</v>
      </c>
      <c r="U87">
        <v>2859.51</v>
      </c>
      <c r="V87">
        <v>1136.52</v>
      </c>
      <c r="W87" t="s">
        <v>31</v>
      </c>
      <c r="X87" t="s">
        <v>102</v>
      </c>
      <c r="Y87" t="str">
        <f>IF(COUNTIF($A$2:$A$901,A87)&gt;1,
  IF(COUNTIF($A$2:A87,A87)=1,
    " ORIGINAL",
    "CONFLICTING DUPLICATE - REVIEW"),
"OK")</f>
        <v>OK</v>
      </c>
      <c r="Z87">
        <f t="shared" si="13"/>
        <v>0.1</v>
      </c>
      <c r="AA87">
        <f t="shared" si="14"/>
        <v>3996.03</v>
      </c>
      <c r="AB87">
        <f t="shared" si="15"/>
        <v>1136.52</v>
      </c>
      <c r="AC87">
        <f t="shared" si="16"/>
        <v>0.28439999999999999</v>
      </c>
      <c r="AD87">
        <f t="shared" si="17"/>
        <v>3</v>
      </c>
      <c r="AE87">
        <f t="shared" si="18"/>
        <v>2024</v>
      </c>
      <c r="AF87" t="str">
        <f t="shared" si="19"/>
        <v>CLEAN</v>
      </c>
    </row>
    <row r="88" spans="1:32">
      <c r="A88" t="s">
        <v>535</v>
      </c>
      <c r="B88" s="10">
        <v>45381</v>
      </c>
      <c r="C88" s="10">
        <v>45377</v>
      </c>
      <c r="D88">
        <f t="shared" si="10"/>
        <v>-4</v>
      </c>
      <c r="E88" t="str">
        <f t="shared" si="11"/>
        <v>INVALID</v>
      </c>
      <c r="F88" t="s">
        <v>536</v>
      </c>
      <c r="G88" t="s">
        <v>88</v>
      </c>
      <c r="H88" t="s">
        <v>94</v>
      </c>
      <c r="I88" t="s">
        <v>24</v>
      </c>
      <c r="J88" t="s">
        <v>25</v>
      </c>
      <c r="K88" t="s">
        <v>26</v>
      </c>
      <c r="L88" t="s">
        <v>73</v>
      </c>
      <c r="M88" t="s">
        <v>170</v>
      </c>
      <c r="N88" t="s">
        <v>537</v>
      </c>
      <c r="O88" t="s">
        <v>30</v>
      </c>
      <c r="P88">
        <v>5</v>
      </c>
      <c r="Q88">
        <v>907.54</v>
      </c>
      <c r="R88">
        <v>0.15</v>
      </c>
      <c r="S88" t="str">
        <f t="shared" si="12"/>
        <v>OK</v>
      </c>
      <c r="T88">
        <v>3857.04</v>
      </c>
      <c r="U88">
        <v>2769.26</v>
      </c>
      <c r="V88">
        <v>1087.78</v>
      </c>
      <c r="W88" t="s">
        <v>31</v>
      </c>
      <c r="X88" t="s">
        <v>32</v>
      </c>
      <c r="Y88" t="str">
        <f>IF(COUNTIF($A$2:$A$901,A88)&gt;1,
  IF(COUNTIF($A$2:A88,A88)=1,
    " ORIGINAL",
    "CONFLICTING DUPLICATE - REVIEW"),
"OK")</f>
        <v xml:space="preserve"> ORIGINAL</v>
      </c>
      <c r="Z88">
        <f t="shared" si="13"/>
        <v>0.15</v>
      </c>
      <c r="AA88">
        <f t="shared" si="14"/>
        <v>3857.05</v>
      </c>
      <c r="AB88">
        <f t="shared" si="15"/>
        <v>1087.79</v>
      </c>
      <c r="AC88">
        <f t="shared" si="16"/>
        <v>0.28199999999999997</v>
      </c>
      <c r="AD88">
        <f t="shared" si="17"/>
        <v>3</v>
      </c>
      <c r="AE88">
        <f t="shared" si="18"/>
        <v>2024</v>
      </c>
      <c r="AF88" t="str">
        <f t="shared" si="19"/>
        <v>INVALID</v>
      </c>
    </row>
    <row r="89" spans="1:32">
      <c r="A89" t="s">
        <v>535</v>
      </c>
      <c r="B89" s="10">
        <v>45381</v>
      </c>
      <c r="C89" s="10">
        <v>45377</v>
      </c>
      <c r="D89">
        <f t="shared" si="10"/>
        <v>-4</v>
      </c>
      <c r="E89" t="str">
        <f t="shared" si="11"/>
        <v>INVALID</v>
      </c>
      <c r="F89" t="s">
        <v>536</v>
      </c>
      <c r="G89" t="s">
        <v>88</v>
      </c>
      <c r="H89" t="s">
        <v>94</v>
      </c>
      <c r="I89" t="s">
        <v>24</v>
      </c>
      <c r="J89" t="s">
        <v>25</v>
      </c>
      <c r="K89" t="s">
        <v>26</v>
      </c>
      <c r="L89" t="s">
        <v>73</v>
      </c>
      <c r="M89" t="s">
        <v>170</v>
      </c>
      <c r="N89" t="s">
        <v>537</v>
      </c>
      <c r="O89" t="s">
        <v>30</v>
      </c>
      <c r="P89">
        <v>5</v>
      </c>
      <c r="Q89">
        <v>907.54</v>
      </c>
      <c r="R89">
        <v>0.15</v>
      </c>
      <c r="S89" t="str">
        <f t="shared" si="12"/>
        <v>OK</v>
      </c>
      <c r="T89">
        <v>4099.6899999999996</v>
      </c>
      <c r="U89">
        <v>2769.26</v>
      </c>
      <c r="V89">
        <v>1087.78</v>
      </c>
      <c r="W89" t="s">
        <v>31</v>
      </c>
      <c r="X89" t="s">
        <v>102</v>
      </c>
      <c r="Y89" t="str">
        <f>IF(COUNTIF($A$2:$A$901,A89)&gt;1,
  IF(COUNTIF($A$2:A89,A89)=1,
    " ORIGINAL",
    "CONFLICTING DUPLICATE - REVIEW"),
"OK")</f>
        <v>CONFLICTING DUPLICATE - REVIEW</v>
      </c>
      <c r="Z89">
        <f t="shared" si="13"/>
        <v>0.15</v>
      </c>
      <c r="AA89">
        <f t="shared" si="14"/>
        <v>3857.05</v>
      </c>
      <c r="AB89">
        <f t="shared" si="15"/>
        <v>1087.79</v>
      </c>
      <c r="AC89">
        <f t="shared" si="16"/>
        <v>0.28199999999999997</v>
      </c>
      <c r="AD89">
        <f t="shared" si="17"/>
        <v>3</v>
      </c>
      <c r="AE89">
        <f t="shared" si="18"/>
        <v>2024</v>
      </c>
      <c r="AF89" t="str">
        <f t="shared" si="19"/>
        <v>INVALID</v>
      </c>
    </row>
    <row r="90" spans="1:32">
      <c r="A90" t="s">
        <v>538</v>
      </c>
      <c r="B90" s="10">
        <v>45375</v>
      </c>
      <c r="C90" s="10">
        <v>45377</v>
      </c>
      <c r="D90">
        <f t="shared" si="10"/>
        <v>2</v>
      </c>
      <c r="E90" t="str">
        <f t="shared" si="11"/>
        <v>OK</v>
      </c>
      <c r="F90" t="s">
        <v>539</v>
      </c>
      <c r="G90" t="s">
        <v>113</v>
      </c>
      <c r="H90" t="s">
        <v>23</v>
      </c>
      <c r="I90" t="s">
        <v>62</v>
      </c>
      <c r="J90" t="s">
        <v>179</v>
      </c>
      <c r="K90" t="s">
        <v>180</v>
      </c>
      <c r="L90" t="s">
        <v>27</v>
      </c>
      <c r="M90" t="s">
        <v>28</v>
      </c>
      <c r="N90" t="s">
        <v>540</v>
      </c>
      <c r="O90" t="s">
        <v>30</v>
      </c>
      <c r="P90">
        <v>1</v>
      </c>
      <c r="Q90">
        <v>3409.5</v>
      </c>
      <c r="R90">
        <v>0.1</v>
      </c>
      <c r="S90" t="str">
        <f t="shared" si="12"/>
        <v>OK</v>
      </c>
      <c r="T90">
        <v>3068.55</v>
      </c>
      <c r="U90">
        <v>1916.16</v>
      </c>
      <c r="V90">
        <v>1152.3900000000001</v>
      </c>
      <c r="W90" t="s">
        <v>31</v>
      </c>
      <c r="X90" t="s">
        <v>102</v>
      </c>
      <c r="Y90" t="str">
        <f>IF(COUNTIF($A$2:$A$901,A90)&gt;1,
  IF(COUNTIF($A$2:A90,A90)=1,
    " ORIGINAL",
    "CONFLICTING DUPLICATE - REVIEW"),
"OK")</f>
        <v>OK</v>
      </c>
      <c r="Z90">
        <f t="shared" si="13"/>
        <v>0.1</v>
      </c>
      <c r="AA90">
        <f t="shared" si="14"/>
        <v>3068.55</v>
      </c>
      <c r="AB90">
        <f t="shared" si="15"/>
        <v>1152.3900000000001</v>
      </c>
      <c r="AC90">
        <f t="shared" si="16"/>
        <v>0.3755</v>
      </c>
      <c r="AD90">
        <f t="shared" si="17"/>
        <v>3</v>
      </c>
      <c r="AE90">
        <f t="shared" si="18"/>
        <v>2024</v>
      </c>
      <c r="AF90" t="str">
        <f t="shared" si="19"/>
        <v>CLEAN</v>
      </c>
    </row>
    <row r="91" spans="1:32">
      <c r="A91" t="s">
        <v>541</v>
      </c>
      <c r="B91" s="10">
        <v>45479</v>
      </c>
      <c r="C91" s="10">
        <v>45458</v>
      </c>
      <c r="D91">
        <f t="shared" si="10"/>
        <v>-21</v>
      </c>
      <c r="E91" t="str">
        <f t="shared" si="11"/>
        <v>INVALID</v>
      </c>
      <c r="F91" t="s">
        <v>542</v>
      </c>
      <c r="G91" t="s">
        <v>263</v>
      </c>
      <c r="H91" t="s">
        <v>36</v>
      </c>
      <c r="I91" t="s">
        <v>53</v>
      </c>
      <c r="J91" t="s">
        <v>54</v>
      </c>
      <c r="K91" t="s">
        <v>55</v>
      </c>
      <c r="L91" t="s">
        <v>73</v>
      </c>
      <c r="M91" t="s">
        <v>74</v>
      </c>
      <c r="N91" t="s">
        <v>543</v>
      </c>
      <c r="O91" t="s">
        <v>49</v>
      </c>
      <c r="P91">
        <v>7</v>
      </c>
      <c r="Q91">
        <v>2147.9899999999998</v>
      </c>
      <c r="R91">
        <v>0.25</v>
      </c>
      <c r="S91" t="str">
        <f t="shared" si="12"/>
        <v>OK</v>
      </c>
      <c r="T91">
        <v>11276.95</v>
      </c>
      <c r="U91">
        <v>6908.76</v>
      </c>
      <c r="V91">
        <v>4368.1899999999996</v>
      </c>
      <c r="W91" t="s">
        <v>101</v>
      </c>
      <c r="X91" t="s">
        <v>102</v>
      </c>
      <c r="Y91" t="str">
        <f>IF(COUNTIF($A$2:$A$901,A91)&gt;1,
  IF(COUNTIF($A$2:A91,A91)=1,
    " ORIGINAL",
    "CONFLICTING DUPLICATE - REVIEW"),
"OK")</f>
        <v>OK</v>
      </c>
      <c r="Z91">
        <f t="shared" si="13"/>
        <v>0.25</v>
      </c>
      <c r="AA91">
        <f t="shared" si="14"/>
        <v>11276.95</v>
      </c>
      <c r="AB91">
        <f t="shared" si="15"/>
        <v>4368.1899999999996</v>
      </c>
      <c r="AC91">
        <f t="shared" si="16"/>
        <v>0.38740000000000002</v>
      </c>
      <c r="AD91">
        <f t="shared" si="17"/>
        <v>7</v>
      </c>
      <c r="AE91">
        <f t="shared" si="18"/>
        <v>2024</v>
      </c>
      <c r="AF91" t="str">
        <f t="shared" si="19"/>
        <v>INVALID</v>
      </c>
    </row>
    <row r="92" spans="1:32">
      <c r="A92" t="s">
        <v>550</v>
      </c>
      <c r="B92" s="10">
        <v>45649</v>
      </c>
      <c r="C92" s="10">
        <v>45656</v>
      </c>
      <c r="D92">
        <f t="shared" si="10"/>
        <v>7</v>
      </c>
      <c r="E92" t="str">
        <f t="shared" si="11"/>
        <v>OK</v>
      </c>
      <c r="F92" t="s">
        <v>551</v>
      </c>
      <c r="G92" t="s">
        <v>113</v>
      </c>
      <c r="H92" t="s">
        <v>94</v>
      </c>
      <c r="I92" t="s">
        <v>62</v>
      </c>
      <c r="J92" t="s">
        <v>189</v>
      </c>
      <c r="K92" t="s">
        <v>190</v>
      </c>
      <c r="L92" t="s">
        <v>40</v>
      </c>
      <c r="M92" t="s">
        <v>56</v>
      </c>
      <c r="N92" t="s">
        <v>552</v>
      </c>
      <c r="O92" t="s">
        <v>49</v>
      </c>
      <c r="P92">
        <v>8</v>
      </c>
      <c r="Q92">
        <v>386.1</v>
      </c>
      <c r="R92">
        <v>0.1</v>
      </c>
      <c r="S92" t="str">
        <f t="shared" si="12"/>
        <v>OK</v>
      </c>
      <c r="T92">
        <v>2779.92</v>
      </c>
      <c r="U92">
        <v>1744.05</v>
      </c>
      <c r="V92">
        <v>1035.8699999999999</v>
      </c>
      <c r="W92" t="s">
        <v>31</v>
      </c>
      <c r="X92" t="s">
        <v>32</v>
      </c>
      <c r="Y92" t="str">
        <f>IF(COUNTIF($A$2:$A$901,A92)&gt;1,
  IF(COUNTIF($A$2:A92,A92)=1,
    " ORIGINAL",
    "CONFLICTING DUPLICATE - REVIEW"),
"OK")</f>
        <v>OK</v>
      </c>
      <c r="Z92">
        <f t="shared" si="13"/>
        <v>0.1</v>
      </c>
      <c r="AA92">
        <f t="shared" si="14"/>
        <v>2779.92</v>
      </c>
      <c r="AB92">
        <f t="shared" si="15"/>
        <v>1035.8699999999999</v>
      </c>
      <c r="AC92">
        <f t="shared" si="16"/>
        <v>0.37259999999999999</v>
      </c>
      <c r="AD92">
        <f t="shared" si="17"/>
        <v>12</v>
      </c>
      <c r="AE92">
        <f t="shared" si="18"/>
        <v>2024</v>
      </c>
      <c r="AF92" t="str">
        <f t="shared" si="19"/>
        <v>CLEAN</v>
      </c>
    </row>
    <row r="93" spans="1:32">
      <c r="A93" t="s">
        <v>556</v>
      </c>
      <c r="B93" s="10">
        <v>45321</v>
      </c>
      <c r="C93" s="10">
        <v>45321</v>
      </c>
      <c r="D93">
        <f t="shared" si="10"/>
        <v>0</v>
      </c>
      <c r="E93" t="str">
        <f t="shared" si="11"/>
        <v>OK</v>
      </c>
      <c r="F93" t="s">
        <v>557</v>
      </c>
      <c r="G93" t="s">
        <v>127</v>
      </c>
      <c r="H93" t="s">
        <v>36</v>
      </c>
      <c r="I93" t="s">
        <v>62</v>
      </c>
      <c r="J93" t="s">
        <v>25</v>
      </c>
      <c r="K93" t="s">
        <v>108</v>
      </c>
      <c r="L93" t="s">
        <v>73</v>
      </c>
      <c r="M93" t="s">
        <v>79</v>
      </c>
      <c r="N93" t="s">
        <v>558</v>
      </c>
      <c r="O93" t="s">
        <v>43</v>
      </c>
      <c r="P93">
        <v>7</v>
      </c>
      <c r="Q93">
        <v>2527.61</v>
      </c>
      <c r="R93">
        <v>0.25</v>
      </c>
      <c r="S93" t="str">
        <f t="shared" si="12"/>
        <v>OK</v>
      </c>
      <c r="T93">
        <v>13269.95</v>
      </c>
      <c r="U93">
        <v>8977.1</v>
      </c>
      <c r="V93">
        <v>4292.8500000000004</v>
      </c>
      <c r="W93" t="s">
        <v>31</v>
      </c>
      <c r="X93" t="s">
        <v>32</v>
      </c>
      <c r="Y93" t="str">
        <f>IF(COUNTIF($A$2:$A$901,A93)&gt;1,
  IF(COUNTIF($A$2:A93,A93)=1,
    " ORIGINAL",
    "CONFLICTING DUPLICATE - REVIEW"),
"OK")</f>
        <v>OK</v>
      </c>
      <c r="Z93">
        <f t="shared" si="13"/>
        <v>0.25</v>
      </c>
      <c r="AA93">
        <f t="shared" si="14"/>
        <v>13269.95</v>
      </c>
      <c r="AB93">
        <f t="shared" si="15"/>
        <v>4292.8500000000004</v>
      </c>
      <c r="AC93">
        <f t="shared" si="16"/>
        <v>0.32350000000000001</v>
      </c>
      <c r="AD93">
        <f t="shared" si="17"/>
        <v>1</v>
      </c>
      <c r="AE93">
        <f t="shared" si="18"/>
        <v>2024</v>
      </c>
      <c r="AF93" t="str">
        <f t="shared" si="19"/>
        <v>CLEAN</v>
      </c>
    </row>
    <row r="94" spans="1:32">
      <c r="A94" t="s">
        <v>559</v>
      </c>
      <c r="B94" s="10">
        <v>45385</v>
      </c>
      <c r="C94" s="10">
        <v>45363</v>
      </c>
      <c r="D94">
        <f t="shared" si="10"/>
        <v>-22</v>
      </c>
      <c r="E94" t="str">
        <f t="shared" si="11"/>
        <v>INVALID</v>
      </c>
      <c r="F94" t="s">
        <v>560</v>
      </c>
      <c r="G94" t="s">
        <v>52</v>
      </c>
      <c r="H94" t="s">
        <v>23</v>
      </c>
      <c r="I94" t="s">
        <v>2762</v>
      </c>
      <c r="J94" t="s">
        <v>179</v>
      </c>
      <c r="K94" t="s">
        <v>180</v>
      </c>
      <c r="L94" t="s">
        <v>40</v>
      </c>
      <c r="M94" t="s">
        <v>157</v>
      </c>
      <c r="N94" t="s">
        <v>561</v>
      </c>
      <c r="O94" t="s">
        <v>49</v>
      </c>
      <c r="P94">
        <v>1</v>
      </c>
      <c r="Q94">
        <v>1554.12</v>
      </c>
      <c r="R94">
        <v>0.1</v>
      </c>
      <c r="S94" t="str">
        <f t="shared" si="12"/>
        <v>OK</v>
      </c>
      <c r="T94">
        <v>1398.71</v>
      </c>
      <c r="U94">
        <v>1056.92</v>
      </c>
      <c r="V94">
        <v>341.79</v>
      </c>
      <c r="W94" t="s">
        <v>31</v>
      </c>
      <c r="X94" t="s">
        <v>32</v>
      </c>
      <c r="Y94" t="str">
        <f>IF(COUNTIF($A$2:$A$901,A94)&gt;1,
  IF(COUNTIF($A$2:A94,A94)=1,
    " ORIGINAL",
    "CONFLICTING DUPLICATE - REVIEW"),
"OK")</f>
        <v>OK</v>
      </c>
      <c r="Z94">
        <f t="shared" si="13"/>
        <v>0.1</v>
      </c>
      <c r="AA94">
        <f t="shared" si="14"/>
        <v>1398.71</v>
      </c>
      <c r="AB94">
        <f t="shared" si="15"/>
        <v>341.79</v>
      </c>
      <c r="AC94">
        <f t="shared" si="16"/>
        <v>0.24440000000000001</v>
      </c>
      <c r="AD94">
        <f t="shared" si="17"/>
        <v>4</v>
      </c>
      <c r="AE94">
        <f t="shared" si="18"/>
        <v>2024</v>
      </c>
      <c r="AF94" t="str">
        <f t="shared" si="19"/>
        <v>INVALID</v>
      </c>
    </row>
    <row r="95" spans="1:32">
      <c r="A95" t="s">
        <v>562</v>
      </c>
      <c r="B95" s="10">
        <v>45470</v>
      </c>
      <c r="C95" s="10">
        <v>45470</v>
      </c>
      <c r="D95">
        <f t="shared" si="10"/>
        <v>0</v>
      </c>
      <c r="E95" t="str">
        <f t="shared" si="11"/>
        <v>OK</v>
      </c>
      <c r="F95" t="s">
        <v>563</v>
      </c>
      <c r="G95" t="s">
        <v>78</v>
      </c>
      <c r="H95" t="s">
        <v>94</v>
      </c>
      <c r="I95" t="s">
        <v>2762</v>
      </c>
      <c r="J95" t="s">
        <v>71</v>
      </c>
      <c r="K95" t="s">
        <v>72</v>
      </c>
      <c r="L95" t="s">
        <v>73</v>
      </c>
      <c r="M95" t="s">
        <v>79</v>
      </c>
      <c r="N95" t="s">
        <v>564</v>
      </c>
      <c r="O95" t="s">
        <v>58</v>
      </c>
      <c r="P95">
        <v>2</v>
      </c>
      <c r="Q95">
        <v>3859.11</v>
      </c>
      <c r="R95">
        <v>0</v>
      </c>
      <c r="S95" t="str">
        <f t="shared" si="12"/>
        <v>OK</v>
      </c>
      <c r="T95">
        <v>7718.22</v>
      </c>
      <c r="U95">
        <v>5355.93</v>
      </c>
      <c r="V95">
        <v>2362.29</v>
      </c>
      <c r="W95" t="s">
        <v>110</v>
      </c>
      <c r="X95" t="s">
        <v>102</v>
      </c>
      <c r="Y95" t="str">
        <f>IF(COUNTIF($A$2:$A$901,A95)&gt;1,
  IF(COUNTIF($A$2:A95,A95)=1,
    " ORIGINAL",
    "CONFLICTING DUPLICATE - REVIEW"),
"OK")</f>
        <v>OK</v>
      </c>
      <c r="Z95">
        <f t="shared" si="13"/>
        <v>0</v>
      </c>
      <c r="AA95">
        <f t="shared" si="14"/>
        <v>7718.22</v>
      </c>
      <c r="AB95">
        <f t="shared" si="15"/>
        <v>2362.29</v>
      </c>
      <c r="AC95">
        <f t="shared" si="16"/>
        <v>0.30609999999999998</v>
      </c>
      <c r="AD95">
        <f t="shared" si="17"/>
        <v>6</v>
      </c>
      <c r="AE95">
        <f t="shared" si="18"/>
        <v>2024</v>
      </c>
      <c r="AF95" t="str">
        <f t="shared" si="19"/>
        <v>WARNING</v>
      </c>
    </row>
    <row r="96" spans="1:32">
      <c r="A96" t="s">
        <v>565</v>
      </c>
      <c r="B96" s="10">
        <v>45457</v>
      </c>
      <c r="C96" s="10">
        <v>45460</v>
      </c>
      <c r="D96">
        <f t="shared" si="10"/>
        <v>3</v>
      </c>
      <c r="E96" t="str">
        <f t="shared" si="11"/>
        <v>OK</v>
      </c>
      <c r="F96" t="s">
        <v>566</v>
      </c>
      <c r="G96" t="s">
        <v>263</v>
      </c>
      <c r="H96" t="s">
        <v>36</v>
      </c>
      <c r="I96" t="s">
        <v>53</v>
      </c>
      <c r="J96" t="s">
        <v>184</v>
      </c>
      <c r="K96" t="s">
        <v>185</v>
      </c>
      <c r="L96" t="s">
        <v>40</v>
      </c>
      <c r="M96" t="s">
        <v>41</v>
      </c>
      <c r="N96" t="s">
        <v>567</v>
      </c>
      <c r="O96" t="s">
        <v>30</v>
      </c>
      <c r="P96">
        <v>6</v>
      </c>
      <c r="Q96">
        <v>1088.04</v>
      </c>
      <c r="R96">
        <v>0.1</v>
      </c>
      <c r="S96" t="str">
        <f t="shared" si="12"/>
        <v>OK</v>
      </c>
      <c r="T96">
        <v>5875.42</v>
      </c>
      <c r="U96">
        <v>4380.55</v>
      </c>
      <c r="V96">
        <v>1494.87</v>
      </c>
      <c r="W96" t="s">
        <v>110</v>
      </c>
      <c r="X96" t="s">
        <v>102</v>
      </c>
      <c r="Y96" t="str">
        <f>IF(COUNTIF($A$2:$A$901,A96)&gt;1,
  IF(COUNTIF($A$2:A96,A96)=1,
    " ORIGINAL",
    "CONFLICTING DUPLICATE - REVIEW"),
"OK")</f>
        <v>OK</v>
      </c>
      <c r="Z96">
        <f t="shared" si="13"/>
        <v>0.1</v>
      </c>
      <c r="AA96">
        <f t="shared" si="14"/>
        <v>5875.42</v>
      </c>
      <c r="AB96">
        <f t="shared" si="15"/>
        <v>1494.87</v>
      </c>
      <c r="AC96">
        <f t="shared" si="16"/>
        <v>0.25440000000000002</v>
      </c>
      <c r="AD96">
        <f t="shared" si="17"/>
        <v>6</v>
      </c>
      <c r="AE96">
        <f t="shared" si="18"/>
        <v>2024</v>
      </c>
      <c r="AF96" t="str">
        <f t="shared" si="19"/>
        <v>CLEAN</v>
      </c>
    </row>
    <row r="97" spans="1:32">
      <c r="A97" t="s">
        <v>571</v>
      </c>
      <c r="B97" s="10">
        <v>45334</v>
      </c>
      <c r="C97" s="10">
        <v>45333</v>
      </c>
      <c r="D97">
        <f t="shared" si="10"/>
        <v>-1</v>
      </c>
      <c r="E97" t="str">
        <f t="shared" si="11"/>
        <v>INVALID</v>
      </c>
      <c r="F97" t="s">
        <v>454</v>
      </c>
      <c r="G97" t="s">
        <v>113</v>
      </c>
      <c r="H97" t="s">
        <v>23</v>
      </c>
      <c r="I97" t="s">
        <v>53</v>
      </c>
      <c r="J97" t="s">
        <v>246</v>
      </c>
      <c r="K97" t="s">
        <v>247</v>
      </c>
      <c r="L97" t="s">
        <v>40</v>
      </c>
      <c r="M97" t="s">
        <v>157</v>
      </c>
      <c r="N97" t="s">
        <v>572</v>
      </c>
      <c r="O97" t="s">
        <v>43</v>
      </c>
      <c r="P97">
        <v>1</v>
      </c>
      <c r="Q97">
        <v>2599.12</v>
      </c>
      <c r="R97">
        <v>0.15</v>
      </c>
      <c r="S97" t="str">
        <f t="shared" si="12"/>
        <v>OK</v>
      </c>
      <c r="T97">
        <v>2209.25</v>
      </c>
      <c r="U97">
        <v>1523.78</v>
      </c>
      <c r="V97">
        <v>685.47</v>
      </c>
      <c r="W97" t="s">
        <v>31</v>
      </c>
      <c r="X97" t="s">
        <v>32</v>
      </c>
      <c r="Y97" t="str">
        <f>IF(COUNTIF($A$2:$A$901,A97)&gt;1,
  IF(COUNTIF($A$2:A97,A97)=1,
    " ORIGINAL",
    "CONFLICTING DUPLICATE - REVIEW"),
"OK")</f>
        <v>OK</v>
      </c>
      <c r="Z97">
        <f t="shared" si="13"/>
        <v>0.15</v>
      </c>
      <c r="AA97">
        <f t="shared" si="14"/>
        <v>2209.25</v>
      </c>
      <c r="AB97">
        <f t="shared" si="15"/>
        <v>685.47</v>
      </c>
      <c r="AC97">
        <f t="shared" si="16"/>
        <v>0.31030000000000002</v>
      </c>
      <c r="AD97">
        <f t="shared" si="17"/>
        <v>2</v>
      </c>
      <c r="AE97">
        <f t="shared" si="18"/>
        <v>2024</v>
      </c>
      <c r="AF97" t="str">
        <f t="shared" si="19"/>
        <v>INVALID</v>
      </c>
    </row>
    <row r="98" spans="1:32">
      <c r="A98" t="s">
        <v>579</v>
      </c>
      <c r="B98" s="10">
        <v>45587</v>
      </c>
      <c r="C98" s="10">
        <v>45589</v>
      </c>
      <c r="D98">
        <f t="shared" si="10"/>
        <v>2</v>
      </c>
      <c r="E98" t="str">
        <f t="shared" si="11"/>
        <v>OK</v>
      </c>
      <c r="F98" t="s">
        <v>580</v>
      </c>
      <c r="G98" t="s">
        <v>140</v>
      </c>
      <c r="H98" t="s">
        <v>36</v>
      </c>
      <c r="I98" t="s">
        <v>53</v>
      </c>
      <c r="J98" t="s">
        <v>83</v>
      </c>
      <c r="K98" t="s">
        <v>84</v>
      </c>
      <c r="L98" t="s">
        <v>40</v>
      </c>
      <c r="M98" t="s">
        <v>157</v>
      </c>
      <c r="N98" t="s">
        <v>581</v>
      </c>
      <c r="O98" t="s">
        <v>58</v>
      </c>
      <c r="P98">
        <v>3</v>
      </c>
      <c r="Q98">
        <v>915.84</v>
      </c>
      <c r="R98">
        <v>0.15</v>
      </c>
      <c r="S98" t="str">
        <f t="shared" si="12"/>
        <v>OK</v>
      </c>
      <c r="T98">
        <v>2335.39</v>
      </c>
      <c r="U98">
        <v>1466.15</v>
      </c>
      <c r="V98">
        <v>869.24</v>
      </c>
      <c r="W98" t="s">
        <v>31</v>
      </c>
      <c r="X98" t="s">
        <v>32</v>
      </c>
      <c r="Y98" t="str">
        <f>IF(COUNTIF($A$2:$A$901,A98)&gt;1,
  IF(COUNTIF($A$2:A98,A98)=1,
    " ORIGINAL",
    "CONFLICTING DUPLICATE - REVIEW"),
"OK")</f>
        <v>OK</v>
      </c>
      <c r="Z98">
        <f t="shared" si="13"/>
        <v>0.15</v>
      </c>
      <c r="AA98">
        <f t="shared" si="14"/>
        <v>2335.39</v>
      </c>
      <c r="AB98">
        <f t="shared" si="15"/>
        <v>869.24</v>
      </c>
      <c r="AC98">
        <f t="shared" si="16"/>
        <v>0.37219999999999998</v>
      </c>
      <c r="AD98">
        <f t="shared" si="17"/>
        <v>10</v>
      </c>
      <c r="AE98">
        <f t="shared" si="18"/>
        <v>2024</v>
      </c>
      <c r="AF98" t="str">
        <f t="shared" si="19"/>
        <v>CLEAN</v>
      </c>
    </row>
    <row r="99" spans="1:32">
      <c r="A99" t="s">
        <v>582</v>
      </c>
      <c r="B99" s="10">
        <v>45544</v>
      </c>
      <c r="C99" s="10">
        <v>45546</v>
      </c>
      <c r="D99">
        <f t="shared" si="10"/>
        <v>2</v>
      </c>
      <c r="E99" t="str">
        <f t="shared" si="11"/>
        <v>OK</v>
      </c>
      <c r="F99" t="s">
        <v>583</v>
      </c>
      <c r="G99" t="s">
        <v>78</v>
      </c>
      <c r="H99" t="s">
        <v>94</v>
      </c>
      <c r="I99" t="s">
        <v>53</v>
      </c>
      <c r="J99" t="s">
        <v>54</v>
      </c>
      <c r="K99" t="s">
        <v>55</v>
      </c>
      <c r="L99" t="s">
        <v>40</v>
      </c>
      <c r="M99" t="s">
        <v>157</v>
      </c>
      <c r="N99" t="s">
        <v>584</v>
      </c>
      <c r="O99" t="s">
        <v>49</v>
      </c>
      <c r="P99">
        <v>1</v>
      </c>
      <c r="Q99">
        <v>4199.54</v>
      </c>
      <c r="R99">
        <v>0.05</v>
      </c>
      <c r="S99" t="str">
        <f t="shared" si="12"/>
        <v>OK</v>
      </c>
      <c r="T99">
        <v>3989.56</v>
      </c>
      <c r="U99">
        <v>2381.38</v>
      </c>
      <c r="V99">
        <v>1608.18</v>
      </c>
      <c r="W99" t="s">
        <v>31</v>
      </c>
      <c r="X99" t="s">
        <v>32</v>
      </c>
      <c r="Y99" t="str">
        <f>IF(COUNTIF($A$2:$A$901,A99)&gt;1,
  IF(COUNTIF($A$2:A99,A99)=1,
    " ORIGINAL",
    "CONFLICTING DUPLICATE - REVIEW"),
"OK")</f>
        <v>OK</v>
      </c>
      <c r="Z99">
        <f t="shared" si="13"/>
        <v>0.05</v>
      </c>
      <c r="AA99">
        <f t="shared" si="14"/>
        <v>3989.56</v>
      </c>
      <c r="AB99">
        <f t="shared" si="15"/>
        <v>1608.18</v>
      </c>
      <c r="AC99">
        <f t="shared" si="16"/>
        <v>0.40310000000000001</v>
      </c>
      <c r="AD99">
        <f t="shared" si="17"/>
        <v>9</v>
      </c>
      <c r="AE99">
        <f t="shared" si="18"/>
        <v>2024</v>
      </c>
      <c r="AF99" t="str">
        <f t="shared" si="19"/>
        <v>CLEAN</v>
      </c>
    </row>
    <row r="100" spans="1:32">
      <c r="A100" t="s">
        <v>594</v>
      </c>
      <c r="B100" s="10">
        <v>45360</v>
      </c>
      <c r="C100" s="10">
        <v>45365</v>
      </c>
      <c r="D100">
        <f t="shared" si="10"/>
        <v>5</v>
      </c>
      <c r="E100" t="str">
        <f t="shared" si="11"/>
        <v>OK</v>
      </c>
      <c r="F100" t="s">
        <v>595</v>
      </c>
      <c r="G100" t="s">
        <v>78</v>
      </c>
      <c r="H100" t="s">
        <v>36</v>
      </c>
      <c r="I100" t="s">
        <v>62</v>
      </c>
      <c r="J100" t="s">
        <v>189</v>
      </c>
      <c r="K100" t="s">
        <v>190</v>
      </c>
      <c r="L100" t="s">
        <v>40</v>
      </c>
      <c r="M100" t="s">
        <v>56</v>
      </c>
      <c r="N100" t="s">
        <v>596</v>
      </c>
      <c r="O100" t="s">
        <v>30</v>
      </c>
      <c r="P100">
        <v>8</v>
      </c>
      <c r="Q100">
        <v>4472.84</v>
      </c>
      <c r="R100">
        <v>0</v>
      </c>
      <c r="S100" t="str">
        <f t="shared" si="12"/>
        <v>OK</v>
      </c>
      <c r="T100">
        <v>35997.620000000003</v>
      </c>
      <c r="U100">
        <v>26424.41</v>
      </c>
      <c r="V100">
        <v>9358.31</v>
      </c>
      <c r="W100" t="s">
        <v>110</v>
      </c>
      <c r="X100" t="s">
        <v>102</v>
      </c>
      <c r="Y100" t="str">
        <f>IF(COUNTIF($A$2:$A$901,A100)&gt;1,
  IF(COUNTIF($A$2:A100,A100)=1,
    " ORIGINAL",
    "CONFLICTING DUPLICATE - REVIEW"),
"OK")</f>
        <v>OK</v>
      </c>
      <c r="Z100">
        <f t="shared" si="13"/>
        <v>0</v>
      </c>
      <c r="AA100">
        <f t="shared" si="14"/>
        <v>35782.720000000001</v>
      </c>
      <c r="AB100">
        <f t="shared" si="15"/>
        <v>9358.31</v>
      </c>
      <c r="AC100">
        <f t="shared" si="16"/>
        <v>0.26150000000000001</v>
      </c>
      <c r="AD100">
        <f t="shared" si="17"/>
        <v>3</v>
      </c>
      <c r="AE100">
        <f t="shared" si="18"/>
        <v>2024</v>
      </c>
      <c r="AF100" t="str">
        <f t="shared" si="19"/>
        <v>CLEAN</v>
      </c>
    </row>
    <row r="101" spans="1:32">
      <c r="A101" t="s">
        <v>603</v>
      </c>
      <c r="B101" s="10">
        <v>45618</v>
      </c>
      <c r="C101" s="10">
        <v>45625</v>
      </c>
      <c r="D101">
        <f t="shared" si="10"/>
        <v>7</v>
      </c>
      <c r="E101" t="str">
        <f t="shared" si="11"/>
        <v>OK</v>
      </c>
      <c r="F101" t="s">
        <v>604</v>
      </c>
      <c r="G101" t="s">
        <v>35</v>
      </c>
      <c r="H101" t="s">
        <v>94</v>
      </c>
      <c r="I101" t="s">
        <v>37</v>
      </c>
      <c r="J101" t="s">
        <v>144</v>
      </c>
      <c r="K101" t="s">
        <v>145</v>
      </c>
      <c r="L101" t="s">
        <v>40</v>
      </c>
      <c r="M101" t="s">
        <v>65</v>
      </c>
      <c r="N101" t="s">
        <v>605</v>
      </c>
      <c r="O101" t="s">
        <v>58</v>
      </c>
      <c r="P101">
        <v>4</v>
      </c>
      <c r="Q101">
        <v>3422.99</v>
      </c>
      <c r="R101">
        <v>0.25</v>
      </c>
      <c r="S101" t="str">
        <f t="shared" si="12"/>
        <v>OK</v>
      </c>
      <c r="T101">
        <v>10268.969999999999</v>
      </c>
      <c r="U101">
        <v>6470.92</v>
      </c>
      <c r="V101">
        <v>3798.05</v>
      </c>
      <c r="W101" t="s">
        <v>31</v>
      </c>
      <c r="X101" t="s">
        <v>32</v>
      </c>
      <c r="Y101" t="str">
        <f>IF(COUNTIF($A$2:$A$901,A101)&gt;1,
  IF(COUNTIF($A$2:A101,A101)=1,
    " ORIGINAL",
    "CONFLICTING DUPLICATE - REVIEW"),
"OK")</f>
        <v>OK</v>
      </c>
      <c r="Z101">
        <f t="shared" si="13"/>
        <v>0.25</v>
      </c>
      <c r="AA101">
        <f t="shared" si="14"/>
        <v>10268.969999999999</v>
      </c>
      <c r="AB101">
        <f t="shared" si="15"/>
        <v>3798.05</v>
      </c>
      <c r="AC101">
        <f t="shared" si="16"/>
        <v>0.36990000000000001</v>
      </c>
      <c r="AD101">
        <f t="shared" si="17"/>
        <v>11</v>
      </c>
      <c r="AE101">
        <f t="shared" si="18"/>
        <v>2024</v>
      </c>
      <c r="AF101" t="str">
        <f t="shared" si="19"/>
        <v>CLEAN</v>
      </c>
    </row>
    <row r="102" spans="1:32">
      <c r="A102" t="s">
        <v>627</v>
      </c>
      <c r="B102" s="10">
        <v>45327</v>
      </c>
      <c r="C102" s="10">
        <v>45420</v>
      </c>
      <c r="D102">
        <f t="shared" si="10"/>
        <v>93</v>
      </c>
      <c r="E102" t="str">
        <f t="shared" si="11"/>
        <v>OK</v>
      </c>
      <c r="F102" t="s">
        <v>628</v>
      </c>
      <c r="G102" t="s">
        <v>113</v>
      </c>
      <c r="H102" t="s">
        <v>94</v>
      </c>
      <c r="I102" t="s">
        <v>24</v>
      </c>
      <c r="J102" t="s">
        <v>121</v>
      </c>
      <c r="K102" t="s">
        <v>122</v>
      </c>
      <c r="L102" t="s">
        <v>73</v>
      </c>
      <c r="M102" t="s">
        <v>79</v>
      </c>
      <c r="N102" t="s">
        <v>629</v>
      </c>
      <c r="O102" t="s">
        <v>30</v>
      </c>
      <c r="P102">
        <v>1</v>
      </c>
      <c r="Q102">
        <v>2312.25</v>
      </c>
      <c r="R102">
        <v>0.25</v>
      </c>
      <c r="S102" t="str">
        <f t="shared" si="12"/>
        <v>OK</v>
      </c>
      <c r="T102">
        <v>1734.19</v>
      </c>
      <c r="U102">
        <v>1386.07</v>
      </c>
      <c r="V102">
        <v>348.12</v>
      </c>
      <c r="W102" t="s">
        <v>31</v>
      </c>
      <c r="X102" t="s">
        <v>32</v>
      </c>
      <c r="Y102" t="str">
        <f>IF(COUNTIF($A$2:$A$901,A102)&gt;1,
  IF(COUNTIF($A$2:A102,A102)=1,
    " ORIGINAL",
    "CONFLICTING DUPLICATE - REVIEW"),
"OK")</f>
        <v>OK</v>
      </c>
      <c r="Z102">
        <f t="shared" si="13"/>
        <v>0.25</v>
      </c>
      <c r="AA102">
        <f t="shared" si="14"/>
        <v>1734.19</v>
      </c>
      <c r="AB102">
        <f t="shared" si="15"/>
        <v>348.12</v>
      </c>
      <c r="AC102">
        <f t="shared" si="16"/>
        <v>0.20069999999999999</v>
      </c>
      <c r="AD102">
        <f t="shared" si="17"/>
        <v>2</v>
      </c>
      <c r="AE102">
        <f t="shared" si="18"/>
        <v>2024</v>
      </c>
      <c r="AF102" t="str">
        <f t="shared" si="19"/>
        <v>CLEAN</v>
      </c>
    </row>
    <row r="103" spans="1:32">
      <c r="A103" t="s">
        <v>633</v>
      </c>
      <c r="B103" s="10">
        <v>45318</v>
      </c>
      <c r="C103" s="10">
        <v>45325</v>
      </c>
      <c r="D103">
        <f t="shared" si="10"/>
        <v>7</v>
      </c>
      <c r="E103" t="str">
        <f t="shared" si="11"/>
        <v>OK</v>
      </c>
      <c r="F103" t="s">
        <v>634</v>
      </c>
      <c r="G103" t="s">
        <v>52</v>
      </c>
      <c r="H103" t="s">
        <v>36</v>
      </c>
      <c r="I103" t="s">
        <v>37</v>
      </c>
      <c r="J103" t="s">
        <v>144</v>
      </c>
      <c r="K103" t="s">
        <v>145</v>
      </c>
      <c r="L103" t="s">
        <v>73</v>
      </c>
      <c r="M103" t="s">
        <v>273</v>
      </c>
      <c r="N103" t="s">
        <v>635</v>
      </c>
      <c r="O103" t="s">
        <v>43</v>
      </c>
      <c r="P103">
        <v>7</v>
      </c>
      <c r="Q103">
        <v>2673.42</v>
      </c>
      <c r="R103">
        <v>0.15</v>
      </c>
      <c r="S103" t="str">
        <f t="shared" si="12"/>
        <v>OK</v>
      </c>
      <c r="T103">
        <v>15906.85</v>
      </c>
      <c r="U103">
        <v>11014.46</v>
      </c>
      <c r="V103">
        <v>4892.3900000000003</v>
      </c>
      <c r="W103" t="s">
        <v>31</v>
      </c>
      <c r="X103" t="s">
        <v>102</v>
      </c>
      <c r="Y103" t="str">
        <f>IF(COUNTIF($A$2:$A$901,A103)&gt;1,
  IF(COUNTIF($A$2:A103,A103)=1,
    " ORIGINAL",
    "CONFLICTING DUPLICATE - REVIEW"),
"OK")</f>
        <v>OK</v>
      </c>
      <c r="Z103">
        <f t="shared" si="13"/>
        <v>0.15</v>
      </c>
      <c r="AA103">
        <f t="shared" si="14"/>
        <v>15906.85</v>
      </c>
      <c r="AB103">
        <f t="shared" si="15"/>
        <v>4892.3900000000003</v>
      </c>
      <c r="AC103">
        <f t="shared" si="16"/>
        <v>0.30759999999999998</v>
      </c>
      <c r="AD103">
        <f t="shared" si="17"/>
        <v>1</v>
      </c>
      <c r="AE103">
        <f t="shared" si="18"/>
        <v>2024</v>
      </c>
      <c r="AF103" t="str">
        <f t="shared" si="19"/>
        <v>CLEAN</v>
      </c>
    </row>
    <row r="104" spans="1:32">
      <c r="A104" t="s">
        <v>639</v>
      </c>
      <c r="B104" s="10">
        <v>45297</v>
      </c>
      <c r="C104" s="10">
        <v>45446</v>
      </c>
      <c r="D104">
        <f t="shared" si="10"/>
        <v>149</v>
      </c>
      <c r="E104" t="str">
        <f t="shared" si="11"/>
        <v>OK</v>
      </c>
      <c r="F104" t="s">
        <v>640</v>
      </c>
      <c r="G104" t="s">
        <v>131</v>
      </c>
      <c r="H104" t="s">
        <v>94</v>
      </c>
      <c r="I104" t="s">
        <v>2762</v>
      </c>
      <c r="J104" t="s">
        <v>144</v>
      </c>
      <c r="K104" t="s">
        <v>145</v>
      </c>
      <c r="L104" t="s">
        <v>27</v>
      </c>
      <c r="M104" t="s">
        <v>47</v>
      </c>
      <c r="N104" t="s">
        <v>641</v>
      </c>
      <c r="O104" t="s">
        <v>43</v>
      </c>
      <c r="P104">
        <v>8</v>
      </c>
      <c r="Q104">
        <v>3879.95</v>
      </c>
      <c r="R104">
        <v>0</v>
      </c>
      <c r="S104" t="str">
        <f t="shared" si="12"/>
        <v>OK</v>
      </c>
      <c r="T104">
        <v>31039.599999999999</v>
      </c>
      <c r="U104">
        <v>20866.72</v>
      </c>
      <c r="V104">
        <v>10172.879999999999</v>
      </c>
      <c r="W104" t="s">
        <v>31</v>
      </c>
      <c r="X104" t="s">
        <v>32</v>
      </c>
      <c r="Y104" t="str">
        <f>IF(COUNTIF($A$2:$A$901,A104)&gt;1,
  IF(COUNTIF($A$2:A104,A104)=1,
    " ORIGINAL",
    "CONFLICTING DUPLICATE - REVIEW"),
"OK")</f>
        <v>OK</v>
      </c>
      <c r="Z104">
        <f t="shared" si="13"/>
        <v>0</v>
      </c>
      <c r="AA104">
        <f t="shared" si="14"/>
        <v>31039.599999999999</v>
      </c>
      <c r="AB104">
        <f t="shared" si="15"/>
        <v>10172.879999999999</v>
      </c>
      <c r="AC104">
        <f t="shared" si="16"/>
        <v>0.32769999999999999</v>
      </c>
      <c r="AD104">
        <f t="shared" si="17"/>
        <v>1</v>
      </c>
      <c r="AE104">
        <f t="shared" si="18"/>
        <v>2024</v>
      </c>
      <c r="AF104" t="str">
        <f t="shared" si="19"/>
        <v>WARNING</v>
      </c>
    </row>
    <row r="105" spans="1:32">
      <c r="A105" t="s">
        <v>642</v>
      </c>
      <c r="B105" s="10">
        <v>45565</v>
      </c>
      <c r="C105" s="10">
        <v>45565</v>
      </c>
      <c r="D105">
        <f t="shared" si="10"/>
        <v>0</v>
      </c>
      <c r="E105" t="str">
        <f t="shared" si="11"/>
        <v>OK</v>
      </c>
      <c r="F105" t="s">
        <v>643</v>
      </c>
      <c r="G105" t="s">
        <v>46</v>
      </c>
      <c r="H105" t="s">
        <v>89</v>
      </c>
      <c r="I105" t="s">
        <v>53</v>
      </c>
      <c r="J105" t="s">
        <v>54</v>
      </c>
      <c r="K105" t="s">
        <v>55</v>
      </c>
      <c r="L105" t="s">
        <v>27</v>
      </c>
      <c r="M105" t="s">
        <v>47</v>
      </c>
      <c r="N105" t="s">
        <v>644</v>
      </c>
      <c r="O105" t="s">
        <v>58</v>
      </c>
      <c r="P105">
        <v>4</v>
      </c>
      <c r="Q105">
        <v>3281.74</v>
      </c>
      <c r="R105">
        <v>0</v>
      </c>
      <c r="S105" t="str">
        <f t="shared" si="12"/>
        <v>OK</v>
      </c>
      <c r="T105">
        <v>13126.96</v>
      </c>
      <c r="U105">
        <v>10732.44</v>
      </c>
      <c r="V105">
        <v>2394.52</v>
      </c>
      <c r="W105" t="s">
        <v>31</v>
      </c>
      <c r="X105" t="s">
        <v>32</v>
      </c>
      <c r="Y105" t="str">
        <f>IF(COUNTIF($A$2:$A$901,A105)&gt;1,
  IF(COUNTIF($A$2:A105,A105)=1,
    " ORIGINAL",
    "CONFLICTING DUPLICATE - REVIEW"),
"OK")</f>
        <v>OK</v>
      </c>
      <c r="Z105">
        <f t="shared" si="13"/>
        <v>0</v>
      </c>
      <c r="AA105">
        <f t="shared" si="14"/>
        <v>13126.96</v>
      </c>
      <c r="AB105">
        <f t="shared" si="15"/>
        <v>2394.52</v>
      </c>
      <c r="AC105">
        <f t="shared" si="16"/>
        <v>0.18240000000000001</v>
      </c>
      <c r="AD105">
        <f t="shared" si="17"/>
        <v>9</v>
      </c>
      <c r="AE105">
        <f t="shared" si="18"/>
        <v>2024</v>
      </c>
      <c r="AF105" t="str">
        <f t="shared" si="19"/>
        <v>CLEAN</v>
      </c>
    </row>
    <row r="106" spans="1:32">
      <c r="A106" t="s">
        <v>645</v>
      </c>
      <c r="B106" s="10">
        <v>45366</v>
      </c>
      <c r="C106" s="10">
        <v>45370</v>
      </c>
      <c r="D106">
        <f t="shared" si="10"/>
        <v>4</v>
      </c>
      <c r="E106" t="str">
        <f t="shared" si="11"/>
        <v>OK</v>
      </c>
      <c r="F106" t="s">
        <v>646</v>
      </c>
      <c r="G106" t="s">
        <v>61</v>
      </c>
      <c r="H106" t="s">
        <v>36</v>
      </c>
      <c r="I106" t="s">
        <v>53</v>
      </c>
      <c r="J106" t="s">
        <v>246</v>
      </c>
      <c r="K106" t="s">
        <v>247</v>
      </c>
      <c r="L106" t="s">
        <v>40</v>
      </c>
      <c r="M106" t="s">
        <v>56</v>
      </c>
      <c r="N106" t="s">
        <v>647</v>
      </c>
      <c r="O106" t="s">
        <v>58</v>
      </c>
      <c r="P106">
        <v>4</v>
      </c>
      <c r="Q106">
        <v>3186.3</v>
      </c>
      <c r="R106">
        <v>0.25</v>
      </c>
      <c r="S106" t="str">
        <f t="shared" si="12"/>
        <v>OK</v>
      </c>
      <c r="T106">
        <v>9558.9</v>
      </c>
      <c r="U106">
        <v>5516.76</v>
      </c>
      <c r="V106">
        <v>4042.14</v>
      </c>
      <c r="W106" t="s">
        <v>101</v>
      </c>
      <c r="X106" t="s">
        <v>102</v>
      </c>
      <c r="Y106" t="str">
        <f>IF(COUNTIF($A$2:$A$901,A106)&gt;1,
  IF(COUNTIF($A$2:A106,A106)=1,
    " ORIGINAL",
    "CONFLICTING DUPLICATE - REVIEW"),
"OK")</f>
        <v>OK</v>
      </c>
      <c r="Z106">
        <f t="shared" si="13"/>
        <v>0.25</v>
      </c>
      <c r="AA106">
        <f t="shared" si="14"/>
        <v>9558.9</v>
      </c>
      <c r="AB106">
        <f t="shared" si="15"/>
        <v>4042.14</v>
      </c>
      <c r="AC106">
        <f t="shared" si="16"/>
        <v>0.4229</v>
      </c>
      <c r="AD106">
        <f t="shared" si="17"/>
        <v>3</v>
      </c>
      <c r="AE106">
        <f t="shared" si="18"/>
        <v>2024</v>
      </c>
      <c r="AF106" t="str">
        <f t="shared" si="19"/>
        <v>CLEAN</v>
      </c>
    </row>
    <row r="107" spans="1:32">
      <c r="A107" t="s">
        <v>648</v>
      </c>
      <c r="B107" s="10">
        <v>45530</v>
      </c>
      <c r="C107" s="10">
        <v>45530</v>
      </c>
      <c r="D107">
        <f t="shared" si="10"/>
        <v>0</v>
      </c>
      <c r="E107" t="str">
        <f t="shared" si="11"/>
        <v>OK</v>
      </c>
      <c r="F107" t="s">
        <v>649</v>
      </c>
      <c r="G107" t="s">
        <v>35</v>
      </c>
      <c r="H107" t="s">
        <v>94</v>
      </c>
      <c r="I107" t="s">
        <v>24</v>
      </c>
      <c r="J107" t="s">
        <v>135</v>
      </c>
      <c r="K107" t="s">
        <v>136</v>
      </c>
      <c r="L107" t="s">
        <v>27</v>
      </c>
      <c r="M107" t="s">
        <v>152</v>
      </c>
      <c r="N107" t="s">
        <v>650</v>
      </c>
      <c r="O107" t="s">
        <v>49</v>
      </c>
      <c r="P107">
        <v>7</v>
      </c>
      <c r="Q107">
        <v>844.59</v>
      </c>
      <c r="R107">
        <v>0.1</v>
      </c>
      <c r="S107" t="str">
        <f t="shared" si="12"/>
        <v>OK</v>
      </c>
      <c r="T107">
        <v>5320.92</v>
      </c>
      <c r="U107">
        <v>3041.5</v>
      </c>
      <c r="V107">
        <v>2279.42</v>
      </c>
      <c r="W107" t="s">
        <v>31</v>
      </c>
      <c r="X107" t="s">
        <v>32</v>
      </c>
      <c r="Y107" t="str">
        <f>IF(COUNTIF($A$2:$A$901,A107)&gt;1,
  IF(COUNTIF($A$2:A107,A107)=1,
    " ORIGINAL",
    "CONFLICTING DUPLICATE - REVIEW"),
"OK")</f>
        <v>OK</v>
      </c>
      <c r="Z107">
        <f t="shared" si="13"/>
        <v>0.1</v>
      </c>
      <c r="AA107">
        <f t="shared" si="14"/>
        <v>5320.92</v>
      </c>
      <c r="AB107">
        <f t="shared" si="15"/>
        <v>2279.42</v>
      </c>
      <c r="AC107">
        <f t="shared" si="16"/>
        <v>0.4284</v>
      </c>
      <c r="AD107">
        <f t="shared" si="17"/>
        <v>8</v>
      </c>
      <c r="AE107">
        <f t="shared" si="18"/>
        <v>2024</v>
      </c>
      <c r="AF107" t="str">
        <f t="shared" si="19"/>
        <v>CLEAN</v>
      </c>
    </row>
    <row r="108" spans="1:32">
      <c r="A108" t="s">
        <v>654</v>
      </c>
      <c r="B108" s="10">
        <v>45581</v>
      </c>
      <c r="C108" s="10">
        <v>45581</v>
      </c>
      <c r="D108">
        <f t="shared" si="10"/>
        <v>0</v>
      </c>
      <c r="E108" t="str">
        <f t="shared" si="11"/>
        <v>OK</v>
      </c>
      <c r="F108" t="s">
        <v>655</v>
      </c>
      <c r="G108" t="s">
        <v>61</v>
      </c>
      <c r="H108" t="s">
        <v>94</v>
      </c>
      <c r="I108" t="s">
        <v>37</v>
      </c>
      <c r="J108" t="s">
        <v>144</v>
      </c>
      <c r="K108" t="s">
        <v>145</v>
      </c>
      <c r="L108" t="s">
        <v>73</v>
      </c>
      <c r="M108" t="s">
        <v>273</v>
      </c>
      <c r="N108" t="s">
        <v>656</v>
      </c>
      <c r="O108" t="s">
        <v>58</v>
      </c>
      <c r="P108">
        <v>7</v>
      </c>
      <c r="Q108">
        <v>775.77</v>
      </c>
      <c r="R108">
        <v>0</v>
      </c>
      <c r="S108" t="str">
        <f t="shared" si="12"/>
        <v>OK</v>
      </c>
      <c r="T108">
        <v>5430.39</v>
      </c>
      <c r="U108">
        <v>3707.66</v>
      </c>
      <c r="V108">
        <v>1722.73</v>
      </c>
      <c r="W108" t="s">
        <v>31</v>
      </c>
      <c r="X108" t="s">
        <v>32</v>
      </c>
      <c r="Y108" t="str">
        <f>IF(COUNTIF($A$2:$A$901,A108)&gt;1,
  IF(COUNTIF($A$2:A108,A108)=1,
    " ORIGINAL",
    "CONFLICTING DUPLICATE - REVIEW"),
"OK")</f>
        <v>OK</v>
      </c>
      <c r="Z108">
        <f t="shared" si="13"/>
        <v>0</v>
      </c>
      <c r="AA108">
        <f t="shared" si="14"/>
        <v>5430.39</v>
      </c>
      <c r="AB108">
        <f t="shared" si="15"/>
        <v>1722.73</v>
      </c>
      <c r="AC108">
        <f t="shared" si="16"/>
        <v>0.31719999999999998</v>
      </c>
      <c r="AD108">
        <f t="shared" si="17"/>
        <v>10</v>
      </c>
      <c r="AE108">
        <f t="shared" si="18"/>
        <v>2024</v>
      </c>
      <c r="AF108" t="str">
        <f t="shared" si="19"/>
        <v>CLEAN</v>
      </c>
    </row>
    <row r="109" spans="1:32">
      <c r="A109" t="s">
        <v>660</v>
      </c>
      <c r="B109" s="10">
        <v>45384</v>
      </c>
      <c r="C109" s="10">
        <v>45388</v>
      </c>
      <c r="D109">
        <f t="shared" si="10"/>
        <v>4</v>
      </c>
      <c r="E109" t="str">
        <f t="shared" si="11"/>
        <v>OK</v>
      </c>
      <c r="F109" t="s">
        <v>661</v>
      </c>
      <c r="G109" t="s">
        <v>70</v>
      </c>
      <c r="H109" t="s">
        <v>89</v>
      </c>
      <c r="I109" t="s">
        <v>62</v>
      </c>
      <c r="J109" t="s">
        <v>71</v>
      </c>
      <c r="K109" t="s">
        <v>72</v>
      </c>
      <c r="L109" t="s">
        <v>40</v>
      </c>
      <c r="M109" t="s">
        <v>157</v>
      </c>
      <c r="N109" t="s">
        <v>662</v>
      </c>
      <c r="O109" t="s">
        <v>58</v>
      </c>
      <c r="P109">
        <v>2</v>
      </c>
      <c r="Q109">
        <v>888.98</v>
      </c>
      <c r="R109">
        <v>0</v>
      </c>
      <c r="S109" t="str">
        <f t="shared" si="12"/>
        <v>OK</v>
      </c>
      <c r="T109">
        <v>1777.96</v>
      </c>
      <c r="U109">
        <v>1021.16</v>
      </c>
      <c r="V109">
        <v>756.8</v>
      </c>
      <c r="W109" t="s">
        <v>101</v>
      </c>
      <c r="X109" t="s">
        <v>102</v>
      </c>
      <c r="Y109" t="str">
        <f>IF(COUNTIF($A$2:$A$901,A109)&gt;1,
  IF(COUNTIF($A$2:A109,A109)=1,
    " ORIGINAL",
    "CONFLICTING DUPLICATE - REVIEW"),
"OK")</f>
        <v>OK</v>
      </c>
      <c r="Z109">
        <f t="shared" si="13"/>
        <v>0</v>
      </c>
      <c r="AA109">
        <f t="shared" si="14"/>
        <v>1777.96</v>
      </c>
      <c r="AB109">
        <f t="shared" si="15"/>
        <v>756.8</v>
      </c>
      <c r="AC109">
        <f t="shared" si="16"/>
        <v>0.42570000000000002</v>
      </c>
      <c r="AD109">
        <f t="shared" si="17"/>
        <v>4</v>
      </c>
      <c r="AE109">
        <f t="shared" si="18"/>
        <v>2024</v>
      </c>
      <c r="AF109" t="str">
        <f t="shared" si="19"/>
        <v>CLEAN</v>
      </c>
    </row>
    <row r="110" spans="1:32">
      <c r="A110" t="s">
        <v>663</v>
      </c>
      <c r="B110" s="10">
        <v>45601</v>
      </c>
      <c r="C110" s="10">
        <v>45609</v>
      </c>
      <c r="D110">
        <f t="shared" si="10"/>
        <v>8</v>
      </c>
      <c r="E110" t="str">
        <f t="shared" si="11"/>
        <v>OK</v>
      </c>
      <c r="F110" t="s">
        <v>664</v>
      </c>
      <c r="G110" t="s">
        <v>52</v>
      </c>
      <c r="H110" t="s">
        <v>23</v>
      </c>
      <c r="I110" t="s">
        <v>2762</v>
      </c>
      <c r="J110" t="s">
        <v>121</v>
      </c>
      <c r="K110" t="s">
        <v>122</v>
      </c>
      <c r="L110" t="s">
        <v>27</v>
      </c>
      <c r="M110" t="s">
        <v>90</v>
      </c>
      <c r="N110" t="s">
        <v>665</v>
      </c>
      <c r="O110" t="s">
        <v>30</v>
      </c>
      <c r="P110">
        <v>2</v>
      </c>
      <c r="Q110">
        <v>1003.17</v>
      </c>
      <c r="R110">
        <v>0.2</v>
      </c>
      <c r="S110" t="str">
        <f t="shared" si="12"/>
        <v>OK</v>
      </c>
      <c r="T110">
        <v>1605.07</v>
      </c>
      <c r="U110">
        <v>1337.28</v>
      </c>
      <c r="V110">
        <v>267.79000000000002</v>
      </c>
      <c r="W110" t="s">
        <v>31</v>
      </c>
      <c r="X110" t="s">
        <v>32</v>
      </c>
      <c r="Y110" t="str">
        <f>IF(COUNTIF($A$2:$A$901,A110)&gt;1,
  IF(COUNTIF($A$2:A110,A110)=1,
    " ORIGINAL",
    "CONFLICTING DUPLICATE - REVIEW"),
"OK")</f>
        <v>OK</v>
      </c>
      <c r="Z110">
        <f t="shared" si="13"/>
        <v>0.2</v>
      </c>
      <c r="AA110">
        <f t="shared" si="14"/>
        <v>1605.07</v>
      </c>
      <c r="AB110">
        <f t="shared" si="15"/>
        <v>267.79000000000002</v>
      </c>
      <c r="AC110">
        <f t="shared" si="16"/>
        <v>0.1668</v>
      </c>
      <c r="AD110">
        <f t="shared" si="17"/>
        <v>11</v>
      </c>
      <c r="AE110">
        <f t="shared" si="18"/>
        <v>2024</v>
      </c>
      <c r="AF110" t="str">
        <f t="shared" si="19"/>
        <v>WARNING</v>
      </c>
    </row>
    <row r="111" spans="1:32">
      <c r="A111" t="s">
        <v>666</v>
      </c>
      <c r="B111" s="10">
        <v>45492</v>
      </c>
      <c r="C111" s="10">
        <v>45493</v>
      </c>
      <c r="D111">
        <f t="shared" si="10"/>
        <v>1</v>
      </c>
      <c r="E111" t="str">
        <f t="shared" si="11"/>
        <v>OK</v>
      </c>
      <c r="F111" t="s">
        <v>262</v>
      </c>
      <c r="G111" t="s">
        <v>70</v>
      </c>
      <c r="H111" t="s">
        <v>23</v>
      </c>
      <c r="I111" t="s">
        <v>53</v>
      </c>
      <c r="J111" t="s">
        <v>246</v>
      </c>
      <c r="K111" t="s">
        <v>247</v>
      </c>
      <c r="L111" t="s">
        <v>40</v>
      </c>
      <c r="M111" t="s">
        <v>41</v>
      </c>
      <c r="N111" t="s">
        <v>667</v>
      </c>
      <c r="O111" t="s">
        <v>49</v>
      </c>
      <c r="P111">
        <v>7</v>
      </c>
      <c r="Q111">
        <v>3608.43</v>
      </c>
      <c r="R111">
        <v>0.05</v>
      </c>
      <c r="S111" t="str">
        <f t="shared" si="12"/>
        <v>OK</v>
      </c>
      <c r="T111">
        <v>23996.06</v>
      </c>
      <c r="U111">
        <v>20167.28</v>
      </c>
      <c r="V111">
        <v>3828.78</v>
      </c>
      <c r="W111" t="s">
        <v>31</v>
      </c>
      <c r="X111" t="s">
        <v>32</v>
      </c>
      <c r="Y111" t="str">
        <f>IF(COUNTIF($A$2:$A$901,A111)&gt;1,
  IF(COUNTIF($A$2:A111,A111)=1,
    " ORIGINAL",
    "CONFLICTING DUPLICATE - REVIEW"),
"OK")</f>
        <v>OK</v>
      </c>
      <c r="Z111">
        <f t="shared" si="13"/>
        <v>0.05</v>
      </c>
      <c r="AA111">
        <f t="shared" si="14"/>
        <v>23996.06</v>
      </c>
      <c r="AB111">
        <f t="shared" si="15"/>
        <v>3828.78</v>
      </c>
      <c r="AC111">
        <f t="shared" si="16"/>
        <v>0.15959999999999999</v>
      </c>
      <c r="AD111">
        <f t="shared" si="17"/>
        <v>7</v>
      </c>
      <c r="AE111">
        <f t="shared" si="18"/>
        <v>2024</v>
      </c>
      <c r="AF111" t="str">
        <f t="shared" si="19"/>
        <v>CLEAN</v>
      </c>
    </row>
    <row r="112" spans="1:32">
      <c r="A112" t="s">
        <v>680</v>
      </c>
      <c r="B112" s="10">
        <v>45584</v>
      </c>
      <c r="C112" s="10">
        <v>45589</v>
      </c>
      <c r="D112">
        <f t="shared" si="10"/>
        <v>5</v>
      </c>
      <c r="E112" t="str">
        <f t="shared" si="11"/>
        <v>OK</v>
      </c>
      <c r="F112" t="s">
        <v>681</v>
      </c>
      <c r="G112" t="s">
        <v>131</v>
      </c>
      <c r="H112" t="s">
        <v>36</v>
      </c>
      <c r="I112" t="s">
        <v>53</v>
      </c>
      <c r="J112" t="s">
        <v>246</v>
      </c>
      <c r="K112" t="s">
        <v>247</v>
      </c>
      <c r="L112" t="s">
        <v>40</v>
      </c>
      <c r="M112" t="s">
        <v>157</v>
      </c>
      <c r="N112" t="s">
        <v>682</v>
      </c>
      <c r="O112" t="s">
        <v>30</v>
      </c>
      <c r="P112">
        <v>6</v>
      </c>
      <c r="Q112">
        <v>4308.3999999999996</v>
      </c>
      <c r="R112">
        <v>0.65</v>
      </c>
      <c r="S112" t="str">
        <f t="shared" si="12"/>
        <v>OK</v>
      </c>
      <c r="T112">
        <v>25850.400000000001</v>
      </c>
      <c r="U112">
        <v>19397.68</v>
      </c>
      <c r="V112">
        <v>6452.72</v>
      </c>
      <c r="W112" t="s">
        <v>31</v>
      </c>
      <c r="X112" t="s">
        <v>32</v>
      </c>
      <c r="Y112" t="str">
        <f>IF(COUNTIF($A$2:$A$901,A112)&gt;1,
  IF(COUNTIF($A$2:A112,A112)=1,
    " ORIGINAL",
    "CONFLICTING DUPLICATE - REVIEW"),
"OK")</f>
        <v>OK</v>
      </c>
      <c r="Z112">
        <f t="shared" si="13"/>
        <v>0.65</v>
      </c>
      <c r="AA112">
        <f t="shared" si="14"/>
        <v>9047.64</v>
      </c>
      <c r="AB112">
        <f t="shared" si="15"/>
        <v>-10350.040000000001</v>
      </c>
      <c r="AC112">
        <f t="shared" si="16"/>
        <v>-1.1438999999999999</v>
      </c>
      <c r="AD112">
        <f t="shared" si="17"/>
        <v>10</v>
      </c>
      <c r="AE112">
        <f t="shared" si="18"/>
        <v>2024</v>
      </c>
      <c r="AF112" t="str">
        <f t="shared" si="19"/>
        <v>CLEAN</v>
      </c>
    </row>
    <row r="113" spans="1:32">
      <c r="A113" t="s">
        <v>683</v>
      </c>
      <c r="B113" s="10">
        <v>45635</v>
      </c>
      <c r="C113" s="10">
        <v>45642</v>
      </c>
      <c r="D113">
        <f t="shared" si="10"/>
        <v>7</v>
      </c>
      <c r="E113" t="str">
        <f t="shared" si="11"/>
        <v>OK</v>
      </c>
      <c r="F113" t="s">
        <v>684</v>
      </c>
      <c r="G113" t="s">
        <v>46</v>
      </c>
      <c r="H113" t="s">
        <v>94</v>
      </c>
      <c r="I113" t="s">
        <v>62</v>
      </c>
      <c r="J113" t="s">
        <v>179</v>
      </c>
      <c r="K113" t="s">
        <v>180</v>
      </c>
      <c r="L113" t="s">
        <v>40</v>
      </c>
      <c r="M113" t="s">
        <v>65</v>
      </c>
      <c r="N113" t="s">
        <v>685</v>
      </c>
      <c r="O113" t="s">
        <v>49</v>
      </c>
      <c r="P113">
        <v>4</v>
      </c>
      <c r="Q113">
        <v>2191.0300000000002</v>
      </c>
      <c r="R113">
        <v>0</v>
      </c>
      <c r="S113" t="str">
        <f t="shared" si="12"/>
        <v>OK</v>
      </c>
      <c r="T113">
        <v>8764.1200000000008</v>
      </c>
      <c r="U113">
        <v>7220.05</v>
      </c>
      <c r="V113">
        <v>1544.07</v>
      </c>
      <c r="W113" t="s">
        <v>31</v>
      </c>
      <c r="X113" t="s">
        <v>32</v>
      </c>
      <c r="Y113" t="str">
        <f>IF(COUNTIF($A$2:$A$901,A113)&gt;1,
  IF(COUNTIF($A$2:A113,A113)=1,
    " ORIGINAL",
    "CONFLICTING DUPLICATE - REVIEW"),
"OK")</f>
        <v>OK</v>
      </c>
      <c r="Z113">
        <f t="shared" si="13"/>
        <v>0</v>
      </c>
      <c r="AA113">
        <f t="shared" si="14"/>
        <v>8764.1200000000008</v>
      </c>
      <c r="AB113">
        <f t="shared" si="15"/>
        <v>1544.07</v>
      </c>
      <c r="AC113">
        <f t="shared" si="16"/>
        <v>0.1762</v>
      </c>
      <c r="AD113">
        <f t="shared" si="17"/>
        <v>12</v>
      </c>
      <c r="AE113">
        <f t="shared" si="18"/>
        <v>2024</v>
      </c>
      <c r="AF113" t="str">
        <f t="shared" si="19"/>
        <v>CLEAN</v>
      </c>
    </row>
    <row r="114" spans="1:32">
      <c r="A114" t="s">
        <v>686</v>
      </c>
      <c r="B114" s="10">
        <v>45466</v>
      </c>
      <c r="C114" s="10">
        <v>45471</v>
      </c>
      <c r="D114">
        <f t="shared" si="10"/>
        <v>5</v>
      </c>
      <c r="E114" t="str">
        <f t="shared" si="11"/>
        <v>OK</v>
      </c>
      <c r="F114" t="s">
        <v>687</v>
      </c>
      <c r="G114" t="s">
        <v>113</v>
      </c>
      <c r="H114" t="s">
        <v>36</v>
      </c>
      <c r="I114" t="s">
        <v>24</v>
      </c>
      <c r="J114" t="s">
        <v>121</v>
      </c>
      <c r="K114" t="s">
        <v>122</v>
      </c>
      <c r="L114" t="s">
        <v>73</v>
      </c>
      <c r="M114" t="s">
        <v>79</v>
      </c>
      <c r="N114" t="s">
        <v>688</v>
      </c>
      <c r="O114" t="s">
        <v>43</v>
      </c>
      <c r="P114">
        <v>6</v>
      </c>
      <c r="Q114">
        <v>1956.63</v>
      </c>
      <c r="R114">
        <v>0.2</v>
      </c>
      <c r="S114" t="str">
        <f t="shared" si="12"/>
        <v>OK</v>
      </c>
      <c r="T114">
        <v>9391.82</v>
      </c>
      <c r="U114">
        <v>6013.22</v>
      </c>
      <c r="V114">
        <v>3378.6</v>
      </c>
      <c r="W114" t="s">
        <v>101</v>
      </c>
      <c r="X114" t="s">
        <v>102</v>
      </c>
      <c r="Y114" t="str">
        <f>IF(COUNTIF($A$2:$A$901,A114)&gt;1,
  IF(COUNTIF($A$2:A114,A114)=1,
    " ORIGINAL",
    "CONFLICTING DUPLICATE - REVIEW"),
"OK")</f>
        <v>OK</v>
      </c>
      <c r="Z114">
        <f t="shared" si="13"/>
        <v>0.2</v>
      </c>
      <c r="AA114">
        <f t="shared" si="14"/>
        <v>9391.82</v>
      </c>
      <c r="AB114">
        <f t="shared" si="15"/>
        <v>3378.6</v>
      </c>
      <c r="AC114">
        <f t="shared" si="16"/>
        <v>0.35970000000000002</v>
      </c>
      <c r="AD114">
        <f t="shared" si="17"/>
        <v>6</v>
      </c>
      <c r="AE114">
        <f t="shared" si="18"/>
        <v>2024</v>
      </c>
      <c r="AF114" t="str">
        <f t="shared" si="19"/>
        <v>CLEAN</v>
      </c>
    </row>
    <row r="115" spans="1:32">
      <c r="A115" t="s">
        <v>695</v>
      </c>
      <c r="B115" s="10">
        <v>45313</v>
      </c>
      <c r="C115" s="10">
        <v>45316</v>
      </c>
      <c r="D115">
        <f t="shared" si="10"/>
        <v>3</v>
      </c>
      <c r="E115" t="str">
        <f t="shared" si="11"/>
        <v>OK</v>
      </c>
      <c r="F115" t="s">
        <v>696</v>
      </c>
      <c r="G115" t="s">
        <v>263</v>
      </c>
      <c r="H115" t="s">
        <v>94</v>
      </c>
      <c r="I115" t="s">
        <v>24</v>
      </c>
      <c r="J115" t="s">
        <v>135</v>
      </c>
      <c r="K115" t="s">
        <v>136</v>
      </c>
      <c r="L115" t="s">
        <v>27</v>
      </c>
      <c r="M115" t="s">
        <v>123</v>
      </c>
      <c r="N115" t="s">
        <v>697</v>
      </c>
      <c r="O115" t="s">
        <v>49</v>
      </c>
      <c r="P115">
        <v>3</v>
      </c>
      <c r="Q115">
        <v>1212.03</v>
      </c>
      <c r="R115">
        <v>0.1</v>
      </c>
      <c r="S115" t="str">
        <f t="shared" si="12"/>
        <v>OK</v>
      </c>
      <c r="T115">
        <v>3272.48</v>
      </c>
      <c r="U115">
        <v>2517.44</v>
      </c>
      <c r="V115">
        <v>755.04</v>
      </c>
      <c r="W115" t="s">
        <v>31</v>
      </c>
      <c r="X115" t="s">
        <v>32</v>
      </c>
      <c r="Y115" t="str">
        <f>IF(COUNTIF($A$2:$A$901,A115)&gt;1,
  IF(COUNTIF($A$2:A115,A115)=1,
    " ORIGINAL",
    "CONFLICTING DUPLICATE - REVIEW"),
"OK")</f>
        <v>OK</v>
      </c>
      <c r="Z115">
        <f t="shared" si="13"/>
        <v>0.1</v>
      </c>
      <c r="AA115">
        <f t="shared" si="14"/>
        <v>3272.48</v>
      </c>
      <c r="AB115">
        <f t="shared" si="15"/>
        <v>755.04</v>
      </c>
      <c r="AC115">
        <f t="shared" si="16"/>
        <v>0.23069999999999999</v>
      </c>
      <c r="AD115">
        <f t="shared" si="17"/>
        <v>1</v>
      </c>
      <c r="AE115">
        <f t="shared" si="18"/>
        <v>2024</v>
      </c>
      <c r="AF115" t="str">
        <f t="shared" si="19"/>
        <v>CLEAN</v>
      </c>
    </row>
    <row r="116" spans="1:32">
      <c r="A116" t="s">
        <v>700</v>
      </c>
      <c r="B116" s="10">
        <v>45418</v>
      </c>
      <c r="C116" s="10">
        <v>45449</v>
      </c>
      <c r="D116">
        <f t="shared" si="10"/>
        <v>31</v>
      </c>
      <c r="E116" t="str">
        <f t="shared" si="11"/>
        <v>OK</v>
      </c>
      <c r="F116" t="s">
        <v>701</v>
      </c>
      <c r="G116" t="s">
        <v>131</v>
      </c>
      <c r="H116" t="s">
        <v>23</v>
      </c>
      <c r="I116" t="s">
        <v>62</v>
      </c>
      <c r="J116" t="s">
        <v>179</v>
      </c>
      <c r="K116" t="s">
        <v>180</v>
      </c>
      <c r="L116" t="s">
        <v>27</v>
      </c>
      <c r="M116" t="s">
        <v>47</v>
      </c>
      <c r="N116" t="s">
        <v>702</v>
      </c>
      <c r="O116" t="s">
        <v>30</v>
      </c>
      <c r="P116">
        <v>1</v>
      </c>
      <c r="Q116">
        <v>1184.58</v>
      </c>
      <c r="R116">
        <v>0.05</v>
      </c>
      <c r="S116" t="str">
        <f t="shared" si="12"/>
        <v>OK</v>
      </c>
      <c r="T116">
        <v>1125.3499999999999</v>
      </c>
      <c r="U116">
        <v>676.97</v>
      </c>
      <c r="V116">
        <v>448.38</v>
      </c>
      <c r="W116" t="s">
        <v>154</v>
      </c>
      <c r="X116" t="s">
        <v>67</v>
      </c>
      <c r="Y116" t="str">
        <f>IF(COUNTIF($A$2:$A$901,A116)&gt;1,
  IF(COUNTIF($A$2:A116,A116)=1,
    " ORIGINAL",
    "CONFLICTING DUPLICATE - REVIEW"),
"OK")</f>
        <v>OK</v>
      </c>
      <c r="Z116">
        <f t="shared" si="13"/>
        <v>0.05</v>
      </c>
      <c r="AA116">
        <f t="shared" si="14"/>
        <v>1125.3499999999999</v>
      </c>
      <c r="AB116">
        <f t="shared" si="15"/>
        <v>448.38</v>
      </c>
      <c r="AC116">
        <f t="shared" si="16"/>
        <v>0.39839999999999998</v>
      </c>
      <c r="AD116">
        <f t="shared" si="17"/>
        <v>5</v>
      </c>
      <c r="AE116">
        <f t="shared" si="18"/>
        <v>2024</v>
      </c>
      <c r="AF116" t="str">
        <f t="shared" si="19"/>
        <v>INVALID</v>
      </c>
    </row>
    <row r="117" spans="1:32">
      <c r="A117" t="s">
        <v>703</v>
      </c>
      <c r="B117" s="10">
        <v>45363</v>
      </c>
      <c r="C117" s="10">
        <v>45629</v>
      </c>
      <c r="D117">
        <f t="shared" si="10"/>
        <v>266</v>
      </c>
      <c r="E117" t="str">
        <f t="shared" si="11"/>
        <v>OK</v>
      </c>
      <c r="F117" t="s">
        <v>704</v>
      </c>
      <c r="G117" t="s">
        <v>117</v>
      </c>
      <c r="H117" t="s">
        <v>94</v>
      </c>
      <c r="I117" t="s">
        <v>37</v>
      </c>
      <c r="J117" t="s">
        <v>144</v>
      </c>
      <c r="K117" t="s">
        <v>145</v>
      </c>
      <c r="L117" t="s">
        <v>73</v>
      </c>
      <c r="M117" t="s">
        <v>273</v>
      </c>
      <c r="N117" t="s">
        <v>705</v>
      </c>
      <c r="O117" t="s">
        <v>2762</v>
      </c>
      <c r="P117">
        <v>6</v>
      </c>
      <c r="Q117">
        <v>2185.58</v>
      </c>
      <c r="R117">
        <v>0.25</v>
      </c>
      <c r="S117" t="str">
        <f t="shared" si="12"/>
        <v>OK</v>
      </c>
      <c r="T117">
        <v>9835.11</v>
      </c>
      <c r="U117">
        <v>5437.64</v>
      </c>
      <c r="V117">
        <v>4397.47</v>
      </c>
      <c r="W117" t="s">
        <v>31</v>
      </c>
      <c r="X117" t="s">
        <v>32</v>
      </c>
      <c r="Y117" t="str">
        <f>IF(COUNTIF($A$2:$A$901,A117)&gt;1,
  IF(COUNTIF($A$2:A117,A117)=1,
    " ORIGINAL",
    "CONFLICTING DUPLICATE - REVIEW"),
"OK")</f>
        <v>OK</v>
      </c>
      <c r="Z117">
        <f t="shared" si="13"/>
        <v>0.25</v>
      </c>
      <c r="AA117">
        <f t="shared" si="14"/>
        <v>9835.11</v>
      </c>
      <c r="AB117">
        <f t="shared" si="15"/>
        <v>4397.47</v>
      </c>
      <c r="AC117">
        <f t="shared" si="16"/>
        <v>0.4471</v>
      </c>
      <c r="AD117">
        <f t="shared" si="17"/>
        <v>3</v>
      </c>
      <c r="AE117">
        <f t="shared" si="18"/>
        <v>2024</v>
      </c>
      <c r="AF117" t="str">
        <f t="shared" si="19"/>
        <v>WARNING</v>
      </c>
    </row>
    <row r="118" spans="1:32">
      <c r="A118" t="s">
        <v>715</v>
      </c>
      <c r="B118" s="10">
        <v>45379</v>
      </c>
      <c r="C118" s="10">
        <v>45381</v>
      </c>
      <c r="D118">
        <f t="shared" si="10"/>
        <v>2</v>
      </c>
      <c r="E118" t="str">
        <f t="shared" si="11"/>
        <v>OK</v>
      </c>
      <c r="F118" t="s">
        <v>716</v>
      </c>
      <c r="G118" t="s">
        <v>131</v>
      </c>
      <c r="H118" t="s">
        <v>89</v>
      </c>
      <c r="I118" t="s">
        <v>62</v>
      </c>
      <c r="J118" t="s">
        <v>25</v>
      </c>
      <c r="K118" t="s">
        <v>108</v>
      </c>
      <c r="L118" t="s">
        <v>73</v>
      </c>
      <c r="M118" t="s">
        <v>74</v>
      </c>
      <c r="N118" t="s">
        <v>717</v>
      </c>
      <c r="O118" t="s">
        <v>30</v>
      </c>
      <c r="P118">
        <v>1</v>
      </c>
      <c r="Q118">
        <v>570.34</v>
      </c>
      <c r="R118">
        <v>0.15</v>
      </c>
      <c r="S118" t="str">
        <f t="shared" si="12"/>
        <v>OK</v>
      </c>
      <c r="T118">
        <v>484.79</v>
      </c>
      <c r="U118">
        <v>333.54</v>
      </c>
      <c r="V118">
        <v>151.25</v>
      </c>
      <c r="W118" t="s">
        <v>31</v>
      </c>
      <c r="X118" t="s">
        <v>32</v>
      </c>
      <c r="Y118" t="str">
        <f>IF(COUNTIF($A$2:$A$901,A118)&gt;1,
  IF(COUNTIF($A$2:A118,A118)=1,
    " ORIGINAL",
    "CONFLICTING DUPLICATE - REVIEW"),
"OK")</f>
        <v>OK</v>
      </c>
      <c r="Z118">
        <f t="shared" si="13"/>
        <v>0.15</v>
      </c>
      <c r="AA118">
        <f t="shared" si="14"/>
        <v>484.79</v>
      </c>
      <c r="AB118">
        <f t="shared" si="15"/>
        <v>151.25</v>
      </c>
      <c r="AC118">
        <f t="shared" si="16"/>
        <v>0.312</v>
      </c>
      <c r="AD118">
        <f t="shared" si="17"/>
        <v>3</v>
      </c>
      <c r="AE118">
        <f t="shared" si="18"/>
        <v>2024</v>
      </c>
      <c r="AF118" t="str">
        <f t="shared" si="19"/>
        <v>CLEAN</v>
      </c>
    </row>
    <row r="119" spans="1:32">
      <c r="A119" t="s">
        <v>727</v>
      </c>
      <c r="B119" s="10">
        <v>45483</v>
      </c>
      <c r="C119" s="10">
        <v>45489</v>
      </c>
      <c r="D119">
        <f t="shared" si="10"/>
        <v>6</v>
      </c>
      <c r="E119" t="str">
        <f t="shared" si="11"/>
        <v>OK</v>
      </c>
      <c r="F119" t="s">
        <v>728</v>
      </c>
      <c r="G119" t="s">
        <v>127</v>
      </c>
      <c r="H119" t="s">
        <v>94</v>
      </c>
      <c r="I119" t="s">
        <v>62</v>
      </c>
      <c r="J119" t="s">
        <v>189</v>
      </c>
      <c r="K119" t="s">
        <v>190</v>
      </c>
      <c r="L119" t="s">
        <v>40</v>
      </c>
      <c r="M119" t="s">
        <v>157</v>
      </c>
      <c r="N119" t="s">
        <v>729</v>
      </c>
      <c r="O119" t="s">
        <v>30</v>
      </c>
      <c r="P119">
        <v>2</v>
      </c>
      <c r="Q119">
        <v>1095.45</v>
      </c>
      <c r="R119">
        <v>0.2</v>
      </c>
      <c r="S119" t="str">
        <f t="shared" si="12"/>
        <v>OK</v>
      </c>
      <c r="T119">
        <v>1752.72</v>
      </c>
      <c r="U119">
        <v>996.41</v>
      </c>
      <c r="V119">
        <v>756.31</v>
      </c>
      <c r="W119" t="s">
        <v>31</v>
      </c>
      <c r="X119" t="s">
        <v>32</v>
      </c>
      <c r="Y119" t="str">
        <f>IF(COUNTIF($A$2:$A$901,A119)&gt;1,
  IF(COUNTIF($A$2:A119,A119)=1,
    " ORIGINAL",
    "CONFLICTING DUPLICATE - REVIEW"),
"OK")</f>
        <v>OK</v>
      </c>
      <c r="Z119">
        <f t="shared" si="13"/>
        <v>0.2</v>
      </c>
      <c r="AA119">
        <f t="shared" si="14"/>
        <v>1752.72</v>
      </c>
      <c r="AB119">
        <f t="shared" si="15"/>
        <v>756.31</v>
      </c>
      <c r="AC119">
        <f t="shared" si="16"/>
        <v>0.43149999999999999</v>
      </c>
      <c r="AD119">
        <f t="shared" si="17"/>
        <v>7</v>
      </c>
      <c r="AE119">
        <f t="shared" si="18"/>
        <v>2024</v>
      </c>
      <c r="AF119" t="str">
        <f t="shared" si="19"/>
        <v>CLEAN</v>
      </c>
    </row>
    <row r="120" spans="1:32">
      <c r="A120" t="s">
        <v>736</v>
      </c>
      <c r="B120" s="10">
        <v>45366</v>
      </c>
      <c r="C120" s="10">
        <v>45369</v>
      </c>
      <c r="D120">
        <f t="shared" si="10"/>
        <v>3</v>
      </c>
      <c r="E120" t="str">
        <f t="shared" si="11"/>
        <v>OK</v>
      </c>
      <c r="F120" t="s">
        <v>737</v>
      </c>
      <c r="G120" t="s">
        <v>263</v>
      </c>
      <c r="H120" t="s">
        <v>94</v>
      </c>
      <c r="I120" t="s">
        <v>53</v>
      </c>
      <c r="J120" t="s">
        <v>174</v>
      </c>
      <c r="K120" t="s">
        <v>175</v>
      </c>
      <c r="L120" t="s">
        <v>73</v>
      </c>
      <c r="M120" t="s">
        <v>273</v>
      </c>
      <c r="N120" t="s">
        <v>738</v>
      </c>
      <c r="O120" t="s">
        <v>30</v>
      </c>
      <c r="P120">
        <v>1</v>
      </c>
      <c r="Q120">
        <v>4131.3599999999997</v>
      </c>
      <c r="R120">
        <v>0</v>
      </c>
      <c r="S120" t="str">
        <f t="shared" si="12"/>
        <v>OK</v>
      </c>
      <c r="T120">
        <v>4131.3599999999997</v>
      </c>
      <c r="U120">
        <v>2937.07</v>
      </c>
      <c r="V120">
        <v>1194.29</v>
      </c>
      <c r="W120" t="s">
        <v>154</v>
      </c>
      <c r="X120" t="s">
        <v>102</v>
      </c>
      <c r="Y120" t="str">
        <f>IF(COUNTIF($A$2:$A$901,A120)&gt;1,
  IF(COUNTIF($A$2:A120,A120)=1,
    " ORIGINAL",
    "CONFLICTING DUPLICATE - REVIEW"),
"OK")</f>
        <v>OK</v>
      </c>
      <c r="Z120">
        <f t="shared" si="13"/>
        <v>0</v>
      </c>
      <c r="AA120">
        <f t="shared" si="14"/>
        <v>4131.3599999999997</v>
      </c>
      <c r="AB120">
        <f t="shared" si="15"/>
        <v>1194.29</v>
      </c>
      <c r="AC120">
        <f t="shared" si="16"/>
        <v>0.28910000000000002</v>
      </c>
      <c r="AD120">
        <f t="shared" si="17"/>
        <v>3</v>
      </c>
      <c r="AE120">
        <f t="shared" si="18"/>
        <v>2024</v>
      </c>
      <c r="AF120" t="str">
        <f t="shared" si="19"/>
        <v>INVALID</v>
      </c>
    </row>
    <row r="121" spans="1:32">
      <c r="A121" t="s">
        <v>739</v>
      </c>
      <c r="B121" s="10">
        <v>45428</v>
      </c>
      <c r="C121" s="10">
        <v>45429</v>
      </c>
      <c r="D121">
        <f t="shared" si="10"/>
        <v>1</v>
      </c>
      <c r="E121" t="str">
        <f t="shared" si="11"/>
        <v>OK</v>
      </c>
      <c r="F121" t="s">
        <v>740</v>
      </c>
      <c r="G121" t="s">
        <v>140</v>
      </c>
      <c r="H121" t="s">
        <v>89</v>
      </c>
      <c r="I121" t="s">
        <v>37</v>
      </c>
      <c r="J121" t="s">
        <v>98</v>
      </c>
      <c r="K121" t="s">
        <v>99</v>
      </c>
      <c r="L121" t="s">
        <v>73</v>
      </c>
      <c r="M121" t="s">
        <v>79</v>
      </c>
      <c r="N121" t="s">
        <v>741</v>
      </c>
      <c r="O121" t="s">
        <v>30</v>
      </c>
      <c r="P121">
        <v>8</v>
      </c>
      <c r="Q121">
        <v>4221.95</v>
      </c>
      <c r="R121">
        <v>0.2</v>
      </c>
      <c r="S121" t="str">
        <f t="shared" si="12"/>
        <v>OK</v>
      </c>
      <c r="T121">
        <v>27020.48</v>
      </c>
      <c r="U121">
        <v>22885.24</v>
      </c>
      <c r="V121">
        <v>4135.24</v>
      </c>
      <c r="W121" t="s">
        <v>31</v>
      </c>
      <c r="X121" t="s">
        <v>32</v>
      </c>
      <c r="Y121" t="str">
        <f>IF(COUNTIF($A$2:$A$901,A121)&gt;1,
  IF(COUNTIF($A$2:A121,A121)=1,
    " ORIGINAL",
    "CONFLICTING DUPLICATE - REVIEW"),
"OK")</f>
        <v>OK</v>
      </c>
      <c r="Z121">
        <f t="shared" si="13"/>
        <v>0.2</v>
      </c>
      <c r="AA121">
        <f t="shared" si="14"/>
        <v>27020.48</v>
      </c>
      <c r="AB121">
        <f t="shared" si="15"/>
        <v>4135.24</v>
      </c>
      <c r="AC121">
        <f t="shared" si="16"/>
        <v>0.153</v>
      </c>
      <c r="AD121">
        <f t="shared" si="17"/>
        <v>5</v>
      </c>
      <c r="AE121">
        <f t="shared" si="18"/>
        <v>2024</v>
      </c>
      <c r="AF121" t="str">
        <f t="shared" si="19"/>
        <v>CLEAN</v>
      </c>
    </row>
    <row r="122" spans="1:32">
      <c r="A122" t="s">
        <v>742</v>
      </c>
      <c r="B122" s="10">
        <v>45556</v>
      </c>
      <c r="C122" s="10">
        <v>45556</v>
      </c>
      <c r="D122">
        <f t="shared" si="10"/>
        <v>0</v>
      </c>
      <c r="E122" t="str">
        <f t="shared" si="11"/>
        <v>OK</v>
      </c>
      <c r="F122" t="s">
        <v>743</v>
      </c>
      <c r="G122" t="s">
        <v>61</v>
      </c>
      <c r="H122" t="s">
        <v>36</v>
      </c>
      <c r="I122" t="s">
        <v>37</v>
      </c>
      <c r="J122" t="s">
        <v>38</v>
      </c>
      <c r="K122" t="s">
        <v>39</v>
      </c>
      <c r="L122" t="s">
        <v>73</v>
      </c>
      <c r="M122" t="s">
        <v>170</v>
      </c>
      <c r="N122" t="s">
        <v>744</v>
      </c>
      <c r="O122" t="s">
        <v>43</v>
      </c>
      <c r="P122">
        <v>2</v>
      </c>
      <c r="Q122">
        <v>214.5</v>
      </c>
      <c r="R122">
        <v>0.15</v>
      </c>
      <c r="S122" t="str">
        <f t="shared" si="12"/>
        <v>OK</v>
      </c>
      <c r="T122">
        <v>364.65</v>
      </c>
      <c r="U122">
        <v>280.74</v>
      </c>
      <c r="V122">
        <v>83.91</v>
      </c>
      <c r="W122" t="s">
        <v>31</v>
      </c>
      <c r="X122" t="s">
        <v>32</v>
      </c>
      <c r="Y122" t="str">
        <f>IF(COUNTIF($A$2:$A$901,A122)&gt;1,
  IF(COUNTIF($A$2:A122,A122)=1,
    " ORIGINAL",
    "CONFLICTING DUPLICATE - REVIEW"),
"OK")</f>
        <v>OK</v>
      </c>
      <c r="Z122">
        <f t="shared" si="13"/>
        <v>0.15</v>
      </c>
      <c r="AA122">
        <f t="shared" si="14"/>
        <v>364.65</v>
      </c>
      <c r="AB122">
        <f t="shared" si="15"/>
        <v>83.91</v>
      </c>
      <c r="AC122">
        <f t="shared" si="16"/>
        <v>0.2301</v>
      </c>
      <c r="AD122">
        <f t="shared" si="17"/>
        <v>9</v>
      </c>
      <c r="AE122">
        <f t="shared" si="18"/>
        <v>2024</v>
      </c>
      <c r="AF122" t="str">
        <f t="shared" si="19"/>
        <v>CLEAN</v>
      </c>
    </row>
    <row r="123" spans="1:32">
      <c r="A123" t="s">
        <v>745</v>
      </c>
      <c r="B123" s="10">
        <v>45427</v>
      </c>
      <c r="C123" s="10">
        <v>45433</v>
      </c>
      <c r="D123">
        <f t="shared" si="10"/>
        <v>6</v>
      </c>
      <c r="E123" t="str">
        <f t="shared" si="11"/>
        <v>OK</v>
      </c>
      <c r="F123" t="s">
        <v>746</v>
      </c>
      <c r="G123" t="s">
        <v>46</v>
      </c>
      <c r="H123" t="s">
        <v>36</v>
      </c>
      <c r="I123" t="s">
        <v>37</v>
      </c>
      <c r="J123" t="s">
        <v>144</v>
      </c>
      <c r="K123" t="s">
        <v>145</v>
      </c>
      <c r="L123" t="s">
        <v>73</v>
      </c>
      <c r="M123" t="s">
        <v>74</v>
      </c>
      <c r="N123" t="s">
        <v>747</v>
      </c>
      <c r="O123" t="s">
        <v>30</v>
      </c>
      <c r="P123">
        <v>4</v>
      </c>
      <c r="Q123">
        <v>4332.7299999999996</v>
      </c>
      <c r="R123">
        <v>0.2</v>
      </c>
      <c r="S123" t="str">
        <f t="shared" si="12"/>
        <v>OK</v>
      </c>
      <c r="T123">
        <v>13864.74</v>
      </c>
      <c r="U123">
        <v>11294.06</v>
      </c>
      <c r="V123">
        <v>2570.6799999999998</v>
      </c>
      <c r="W123" t="s">
        <v>31</v>
      </c>
      <c r="X123" t="s">
        <v>32</v>
      </c>
      <c r="Y123" t="str">
        <f>IF(COUNTIF($A$2:$A$901,A123)&gt;1,
  IF(COUNTIF($A$2:A123,A123)=1,
    " ORIGINAL",
    "CONFLICTING DUPLICATE - REVIEW"),
"OK")</f>
        <v>OK</v>
      </c>
      <c r="Z123">
        <f t="shared" si="13"/>
        <v>0.2</v>
      </c>
      <c r="AA123">
        <f t="shared" si="14"/>
        <v>13864.74</v>
      </c>
      <c r="AB123">
        <f t="shared" si="15"/>
        <v>2570.6799999999998</v>
      </c>
      <c r="AC123">
        <f t="shared" si="16"/>
        <v>0.18540000000000001</v>
      </c>
      <c r="AD123">
        <f t="shared" si="17"/>
        <v>5</v>
      </c>
      <c r="AE123">
        <f t="shared" si="18"/>
        <v>2024</v>
      </c>
      <c r="AF123" t="str">
        <f t="shared" si="19"/>
        <v>CLEAN</v>
      </c>
    </row>
    <row r="124" spans="1:32">
      <c r="A124" t="s">
        <v>748</v>
      </c>
      <c r="B124" s="10">
        <v>45368</v>
      </c>
      <c r="C124" s="10">
        <v>45374</v>
      </c>
      <c r="D124">
        <f t="shared" si="10"/>
        <v>6</v>
      </c>
      <c r="E124" t="str">
        <f t="shared" si="11"/>
        <v>OK</v>
      </c>
      <c r="F124" t="s">
        <v>749</v>
      </c>
      <c r="G124" t="s">
        <v>117</v>
      </c>
      <c r="H124" t="s">
        <v>23</v>
      </c>
      <c r="I124" t="s">
        <v>24</v>
      </c>
      <c r="J124" t="s">
        <v>235</v>
      </c>
      <c r="K124" t="s">
        <v>236</v>
      </c>
      <c r="L124" t="s">
        <v>73</v>
      </c>
      <c r="M124" t="s">
        <v>74</v>
      </c>
      <c r="N124" t="s">
        <v>750</v>
      </c>
      <c r="O124" t="s">
        <v>49</v>
      </c>
      <c r="P124">
        <v>3</v>
      </c>
      <c r="Q124">
        <v>248.18</v>
      </c>
      <c r="R124">
        <v>0.05</v>
      </c>
      <c r="S124" t="str">
        <f t="shared" si="12"/>
        <v>OK</v>
      </c>
      <c r="T124">
        <v>707.31</v>
      </c>
      <c r="U124">
        <v>569</v>
      </c>
      <c r="V124">
        <v>138.31</v>
      </c>
      <c r="W124" t="s">
        <v>31</v>
      </c>
      <c r="X124" t="s">
        <v>32</v>
      </c>
      <c r="Y124" t="str">
        <f>IF(COUNTIF($A$2:$A$901,A124)&gt;1,
  IF(COUNTIF($A$2:A124,A124)=1,
    " ORIGINAL",
    "CONFLICTING DUPLICATE - REVIEW"),
"OK")</f>
        <v>OK</v>
      </c>
      <c r="Z124">
        <f t="shared" si="13"/>
        <v>0.05</v>
      </c>
      <c r="AA124">
        <f t="shared" si="14"/>
        <v>707.31</v>
      </c>
      <c r="AB124">
        <f t="shared" si="15"/>
        <v>138.31</v>
      </c>
      <c r="AC124">
        <f t="shared" si="16"/>
        <v>0.19550000000000001</v>
      </c>
      <c r="AD124">
        <f t="shared" si="17"/>
        <v>3</v>
      </c>
      <c r="AE124">
        <f t="shared" si="18"/>
        <v>2024</v>
      </c>
      <c r="AF124" t="str">
        <f t="shared" si="19"/>
        <v>CLEAN</v>
      </c>
    </row>
    <row r="125" spans="1:32">
      <c r="A125" t="s">
        <v>751</v>
      </c>
      <c r="B125" s="10">
        <v>45294</v>
      </c>
      <c r="C125" s="10">
        <v>45355</v>
      </c>
      <c r="D125">
        <f t="shared" si="10"/>
        <v>61</v>
      </c>
      <c r="E125" t="str">
        <f t="shared" si="11"/>
        <v>OK</v>
      </c>
      <c r="F125" t="s">
        <v>752</v>
      </c>
      <c r="G125" t="s">
        <v>35</v>
      </c>
      <c r="H125" t="s">
        <v>23</v>
      </c>
      <c r="I125" t="s">
        <v>62</v>
      </c>
      <c r="J125" t="s">
        <v>71</v>
      </c>
      <c r="K125" t="s">
        <v>72</v>
      </c>
      <c r="L125" t="s">
        <v>27</v>
      </c>
      <c r="M125" t="s">
        <v>28</v>
      </c>
      <c r="N125" t="s">
        <v>753</v>
      </c>
      <c r="O125" t="s">
        <v>49</v>
      </c>
      <c r="P125">
        <v>8</v>
      </c>
      <c r="Q125">
        <v>3202.4</v>
      </c>
      <c r="R125">
        <v>0.25</v>
      </c>
      <c r="S125" t="str">
        <f t="shared" si="12"/>
        <v>OK</v>
      </c>
      <c r="T125">
        <v>19214.400000000001</v>
      </c>
      <c r="U125">
        <v>10916.01</v>
      </c>
      <c r="V125">
        <v>8298.39</v>
      </c>
      <c r="W125" t="s">
        <v>31</v>
      </c>
      <c r="X125" t="s">
        <v>32</v>
      </c>
      <c r="Y125" t="str">
        <f>IF(COUNTIF($A$2:$A$901,A125)&gt;1,
  IF(COUNTIF($A$2:A125,A125)=1,
    " ORIGINAL",
    "CONFLICTING DUPLICATE - REVIEW"),
"OK")</f>
        <v>OK</v>
      </c>
      <c r="Z125">
        <f t="shared" si="13"/>
        <v>0.25</v>
      </c>
      <c r="AA125">
        <f t="shared" si="14"/>
        <v>19214.400000000001</v>
      </c>
      <c r="AB125">
        <f t="shared" si="15"/>
        <v>8298.39</v>
      </c>
      <c r="AC125">
        <f t="shared" si="16"/>
        <v>0.43190000000000001</v>
      </c>
      <c r="AD125">
        <f t="shared" si="17"/>
        <v>1</v>
      </c>
      <c r="AE125">
        <f t="shared" si="18"/>
        <v>2024</v>
      </c>
      <c r="AF125" t="str">
        <f t="shared" si="19"/>
        <v>CLEAN</v>
      </c>
    </row>
    <row r="126" spans="1:32">
      <c r="A126" t="s">
        <v>763</v>
      </c>
      <c r="B126" s="10">
        <v>45461</v>
      </c>
      <c r="C126" s="10">
        <v>45462</v>
      </c>
      <c r="D126">
        <f t="shared" si="10"/>
        <v>1</v>
      </c>
      <c r="E126" t="str">
        <f t="shared" si="11"/>
        <v>OK</v>
      </c>
      <c r="F126" t="s">
        <v>764</v>
      </c>
      <c r="G126" t="s">
        <v>117</v>
      </c>
      <c r="H126" t="s">
        <v>23</v>
      </c>
      <c r="I126" t="s">
        <v>37</v>
      </c>
      <c r="J126" t="s">
        <v>144</v>
      </c>
      <c r="K126" t="s">
        <v>145</v>
      </c>
      <c r="L126" t="s">
        <v>73</v>
      </c>
      <c r="M126" t="s">
        <v>273</v>
      </c>
      <c r="N126" t="s">
        <v>765</v>
      </c>
      <c r="O126" t="s">
        <v>49</v>
      </c>
      <c r="P126">
        <v>2</v>
      </c>
      <c r="Q126">
        <v>121.49</v>
      </c>
      <c r="R126" t="s">
        <v>766</v>
      </c>
      <c r="S126" t="str">
        <f t="shared" si="12"/>
        <v>INVALID-ABOVE</v>
      </c>
      <c r="T126">
        <v>242.98</v>
      </c>
      <c r="U126">
        <v>161.41999999999999</v>
      </c>
      <c r="V126">
        <v>81.56</v>
      </c>
      <c r="W126" t="s">
        <v>31</v>
      </c>
      <c r="X126" t="s">
        <v>32</v>
      </c>
      <c r="Y126" t="str">
        <f>IF(COUNTIF($A$2:$A$901,A126)&gt;1,
  IF(COUNTIF($A$2:A126,A126)=1,
    " ORIGINAL",
    "CONFLICTING DUPLICATE - REVIEW"),
"OK")</f>
        <v>OK</v>
      </c>
      <c r="Z126">
        <f t="shared" si="13"/>
        <v>0.85</v>
      </c>
      <c r="AA126">
        <f t="shared" si="14"/>
        <v>36.450000000000003</v>
      </c>
      <c r="AB126">
        <f t="shared" si="15"/>
        <v>-124.97</v>
      </c>
      <c r="AC126">
        <f t="shared" si="16"/>
        <v>-3.4285000000000001</v>
      </c>
      <c r="AD126">
        <f t="shared" si="17"/>
        <v>6</v>
      </c>
      <c r="AE126">
        <f t="shared" si="18"/>
        <v>2024</v>
      </c>
      <c r="AF126" t="str">
        <f t="shared" si="19"/>
        <v>INVALID</v>
      </c>
    </row>
    <row r="127" spans="1:32">
      <c r="A127" t="s">
        <v>767</v>
      </c>
      <c r="B127" s="10">
        <v>45538</v>
      </c>
      <c r="C127" s="10">
        <v>45538</v>
      </c>
      <c r="D127">
        <f t="shared" si="10"/>
        <v>0</v>
      </c>
      <c r="E127" t="str">
        <f t="shared" si="11"/>
        <v>OK</v>
      </c>
      <c r="F127" t="s">
        <v>768</v>
      </c>
      <c r="G127" t="s">
        <v>131</v>
      </c>
      <c r="H127" t="s">
        <v>23</v>
      </c>
      <c r="I127" t="s">
        <v>53</v>
      </c>
      <c r="J127" t="s">
        <v>184</v>
      </c>
      <c r="K127" t="s">
        <v>185</v>
      </c>
      <c r="L127" t="s">
        <v>27</v>
      </c>
      <c r="M127" t="s">
        <v>123</v>
      </c>
      <c r="N127" t="s">
        <v>769</v>
      </c>
      <c r="O127" t="s">
        <v>49</v>
      </c>
      <c r="P127">
        <v>4</v>
      </c>
      <c r="Q127">
        <v>2810.17</v>
      </c>
      <c r="R127">
        <v>0.15</v>
      </c>
      <c r="S127" t="str">
        <f t="shared" si="12"/>
        <v>OK</v>
      </c>
      <c r="T127">
        <v>9554.58</v>
      </c>
      <c r="U127">
        <v>6068.47</v>
      </c>
      <c r="V127">
        <v>3486.11</v>
      </c>
      <c r="W127" t="s">
        <v>101</v>
      </c>
      <c r="X127" t="s">
        <v>67</v>
      </c>
      <c r="Y127" t="str">
        <f>IF(COUNTIF($A$2:$A$901,A127)&gt;1,
  IF(COUNTIF($A$2:A127,A127)=1,
    " ORIGINAL",
    "CONFLICTING DUPLICATE - REVIEW"),
"OK")</f>
        <v>OK</v>
      </c>
      <c r="Z127">
        <f t="shared" si="13"/>
        <v>0.15</v>
      </c>
      <c r="AA127">
        <f t="shared" si="14"/>
        <v>9554.58</v>
      </c>
      <c r="AB127">
        <f t="shared" si="15"/>
        <v>3486.11</v>
      </c>
      <c r="AC127">
        <f t="shared" si="16"/>
        <v>0.3649</v>
      </c>
      <c r="AD127">
        <f t="shared" si="17"/>
        <v>9</v>
      </c>
      <c r="AE127">
        <f t="shared" si="18"/>
        <v>2024</v>
      </c>
      <c r="AF127" t="str">
        <f t="shared" si="19"/>
        <v>CLEAN</v>
      </c>
    </row>
    <row r="128" spans="1:32">
      <c r="A128" t="s">
        <v>782</v>
      </c>
      <c r="B128" s="10">
        <v>45537</v>
      </c>
      <c r="C128" s="10">
        <v>45545</v>
      </c>
      <c r="D128">
        <f t="shared" si="10"/>
        <v>8</v>
      </c>
      <c r="E128" t="str">
        <f t="shared" si="11"/>
        <v>OK</v>
      </c>
      <c r="F128" t="s">
        <v>783</v>
      </c>
      <c r="G128" t="s">
        <v>35</v>
      </c>
      <c r="H128" t="s">
        <v>89</v>
      </c>
      <c r="I128" t="s">
        <v>62</v>
      </c>
      <c r="J128" t="s">
        <v>189</v>
      </c>
      <c r="K128" t="s">
        <v>190</v>
      </c>
      <c r="L128" t="s">
        <v>73</v>
      </c>
      <c r="M128" t="s">
        <v>170</v>
      </c>
      <c r="N128" t="s">
        <v>784</v>
      </c>
      <c r="O128" t="s">
        <v>58</v>
      </c>
      <c r="P128">
        <v>6</v>
      </c>
      <c r="Q128">
        <v>1032.47</v>
      </c>
      <c r="R128">
        <v>0.15</v>
      </c>
      <c r="S128" t="str">
        <f t="shared" si="12"/>
        <v>OK</v>
      </c>
      <c r="T128">
        <v>5265.6</v>
      </c>
      <c r="U128">
        <v>4293.1099999999997</v>
      </c>
      <c r="V128">
        <v>787.57</v>
      </c>
      <c r="W128" t="s">
        <v>31</v>
      </c>
      <c r="X128" t="s">
        <v>32</v>
      </c>
      <c r="Y128" t="str">
        <f>IF(COUNTIF($A$2:$A$901,A128)&gt;1,
  IF(COUNTIF($A$2:A128,A128)=1,
    " ORIGINAL",
    "CONFLICTING DUPLICATE - REVIEW"),
"OK")</f>
        <v>OK</v>
      </c>
      <c r="Z128">
        <f t="shared" si="13"/>
        <v>0.15</v>
      </c>
      <c r="AA128">
        <f t="shared" si="14"/>
        <v>5265.6</v>
      </c>
      <c r="AB128">
        <f t="shared" si="15"/>
        <v>972.49</v>
      </c>
      <c r="AC128">
        <f t="shared" si="16"/>
        <v>0.1847</v>
      </c>
      <c r="AD128">
        <f t="shared" si="17"/>
        <v>9</v>
      </c>
      <c r="AE128">
        <f t="shared" si="18"/>
        <v>2024</v>
      </c>
      <c r="AF128" t="str">
        <f t="shared" si="19"/>
        <v>CLEAN</v>
      </c>
    </row>
    <row r="129" spans="1:32">
      <c r="A129" t="s">
        <v>788</v>
      </c>
      <c r="B129" s="10">
        <v>45478</v>
      </c>
      <c r="C129" s="10">
        <v>45485</v>
      </c>
      <c r="D129">
        <f t="shared" si="10"/>
        <v>7</v>
      </c>
      <c r="E129" t="str">
        <f t="shared" si="11"/>
        <v>OK</v>
      </c>
      <c r="F129" t="s">
        <v>789</v>
      </c>
      <c r="G129" t="s">
        <v>61</v>
      </c>
      <c r="H129" t="s">
        <v>36</v>
      </c>
      <c r="I129" t="s">
        <v>62</v>
      </c>
      <c r="J129" t="s">
        <v>189</v>
      </c>
      <c r="K129" t="s">
        <v>190</v>
      </c>
      <c r="L129" t="s">
        <v>27</v>
      </c>
      <c r="M129" t="s">
        <v>152</v>
      </c>
      <c r="N129" t="s">
        <v>790</v>
      </c>
      <c r="O129" t="s">
        <v>49</v>
      </c>
      <c r="P129">
        <v>3</v>
      </c>
      <c r="Q129">
        <v>577.75</v>
      </c>
      <c r="R129">
        <v>0.15</v>
      </c>
      <c r="S129" t="str">
        <f t="shared" si="12"/>
        <v>OK</v>
      </c>
      <c r="T129">
        <v>1473.26</v>
      </c>
      <c r="U129">
        <v>899.86</v>
      </c>
      <c r="V129">
        <v>573.4</v>
      </c>
      <c r="W129" t="s">
        <v>31</v>
      </c>
      <c r="X129" t="s">
        <v>32</v>
      </c>
      <c r="Y129" t="str">
        <f>IF(COUNTIF($A$2:$A$901,A129)&gt;1,
  IF(COUNTIF($A$2:A129,A129)=1,
    " ORIGINAL",
    "CONFLICTING DUPLICATE - REVIEW"),
"OK")</f>
        <v>OK</v>
      </c>
      <c r="Z129">
        <f t="shared" si="13"/>
        <v>0.15</v>
      </c>
      <c r="AA129">
        <f t="shared" si="14"/>
        <v>1473.26</v>
      </c>
      <c r="AB129">
        <f t="shared" si="15"/>
        <v>573.4</v>
      </c>
      <c r="AC129">
        <f t="shared" si="16"/>
        <v>0.38919999999999999</v>
      </c>
      <c r="AD129">
        <f t="shared" si="17"/>
        <v>7</v>
      </c>
      <c r="AE129">
        <f t="shared" si="18"/>
        <v>2024</v>
      </c>
      <c r="AF129" t="str">
        <f t="shared" si="19"/>
        <v>CLEAN</v>
      </c>
    </row>
    <row r="130" spans="1:32">
      <c r="A130" t="s">
        <v>791</v>
      </c>
      <c r="B130" s="10">
        <v>45406</v>
      </c>
      <c r="C130" s="10">
        <v>45410</v>
      </c>
      <c r="D130">
        <f t="shared" ref="D130:D193" si="20">C130-B130</f>
        <v>4</v>
      </c>
      <c r="E130" t="str">
        <f t="shared" ref="E130:E193" si="21">IF(D130&lt;0,"INVALID","OK")</f>
        <v>OK</v>
      </c>
      <c r="F130" t="s">
        <v>792</v>
      </c>
      <c r="G130" t="s">
        <v>22</v>
      </c>
      <c r="H130" t="s">
        <v>36</v>
      </c>
      <c r="I130" t="s">
        <v>53</v>
      </c>
      <c r="J130" t="s">
        <v>54</v>
      </c>
      <c r="K130" t="s">
        <v>55</v>
      </c>
      <c r="L130" t="s">
        <v>27</v>
      </c>
      <c r="M130" t="s">
        <v>90</v>
      </c>
      <c r="N130" t="s">
        <v>793</v>
      </c>
      <c r="O130" t="s">
        <v>30</v>
      </c>
      <c r="P130">
        <v>1</v>
      </c>
      <c r="Q130">
        <v>3194.37</v>
      </c>
      <c r="R130">
        <v>0.15</v>
      </c>
      <c r="S130" t="str">
        <f t="shared" si="12"/>
        <v>OK</v>
      </c>
      <c r="T130">
        <v>2715.21</v>
      </c>
      <c r="U130">
        <v>1551.55</v>
      </c>
      <c r="V130">
        <v>1163.6600000000001</v>
      </c>
      <c r="W130" t="s">
        <v>31</v>
      </c>
      <c r="X130" t="s">
        <v>32</v>
      </c>
      <c r="Y130" t="str">
        <f>IF(COUNTIF($A$2:$A$901,A130)&gt;1,
  IF(COUNTIF($A$2:A130,A130)=1,
    " ORIGINAL",
    "CONFLICTING DUPLICATE - REVIEW"),
"OK")</f>
        <v>OK</v>
      </c>
      <c r="Z130">
        <f t="shared" si="13"/>
        <v>0.15</v>
      </c>
      <c r="AA130">
        <f t="shared" si="14"/>
        <v>2715.21</v>
      </c>
      <c r="AB130">
        <f t="shared" si="15"/>
        <v>1163.6600000000001</v>
      </c>
      <c r="AC130">
        <f t="shared" si="16"/>
        <v>0.42859999999999998</v>
      </c>
      <c r="AD130">
        <f t="shared" si="17"/>
        <v>4</v>
      </c>
      <c r="AE130">
        <f t="shared" si="18"/>
        <v>2024</v>
      </c>
      <c r="AF130" t="str">
        <f t="shared" si="19"/>
        <v>CLEAN</v>
      </c>
    </row>
    <row r="131" spans="1:32">
      <c r="A131" t="s">
        <v>797</v>
      </c>
      <c r="B131" s="10">
        <v>45440</v>
      </c>
      <c r="C131" s="10">
        <v>45357</v>
      </c>
      <c r="D131">
        <f t="shared" si="20"/>
        <v>-83</v>
      </c>
      <c r="E131" t="str">
        <f t="shared" si="21"/>
        <v>INVALID</v>
      </c>
      <c r="F131" t="s">
        <v>798</v>
      </c>
      <c r="G131" t="s">
        <v>78</v>
      </c>
      <c r="H131" t="s">
        <v>36</v>
      </c>
      <c r="I131" t="s">
        <v>24</v>
      </c>
      <c r="J131" t="s">
        <v>25</v>
      </c>
      <c r="K131" t="s">
        <v>26</v>
      </c>
      <c r="L131" t="s">
        <v>27</v>
      </c>
      <c r="M131" t="s">
        <v>28</v>
      </c>
      <c r="N131" t="s">
        <v>799</v>
      </c>
      <c r="O131" t="s">
        <v>58</v>
      </c>
      <c r="P131">
        <v>8</v>
      </c>
      <c r="Q131">
        <v>1540.33</v>
      </c>
      <c r="R131">
        <v>0.1</v>
      </c>
      <c r="S131" t="str">
        <f t="shared" ref="S131:S194" si="22">IF(R131&lt;0,"INVALID-NEGATIVE",IF(R131&gt;1,"INVALID-ABOVE","OK"))</f>
        <v>OK</v>
      </c>
      <c r="T131">
        <v>11090.38</v>
      </c>
      <c r="U131">
        <v>8840.9500000000007</v>
      </c>
      <c r="V131">
        <v>2249.4299999999998</v>
      </c>
      <c r="W131" t="s">
        <v>31</v>
      </c>
      <c r="X131" t="s">
        <v>32</v>
      </c>
      <c r="Y131" t="str">
        <f>IF(COUNTIF($A$2:$A$901,A131)&gt;1,
  IF(COUNTIF($A$2:A131,A131)=1,
    " ORIGINAL",
    "CONFLICTING DUPLICATE - REVIEW"),
"OK")</f>
        <v>OK</v>
      </c>
      <c r="Z131">
        <f t="shared" ref="Z131:Z194" si="23">IF(R131&lt;0, 0,
  IF(ISNUMBER(R131), R131,
    IFERROR(VALUE(SUBSTITUTE(R131,"%",""))/100, 0)))</f>
        <v>0.1</v>
      </c>
      <c r="AA131">
        <f t="shared" ref="AA131:AA194" si="24">ROUND(P131*Q131*(1-Z131),2)</f>
        <v>11090.38</v>
      </c>
      <c r="AB131">
        <f t="shared" ref="AB131:AB194" si="25">ROUND(AA131-U131,2)</f>
        <v>2249.4299999999998</v>
      </c>
      <c r="AC131">
        <f t="shared" ref="AC131:AC194" si="26">IFERROR(ROUND(AB131/AA131,4),0)</f>
        <v>0.20280000000000001</v>
      </c>
      <c r="AD131">
        <f t="shared" ref="AD131:AD194" si="27">IFERROR(MONTH(B131),"INVALID")</f>
        <v>5</v>
      </c>
      <c r="AE131">
        <f t="shared" ref="AE131:AE194" si="28">IFERROR(YEAR(B131),"INVALID")</f>
        <v>2024</v>
      </c>
      <c r="AF131" t="str">
        <f t="shared" ref="AF131:AF194" si="29">IF(OR(R131&lt;0,NOT(ISNUMBER(R131)),D131&lt;0,W131="Failed"),"INVALID",IF(OR(I131="Unknown",O131="Unknown",R131&gt;1,AA131&lt;0),"WARNING","CLEAN"))</f>
        <v>INVALID</v>
      </c>
    </row>
    <row r="132" spans="1:32">
      <c r="A132" t="s">
        <v>800</v>
      </c>
      <c r="B132" s="10">
        <v>45414</v>
      </c>
      <c r="C132" s="10">
        <v>45414</v>
      </c>
      <c r="D132">
        <f t="shared" si="20"/>
        <v>0</v>
      </c>
      <c r="E132" t="str">
        <f t="shared" si="21"/>
        <v>OK</v>
      </c>
      <c r="F132" t="s">
        <v>801</v>
      </c>
      <c r="G132" t="s">
        <v>61</v>
      </c>
      <c r="H132" t="s">
        <v>89</v>
      </c>
      <c r="I132" t="s">
        <v>24</v>
      </c>
      <c r="J132" t="s">
        <v>25</v>
      </c>
      <c r="K132" t="s">
        <v>26</v>
      </c>
      <c r="L132" t="s">
        <v>27</v>
      </c>
      <c r="M132" t="s">
        <v>90</v>
      </c>
      <c r="N132" t="s">
        <v>802</v>
      </c>
      <c r="O132" t="s">
        <v>49</v>
      </c>
      <c r="P132">
        <v>7</v>
      </c>
      <c r="Q132">
        <v>2183.38</v>
      </c>
      <c r="R132">
        <v>0.25</v>
      </c>
      <c r="S132" t="str">
        <f t="shared" si="22"/>
        <v>OK</v>
      </c>
      <c r="T132">
        <v>11462.74</v>
      </c>
      <c r="U132">
        <v>7163.54</v>
      </c>
      <c r="V132">
        <v>4299.2</v>
      </c>
      <c r="W132" t="s">
        <v>101</v>
      </c>
      <c r="X132" t="s">
        <v>67</v>
      </c>
      <c r="Y132" t="str">
        <f>IF(COUNTIF($A$2:$A$901,A132)&gt;1,
  IF(COUNTIF($A$2:A132,A132)=1,
    " ORIGINAL",
    "CONFLICTING DUPLICATE - REVIEW"),
"OK")</f>
        <v>OK</v>
      </c>
      <c r="Z132">
        <f t="shared" si="23"/>
        <v>0.25</v>
      </c>
      <c r="AA132">
        <f t="shared" si="24"/>
        <v>11462.75</v>
      </c>
      <c r="AB132">
        <f t="shared" si="25"/>
        <v>4299.21</v>
      </c>
      <c r="AC132">
        <f t="shared" si="26"/>
        <v>0.37509999999999999</v>
      </c>
      <c r="AD132">
        <f t="shared" si="27"/>
        <v>5</v>
      </c>
      <c r="AE132">
        <f t="shared" si="28"/>
        <v>2024</v>
      </c>
      <c r="AF132" t="str">
        <f t="shared" si="29"/>
        <v>CLEAN</v>
      </c>
    </row>
    <row r="133" spans="1:32">
      <c r="A133" t="s">
        <v>806</v>
      </c>
      <c r="B133" s="10">
        <v>45579</v>
      </c>
      <c r="C133" s="10">
        <v>45579</v>
      </c>
      <c r="D133">
        <f t="shared" si="20"/>
        <v>0</v>
      </c>
      <c r="E133" t="str">
        <f t="shared" si="21"/>
        <v>OK</v>
      </c>
      <c r="F133" t="s">
        <v>807</v>
      </c>
      <c r="G133" t="s">
        <v>70</v>
      </c>
      <c r="H133" t="s">
        <v>89</v>
      </c>
      <c r="I133" t="s">
        <v>53</v>
      </c>
      <c r="J133" t="s">
        <v>174</v>
      </c>
      <c r="K133" t="s">
        <v>175</v>
      </c>
      <c r="L133" t="s">
        <v>40</v>
      </c>
      <c r="M133" t="s">
        <v>157</v>
      </c>
      <c r="N133" t="s">
        <v>808</v>
      </c>
      <c r="O133" t="s">
        <v>2762</v>
      </c>
      <c r="P133">
        <v>8</v>
      </c>
      <c r="Q133">
        <v>3904.59</v>
      </c>
      <c r="R133">
        <v>0</v>
      </c>
      <c r="S133" t="str">
        <f t="shared" si="22"/>
        <v>OK</v>
      </c>
      <c r="T133">
        <v>31236.720000000001</v>
      </c>
      <c r="U133">
        <v>26377.7</v>
      </c>
      <c r="V133">
        <v>4859.0200000000004</v>
      </c>
      <c r="W133" t="s">
        <v>31</v>
      </c>
      <c r="X133" t="s">
        <v>32</v>
      </c>
      <c r="Y133" t="str">
        <f>IF(COUNTIF($A$2:$A$901,A133)&gt;1,
  IF(COUNTIF($A$2:A133,A133)=1,
    " ORIGINAL",
    "CONFLICTING DUPLICATE - REVIEW"),
"OK")</f>
        <v>OK</v>
      </c>
      <c r="Z133">
        <f t="shared" si="23"/>
        <v>0</v>
      </c>
      <c r="AA133">
        <f t="shared" si="24"/>
        <v>31236.720000000001</v>
      </c>
      <c r="AB133">
        <f t="shared" si="25"/>
        <v>4859.0200000000004</v>
      </c>
      <c r="AC133">
        <f t="shared" si="26"/>
        <v>0.15559999999999999</v>
      </c>
      <c r="AD133">
        <f t="shared" si="27"/>
        <v>10</v>
      </c>
      <c r="AE133">
        <f t="shared" si="28"/>
        <v>2024</v>
      </c>
      <c r="AF133" t="str">
        <f t="shared" si="29"/>
        <v>WARNING</v>
      </c>
    </row>
    <row r="134" spans="1:32">
      <c r="A134" t="s">
        <v>809</v>
      </c>
      <c r="B134" s="10">
        <v>45537</v>
      </c>
      <c r="C134" s="10">
        <v>45538</v>
      </c>
      <c r="D134">
        <f t="shared" si="20"/>
        <v>1</v>
      </c>
      <c r="E134" t="str">
        <f t="shared" si="21"/>
        <v>OK</v>
      </c>
      <c r="F134" t="s">
        <v>810</v>
      </c>
      <c r="G134" t="s">
        <v>263</v>
      </c>
      <c r="H134" t="s">
        <v>94</v>
      </c>
      <c r="I134" t="s">
        <v>24</v>
      </c>
      <c r="J134" t="s">
        <v>349</v>
      </c>
      <c r="K134" t="s">
        <v>350</v>
      </c>
      <c r="L134" t="s">
        <v>40</v>
      </c>
      <c r="M134" t="s">
        <v>56</v>
      </c>
      <c r="N134" t="s">
        <v>811</v>
      </c>
      <c r="O134" t="s">
        <v>49</v>
      </c>
      <c r="P134">
        <v>9</v>
      </c>
      <c r="Q134">
        <v>1353.61</v>
      </c>
      <c r="R134">
        <v>0.1</v>
      </c>
      <c r="S134" t="str">
        <f t="shared" si="22"/>
        <v>OK</v>
      </c>
      <c r="T134">
        <v>10964.24</v>
      </c>
      <c r="U134">
        <v>9262.4699999999993</v>
      </c>
      <c r="V134">
        <v>1701.77</v>
      </c>
      <c r="W134" t="s">
        <v>31</v>
      </c>
      <c r="X134" t="s">
        <v>32</v>
      </c>
      <c r="Y134" t="str">
        <f>IF(COUNTIF($A$2:$A$901,A134)&gt;1,
  IF(COUNTIF($A$2:A134,A134)=1,
    " ORIGINAL",
    "CONFLICTING DUPLICATE - REVIEW"),
"OK")</f>
        <v>OK</v>
      </c>
      <c r="Z134">
        <f t="shared" si="23"/>
        <v>0.1</v>
      </c>
      <c r="AA134">
        <f t="shared" si="24"/>
        <v>10964.24</v>
      </c>
      <c r="AB134">
        <f t="shared" si="25"/>
        <v>1701.77</v>
      </c>
      <c r="AC134">
        <f t="shared" si="26"/>
        <v>0.1552</v>
      </c>
      <c r="AD134">
        <f t="shared" si="27"/>
        <v>9</v>
      </c>
      <c r="AE134">
        <f t="shared" si="28"/>
        <v>2024</v>
      </c>
      <c r="AF134" t="str">
        <f t="shared" si="29"/>
        <v>CLEAN</v>
      </c>
    </row>
    <row r="135" spans="1:32">
      <c r="A135" t="s">
        <v>812</v>
      </c>
      <c r="B135" s="10">
        <v>45598</v>
      </c>
      <c r="C135" s="10">
        <v>45599</v>
      </c>
      <c r="D135">
        <f t="shared" si="20"/>
        <v>1</v>
      </c>
      <c r="E135" t="str">
        <f t="shared" si="21"/>
        <v>OK</v>
      </c>
      <c r="F135" t="s">
        <v>813</v>
      </c>
      <c r="G135" t="s">
        <v>117</v>
      </c>
      <c r="H135" t="s">
        <v>36</v>
      </c>
      <c r="I135" t="s">
        <v>62</v>
      </c>
      <c r="J135" t="s">
        <v>25</v>
      </c>
      <c r="K135" t="s">
        <v>108</v>
      </c>
      <c r="L135" t="s">
        <v>27</v>
      </c>
      <c r="M135" t="s">
        <v>123</v>
      </c>
      <c r="N135" t="s">
        <v>814</v>
      </c>
      <c r="O135" t="s">
        <v>58</v>
      </c>
      <c r="P135">
        <v>6</v>
      </c>
      <c r="Q135">
        <v>2671.29</v>
      </c>
      <c r="R135">
        <v>0.05</v>
      </c>
      <c r="S135" t="str">
        <f t="shared" si="22"/>
        <v>OK</v>
      </c>
      <c r="T135">
        <v>15226.35</v>
      </c>
      <c r="U135">
        <v>11145.28</v>
      </c>
      <c r="V135">
        <v>4081.07</v>
      </c>
      <c r="W135" t="s">
        <v>31</v>
      </c>
      <c r="X135" t="s">
        <v>32</v>
      </c>
      <c r="Y135" t="str">
        <f>IF(COUNTIF($A$2:$A$901,A135)&gt;1,
  IF(COUNTIF($A$2:A135,A135)=1,
    " ORIGINAL",
    "CONFLICTING DUPLICATE - REVIEW"),
"OK")</f>
        <v>OK</v>
      </c>
      <c r="Z135">
        <f t="shared" si="23"/>
        <v>0.05</v>
      </c>
      <c r="AA135">
        <f t="shared" si="24"/>
        <v>15226.35</v>
      </c>
      <c r="AB135">
        <f t="shared" si="25"/>
        <v>4081.07</v>
      </c>
      <c r="AC135">
        <f t="shared" si="26"/>
        <v>0.26800000000000002</v>
      </c>
      <c r="AD135">
        <f t="shared" si="27"/>
        <v>11</v>
      </c>
      <c r="AE135">
        <f t="shared" si="28"/>
        <v>2024</v>
      </c>
      <c r="AF135" t="str">
        <f t="shared" si="29"/>
        <v>CLEAN</v>
      </c>
    </row>
    <row r="136" spans="1:32">
      <c r="A136" t="s">
        <v>815</v>
      </c>
      <c r="B136" s="10">
        <v>45579</v>
      </c>
      <c r="C136" s="10">
        <v>45586</v>
      </c>
      <c r="D136">
        <f t="shared" si="20"/>
        <v>7</v>
      </c>
      <c r="E136" t="str">
        <f t="shared" si="21"/>
        <v>OK</v>
      </c>
      <c r="F136" t="s">
        <v>816</v>
      </c>
      <c r="G136" t="s">
        <v>113</v>
      </c>
      <c r="H136" t="s">
        <v>89</v>
      </c>
      <c r="I136" t="s">
        <v>24</v>
      </c>
      <c r="J136" t="s">
        <v>135</v>
      </c>
      <c r="K136" t="s">
        <v>136</v>
      </c>
      <c r="L136" t="s">
        <v>40</v>
      </c>
      <c r="M136" t="s">
        <v>157</v>
      </c>
      <c r="N136" t="s">
        <v>817</v>
      </c>
      <c r="O136" t="s">
        <v>49</v>
      </c>
      <c r="P136">
        <v>6</v>
      </c>
      <c r="Q136">
        <v>4062.78</v>
      </c>
      <c r="R136">
        <v>0</v>
      </c>
      <c r="S136" t="str">
        <f t="shared" si="22"/>
        <v>OK</v>
      </c>
      <c r="T136">
        <v>24376.68</v>
      </c>
      <c r="U136">
        <v>18533.39</v>
      </c>
      <c r="V136">
        <v>5843.29</v>
      </c>
      <c r="W136" t="s">
        <v>31</v>
      </c>
      <c r="X136" t="s">
        <v>32</v>
      </c>
      <c r="Y136" t="str">
        <f>IF(COUNTIF($A$2:$A$901,A136)&gt;1,
  IF(COUNTIF($A$2:A136,A136)=1,
    " ORIGINAL",
    "CONFLICTING DUPLICATE - REVIEW"),
"OK")</f>
        <v>OK</v>
      </c>
      <c r="Z136">
        <f t="shared" si="23"/>
        <v>0</v>
      </c>
      <c r="AA136">
        <f t="shared" si="24"/>
        <v>24376.68</v>
      </c>
      <c r="AB136">
        <f t="shared" si="25"/>
        <v>5843.29</v>
      </c>
      <c r="AC136">
        <f t="shared" si="26"/>
        <v>0.2397</v>
      </c>
      <c r="AD136">
        <f t="shared" si="27"/>
        <v>10</v>
      </c>
      <c r="AE136">
        <f t="shared" si="28"/>
        <v>2024</v>
      </c>
      <c r="AF136" t="str">
        <f t="shared" si="29"/>
        <v>CLEAN</v>
      </c>
    </row>
    <row r="137" spans="1:32">
      <c r="A137" t="s">
        <v>818</v>
      </c>
      <c r="B137" s="10">
        <v>45531</v>
      </c>
      <c r="C137" s="10">
        <v>45531</v>
      </c>
      <c r="D137">
        <f t="shared" si="20"/>
        <v>0</v>
      </c>
      <c r="E137" t="str">
        <f t="shared" si="21"/>
        <v>OK</v>
      </c>
      <c r="F137" t="s">
        <v>819</v>
      </c>
      <c r="G137" t="s">
        <v>35</v>
      </c>
      <c r="H137" t="s">
        <v>23</v>
      </c>
      <c r="I137" t="s">
        <v>24</v>
      </c>
      <c r="J137" t="s">
        <v>235</v>
      </c>
      <c r="K137" t="s">
        <v>236</v>
      </c>
      <c r="L137" t="s">
        <v>73</v>
      </c>
      <c r="M137" t="s">
        <v>79</v>
      </c>
      <c r="N137" t="s">
        <v>820</v>
      </c>
      <c r="O137" t="s">
        <v>58</v>
      </c>
      <c r="P137">
        <v>9</v>
      </c>
      <c r="Q137">
        <v>2330.3000000000002</v>
      </c>
      <c r="R137">
        <v>0</v>
      </c>
      <c r="S137" t="str">
        <f t="shared" si="22"/>
        <v>OK</v>
      </c>
      <c r="T137">
        <v>20972.7</v>
      </c>
      <c r="U137">
        <v>13504.88</v>
      </c>
      <c r="V137">
        <v>7467.82</v>
      </c>
      <c r="W137" t="s">
        <v>31</v>
      </c>
      <c r="X137" t="s">
        <v>32</v>
      </c>
      <c r="Y137" t="str">
        <f>IF(COUNTIF($A$2:$A$901,A137)&gt;1,
  IF(COUNTIF($A$2:A137,A137)=1,
    " ORIGINAL",
    "CONFLICTING DUPLICATE - REVIEW"),
"OK")</f>
        <v>OK</v>
      </c>
      <c r="Z137">
        <f t="shared" si="23"/>
        <v>0</v>
      </c>
      <c r="AA137">
        <f t="shared" si="24"/>
        <v>20972.7</v>
      </c>
      <c r="AB137">
        <f t="shared" si="25"/>
        <v>7467.82</v>
      </c>
      <c r="AC137">
        <f t="shared" si="26"/>
        <v>0.35610000000000003</v>
      </c>
      <c r="AD137">
        <f t="shared" si="27"/>
        <v>8</v>
      </c>
      <c r="AE137">
        <f t="shared" si="28"/>
        <v>2024</v>
      </c>
      <c r="AF137" t="str">
        <f t="shared" si="29"/>
        <v>CLEAN</v>
      </c>
    </row>
    <row r="138" spans="1:32">
      <c r="A138" t="s">
        <v>821</v>
      </c>
      <c r="B138" s="10">
        <v>45303</v>
      </c>
      <c r="C138" s="10">
        <v>45308</v>
      </c>
      <c r="D138">
        <f t="shared" si="20"/>
        <v>5</v>
      </c>
      <c r="E138" t="str">
        <f t="shared" si="21"/>
        <v>OK</v>
      </c>
      <c r="F138" t="s">
        <v>822</v>
      </c>
      <c r="G138" t="s">
        <v>52</v>
      </c>
      <c r="H138" t="s">
        <v>23</v>
      </c>
      <c r="I138" t="s">
        <v>53</v>
      </c>
      <c r="J138" t="s">
        <v>83</v>
      </c>
      <c r="K138" t="s">
        <v>84</v>
      </c>
      <c r="L138" t="s">
        <v>27</v>
      </c>
      <c r="M138" t="s">
        <v>123</v>
      </c>
      <c r="N138" t="s">
        <v>823</v>
      </c>
      <c r="O138" t="s">
        <v>49</v>
      </c>
      <c r="P138">
        <v>7</v>
      </c>
      <c r="Q138">
        <v>4005.05</v>
      </c>
      <c r="R138">
        <v>0.55000000000000004</v>
      </c>
      <c r="S138" t="str">
        <f t="shared" si="22"/>
        <v>OK</v>
      </c>
      <c r="T138">
        <v>26633.58</v>
      </c>
      <c r="U138">
        <v>18838.75</v>
      </c>
      <c r="V138">
        <v>7794.83</v>
      </c>
      <c r="W138" t="s">
        <v>31</v>
      </c>
      <c r="X138" t="s">
        <v>32</v>
      </c>
      <c r="Y138" t="str">
        <f>IF(COUNTIF($A$2:$A$901,A138)&gt;1,
  IF(COUNTIF($A$2:A138,A138)=1,
    " ORIGINAL",
    "CONFLICTING DUPLICATE - REVIEW"),
"OK")</f>
        <v>OK</v>
      </c>
      <c r="Z138">
        <f t="shared" si="23"/>
        <v>0.55000000000000004</v>
      </c>
      <c r="AA138">
        <f t="shared" si="24"/>
        <v>12615.91</v>
      </c>
      <c r="AB138">
        <f t="shared" si="25"/>
        <v>-6222.84</v>
      </c>
      <c r="AC138">
        <f t="shared" si="26"/>
        <v>-0.49330000000000002</v>
      </c>
      <c r="AD138">
        <f t="shared" si="27"/>
        <v>1</v>
      </c>
      <c r="AE138">
        <f t="shared" si="28"/>
        <v>2024</v>
      </c>
      <c r="AF138" t="str">
        <f t="shared" si="29"/>
        <v>CLEAN</v>
      </c>
    </row>
    <row r="139" spans="1:32">
      <c r="A139" t="s">
        <v>824</v>
      </c>
      <c r="B139" s="10">
        <v>45556</v>
      </c>
      <c r="C139" s="10">
        <v>45556</v>
      </c>
      <c r="D139">
        <f t="shared" si="20"/>
        <v>0</v>
      </c>
      <c r="E139" t="str">
        <f t="shared" si="21"/>
        <v>OK</v>
      </c>
      <c r="F139" t="s">
        <v>825</v>
      </c>
      <c r="G139" t="s">
        <v>263</v>
      </c>
      <c r="H139" t="s">
        <v>89</v>
      </c>
      <c r="I139" t="s">
        <v>53</v>
      </c>
      <c r="J139" t="s">
        <v>174</v>
      </c>
      <c r="K139" t="s">
        <v>175</v>
      </c>
      <c r="L139" t="s">
        <v>73</v>
      </c>
      <c r="M139" t="s">
        <v>273</v>
      </c>
      <c r="N139" t="s">
        <v>826</v>
      </c>
      <c r="O139" t="s">
        <v>49</v>
      </c>
      <c r="P139">
        <v>2</v>
      </c>
      <c r="Q139">
        <v>1960.06</v>
      </c>
      <c r="R139">
        <v>0.2</v>
      </c>
      <c r="S139" t="str">
        <f t="shared" si="22"/>
        <v>OK</v>
      </c>
      <c r="T139">
        <v>3136.1</v>
      </c>
      <c r="U139">
        <v>2279.4899999999998</v>
      </c>
      <c r="V139">
        <v>856.61</v>
      </c>
      <c r="W139" t="s">
        <v>31</v>
      </c>
      <c r="X139" t="s">
        <v>32</v>
      </c>
      <c r="Y139" t="str">
        <f>IF(COUNTIF($A$2:$A$901,A139)&gt;1,
  IF(COUNTIF($A$2:A139,A139)=1,
    " ORIGINAL",
    "CONFLICTING DUPLICATE - REVIEW"),
"OK")</f>
        <v>OK</v>
      </c>
      <c r="Z139">
        <f t="shared" si="23"/>
        <v>0.2</v>
      </c>
      <c r="AA139">
        <f t="shared" si="24"/>
        <v>3136.1</v>
      </c>
      <c r="AB139">
        <f t="shared" si="25"/>
        <v>856.61</v>
      </c>
      <c r="AC139">
        <f t="shared" si="26"/>
        <v>0.27310000000000001</v>
      </c>
      <c r="AD139">
        <f t="shared" si="27"/>
        <v>9</v>
      </c>
      <c r="AE139">
        <f t="shared" si="28"/>
        <v>2024</v>
      </c>
      <c r="AF139" t="str">
        <f t="shared" si="29"/>
        <v>CLEAN</v>
      </c>
    </row>
    <row r="140" spans="1:32">
      <c r="A140" t="s">
        <v>827</v>
      </c>
      <c r="B140" s="10">
        <v>45643</v>
      </c>
      <c r="C140" s="10">
        <v>45649</v>
      </c>
      <c r="D140">
        <f t="shared" si="20"/>
        <v>6</v>
      </c>
      <c r="E140" t="str">
        <f t="shared" si="21"/>
        <v>OK</v>
      </c>
      <c r="F140" t="s">
        <v>828</v>
      </c>
      <c r="G140" t="s">
        <v>127</v>
      </c>
      <c r="H140" t="s">
        <v>89</v>
      </c>
      <c r="I140" t="s">
        <v>53</v>
      </c>
      <c r="J140" t="s">
        <v>54</v>
      </c>
      <c r="K140" t="s">
        <v>55</v>
      </c>
      <c r="L140" t="s">
        <v>27</v>
      </c>
      <c r="M140" t="s">
        <v>152</v>
      </c>
      <c r="N140" t="s">
        <v>829</v>
      </c>
      <c r="O140" t="s">
        <v>49</v>
      </c>
      <c r="P140">
        <v>9</v>
      </c>
      <c r="Q140">
        <v>2315.1</v>
      </c>
      <c r="R140">
        <v>0</v>
      </c>
      <c r="S140" t="str">
        <f t="shared" si="22"/>
        <v>OK</v>
      </c>
      <c r="T140">
        <v>20835.900000000001</v>
      </c>
      <c r="U140">
        <v>13928.19</v>
      </c>
      <c r="V140">
        <v>6907.71</v>
      </c>
      <c r="W140" t="s">
        <v>31</v>
      </c>
      <c r="X140" t="s">
        <v>32</v>
      </c>
      <c r="Y140" t="str">
        <f>IF(COUNTIF($A$2:$A$901,A140)&gt;1,
  IF(COUNTIF($A$2:A140,A140)=1,
    " ORIGINAL",
    "CONFLICTING DUPLICATE - REVIEW"),
"OK")</f>
        <v>OK</v>
      </c>
      <c r="Z140">
        <f t="shared" si="23"/>
        <v>0</v>
      </c>
      <c r="AA140">
        <f t="shared" si="24"/>
        <v>20835.900000000001</v>
      </c>
      <c r="AB140">
        <f t="shared" si="25"/>
        <v>6907.71</v>
      </c>
      <c r="AC140">
        <f t="shared" si="26"/>
        <v>0.33150000000000002</v>
      </c>
      <c r="AD140">
        <f t="shared" si="27"/>
        <v>12</v>
      </c>
      <c r="AE140">
        <f t="shared" si="28"/>
        <v>2024</v>
      </c>
      <c r="AF140" t="str">
        <f t="shared" si="29"/>
        <v>CLEAN</v>
      </c>
    </row>
    <row r="141" spans="1:32">
      <c r="A141" t="s">
        <v>839</v>
      </c>
      <c r="B141" s="10">
        <v>45527</v>
      </c>
      <c r="C141" s="10">
        <v>45528</v>
      </c>
      <c r="D141">
        <f t="shared" si="20"/>
        <v>1</v>
      </c>
      <c r="E141" t="str">
        <f t="shared" si="21"/>
        <v>OK</v>
      </c>
      <c r="F141" t="s">
        <v>840</v>
      </c>
      <c r="G141" t="s">
        <v>78</v>
      </c>
      <c r="H141" t="s">
        <v>23</v>
      </c>
      <c r="I141" t="s">
        <v>53</v>
      </c>
      <c r="J141" t="s">
        <v>54</v>
      </c>
      <c r="K141" t="s">
        <v>55</v>
      </c>
      <c r="L141" t="s">
        <v>40</v>
      </c>
      <c r="M141" t="s">
        <v>157</v>
      </c>
      <c r="N141" t="s">
        <v>841</v>
      </c>
      <c r="O141" t="s">
        <v>43</v>
      </c>
      <c r="P141">
        <v>6</v>
      </c>
      <c r="Q141">
        <v>1021.89</v>
      </c>
      <c r="R141">
        <v>0</v>
      </c>
      <c r="S141" t="str">
        <f t="shared" si="22"/>
        <v>OK</v>
      </c>
      <c r="T141">
        <v>6131.34</v>
      </c>
      <c r="U141">
        <v>4060.88</v>
      </c>
      <c r="V141">
        <v>2070.46</v>
      </c>
      <c r="W141" t="s">
        <v>31</v>
      </c>
      <c r="X141" t="s">
        <v>32</v>
      </c>
      <c r="Y141" t="str">
        <f>IF(COUNTIF($A$2:$A$901,A141)&gt;1,
  IF(COUNTIF($A$2:A141,A141)=1,
    " ORIGINAL",
    "CONFLICTING DUPLICATE - REVIEW"),
"OK")</f>
        <v>OK</v>
      </c>
      <c r="Z141">
        <f t="shared" si="23"/>
        <v>0</v>
      </c>
      <c r="AA141">
        <f t="shared" si="24"/>
        <v>6131.34</v>
      </c>
      <c r="AB141">
        <f t="shared" si="25"/>
        <v>2070.46</v>
      </c>
      <c r="AC141">
        <f t="shared" si="26"/>
        <v>0.3377</v>
      </c>
      <c r="AD141">
        <f t="shared" si="27"/>
        <v>8</v>
      </c>
      <c r="AE141">
        <f t="shared" si="28"/>
        <v>2024</v>
      </c>
      <c r="AF141" t="str">
        <f t="shared" si="29"/>
        <v>CLEAN</v>
      </c>
    </row>
    <row r="142" spans="1:32">
      <c r="A142" t="s">
        <v>842</v>
      </c>
      <c r="B142" s="10">
        <v>45583</v>
      </c>
      <c r="C142" s="10">
        <v>45589</v>
      </c>
      <c r="D142">
        <f t="shared" si="20"/>
        <v>6</v>
      </c>
      <c r="E142" t="str">
        <f t="shared" si="21"/>
        <v>OK</v>
      </c>
      <c r="F142" t="s">
        <v>843</v>
      </c>
      <c r="G142" t="s">
        <v>78</v>
      </c>
      <c r="H142" t="s">
        <v>94</v>
      </c>
      <c r="I142" t="s">
        <v>53</v>
      </c>
      <c r="J142" t="s">
        <v>184</v>
      </c>
      <c r="K142" t="s">
        <v>185</v>
      </c>
      <c r="L142" t="s">
        <v>40</v>
      </c>
      <c r="M142" t="s">
        <v>65</v>
      </c>
      <c r="N142" t="s">
        <v>844</v>
      </c>
      <c r="O142" t="s">
        <v>30</v>
      </c>
      <c r="P142">
        <v>3</v>
      </c>
      <c r="Q142">
        <v>3275.93</v>
      </c>
      <c r="R142">
        <v>0</v>
      </c>
      <c r="S142" t="str">
        <f t="shared" si="22"/>
        <v>OK</v>
      </c>
      <c r="T142">
        <v>9827.7900000000009</v>
      </c>
      <c r="U142">
        <v>5478.28</v>
      </c>
      <c r="V142">
        <v>4349.51</v>
      </c>
      <c r="W142" t="s">
        <v>31</v>
      </c>
      <c r="X142" t="s">
        <v>32</v>
      </c>
      <c r="Y142" t="str">
        <f>IF(COUNTIF($A$2:$A$901,A142)&gt;1,
  IF(COUNTIF($A$2:A142,A142)=1,
    " ORIGINAL",
    "CONFLICTING DUPLICATE - REVIEW"),
"OK")</f>
        <v>OK</v>
      </c>
      <c r="Z142">
        <f t="shared" si="23"/>
        <v>0</v>
      </c>
      <c r="AA142">
        <f t="shared" si="24"/>
        <v>9827.7900000000009</v>
      </c>
      <c r="AB142">
        <f t="shared" si="25"/>
        <v>4349.51</v>
      </c>
      <c r="AC142">
        <f t="shared" si="26"/>
        <v>0.44259999999999999</v>
      </c>
      <c r="AD142">
        <f t="shared" si="27"/>
        <v>10</v>
      </c>
      <c r="AE142">
        <f t="shared" si="28"/>
        <v>2024</v>
      </c>
      <c r="AF142" t="str">
        <f t="shared" si="29"/>
        <v>CLEAN</v>
      </c>
    </row>
    <row r="143" spans="1:32">
      <c r="A143" t="s">
        <v>845</v>
      </c>
      <c r="B143" s="10">
        <v>45416</v>
      </c>
      <c r="C143" s="10">
        <v>45421</v>
      </c>
      <c r="D143">
        <f t="shared" si="20"/>
        <v>5</v>
      </c>
      <c r="E143" t="str">
        <f t="shared" si="21"/>
        <v>OK</v>
      </c>
      <c r="F143" t="s">
        <v>846</v>
      </c>
      <c r="G143" t="s">
        <v>61</v>
      </c>
      <c r="H143" t="s">
        <v>89</v>
      </c>
      <c r="I143" t="s">
        <v>24</v>
      </c>
      <c r="J143" t="s">
        <v>121</v>
      </c>
      <c r="K143" t="s">
        <v>122</v>
      </c>
      <c r="L143" t="s">
        <v>73</v>
      </c>
      <c r="M143" t="s">
        <v>273</v>
      </c>
      <c r="N143" t="s">
        <v>847</v>
      </c>
      <c r="O143" t="s">
        <v>43</v>
      </c>
      <c r="P143">
        <v>3</v>
      </c>
      <c r="Q143">
        <v>231.95</v>
      </c>
      <c r="R143">
        <v>0.25</v>
      </c>
      <c r="S143" t="str">
        <f t="shared" si="22"/>
        <v>OK</v>
      </c>
      <c r="T143">
        <v>521.89</v>
      </c>
      <c r="U143">
        <v>444.52</v>
      </c>
      <c r="V143">
        <v>77.37</v>
      </c>
      <c r="W143" t="s">
        <v>101</v>
      </c>
      <c r="X143" t="s">
        <v>67</v>
      </c>
      <c r="Y143" t="str">
        <f>IF(COUNTIF($A$2:$A$901,A143)&gt;1,
  IF(COUNTIF($A$2:A143,A143)=1,
    " ORIGINAL",
    "CONFLICTING DUPLICATE - REVIEW"),
"OK")</f>
        <v>OK</v>
      </c>
      <c r="Z143">
        <f t="shared" si="23"/>
        <v>0.25</v>
      </c>
      <c r="AA143">
        <f t="shared" si="24"/>
        <v>521.89</v>
      </c>
      <c r="AB143">
        <f t="shared" si="25"/>
        <v>77.37</v>
      </c>
      <c r="AC143">
        <f t="shared" si="26"/>
        <v>0.1482</v>
      </c>
      <c r="AD143">
        <f t="shared" si="27"/>
        <v>5</v>
      </c>
      <c r="AE143">
        <f t="shared" si="28"/>
        <v>2024</v>
      </c>
      <c r="AF143" t="str">
        <f t="shared" si="29"/>
        <v>CLEAN</v>
      </c>
    </row>
    <row r="144" spans="1:32">
      <c r="A144" t="s">
        <v>848</v>
      </c>
      <c r="B144" s="10">
        <v>45498</v>
      </c>
      <c r="C144" s="10">
        <v>45505</v>
      </c>
      <c r="D144">
        <f t="shared" si="20"/>
        <v>7</v>
      </c>
      <c r="E144" t="str">
        <f t="shared" si="21"/>
        <v>OK</v>
      </c>
      <c r="F144" t="s">
        <v>849</v>
      </c>
      <c r="G144" t="s">
        <v>117</v>
      </c>
      <c r="H144" t="s">
        <v>89</v>
      </c>
      <c r="I144" t="s">
        <v>24</v>
      </c>
      <c r="J144" t="s">
        <v>25</v>
      </c>
      <c r="K144" t="s">
        <v>26</v>
      </c>
      <c r="L144" t="s">
        <v>73</v>
      </c>
      <c r="M144" t="s">
        <v>74</v>
      </c>
      <c r="N144" t="s">
        <v>850</v>
      </c>
      <c r="O144" t="s">
        <v>30</v>
      </c>
      <c r="P144">
        <v>8</v>
      </c>
      <c r="Q144">
        <v>2493.4</v>
      </c>
      <c r="R144">
        <v>0.25</v>
      </c>
      <c r="S144" t="str">
        <f t="shared" si="22"/>
        <v>OK</v>
      </c>
      <c r="T144">
        <v>14960.4</v>
      </c>
      <c r="U144">
        <v>12500.84</v>
      </c>
      <c r="V144">
        <v>2459.56</v>
      </c>
      <c r="W144" t="s">
        <v>31</v>
      </c>
      <c r="X144" t="s">
        <v>32</v>
      </c>
      <c r="Y144" t="str">
        <f>IF(COUNTIF($A$2:$A$901,A144)&gt;1,
  IF(COUNTIF($A$2:A144,A144)=1,
    " ORIGINAL",
    "CONFLICTING DUPLICATE - REVIEW"),
"OK")</f>
        <v>OK</v>
      </c>
      <c r="Z144">
        <f t="shared" si="23"/>
        <v>0.25</v>
      </c>
      <c r="AA144">
        <f t="shared" si="24"/>
        <v>14960.4</v>
      </c>
      <c r="AB144">
        <f t="shared" si="25"/>
        <v>2459.56</v>
      </c>
      <c r="AC144">
        <f t="shared" si="26"/>
        <v>0.16439999999999999</v>
      </c>
      <c r="AD144">
        <f t="shared" si="27"/>
        <v>7</v>
      </c>
      <c r="AE144">
        <f t="shared" si="28"/>
        <v>2024</v>
      </c>
      <c r="AF144" t="str">
        <f t="shared" si="29"/>
        <v>CLEAN</v>
      </c>
    </row>
    <row r="145" spans="1:32">
      <c r="A145" t="s">
        <v>851</v>
      </c>
      <c r="B145" s="10">
        <v>45445</v>
      </c>
      <c r="C145" s="10">
        <v>45479</v>
      </c>
      <c r="D145">
        <f t="shared" si="20"/>
        <v>34</v>
      </c>
      <c r="E145" t="str">
        <f t="shared" si="21"/>
        <v>OK</v>
      </c>
      <c r="F145" t="s">
        <v>852</v>
      </c>
      <c r="G145" t="s">
        <v>140</v>
      </c>
      <c r="H145" t="s">
        <v>94</v>
      </c>
      <c r="I145" t="s">
        <v>37</v>
      </c>
      <c r="J145" t="s">
        <v>38</v>
      </c>
      <c r="K145" t="s">
        <v>39</v>
      </c>
      <c r="L145" t="s">
        <v>27</v>
      </c>
      <c r="M145" t="s">
        <v>90</v>
      </c>
      <c r="N145" t="s">
        <v>853</v>
      </c>
      <c r="O145" t="s">
        <v>30</v>
      </c>
      <c r="P145">
        <v>9</v>
      </c>
      <c r="Q145">
        <v>787.91</v>
      </c>
      <c r="R145">
        <v>0.15</v>
      </c>
      <c r="S145" t="str">
        <f t="shared" si="22"/>
        <v>OK</v>
      </c>
      <c r="T145">
        <v>6027.51</v>
      </c>
      <c r="U145">
        <v>4883.82</v>
      </c>
      <c r="V145">
        <v>1143.69</v>
      </c>
      <c r="W145" t="s">
        <v>31</v>
      </c>
      <c r="X145" t="s">
        <v>32</v>
      </c>
      <c r="Y145" t="str">
        <f>IF(COUNTIF($A$2:$A$901,A145)&gt;1,
  IF(COUNTIF($A$2:A145,A145)=1,
    " ORIGINAL",
    "CONFLICTING DUPLICATE - REVIEW"),
"OK")</f>
        <v>OK</v>
      </c>
      <c r="Z145">
        <f t="shared" si="23"/>
        <v>0.15</v>
      </c>
      <c r="AA145">
        <f t="shared" si="24"/>
        <v>6027.51</v>
      </c>
      <c r="AB145">
        <f t="shared" si="25"/>
        <v>1143.69</v>
      </c>
      <c r="AC145">
        <f t="shared" si="26"/>
        <v>0.18970000000000001</v>
      </c>
      <c r="AD145">
        <f t="shared" si="27"/>
        <v>6</v>
      </c>
      <c r="AE145">
        <f t="shared" si="28"/>
        <v>2024</v>
      </c>
      <c r="AF145" t="str">
        <f t="shared" si="29"/>
        <v>CLEAN</v>
      </c>
    </row>
    <row r="146" spans="1:32">
      <c r="A146" t="s">
        <v>857</v>
      </c>
      <c r="B146" s="10">
        <v>45343</v>
      </c>
      <c r="C146" s="10">
        <v>45349</v>
      </c>
      <c r="D146">
        <f t="shared" si="20"/>
        <v>6</v>
      </c>
      <c r="E146" t="str">
        <f t="shared" si="21"/>
        <v>OK</v>
      </c>
      <c r="F146" t="s">
        <v>858</v>
      </c>
      <c r="G146" t="s">
        <v>52</v>
      </c>
      <c r="H146" t="s">
        <v>36</v>
      </c>
      <c r="I146" t="s">
        <v>37</v>
      </c>
      <c r="J146" t="s">
        <v>98</v>
      </c>
      <c r="K146" t="s">
        <v>99</v>
      </c>
      <c r="L146" t="s">
        <v>40</v>
      </c>
      <c r="M146" t="s">
        <v>56</v>
      </c>
      <c r="N146" t="s">
        <v>859</v>
      </c>
      <c r="O146" t="s">
        <v>58</v>
      </c>
      <c r="P146">
        <v>5</v>
      </c>
      <c r="Q146">
        <v>3373.86</v>
      </c>
      <c r="R146">
        <v>0.15</v>
      </c>
      <c r="S146" t="str">
        <f t="shared" si="22"/>
        <v>OK</v>
      </c>
      <c r="T146">
        <v>14338.9</v>
      </c>
      <c r="U146">
        <v>11897.65</v>
      </c>
      <c r="V146">
        <v>2441.25</v>
      </c>
      <c r="W146" t="s">
        <v>110</v>
      </c>
      <c r="X146" t="s">
        <v>102</v>
      </c>
      <c r="Y146" t="str">
        <f>IF(COUNTIF($A$2:$A$901,A146)&gt;1,
  IF(COUNTIF($A$2:A146,A146)=1,
    " ORIGINAL",
    "CONFLICTING DUPLICATE - REVIEW"),
"OK")</f>
        <v>OK</v>
      </c>
      <c r="Z146">
        <f t="shared" si="23"/>
        <v>0.15</v>
      </c>
      <c r="AA146">
        <f t="shared" si="24"/>
        <v>14338.91</v>
      </c>
      <c r="AB146">
        <f t="shared" si="25"/>
        <v>2441.2600000000002</v>
      </c>
      <c r="AC146">
        <f t="shared" si="26"/>
        <v>0.17030000000000001</v>
      </c>
      <c r="AD146">
        <f t="shared" si="27"/>
        <v>2</v>
      </c>
      <c r="AE146">
        <f t="shared" si="28"/>
        <v>2024</v>
      </c>
      <c r="AF146" t="str">
        <f t="shared" si="29"/>
        <v>CLEAN</v>
      </c>
    </row>
    <row r="147" spans="1:32">
      <c r="A147" t="s">
        <v>866</v>
      </c>
      <c r="B147" s="10">
        <v>45547</v>
      </c>
      <c r="C147" s="10">
        <v>45548</v>
      </c>
      <c r="D147">
        <f t="shared" si="20"/>
        <v>1</v>
      </c>
      <c r="E147" t="str">
        <f t="shared" si="21"/>
        <v>OK</v>
      </c>
      <c r="F147" t="s">
        <v>867</v>
      </c>
      <c r="G147" t="s">
        <v>113</v>
      </c>
      <c r="H147" t="s">
        <v>36</v>
      </c>
      <c r="I147" t="s">
        <v>24</v>
      </c>
      <c r="J147" t="s">
        <v>25</v>
      </c>
      <c r="K147" t="s">
        <v>26</v>
      </c>
      <c r="L147" t="s">
        <v>73</v>
      </c>
      <c r="M147" t="s">
        <v>170</v>
      </c>
      <c r="N147" t="s">
        <v>868</v>
      </c>
      <c r="O147" t="s">
        <v>43</v>
      </c>
      <c r="P147">
        <v>6</v>
      </c>
      <c r="Q147">
        <v>832.79</v>
      </c>
      <c r="R147">
        <v>0.05</v>
      </c>
      <c r="S147" t="str">
        <f t="shared" si="22"/>
        <v>OK</v>
      </c>
      <c r="T147">
        <v>4746.8999999999996</v>
      </c>
      <c r="U147">
        <v>2825.38</v>
      </c>
      <c r="V147">
        <v>1472.89</v>
      </c>
      <c r="W147" t="s">
        <v>101</v>
      </c>
      <c r="X147" t="s">
        <v>67</v>
      </c>
      <c r="Y147" t="str">
        <f>IF(COUNTIF($A$2:$A$901,A147)&gt;1,
  IF(COUNTIF($A$2:A147,A147)=1,
    " ORIGINAL",
    "CONFLICTING DUPLICATE - REVIEW"),
"OK")</f>
        <v>OK</v>
      </c>
      <c r="Z147">
        <f t="shared" si="23"/>
        <v>0.05</v>
      </c>
      <c r="AA147">
        <f t="shared" si="24"/>
        <v>4746.8999999999996</v>
      </c>
      <c r="AB147">
        <f t="shared" si="25"/>
        <v>1921.52</v>
      </c>
      <c r="AC147">
        <f t="shared" si="26"/>
        <v>0.40479999999999999</v>
      </c>
      <c r="AD147">
        <f t="shared" si="27"/>
        <v>9</v>
      </c>
      <c r="AE147">
        <f t="shared" si="28"/>
        <v>2024</v>
      </c>
      <c r="AF147" t="str">
        <f t="shared" si="29"/>
        <v>CLEAN</v>
      </c>
    </row>
    <row r="148" spans="1:32">
      <c r="A148" t="s">
        <v>875</v>
      </c>
      <c r="B148" s="10">
        <v>45601</v>
      </c>
      <c r="C148" s="10">
        <v>45599</v>
      </c>
      <c r="D148">
        <f t="shared" si="20"/>
        <v>-2</v>
      </c>
      <c r="E148" t="str">
        <f t="shared" si="21"/>
        <v>INVALID</v>
      </c>
      <c r="F148" t="s">
        <v>876</v>
      </c>
      <c r="G148" t="s">
        <v>61</v>
      </c>
      <c r="H148" t="s">
        <v>23</v>
      </c>
      <c r="I148" t="s">
        <v>37</v>
      </c>
      <c r="J148" t="s">
        <v>98</v>
      </c>
      <c r="K148" t="s">
        <v>99</v>
      </c>
      <c r="L148" t="s">
        <v>40</v>
      </c>
      <c r="M148" t="s">
        <v>41</v>
      </c>
      <c r="N148" t="s">
        <v>877</v>
      </c>
      <c r="O148" t="s">
        <v>49</v>
      </c>
      <c r="P148">
        <v>9</v>
      </c>
      <c r="Q148">
        <v>2260.61</v>
      </c>
      <c r="R148">
        <v>0.05</v>
      </c>
      <c r="S148" t="str">
        <f t="shared" si="22"/>
        <v>OK</v>
      </c>
      <c r="T148">
        <v>19328.22</v>
      </c>
      <c r="U148">
        <v>12039.5</v>
      </c>
      <c r="V148">
        <v>7288.72</v>
      </c>
      <c r="W148" t="s">
        <v>31</v>
      </c>
      <c r="X148" t="s">
        <v>32</v>
      </c>
      <c r="Y148" t="str">
        <f>IF(COUNTIF($A$2:$A$901,A148)&gt;1,
  IF(COUNTIF($A$2:A148,A148)=1,
    " ORIGINAL",
    "CONFLICTING DUPLICATE - REVIEW"),
"OK")</f>
        <v>OK</v>
      </c>
      <c r="Z148">
        <f t="shared" si="23"/>
        <v>0.05</v>
      </c>
      <c r="AA148">
        <f t="shared" si="24"/>
        <v>19328.22</v>
      </c>
      <c r="AB148">
        <f t="shared" si="25"/>
        <v>7288.72</v>
      </c>
      <c r="AC148">
        <f t="shared" si="26"/>
        <v>0.37709999999999999</v>
      </c>
      <c r="AD148">
        <f t="shared" si="27"/>
        <v>11</v>
      </c>
      <c r="AE148">
        <f t="shared" si="28"/>
        <v>2024</v>
      </c>
      <c r="AF148" t="str">
        <f t="shared" si="29"/>
        <v>INVALID</v>
      </c>
    </row>
    <row r="149" spans="1:32">
      <c r="A149" t="s">
        <v>881</v>
      </c>
      <c r="B149" s="10">
        <v>45656</v>
      </c>
      <c r="C149" s="10">
        <v>45661</v>
      </c>
      <c r="D149">
        <f t="shared" si="20"/>
        <v>5</v>
      </c>
      <c r="E149" t="str">
        <f t="shared" si="21"/>
        <v>OK</v>
      </c>
      <c r="F149" t="s">
        <v>882</v>
      </c>
      <c r="G149" t="s">
        <v>131</v>
      </c>
      <c r="H149" t="s">
        <v>89</v>
      </c>
      <c r="I149" t="s">
        <v>53</v>
      </c>
      <c r="J149" t="s">
        <v>246</v>
      </c>
      <c r="K149" t="s">
        <v>247</v>
      </c>
      <c r="L149" t="s">
        <v>40</v>
      </c>
      <c r="M149" t="s">
        <v>41</v>
      </c>
      <c r="N149" t="s">
        <v>883</v>
      </c>
      <c r="O149" t="s">
        <v>43</v>
      </c>
      <c r="P149">
        <v>2</v>
      </c>
      <c r="Q149">
        <v>3720.07</v>
      </c>
      <c r="R149">
        <v>0.25</v>
      </c>
      <c r="S149" t="str">
        <f t="shared" si="22"/>
        <v>OK</v>
      </c>
      <c r="T149">
        <v>5580.11</v>
      </c>
      <c r="U149">
        <v>4307.01</v>
      </c>
      <c r="V149">
        <v>1273.0999999999999</v>
      </c>
      <c r="W149" t="s">
        <v>31</v>
      </c>
      <c r="X149" t="s">
        <v>32</v>
      </c>
      <c r="Y149" t="str">
        <f>IF(COUNTIF($A$2:$A$901,A149)&gt;1,
  IF(COUNTIF($A$2:A149,A149)=1,
    " ORIGINAL",
    "CONFLICTING DUPLICATE - REVIEW"),
"OK")</f>
        <v>OK</v>
      </c>
      <c r="Z149">
        <f t="shared" si="23"/>
        <v>0.25</v>
      </c>
      <c r="AA149">
        <f t="shared" si="24"/>
        <v>5580.11</v>
      </c>
      <c r="AB149">
        <f t="shared" si="25"/>
        <v>1273.0999999999999</v>
      </c>
      <c r="AC149">
        <f t="shared" si="26"/>
        <v>0.2281</v>
      </c>
      <c r="AD149">
        <f t="shared" si="27"/>
        <v>12</v>
      </c>
      <c r="AE149">
        <f t="shared" si="28"/>
        <v>2024</v>
      </c>
      <c r="AF149" t="str">
        <f t="shared" si="29"/>
        <v>CLEAN</v>
      </c>
    </row>
    <row r="150" spans="1:32">
      <c r="A150" t="s">
        <v>884</v>
      </c>
      <c r="B150" s="10">
        <v>45464</v>
      </c>
      <c r="C150" s="10">
        <v>45472</v>
      </c>
      <c r="D150">
        <f t="shared" si="20"/>
        <v>8</v>
      </c>
      <c r="E150" t="str">
        <f t="shared" si="21"/>
        <v>OK</v>
      </c>
      <c r="F150" t="s">
        <v>885</v>
      </c>
      <c r="G150" t="s">
        <v>78</v>
      </c>
      <c r="H150" t="s">
        <v>23</v>
      </c>
      <c r="I150" t="s">
        <v>53</v>
      </c>
      <c r="J150" t="s">
        <v>246</v>
      </c>
      <c r="K150" t="s">
        <v>247</v>
      </c>
      <c r="L150" t="s">
        <v>73</v>
      </c>
      <c r="M150" t="s">
        <v>273</v>
      </c>
      <c r="N150" t="s">
        <v>886</v>
      </c>
      <c r="O150" t="s">
        <v>58</v>
      </c>
      <c r="P150">
        <v>8</v>
      </c>
      <c r="Q150">
        <v>2853.92</v>
      </c>
      <c r="R150">
        <v>0.2</v>
      </c>
      <c r="S150" t="str">
        <f t="shared" si="22"/>
        <v>OK</v>
      </c>
      <c r="T150">
        <v>18265.09</v>
      </c>
      <c r="U150">
        <v>10437.14</v>
      </c>
      <c r="V150">
        <v>7827.95</v>
      </c>
      <c r="W150" t="s">
        <v>31</v>
      </c>
      <c r="X150" t="s">
        <v>32</v>
      </c>
      <c r="Y150" t="str">
        <f>IF(COUNTIF($A$2:$A$901,A150)&gt;1,
  IF(COUNTIF($A$2:A150,A150)=1,
    " ORIGINAL",
    "CONFLICTING DUPLICATE - REVIEW"),
"OK")</f>
        <v>OK</v>
      </c>
      <c r="Z150">
        <f t="shared" si="23"/>
        <v>0.2</v>
      </c>
      <c r="AA150">
        <f t="shared" si="24"/>
        <v>18265.09</v>
      </c>
      <c r="AB150">
        <f t="shared" si="25"/>
        <v>7827.95</v>
      </c>
      <c r="AC150">
        <f t="shared" si="26"/>
        <v>0.42859999999999998</v>
      </c>
      <c r="AD150">
        <f t="shared" si="27"/>
        <v>6</v>
      </c>
      <c r="AE150">
        <f t="shared" si="28"/>
        <v>2024</v>
      </c>
      <c r="AF150" t="str">
        <f t="shared" si="29"/>
        <v>CLEAN</v>
      </c>
    </row>
    <row r="151" spans="1:32">
      <c r="A151" t="s">
        <v>898</v>
      </c>
      <c r="B151" s="10">
        <v>45428</v>
      </c>
      <c r="C151" s="10">
        <v>45433</v>
      </c>
      <c r="D151">
        <f t="shared" si="20"/>
        <v>5</v>
      </c>
      <c r="E151" t="str">
        <f t="shared" si="21"/>
        <v>OK</v>
      </c>
      <c r="F151" t="s">
        <v>899</v>
      </c>
      <c r="G151" t="s">
        <v>161</v>
      </c>
      <c r="H151" t="s">
        <v>36</v>
      </c>
      <c r="I151" t="s">
        <v>37</v>
      </c>
      <c r="J151" t="s">
        <v>144</v>
      </c>
      <c r="K151" t="s">
        <v>145</v>
      </c>
      <c r="L151" t="s">
        <v>73</v>
      </c>
      <c r="M151" t="s">
        <v>79</v>
      </c>
      <c r="N151" t="s">
        <v>900</v>
      </c>
      <c r="O151" t="s">
        <v>58</v>
      </c>
      <c r="P151">
        <v>4</v>
      </c>
      <c r="Q151">
        <v>1503.07</v>
      </c>
      <c r="R151">
        <v>0</v>
      </c>
      <c r="S151" t="str">
        <f t="shared" si="22"/>
        <v>OK</v>
      </c>
      <c r="T151">
        <v>6012.28</v>
      </c>
      <c r="U151">
        <v>3927.64</v>
      </c>
      <c r="V151">
        <v>2084.64</v>
      </c>
      <c r="W151" t="s">
        <v>31</v>
      </c>
      <c r="X151" t="s">
        <v>32</v>
      </c>
      <c r="Y151" t="str">
        <f>IF(COUNTIF($A$2:$A$901,A151)&gt;1,
  IF(COUNTIF($A$2:A151,A151)=1,
    " ORIGINAL",
    "CONFLICTING DUPLICATE - REVIEW"),
"OK")</f>
        <v>OK</v>
      </c>
      <c r="Z151">
        <f t="shared" si="23"/>
        <v>0</v>
      </c>
      <c r="AA151">
        <f t="shared" si="24"/>
        <v>6012.28</v>
      </c>
      <c r="AB151">
        <f t="shared" si="25"/>
        <v>2084.64</v>
      </c>
      <c r="AC151">
        <f t="shared" si="26"/>
        <v>0.34670000000000001</v>
      </c>
      <c r="AD151">
        <f t="shared" si="27"/>
        <v>5</v>
      </c>
      <c r="AE151">
        <f t="shared" si="28"/>
        <v>2024</v>
      </c>
      <c r="AF151" t="str">
        <f t="shared" si="29"/>
        <v>CLEAN</v>
      </c>
    </row>
    <row r="152" spans="1:32">
      <c r="A152" t="s">
        <v>901</v>
      </c>
      <c r="B152" s="10">
        <v>45610</v>
      </c>
      <c r="C152" s="10">
        <v>45618</v>
      </c>
      <c r="D152">
        <f t="shared" si="20"/>
        <v>8</v>
      </c>
      <c r="E152" t="str">
        <f t="shared" si="21"/>
        <v>OK</v>
      </c>
      <c r="F152" t="s">
        <v>902</v>
      </c>
      <c r="G152" t="s">
        <v>113</v>
      </c>
      <c r="H152" t="s">
        <v>89</v>
      </c>
      <c r="I152" t="s">
        <v>37</v>
      </c>
      <c r="J152" t="s">
        <v>144</v>
      </c>
      <c r="K152" t="s">
        <v>145</v>
      </c>
      <c r="L152" t="s">
        <v>40</v>
      </c>
      <c r="M152" t="s">
        <v>157</v>
      </c>
      <c r="N152" t="s">
        <v>903</v>
      </c>
      <c r="O152" t="s">
        <v>43</v>
      </c>
      <c r="P152">
        <v>1</v>
      </c>
      <c r="Q152">
        <v>582.37</v>
      </c>
      <c r="R152">
        <v>0.15</v>
      </c>
      <c r="S152" t="str">
        <f t="shared" si="22"/>
        <v>OK</v>
      </c>
      <c r="T152">
        <v>495.01</v>
      </c>
      <c r="U152">
        <v>285.13</v>
      </c>
      <c r="V152">
        <v>209.88</v>
      </c>
      <c r="W152" t="s">
        <v>101</v>
      </c>
      <c r="X152" t="s">
        <v>67</v>
      </c>
      <c r="Y152" t="str">
        <f>IF(COUNTIF($A$2:$A$901,A152)&gt;1,
  IF(COUNTIF($A$2:A152,A152)=1,
    " ORIGINAL",
    "CONFLICTING DUPLICATE - REVIEW"),
"OK")</f>
        <v>OK</v>
      </c>
      <c r="Z152">
        <f t="shared" si="23"/>
        <v>0.15</v>
      </c>
      <c r="AA152">
        <f t="shared" si="24"/>
        <v>495.01</v>
      </c>
      <c r="AB152">
        <f t="shared" si="25"/>
        <v>209.88</v>
      </c>
      <c r="AC152">
        <f t="shared" si="26"/>
        <v>0.42399999999999999</v>
      </c>
      <c r="AD152">
        <f t="shared" si="27"/>
        <v>11</v>
      </c>
      <c r="AE152">
        <f t="shared" si="28"/>
        <v>2024</v>
      </c>
      <c r="AF152" t="str">
        <f t="shared" si="29"/>
        <v>CLEAN</v>
      </c>
    </row>
    <row r="153" spans="1:32">
      <c r="A153" t="s">
        <v>916</v>
      </c>
      <c r="B153" s="10">
        <v>45303</v>
      </c>
      <c r="C153" s="10">
        <v>45304</v>
      </c>
      <c r="D153">
        <f t="shared" si="20"/>
        <v>1</v>
      </c>
      <c r="E153" t="str">
        <f t="shared" si="21"/>
        <v>OK</v>
      </c>
      <c r="F153" t="s">
        <v>917</v>
      </c>
      <c r="G153" t="s">
        <v>88</v>
      </c>
      <c r="H153" t="s">
        <v>89</v>
      </c>
      <c r="I153" t="s">
        <v>24</v>
      </c>
      <c r="J153" t="s">
        <v>135</v>
      </c>
      <c r="K153" t="s">
        <v>136</v>
      </c>
      <c r="L153" t="s">
        <v>73</v>
      </c>
      <c r="M153" t="s">
        <v>273</v>
      </c>
      <c r="N153" t="s">
        <v>918</v>
      </c>
      <c r="O153" t="s">
        <v>43</v>
      </c>
      <c r="P153">
        <v>3</v>
      </c>
      <c r="Q153">
        <v>827.44</v>
      </c>
      <c r="R153">
        <v>0</v>
      </c>
      <c r="S153" t="str">
        <f t="shared" si="22"/>
        <v>OK</v>
      </c>
      <c r="T153">
        <v>2482.3200000000002</v>
      </c>
      <c r="U153">
        <v>1520.21</v>
      </c>
      <c r="V153">
        <v>962.11</v>
      </c>
      <c r="W153" t="s">
        <v>31</v>
      </c>
      <c r="X153" t="s">
        <v>32</v>
      </c>
      <c r="Y153" t="str">
        <f>IF(COUNTIF($A$2:$A$901,A153)&gt;1,
  IF(COUNTIF($A$2:A153,A153)=1,
    " ORIGINAL",
    "CONFLICTING DUPLICATE - REVIEW"),
"OK")</f>
        <v>OK</v>
      </c>
      <c r="Z153">
        <f t="shared" si="23"/>
        <v>0</v>
      </c>
      <c r="AA153">
        <f t="shared" si="24"/>
        <v>2482.3200000000002</v>
      </c>
      <c r="AB153">
        <f t="shared" si="25"/>
        <v>962.11</v>
      </c>
      <c r="AC153">
        <f t="shared" si="26"/>
        <v>0.3876</v>
      </c>
      <c r="AD153">
        <f t="shared" si="27"/>
        <v>1</v>
      </c>
      <c r="AE153">
        <f t="shared" si="28"/>
        <v>2024</v>
      </c>
      <c r="AF153" t="str">
        <f t="shared" si="29"/>
        <v>CLEAN</v>
      </c>
    </row>
    <row r="154" spans="1:32">
      <c r="A154" t="s">
        <v>919</v>
      </c>
      <c r="B154" s="10">
        <v>45647</v>
      </c>
      <c r="C154" s="10">
        <v>45651</v>
      </c>
      <c r="D154">
        <f t="shared" si="20"/>
        <v>4</v>
      </c>
      <c r="E154" t="str">
        <f t="shared" si="21"/>
        <v>OK</v>
      </c>
      <c r="F154" t="s">
        <v>920</v>
      </c>
      <c r="G154" t="s">
        <v>88</v>
      </c>
      <c r="H154" t="s">
        <v>23</v>
      </c>
      <c r="I154" t="s">
        <v>53</v>
      </c>
      <c r="J154" t="s">
        <v>54</v>
      </c>
      <c r="K154" t="s">
        <v>55</v>
      </c>
      <c r="L154" t="s">
        <v>27</v>
      </c>
      <c r="M154" t="s">
        <v>152</v>
      </c>
      <c r="N154" t="s">
        <v>921</v>
      </c>
      <c r="O154" t="s">
        <v>58</v>
      </c>
      <c r="P154">
        <v>7</v>
      </c>
      <c r="Q154">
        <v>1667.75</v>
      </c>
      <c r="R154">
        <v>0</v>
      </c>
      <c r="S154" t="str">
        <f t="shared" si="22"/>
        <v>OK</v>
      </c>
      <c r="T154">
        <v>11674.25</v>
      </c>
      <c r="U154">
        <v>9621.19</v>
      </c>
      <c r="V154">
        <v>2053.06</v>
      </c>
      <c r="W154" t="s">
        <v>154</v>
      </c>
      <c r="X154" t="s">
        <v>67</v>
      </c>
      <c r="Y154" t="str">
        <f>IF(COUNTIF($A$2:$A$901,A154)&gt;1,
  IF(COUNTIF($A$2:A154,A154)=1,
    " ORIGINAL",
    "CONFLICTING DUPLICATE - REVIEW"),
"OK")</f>
        <v>OK</v>
      </c>
      <c r="Z154">
        <f t="shared" si="23"/>
        <v>0</v>
      </c>
      <c r="AA154">
        <f t="shared" si="24"/>
        <v>11674.25</v>
      </c>
      <c r="AB154">
        <f t="shared" si="25"/>
        <v>2053.06</v>
      </c>
      <c r="AC154">
        <f t="shared" si="26"/>
        <v>0.1759</v>
      </c>
      <c r="AD154">
        <f t="shared" si="27"/>
        <v>12</v>
      </c>
      <c r="AE154">
        <f t="shared" si="28"/>
        <v>2024</v>
      </c>
      <c r="AF154" t="str">
        <f t="shared" si="29"/>
        <v>INVALID</v>
      </c>
    </row>
    <row r="155" spans="1:32">
      <c r="A155" t="s">
        <v>922</v>
      </c>
      <c r="B155" s="10">
        <v>45522</v>
      </c>
      <c r="C155" s="10">
        <v>45528</v>
      </c>
      <c r="D155">
        <f t="shared" si="20"/>
        <v>6</v>
      </c>
      <c r="E155" t="str">
        <f t="shared" si="21"/>
        <v>OK</v>
      </c>
      <c r="F155" t="s">
        <v>923</v>
      </c>
      <c r="G155" t="s">
        <v>52</v>
      </c>
      <c r="H155" t="s">
        <v>23</v>
      </c>
      <c r="I155" t="s">
        <v>53</v>
      </c>
      <c r="J155" t="s">
        <v>83</v>
      </c>
      <c r="K155" t="s">
        <v>84</v>
      </c>
      <c r="L155" t="s">
        <v>40</v>
      </c>
      <c r="M155" t="s">
        <v>65</v>
      </c>
      <c r="N155" t="s">
        <v>924</v>
      </c>
      <c r="O155" t="s">
        <v>49</v>
      </c>
      <c r="P155">
        <v>7</v>
      </c>
      <c r="Q155">
        <v>557.21</v>
      </c>
      <c r="R155">
        <v>0.1</v>
      </c>
      <c r="S155" t="str">
        <f t="shared" si="22"/>
        <v>OK</v>
      </c>
      <c r="T155">
        <v>3510.42</v>
      </c>
      <c r="U155">
        <v>2191.5</v>
      </c>
      <c r="V155">
        <v>1213.48</v>
      </c>
      <c r="W155" t="s">
        <v>31</v>
      </c>
      <c r="X155" t="s">
        <v>32</v>
      </c>
      <c r="Y155" t="str">
        <f>IF(COUNTIF($A$2:$A$901,A155)&gt;1,
  IF(COUNTIF($A$2:A155,A155)=1,
    " ORIGINAL",
    "CONFLICTING DUPLICATE - REVIEW"),
"OK")</f>
        <v xml:space="preserve"> ORIGINAL</v>
      </c>
      <c r="Z155">
        <f t="shared" si="23"/>
        <v>0.1</v>
      </c>
      <c r="AA155">
        <f t="shared" si="24"/>
        <v>3510.42</v>
      </c>
      <c r="AB155">
        <f t="shared" si="25"/>
        <v>1318.92</v>
      </c>
      <c r="AC155">
        <f t="shared" si="26"/>
        <v>0.37569999999999998</v>
      </c>
      <c r="AD155">
        <f t="shared" si="27"/>
        <v>8</v>
      </c>
      <c r="AE155">
        <f t="shared" si="28"/>
        <v>2024</v>
      </c>
      <c r="AF155" t="str">
        <f t="shared" si="29"/>
        <v>CLEAN</v>
      </c>
    </row>
    <row r="156" spans="1:32">
      <c r="A156" t="s">
        <v>922</v>
      </c>
      <c r="B156" s="10">
        <v>45522</v>
      </c>
      <c r="C156" s="10">
        <v>45528</v>
      </c>
      <c r="D156">
        <f t="shared" si="20"/>
        <v>6</v>
      </c>
      <c r="E156" t="str">
        <f t="shared" si="21"/>
        <v>OK</v>
      </c>
      <c r="F156" t="s">
        <v>923</v>
      </c>
      <c r="G156" t="s">
        <v>52</v>
      </c>
      <c r="H156" t="s">
        <v>23</v>
      </c>
      <c r="I156" t="s">
        <v>53</v>
      </c>
      <c r="J156" t="s">
        <v>83</v>
      </c>
      <c r="K156" t="s">
        <v>84</v>
      </c>
      <c r="L156" t="s">
        <v>40</v>
      </c>
      <c r="M156" t="s">
        <v>65</v>
      </c>
      <c r="N156" t="s">
        <v>924</v>
      </c>
      <c r="O156" t="s">
        <v>49</v>
      </c>
      <c r="P156">
        <v>7</v>
      </c>
      <c r="Q156">
        <v>557.21</v>
      </c>
      <c r="R156">
        <v>0.1</v>
      </c>
      <c r="S156" t="str">
        <f t="shared" si="22"/>
        <v>OK</v>
      </c>
      <c r="T156">
        <v>3797.79</v>
      </c>
      <c r="U156">
        <v>2191.5</v>
      </c>
      <c r="V156">
        <v>1213.48</v>
      </c>
      <c r="W156" t="s">
        <v>31</v>
      </c>
      <c r="X156" t="s">
        <v>102</v>
      </c>
      <c r="Y156" t="str">
        <f>IF(COUNTIF($A$2:$A$901,A156)&gt;1,
  IF(COUNTIF($A$2:A156,A156)=1,
    " ORIGINAL",
    "CONFLICTING DUPLICATE - REVIEW"),
"OK")</f>
        <v>CONFLICTING DUPLICATE - REVIEW</v>
      </c>
      <c r="Z156">
        <f t="shared" si="23"/>
        <v>0.1</v>
      </c>
      <c r="AA156">
        <f t="shared" si="24"/>
        <v>3510.42</v>
      </c>
      <c r="AB156">
        <f t="shared" si="25"/>
        <v>1318.92</v>
      </c>
      <c r="AC156">
        <f t="shared" si="26"/>
        <v>0.37569999999999998</v>
      </c>
      <c r="AD156">
        <f t="shared" si="27"/>
        <v>8</v>
      </c>
      <c r="AE156">
        <f t="shared" si="28"/>
        <v>2024</v>
      </c>
      <c r="AF156" t="str">
        <f t="shared" si="29"/>
        <v>CLEAN</v>
      </c>
    </row>
    <row r="157" spans="1:32">
      <c r="A157" t="s">
        <v>928</v>
      </c>
      <c r="B157" s="10">
        <v>45477</v>
      </c>
      <c r="C157" s="10">
        <v>45396</v>
      </c>
      <c r="D157">
        <f t="shared" si="20"/>
        <v>-81</v>
      </c>
      <c r="E157" t="str">
        <f t="shared" si="21"/>
        <v>INVALID</v>
      </c>
      <c r="F157" t="s">
        <v>929</v>
      </c>
      <c r="G157" t="s">
        <v>140</v>
      </c>
      <c r="H157" t="s">
        <v>23</v>
      </c>
      <c r="I157" t="s">
        <v>53</v>
      </c>
      <c r="J157" t="s">
        <v>184</v>
      </c>
      <c r="K157" t="s">
        <v>185</v>
      </c>
      <c r="L157" t="s">
        <v>73</v>
      </c>
      <c r="M157" t="s">
        <v>79</v>
      </c>
      <c r="N157" t="s">
        <v>930</v>
      </c>
      <c r="O157" t="s">
        <v>58</v>
      </c>
      <c r="P157">
        <v>6</v>
      </c>
      <c r="Q157">
        <v>4246.71</v>
      </c>
      <c r="R157">
        <v>0.15</v>
      </c>
      <c r="S157" t="str">
        <f t="shared" si="22"/>
        <v>OK</v>
      </c>
      <c r="T157">
        <v>21658.22</v>
      </c>
      <c r="U157">
        <v>15490.69</v>
      </c>
      <c r="V157">
        <v>6167.53</v>
      </c>
      <c r="W157" t="s">
        <v>154</v>
      </c>
      <c r="X157" t="s">
        <v>102</v>
      </c>
      <c r="Y157" t="str">
        <f>IF(COUNTIF($A$2:$A$901,A157)&gt;1,
  IF(COUNTIF($A$2:A157,A157)=1,
    " ORIGINAL",
    "CONFLICTING DUPLICATE - REVIEW"),
"OK")</f>
        <v>OK</v>
      </c>
      <c r="Z157">
        <f t="shared" si="23"/>
        <v>0.15</v>
      </c>
      <c r="AA157">
        <f t="shared" si="24"/>
        <v>21658.22</v>
      </c>
      <c r="AB157">
        <f t="shared" si="25"/>
        <v>6167.53</v>
      </c>
      <c r="AC157">
        <f t="shared" si="26"/>
        <v>0.2848</v>
      </c>
      <c r="AD157">
        <f t="shared" si="27"/>
        <v>7</v>
      </c>
      <c r="AE157">
        <f t="shared" si="28"/>
        <v>2024</v>
      </c>
      <c r="AF157" t="str">
        <f t="shared" si="29"/>
        <v>INVALID</v>
      </c>
    </row>
    <row r="158" spans="1:32">
      <c r="A158" t="s">
        <v>931</v>
      </c>
      <c r="B158" s="10">
        <v>45337</v>
      </c>
      <c r="C158" s="10">
        <v>45344</v>
      </c>
      <c r="D158">
        <f t="shared" si="20"/>
        <v>7</v>
      </c>
      <c r="E158" t="str">
        <f t="shared" si="21"/>
        <v>OK</v>
      </c>
      <c r="F158" t="s">
        <v>932</v>
      </c>
      <c r="G158" t="s">
        <v>113</v>
      </c>
      <c r="H158" t="s">
        <v>36</v>
      </c>
      <c r="I158" t="s">
        <v>37</v>
      </c>
      <c r="J158" t="s">
        <v>98</v>
      </c>
      <c r="K158" t="s">
        <v>99</v>
      </c>
      <c r="L158" t="s">
        <v>40</v>
      </c>
      <c r="M158" t="s">
        <v>56</v>
      </c>
      <c r="N158" t="s">
        <v>933</v>
      </c>
      <c r="O158" t="s">
        <v>43</v>
      </c>
      <c r="P158">
        <v>1</v>
      </c>
      <c r="Q158">
        <v>980.51</v>
      </c>
      <c r="R158">
        <v>0</v>
      </c>
      <c r="S158" t="str">
        <f t="shared" si="22"/>
        <v>OK</v>
      </c>
      <c r="T158">
        <v>980.51</v>
      </c>
      <c r="U158">
        <v>660.92</v>
      </c>
      <c r="V158">
        <v>319.58999999999997</v>
      </c>
      <c r="W158" t="s">
        <v>31</v>
      </c>
      <c r="X158" t="s">
        <v>32</v>
      </c>
      <c r="Y158" t="str">
        <f>IF(COUNTIF($A$2:$A$901,A158)&gt;1,
  IF(COUNTIF($A$2:A158,A158)=1,
    " ORIGINAL",
    "CONFLICTING DUPLICATE - REVIEW"),
"OK")</f>
        <v>OK</v>
      </c>
      <c r="Z158">
        <f t="shared" si="23"/>
        <v>0</v>
      </c>
      <c r="AA158">
        <f t="shared" si="24"/>
        <v>980.51</v>
      </c>
      <c r="AB158">
        <f t="shared" si="25"/>
        <v>319.58999999999997</v>
      </c>
      <c r="AC158">
        <f t="shared" si="26"/>
        <v>0.32590000000000002</v>
      </c>
      <c r="AD158">
        <f t="shared" si="27"/>
        <v>2</v>
      </c>
      <c r="AE158">
        <f t="shared" si="28"/>
        <v>2024</v>
      </c>
      <c r="AF158" t="str">
        <f t="shared" si="29"/>
        <v>CLEAN</v>
      </c>
    </row>
    <row r="159" spans="1:32">
      <c r="A159" t="s">
        <v>934</v>
      </c>
      <c r="B159" s="10">
        <v>45313</v>
      </c>
      <c r="C159" s="10">
        <v>45314</v>
      </c>
      <c r="D159">
        <f t="shared" si="20"/>
        <v>1</v>
      </c>
      <c r="E159" t="str">
        <f t="shared" si="21"/>
        <v>OK</v>
      </c>
      <c r="F159" t="s">
        <v>935</v>
      </c>
      <c r="G159" t="s">
        <v>127</v>
      </c>
      <c r="H159" t="s">
        <v>36</v>
      </c>
      <c r="I159" t="s">
        <v>2762</v>
      </c>
      <c r="J159" t="s">
        <v>165</v>
      </c>
      <c r="K159" t="s">
        <v>166</v>
      </c>
      <c r="L159" t="s">
        <v>40</v>
      </c>
      <c r="M159" t="s">
        <v>65</v>
      </c>
      <c r="N159" t="s">
        <v>936</v>
      </c>
      <c r="O159" t="s">
        <v>30</v>
      </c>
      <c r="P159">
        <v>6</v>
      </c>
      <c r="Q159">
        <v>3391.53</v>
      </c>
      <c r="R159">
        <v>-0.14000000000000001</v>
      </c>
      <c r="S159" t="str">
        <f t="shared" si="22"/>
        <v>INVALID-NEGATIVE</v>
      </c>
      <c r="T159">
        <v>15261.89</v>
      </c>
      <c r="U159">
        <v>8413.5300000000007</v>
      </c>
      <c r="V159">
        <v>6848.36</v>
      </c>
      <c r="W159" t="s">
        <v>31</v>
      </c>
      <c r="X159" t="s">
        <v>32</v>
      </c>
      <c r="Y159" t="str">
        <f>IF(COUNTIF($A$2:$A$901,A159)&gt;1,
  IF(COUNTIF($A$2:A159,A159)=1,
    " ORIGINAL",
    "CONFLICTING DUPLICATE - REVIEW"),
"OK")</f>
        <v>OK</v>
      </c>
      <c r="Z159">
        <f t="shared" si="23"/>
        <v>0</v>
      </c>
      <c r="AA159">
        <f t="shared" si="24"/>
        <v>20349.18</v>
      </c>
      <c r="AB159">
        <f t="shared" si="25"/>
        <v>11935.65</v>
      </c>
      <c r="AC159">
        <f t="shared" si="26"/>
        <v>0.58650000000000002</v>
      </c>
      <c r="AD159">
        <f t="shared" si="27"/>
        <v>1</v>
      </c>
      <c r="AE159">
        <f t="shared" si="28"/>
        <v>2024</v>
      </c>
      <c r="AF159" t="str">
        <f t="shared" si="29"/>
        <v>INVALID</v>
      </c>
    </row>
    <row r="160" spans="1:32">
      <c r="A160" t="s">
        <v>942</v>
      </c>
      <c r="B160" s="10">
        <v>45391</v>
      </c>
      <c r="C160" s="10">
        <v>45392</v>
      </c>
      <c r="D160">
        <f t="shared" si="20"/>
        <v>1</v>
      </c>
      <c r="E160" t="str">
        <f t="shared" si="21"/>
        <v>OK</v>
      </c>
      <c r="F160" t="s">
        <v>943</v>
      </c>
      <c r="G160" t="s">
        <v>140</v>
      </c>
      <c r="H160" t="s">
        <v>36</v>
      </c>
      <c r="I160" t="s">
        <v>62</v>
      </c>
      <c r="J160" t="s">
        <v>63</v>
      </c>
      <c r="K160" t="s">
        <v>64</v>
      </c>
      <c r="L160" t="s">
        <v>27</v>
      </c>
      <c r="M160" t="s">
        <v>123</v>
      </c>
      <c r="N160" t="s">
        <v>944</v>
      </c>
      <c r="O160" t="s">
        <v>49</v>
      </c>
      <c r="P160">
        <v>1</v>
      </c>
      <c r="Q160">
        <v>4359.12</v>
      </c>
      <c r="R160">
        <v>0.05</v>
      </c>
      <c r="S160" t="str">
        <f t="shared" si="22"/>
        <v>OK</v>
      </c>
      <c r="T160">
        <v>4141.16</v>
      </c>
      <c r="U160">
        <v>2754.17</v>
      </c>
      <c r="V160">
        <v>1386.99</v>
      </c>
      <c r="W160" t="s">
        <v>31</v>
      </c>
      <c r="X160" t="s">
        <v>32</v>
      </c>
      <c r="Y160" t="str">
        <f>IF(COUNTIF($A$2:$A$901,A160)&gt;1,
  IF(COUNTIF($A$2:A160,A160)=1,
    " ORIGINAL",
    "CONFLICTING DUPLICATE - REVIEW"),
"OK")</f>
        <v>OK</v>
      </c>
      <c r="Z160">
        <f t="shared" si="23"/>
        <v>0.05</v>
      </c>
      <c r="AA160">
        <f t="shared" si="24"/>
        <v>4141.16</v>
      </c>
      <c r="AB160">
        <f t="shared" si="25"/>
        <v>1386.99</v>
      </c>
      <c r="AC160">
        <f t="shared" si="26"/>
        <v>0.33489999999999998</v>
      </c>
      <c r="AD160">
        <f t="shared" si="27"/>
        <v>4</v>
      </c>
      <c r="AE160">
        <f t="shared" si="28"/>
        <v>2024</v>
      </c>
      <c r="AF160" t="str">
        <f t="shared" si="29"/>
        <v>CLEAN</v>
      </c>
    </row>
    <row r="161" spans="1:32">
      <c r="A161" t="s">
        <v>945</v>
      </c>
      <c r="B161" s="10">
        <v>45649</v>
      </c>
      <c r="C161" s="10">
        <v>45652</v>
      </c>
      <c r="D161">
        <f t="shared" si="20"/>
        <v>3</v>
      </c>
      <c r="E161" t="str">
        <f t="shared" si="21"/>
        <v>OK</v>
      </c>
      <c r="F161" t="s">
        <v>946</v>
      </c>
      <c r="G161" t="s">
        <v>88</v>
      </c>
      <c r="H161" t="s">
        <v>23</v>
      </c>
      <c r="I161" t="s">
        <v>53</v>
      </c>
      <c r="J161" t="s">
        <v>174</v>
      </c>
      <c r="K161" t="s">
        <v>175</v>
      </c>
      <c r="L161" t="s">
        <v>73</v>
      </c>
      <c r="M161" t="s">
        <v>79</v>
      </c>
      <c r="N161" t="s">
        <v>947</v>
      </c>
      <c r="O161" t="s">
        <v>58</v>
      </c>
      <c r="P161">
        <v>9</v>
      </c>
      <c r="Q161">
        <v>993.67</v>
      </c>
      <c r="R161">
        <v>0</v>
      </c>
      <c r="S161" t="str">
        <f t="shared" si="22"/>
        <v>OK</v>
      </c>
      <c r="T161">
        <v>8943.0300000000007</v>
      </c>
      <c r="U161">
        <v>5165.38</v>
      </c>
      <c r="V161">
        <v>3777.65</v>
      </c>
      <c r="W161" t="s">
        <v>31</v>
      </c>
      <c r="X161" t="s">
        <v>32</v>
      </c>
      <c r="Y161" t="str">
        <f>IF(COUNTIF($A$2:$A$901,A161)&gt;1,
  IF(COUNTIF($A$2:A161,A161)=1,
    " ORIGINAL",
    "CONFLICTING DUPLICATE - REVIEW"),
"OK")</f>
        <v>OK</v>
      </c>
      <c r="Z161">
        <f t="shared" si="23"/>
        <v>0</v>
      </c>
      <c r="AA161">
        <f t="shared" si="24"/>
        <v>8943.0300000000007</v>
      </c>
      <c r="AB161">
        <f t="shared" si="25"/>
        <v>3777.65</v>
      </c>
      <c r="AC161">
        <f t="shared" si="26"/>
        <v>0.4224</v>
      </c>
      <c r="AD161">
        <f t="shared" si="27"/>
        <v>12</v>
      </c>
      <c r="AE161">
        <f t="shared" si="28"/>
        <v>2024</v>
      </c>
      <c r="AF161" t="str">
        <f t="shared" si="29"/>
        <v>CLEAN</v>
      </c>
    </row>
    <row r="162" spans="1:32">
      <c r="A162" t="s">
        <v>951</v>
      </c>
      <c r="B162" s="10">
        <v>45566</v>
      </c>
      <c r="C162" s="10">
        <v>45567</v>
      </c>
      <c r="D162">
        <f t="shared" si="20"/>
        <v>1</v>
      </c>
      <c r="E162" t="str">
        <f t="shared" si="21"/>
        <v>OK</v>
      </c>
      <c r="F162" t="s">
        <v>952</v>
      </c>
      <c r="G162" t="s">
        <v>22</v>
      </c>
      <c r="H162" t="s">
        <v>94</v>
      </c>
      <c r="I162" t="s">
        <v>37</v>
      </c>
      <c r="J162" t="s">
        <v>165</v>
      </c>
      <c r="K162" t="s">
        <v>166</v>
      </c>
      <c r="L162" t="s">
        <v>40</v>
      </c>
      <c r="M162" t="s">
        <v>41</v>
      </c>
      <c r="N162" t="s">
        <v>953</v>
      </c>
      <c r="O162" t="s">
        <v>30</v>
      </c>
      <c r="P162">
        <v>2</v>
      </c>
      <c r="Q162">
        <v>2298</v>
      </c>
      <c r="R162">
        <v>0</v>
      </c>
      <c r="S162" t="str">
        <f t="shared" si="22"/>
        <v>OK</v>
      </c>
      <c r="T162">
        <v>4596</v>
      </c>
      <c r="U162">
        <v>3220.33</v>
      </c>
      <c r="V162">
        <v>1375.67</v>
      </c>
      <c r="W162" t="s">
        <v>31</v>
      </c>
      <c r="X162" t="s">
        <v>32</v>
      </c>
      <c r="Y162" t="str">
        <f>IF(COUNTIF($A$2:$A$901,A162)&gt;1,
  IF(COUNTIF($A$2:A162,A162)=1,
    " ORIGINAL",
    "CONFLICTING DUPLICATE - REVIEW"),
"OK")</f>
        <v>OK</v>
      </c>
      <c r="Z162">
        <f t="shared" si="23"/>
        <v>0</v>
      </c>
      <c r="AA162">
        <f t="shared" si="24"/>
        <v>4596</v>
      </c>
      <c r="AB162">
        <f t="shared" si="25"/>
        <v>1375.67</v>
      </c>
      <c r="AC162">
        <f t="shared" si="26"/>
        <v>0.29930000000000001</v>
      </c>
      <c r="AD162">
        <f t="shared" si="27"/>
        <v>10</v>
      </c>
      <c r="AE162">
        <f t="shared" si="28"/>
        <v>2024</v>
      </c>
      <c r="AF162" t="str">
        <f t="shared" si="29"/>
        <v>CLEAN</v>
      </c>
    </row>
    <row r="163" spans="1:32">
      <c r="A163" t="s">
        <v>957</v>
      </c>
      <c r="B163" s="10">
        <v>45634</v>
      </c>
      <c r="C163" s="10">
        <v>45640</v>
      </c>
      <c r="D163">
        <f t="shared" si="20"/>
        <v>6</v>
      </c>
      <c r="E163" t="str">
        <f t="shared" si="21"/>
        <v>OK</v>
      </c>
      <c r="F163" t="s">
        <v>958</v>
      </c>
      <c r="G163" t="s">
        <v>22</v>
      </c>
      <c r="H163" t="s">
        <v>23</v>
      </c>
      <c r="I163" t="s">
        <v>37</v>
      </c>
      <c r="J163" t="s">
        <v>38</v>
      </c>
      <c r="K163" t="s">
        <v>39</v>
      </c>
      <c r="L163" t="s">
        <v>40</v>
      </c>
      <c r="M163" t="s">
        <v>41</v>
      </c>
      <c r="N163" t="s">
        <v>959</v>
      </c>
      <c r="O163" t="s">
        <v>43</v>
      </c>
      <c r="P163">
        <v>3</v>
      </c>
      <c r="Q163">
        <v>1576.92</v>
      </c>
      <c r="R163">
        <v>0</v>
      </c>
      <c r="S163" t="str">
        <f t="shared" si="22"/>
        <v>OK</v>
      </c>
      <c r="T163">
        <v>4730.76</v>
      </c>
      <c r="U163">
        <v>3139.73</v>
      </c>
      <c r="V163">
        <v>1591.03</v>
      </c>
      <c r="W163" t="s">
        <v>31</v>
      </c>
      <c r="X163" t="s">
        <v>102</v>
      </c>
      <c r="Y163" t="str">
        <f>IF(COUNTIF($A$2:$A$901,A163)&gt;1,
  IF(COUNTIF($A$2:A163,A163)=1,
    " ORIGINAL",
    "CONFLICTING DUPLICATE - REVIEW"),
"OK")</f>
        <v>OK</v>
      </c>
      <c r="Z163">
        <f t="shared" si="23"/>
        <v>0</v>
      </c>
      <c r="AA163">
        <f t="shared" si="24"/>
        <v>4730.76</v>
      </c>
      <c r="AB163">
        <f t="shared" si="25"/>
        <v>1591.03</v>
      </c>
      <c r="AC163">
        <f t="shared" si="26"/>
        <v>0.33629999999999999</v>
      </c>
      <c r="AD163">
        <f t="shared" si="27"/>
        <v>12</v>
      </c>
      <c r="AE163">
        <f t="shared" si="28"/>
        <v>2024</v>
      </c>
      <c r="AF163" t="str">
        <f t="shared" si="29"/>
        <v>CLEAN</v>
      </c>
    </row>
    <row r="164" spans="1:32">
      <c r="A164" t="s">
        <v>963</v>
      </c>
      <c r="B164" s="10">
        <v>45350</v>
      </c>
      <c r="C164" s="10">
        <v>45353</v>
      </c>
      <c r="D164">
        <f t="shared" si="20"/>
        <v>3</v>
      </c>
      <c r="E164" t="str">
        <f t="shared" si="21"/>
        <v>OK</v>
      </c>
      <c r="F164" t="s">
        <v>964</v>
      </c>
      <c r="G164" t="s">
        <v>113</v>
      </c>
      <c r="H164" t="s">
        <v>36</v>
      </c>
      <c r="I164" t="s">
        <v>24</v>
      </c>
      <c r="J164" t="s">
        <v>349</v>
      </c>
      <c r="K164" t="s">
        <v>350</v>
      </c>
      <c r="L164" t="s">
        <v>40</v>
      </c>
      <c r="M164" t="s">
        <v>56</v>
      </c>
      <c r="N164" t="s">
        <v>965</v>
      </c>
      <c r="O164" t="s">
        <v>49</v>
      </c>
      <c r="P164">
        <v>7</v>
      </c>
      <c r="Q164">
        <v>701.8</v>
      </c>
      <c r="R164">
        <v>0.1</v>
      </c>
      <c r="S164" t="str">
        <f t="shared" si="22"/>
        <v>OK</v>
      </c>
      <c r="T164">
        <v>4421.34</v>
      </c>
      <c r="U164">
        <v>2489.98</v>
      </c>
      <c r="V164">
        <v>1931.36</v>
      </c>
      <c r="W164" t="s">
        <v>110</v>
      </c>
      <c r="X164" t="s">
        <v>102</v>
      </c>
      <c r="Y164" t="str">
        <f>IF(COUNTIF($A$2:$A$901,A164)&gt;1,
  IF(COUNTIF($A$2:A164,A164)=1,
    " ORIGINAL",
    "CONFLICTING DUPLICATE - REVIEW"),
"OK")</f>
        <v>OK</v>
      </c>
      <c r="Z164">
        <f t="shared" si="23"/>
        <v>0.1</v>
      </c>
      <c r="AA164">
        <f t="shared" si="24"/>
        <v>4421.34</v>
      </c>
      <c r="AB164">
        <f t="shared" si="25"/>
        <v>1931.36</v>
      </c>
      <c r="AC164">
        <f t="shared" si="26"/>
        <v>0.43680000000000002</v>
      </c>
      <c r="AD164">
        <f t="shared" si="27"/>
        <v>2</v>
      </c>
      <c r="AE164">
        <f t="shared" si="28"/>
        <v>2024</v>
      </c>
      <c r="AF164" t="str">
        <f t="shared" si="29"/>
        <v>CLEAN</v>
      </c>
    </row>
    <row r="165" spans="1:32">
      <c r="A165" t="s">
        <v>966</v>
      </c>
      <c r="B165" s="10">
        <v>45540</v>
      </c>
      <c r="C165" s="10">
        <v>45482</v>
      </c>
      <c r="D165">
        <f t="shared" si="20"/>
        <v>-58</v>
      </c>
      <c r="E165" t="str">
        <f t="shared" si="21"/>
        <v>INVALID</v>
      </c>
      <c r="F165" t="s">
        <v>967</v>
      </c>
      <c r="G165" t="s">
        <v>78</v>
      </c>
      <c r="H165" t="s">
        <v>36</v>
      </c>
      <c r="I165" t="s">
        <v>53</v>
      </c>
      <c r="J165" t="s">
        <v>246</v>
      </c>
      <c r="K165" t="s">
        <v>247</v>
      </c>
      <c r="L165" t="s">
        <v>73</v>
      </c>
      <c r="M165" t="s">
        <v>79</v>
      </c>
      <c r="N165" t="s">
        <v>968</v>
      </c>
      <c r="O165" t="s">
        <v>58</v>
      </c>
      <c r="P165">
        <v>3</v>
      </c>
      <c r="Q165">
        <v>2555.66</v>
      </c>
      <c r="R165">
        <v>0.15</v>
      </c>
      <c r="S165" t="str">
        <f t="shared" si="22"/>
        <v>OK</v>
      </c>
      <c r="T165">
        <v>6516.93</v>
      </c>
      <c r="U165">
        <v>4511.54</v>
      </c>
      <c r="V165">
        <v>2005.39</v>
      </c>
      <c r="W165" t="s">
        <v>31</v>
      </c>
      <c r="X165" t="s">
        <v>67</v>
      </c>
      <c r="Y165" t="str">
        <f>IF(COUNTIF($A$2:$A$901,A165)&gt;1,
  IF(COUNTIF($A$2:A165,A165)=1,
    " ORIGINAL",
    "CONFLICTING DUPLICATE - REVIEW"),
"OK")</f>
        <v>OK</v>
      </c>
      <c r="Z165">
        <f t="shared" si="23"/>
        <v>0.15</v>
      </c>
      <c r="AA165">
        <f t="shared" si="24"/>
        <v>6516.93</v>
      </c>
      <c r="AB165">
        <f t="shared" si="25"/>
        <v>2005.39</v>
      </c>
      <c r="AC165">
        <f t="shared" si="26"/>
        <v>0.30769999999999997</v>
      </c>
      <c r="AD165">
        <f t="shared" si="27"/>
        <v>9</v>
      </c>
      <c r="AE165">
        <f t="shared" si="28"/>
        <v>2024</v>
      </c>
      <c r="AF165" t="str">
        <f t="shared" si="29"/>
        <v>INVALID</v>
      </c>
    </row>
    <row r="166" spans="1:32">
      <c r="A166" t="s">
        <v>969</v>
      </c>
      <c r="B166" s="10">
        <v>45467</v>
      </c>
      <c r="C166" s="10">
        <v>45467</v>
      </c>
      <c r="D166">
        <f t="shared" si="20"/>
        <v>0</v>
      </c>
      <c r="E166" t="str">
        <f t="shared" si="21"/>
        <v>OK</v>
      </c>
      <c r="F166" t="s">
        <v>970</v>
      </c>
      <c r="G166" t="s">
        <v>140</v>
      </c>
      <c r="H166" t="s">
        <v>36</v>
      </c>
      <c r="I166" t="s">
        <v>37</v>
      </c>
      <c r="J166" t="s">
        <v>144</v>
      </c>
      <c r="K166" t="s">
        <v>145</v>
      </c>
      <c r="L166" t="s">
        <v>27</v>
      </c>
      <c r="M166" t="s">
        <v>152</v>
      </c>
      <c r="N166" t="s">
        <v>971</v>
      </c>
      <c r="O166" t="s">
        <v>43</v>
      </c>
      <c r="P166">
        <v>2</v>
      </c>
      <c r="Q166">
        <v>4359.8999999999996</v>
      </c>
      <c r="R166">
        <v>0.15</v>
      </c>
      <c r="S166" t="str">
        <f t="shared" si="22"/>
        <v>OK</v>
      </c>
      <c r="T166">
        <v>7411.83</v>
      </c>
      <c r="U166">
        <v>4904.63</v>
      </c>
      <c r="V166">
        <v>2507.1999999999998</v>
      </c>
      <c r="W166" t="s">
        <v>31</v>
      </c>
      <c r="X166" t="s">
        <v>32</v>
      </c>
      <c r="Y166" t="str">
        <f>IF(COUNTIF($A$2:$A$901,A166)&gt;1,
  IF(COUNTIF($A$2:A166,A166)=1,
    " ORIGINAL",
    "CONFLICTING DUPLICATE - REVIEW"),
"OK")</f>
        <v>OK</v>
      </c>
      <c r="Z166">
        <f t="shared" si="23"/>
        <v>0.15</v>
      </c>
      <c r="AA166">
        <f t="shared" si="24"/>
        <v>7411.83</v>
      </c>
      <c r="AB166">
        <f t="shared" si="25"/>
        <v>2507.1999999999998</v>
      </c>
      <c r="AC166">
        <f t="shared" si="26"/>
        <v>0.33829999999999999</v>
      </c>
      <c r="AD166">
        <f t="shared" si="27"/>
        <v>6</v>
      </c>
      <c r="AE166">
        <f t="shared" si="28"/>
        <v>2024</v>
      </c>
      <c r="AF166" t="str">
        <f t="shared" si="29"/>
        <v>CLEAN</v>
      </c>
    </row>
    <row r="167" spans="1:32">
      <c r="A167" t="s">
        <v>978</v>
      </c>
      <c r="B167" s="10">
        <v>45387</v>
      </c>
      <c r="C167" s="10">
        <v>45392</v>
      </c>
      <c r="D167">
        <f t="shared" si="20"/>
        <v>5</v>
      </c>
      <c r="E167" t="str">
        <f t="shared" si="21"/>
        <v>OK</v>
      </c>
      <c r="F167" t="s">
        <v>979</v>
      </c>
      <c r="G167" t="s">
        <v>113</v>
      </c>
      <c r="H167" t="s">
        <v>94</v>
      </c>
      <c r="I167" t="s">
        <v>24</v>
      </c>
      <c r="J167" t="s">
        <v>25</v>
      </c>
      <c r="K167" t="s">
        <v>26</v>
      </c>
      <c r="L167" t="s">
        <v>27</v>
      </c>
      <c r="M167" t="s">
        <v>152</v>
      </c>
      <c r="N167" t="s">
        <v>980</v>
      </c>
      <c r="O167" t="s">
        <v>58</v>
      </c>
      <c r="P167">
        <v>4</v>
      </c>
      <c r="Q167">
        <v>3228.66</v>
      </c>
      <c r="R167">
        <v>0.25</v>
      </c>
      <c r="S167" t="str">
        <f t="shared" si="22"/>
        <v>OK</v>
      </c>
      <c r="T167">
        <v>9685.98</v>
      </c>
      <c r="U167">
        <v>7730.04</v>
      </c>
      <c r="V167">
        <v>1955.94</v>
      </c>
      <c r="W167" t="s">
        <v>31</v>
      </c>
      <c r="X167" t="s">
        <v>32</v>
      </c>
      <c r="Y167" t="str">
        <f>IF(COUNTIF($A$2:$A$901,A167)&gt;1,
  IF(COUNTIF($A$2:A167,A167)=1,
    " ORIGINAL",
    "CONFLICTING DUPLICATE - REVIEW"),
"OK")</f>
        <v>OK</v>
      </c>
      <c r="Z167">
        <f t="shared" si="23"/>
        <v>0.25</v>
      </c>
      <c r="AA167">
        <f t="shared" si="24"/>
        <v>9685.98</v>
      </c>
      <c r="AB167">
        <f t="shared" si="25"/>
        <v>1955.94</v>
      </c>
      <c r="AC167">
        <f t="shared" si="26"/>
        <v>0.2019</v>
      </c>
      <c r="AD167">
        <f t="shared" si="27"/>
        <v>4</v>
      </c>
      <c r="AE167">
        <f t="shared" si="28"/>
        <v>2024</v>
      </c>
      <c r="AF167" t="str">
        <f t="shared" si="29"/>
        <v>CLEAN</v>
      </c>
    </row>
    <row r="168" spans="1:32">
      <c r="A168" t="s">
        <v>984</v>
      </c>
      <c r="B168" s="10">
        <v>45358</v>
      </c>
      <c r="C168" s="10">
        <v>45599</v>
      </c>
      <c r="D168">
        <f t="shared" si="20"/>
        <v>241</v>
      </c>
      <c r="E168" t="str">
        <f t="shared" si="21"/>
        <v>OK</v>
      </c>
      <c r="F168" t="s">
        <v>985</v>
      </c>
      <c r="G168" t="s">
        <v>52</v>
      </c>
      <c r="H168" t="s">
        <v>94</v>
      </c>
      <c r="I168" t="s">
        <v>53</v>
      </c>
      <c r="J168" t="s">
        <v>54</v>
      </c>
      <c r="K168" t="s">
        <v>55</v>
      </c>
      <c r="L168" t="s">
        <v>73</v>
      </c>
      <c r="M168" t="s">
        <v>170</v>
      </c>
      <c r="N168" t="s">
        <v>986</v>
      </c>
      <c r="O168" t="s">
        <v>49</v>
      </c>
      <c r="P168">
        <v>2</v>
      </c>
      <c r="Q168">
        <v>4401.51</v>
      </c>
      <c r="R168">
        <v>0.65</v>
      </c>
      <c r="S168" t="str">
        <f t="shared" si="22"/>
        <v>OK</v>
      </c>
      <c r="T168">
        <v>8362.8700000000008</v>
      </c>
      <c r="U168">
        <v>6541.04</v>
      </c>
      <c r="V168">
        <v>1821.83</v>
      </c>
      <c r="W168" t="s">
        <v>31</v>
      </c>
      <c r="X168" t="s">
        <v>32</v>
      </c>
      <c r="Y168" t="str">
        <f>IF(COUNTIF($A$2:$A$901,A168)&gt;1,
  IF(COUNTIF($A$2:A168,A168)=1,
    " ORIGINAL",
    "CONFLICTING DUPLICATE - REVIEW"),
"OK")</f>
        <v>OK</v>
      </c>
      <c r="Z168">
        <f t="shared" si="23"/>
        <v>0.65</v>
      </c>
      <c r="AA168">
        <f t="shared" si="24"/>
        <v>3081.06</v>
      </c>
      <c r="AB168">
        <f t="shared" si="25"/>
        <v>-3459.98</v>
      </c>
      <c r="AC168">
        <f t="shared" si="26"/>
        <v>-1.123</v>
      </c>
      <c r="AD168">
        <f t="shared" si="27"/>
        <v>3</v>
      </c>
      <c r="AE168">
        <f t="shared" si="28"/>
        <v>2024</v>
      </c>
      <c r="AF168" t="str">
        <f t="shared" si="29"/>
        <v>CLEAN</v>
      </c>
    </row>
    <row r="169" spans="1:32">
      <c r="A169" t="s">
        <v>996</v>
      </c>
      <c r="B169" s="10">
        <v>45594</v>
      </c>
      <c r="C169" s="10">
        <v>45454</v>
      </c>
      <c r="D169">
        <f t="shared" si="20"/>
        <v>-140</v>
      </c>
      <c r="E169" t="str">
        <f t="shared" si="21"/>
        <v>INVALID</v>
      </c>
      <c r="F169" t="s">
        <v>997</v>
      </c>
      <c r="G169" t="s">
        <v>131</v>
      </c>
      <c r="H169" t="s">
        <v>89</v>
      </c>
      <c r="I169" t="s">
        <v>53</v>
      </c>
      <c r="J169" t="s">
        <v>246</v>
      </c>
      <c r="K169" t="s">
        <v>247</v>
      </c>
      <c r="L169" t="s">
        <v>73</v>
      </c>
      <c r="M169" t="s">
        <v>79</v>
      </c>
      <c r="N169" t="s">
        <v>998</v>
      </c>
      <c r="O169" t="s">
        <v>43</v>
      </c>
      <c r="P169">
        <v>6</v>
      </c>
      <c r="Q169">
        <v>1169.92</v>
      </c>
      <c r="R169">
        <v>0.15</v>
      </c>
      <c r="S169" t="str">
        <f t="shared" si="22"/>
        <v>OK</v>
      </c>
      <c r="T169">
        <v>5966.59</v>
      </c>
      <c r="U169">
        <v>3994.72</v>
      </c>
      <c r="V169">
        <v>1971.87</v>
      </c>
      <c r="W169" t="s">
        <v>31</v>
      </c>
      <c r="X169" t="s">
        <v>32</v>
      </c>
      <c r="Y169" t="str">
        <f>IF(COUNTIF($A$2:$A$901,A169)&gt;1,
  IF(COUNTIF($A$2:A169,A169)=1,
    " ORIGINAL",
    "CONFLICTING DUPLICATE - REVIEW"),
"OK")</f>
        <v>OK</v>
      </c>
      <c r="Z169">
        <f t="shared" si="23"/>
        <v>0.15</v>
      </c>
      <c r="AA169">
        <f t="shared" si="24"/>
        <v>5966.59</v>
      </c>
      <c r="AB169">
        <f t="shared" si="25"/>
        <v>1971.87</v>
      </c>
      <c r="AC169">
        <f t="shared" si="26"/>
        <v>0.33050000000000002</v>
      </c>
      <c r="AD169">
        <f t="shared" si="27"/>
        <v>10</v>
      </c>
      <c r="AE169">
        <f t="shared" si="28"/>
        <v>2024</v>
      </c>
      <c r="AF169" t="str">
        <f t="shared" si="29"/>
        <v>INVALID</v>
      </c>
    </row>
    <row r="170" spans="1:32">
      <c r="A170" t="s">
        <v>1002</v>
      </c>
      <c r="B170" s="10">
        <v>45454</v>
      </c>
      <c r="C170" s="10">
        <v>45608</v>
      </c>
      <c r="D170">
        <f t="shared" si="20"/>
        <v>154</v>
      </c>
      <c r="E170" t="str">
        <f t="shared" si="21"/>
        <v>OK</v>
      </c>
      <c r="F170" t="s">
        <v>1003</v>
      </c>
      <c r="G170" t="s">
        <v>117</v>
      </c>
      <c r="H170" t="s">
        <v>36</v>
      </c>
      <c r="I170" t="s">
        <v>62</v>
      </c>
      <c r="J170" t="s">
        <v>179</v>
      </c>
      <c r="K170" t="s">
        <v>180</v>
      </c>
      <c r="L170" t="s">
        <v>73</v>
      </c>
      <c r="M170" t="s">
        <v>74</v>
      </c>
      <c r="N170" t="s">
        <v>1004</v>
      </c>
      <c r="O170" t="s">
        <v>58</v>
      </c>
      <c r="P170">
        <v>7</v>
      </c>
      <c r="Q170">
        <v>1719.05</v>
      </c>
      <c r="R170">
        <v>0.1</v>
      </c>
      <c r="S170" t="str">
        <f t="shared" si="22"/>
        <v>OK</v>
      </c>
      <c r="T170">
        <v>10830.02</v>
      </c>
      <c r="U170">
        <v>7055.31</v>
      </c>
      <c r="V170">
        <v>3774.71</v>
      </c>
      <c r="W170" t="s">
        <v>31</v>
      </c>
      <c r="X170" t="s">
        <v>32</v>
      </c>
      <c r="Y170" t="str">
        <f>IF(COUNTIF($A$2:$A$901,A170)&gt;1,
  IF(COUNTIF($A$2:A170,A170)=1,
    " ORIGINAL",
    "CONFLICTING DUPLICATE - REVIEW"),
"OK")</f>
        <v>OK</v>
      </c>
      <c r="Z170">
        <f t="shared" si="23"/>
        <v>0.1</v>
      </c>
      <c r="AA170">
        <f t="shared" si="24"/>
        <v>10830.02</v>
      </c>
      <c r="AB170">
        <f t="shared" si="25"/>
        <v>3774.71</v>
      </c>
      <c r="AC170">
        <f t="shared" si="26"/>
        <v>0.34849999999999998</v>
      </c>
      <c r="AD170">
        <f t="shared" si="27"/>
        <v>6</v>
      </c>
      <c r="AE170">
        <f t="shared" si="28"/>
        <v>2024</v>
      </c>
      <c r="AF170" t="str">
        <f t="shared" si="29"/>
        <v>CLEAN</v>
      </c>
    </row>
    <row r="171" spans="1:32">
      <c r="A171" t="s">
        <v>1005</v>
      </c>
      <c r="B171" s="10">
        <v>45397</v>
      </c>
      <c r="C171" s="10">
        <v>45405</v>
      </c>
      <c r="D171">
        <f t="shared" si="20"/>
        <v>8</v>
      </c>
      <c r="E171" t="str">
        <f t="shared" si="21"/>
        <v>OK</v>
      </c>
      <c r="F171" t="s">
        <v>1006</v>
      </c>
      <c r="G171" t="s">
        <v>161</v>
      </c>
      <c r="H171" t="s">
        <v>36</v>
      </c>
      <c r="I171" t="s">
        <v>24</v>
      </c>
      <c r="J171" t="s">
        <v>121</v>
      </c>
      <c r="K171" t="s">
        <v>122</v>
      </c>
      <c r="L171" t="s">
        <v>73</v>
      </c>
      <c r="M171" t="s">
        <v>74</v>
      </c>
      <c r="N171" t="s">
        <v>1007</v>
      </c>
      <c r="O171" t="s">
        <v>30</v>
      </c>
      <c r="P171">
        <v>9</v>
      </c>
      <c r="Q171">
        <v>3893.74</v>
      </c>
      <c r="R171">
        <v>0.1</v>
      </c>
      <c r="S171" t="str">
        <f t="shared" si="22"/>
        <v>OK</v>
      </c>
      <c r="T171">
        <v>31539.29</v>
      </c>
      <c r="U171">
        <v>22100.14</v>
      </c>
      <c r="V171">
        <v>9439.15</v>
      </c>
      <c r="W171" t="s">
        <v>31</v>
      </c>
      <c r="X171" t="s">
        <v>32</v>
      </c>
      <c r="Y171" t="str">
        <f>IF(COUNTIF($A$2:$A$901,A171)&gt;1,
  IF(COUNTIF($A$2:A171,A171)=1,
    " ORIGINAL",
    "CONFLICTING DUPLICATE - REVIEW"),
"OK")</f>
        <v>OK</v>
      </c>
      <c r="Z171">
        <f t="shared" si="23"/>
        <v>0.1</v>
      </c>
      <c r="AA171">
        <f t="shared" si="24"/>
        <v>31539.29</v>
      </c>
      <c r="AB171">
        <f t="shared" si="25"/>
        <v>9439.15</v>
      </c>
      <c r="AC171">
        <f t="shared" si="26"/>
        <v>0.29930000000000001</v>
      </c>
      <c r="AD171">
        <f t="shared" si="27"/>
        <v>4</v>
      </c>
      <c r="AE171">
        <f t="shared" si="28"/>
        <v>2024</v>
      </c>
      <c r="AF171" t="str">
        <f t="shared" si="29"/>
        <v>CLEAN</v>
      </c>
    </row>
    <row r="172" spans="1:32">
      <c r="A172" t="s">
        <v>1014</v>
      </c>
      <c r="B172" s="10">
        <v>45466</v>
      </c>
      <c r="C172" s="10">
        <v>45471</v>
      </c>
      <c r="D172">
        <f t="shared" si="20"/>
        <v>5</v>
      </c>
      <c r="E172" t="str">
        <f t="shared" si="21"/>
        <v>OK</v>
      </c>
      <c r="F172" t="s">
        <v>1015</v>
      </c>
      <c r="G172" t="s">
        <v>161</v>
      </c>
      <c r="H172" t="s">
        <v>94</v>
      </c>
      <c r="I172" t="s">
        <v>62</v>
      </c>
      <c r="J172" t="s">
        <v>179</v>
      </c>
      <c r="K172" t="s">
        <v>180</v>
      </c>
      <c r="L172" t="s">
        <v>40</v>
      </c>
      <c r="M172" t="s">
        <v>65</v>
      </c>
      <c r="N172" t="s">
        <v>1016</v>
      </c>
      <c r="O172" t="s">
        <v>58</v>
      </c>
      <c r="P172">
        <v>2</v>
      </c>
      <c r="Q172">
        <v>1313.14</v>
      </c>
      <c r="R172">
        <v>0.1</v>
      </c>
      <c r="S172" t="str">
        <f t="shared" si="22"/>
        <v>OK</v>
      </c>
      <c r="T172">
        <v>2363.65</v>
      </c>
      <c r="U172">
        <v>1876.1</v>
      </c>
      <c r="V172">
        <v>487.55</v>
      </c>
      <c r="W172" t="s">
        <v>110</v>
      </c>
      <c r="X172" t="s">
        <v>102</v>
      </c>
      <c r="Y172" t="str">
        <f>IF(COUNTIF($A$2:$A$901,A172)&gt;1,
  IF(COUNTIF($A$2:A172,A172)=1,
    " ORIGINAL",
    "CONFLICTING DUPLICATE - REVIEW"),
"OK")</f>
        <v>OK</v>
      </c>
      <c r="Z172">
        <f t="shared" si="23"/>
        <v>0.1</v>
      </c>
      <c r="AA172">
        <f t="shared" si="24"/>
        <v>2363.65</v>
      </c>
      <c r="AB172">
        <f t="shared" si="25"/>
        <v>487.55</v>
      </c>
      <c r="AC172">
        <f t="shared" si="26"/>
        <v>0.20630000000000001</v>
      </c>
      <c r="AD172">
        <f t="shared" si="27"/>
        <v>6</v>
      </c>
      <c r="AE172">
        <f t="shared" si="28"/>
        <v>2024</v>
      </c>
      <c r="AF172" t="str">
        <f t="shared" si="29"/>
        <v>CLEAN</v>
      </c>
    </row>
    <row r="173" spans="1:32">
      <c r="A173" t="s">
        <v>1017</v>
      </c>
      <c r="B173" s="10">
        <v>45357</v>
      </c>
      <c r="C173" s="10">
        <v>45364</v>
      </c>
      <c r="D173">
        <f t="shared" si="20"/>
        <v>7</v>
      </c>
      <c r="E173" t="str">
        <f t="shared" si="21"/>
        <v>OK</v>
      </c>
      <c r="F173" t="s">
        <v>1018</v>
      </c>
      <c r="G173" t="s">
        <v>22</v>
      </c>
      <c r="H173" t="s">
        <v>23</v>
      </c>
      <c r="I173" t="s">
        <v>24</v>
      </c>
      <c r="J173" t="s">
        <v>121</v>
      </c>
      <c r="K173" t="s">
        <v>122</v>
      </c>
      <c r="L173" t="s">
        <v>40</v>
      </c>
      <c r="M173" t="s">
        <v>56</v>
      </c>
      <c r="N173" t="s">
        <v>1019</v>
      </c>
      <c r="O173" t="s">
        <v>58</v>
      </c>
      <c r="P173">
        <v>6</v>
      </c>
      <c r="Q173">
        <v>2403.0500000000002</v>
      </c>
      <c r="R173">
        <v>0.1</v>
      </c>
      <c r="S173" t="str">
        <f t="shared" si="22"/>
        <v>OK</v>
      </c>
      <c r="T173">
        <v>12976.47</v>
      </c>
      <c r="U173">
        <v>10019.98</v>
      </c>
      <c r="V173">
        <v>2956.49</v>
      </c>
      <c r="W173" t="s">
        <v>31</v>
      </c>
      <c r="X173" t="s">
        <v>32</v>
      </c>
      <c r="Y173" t="str">
        <f>IF(COUNTIF($A$2:$A$901,A173)&gt;1,
  IF(COUNTIF($A$2:A173,A173)=1,
    " ORIGINAL",
    "CONFLICTING DUPLICATE - REVIEW"),
"OK")</f>
        <v>OK</v>
      </c>
      <c r="Z173">
        <f t="shared" si="23"/>
        <v>0.1</v>
      </c>
      <c r="AA173">
        <f t="shared" si="24"/>
        <v>12976.47</v>
      </c>
      <c r="AB173">
        <f t="shared" si="25"/>
        <v>2956.49</v>
      </c>
      <c r="AC173">
        <f t="shared" si="26"/>
        <v>0.2278</v>
      </c>
      <c r="AD173">
        <f t="shared" si="27"/>
        <v>3</v>
      </c>
      <c r="AE173">
        <f t="shared" si="28"/>
        <v>2024</v>
      </c>
      <c r="AF173" t="str">
        <f t="shared" si="29"/>
        <v>CLEAN</v>
      </c>
    </row>
    <row r="174" spans="1:32">
      <c r="A174" t="s">
        <v>1020</v>
      </c>
      <c r="B174" s="10">
        <v>45413</v>
      </c>
      <c r="C174" s="10">
        <v>45414</v>
      </c>
      <c r="D174">
        <f t="shared" si="20"/>
        <v>1</v>
      </c>
      <c r="E174" t="str">
        <f t="shared" si="21"/>
        <v>OK</v>
      </c>
      <c r="F174" t="s">
        <v>1021</v>
      </c>
      <c r="G174" t="s">
        <v>61</v>
      </c>
      <c r="H174" t="s">
        <v>23</v>
      </c>
      <c r="I174" t="s">
        <v>37</v>
      </c>
      <c r="J174" t="s">
        <v>165</v>
      </c>
      <c r="K174" t="s">
        <v>166</v>
      </c>
      <c r="L174" t="s">
        <v>40</v>
      </c>
      <c r="M174" t="s">
        <v>65</v>
      </c>
      <c r="N174" t="s">
        <v>1022</v>
      </c>
      <c r="O174" t="s">
        <v>49</v>
      </c>
      <c r="P174">
        <v>4</v>
      </c>
      <c r="Q174">
        <v>4156.0600000000004</v>
      </c>
      <c r="R174">
        <v>0.55000000000000004</v>
      </c>
      <c r="S174" t="str">
        <f t="shared" si="22"/>
        <v>OK</v>
      </c>
      <c r="T174">
        <v>13299.39</v>
      </c>
      <c r="U174">
        <v>9851.91</v>
      </c>
      <c r="V174">
        <v>3447.48</v>
      </c>
      <c r="W174" t="s">
        <v>31</v>
      </c>
      <c r="X174" t="s">
        <v>67</v>
      </c>
      <c r="Y174" t="str">
        <f>IF(COUNTIF($A$2:$A$901,A174)&gt;1,
  IF(COUNTIF($A$2:A174,A174)=1,
    " ORIGINAL",
    "CONFLICTING DUPLICATE - REVIEW"),
"OK")</f>
        <v>OK</v>
      </c>
      <c r="Z174">
        <f t="shared" si="23"/>
        <v>0.55000000000000004</v>
      </c>
      <c r="AA174">
        <f t="shared" si="24"/>
        <v>7480.91</v>
      </c>
      <c r="AB174">
        <f t="shared" si="25"/>
        <v>-2371</v>
      </c>
      <c r="AC174">
        <f t="shared" si="26"/>
        <v>-0.31690000000000002</v>
      </c>
      <c r="AD174">
        <f t="shared" si="27"/>
        <v>5</v>
      </c>
      <c r="AE174">
        <f t="shared" si="28"/>
        <v>2024</v>
      </c>
      <c r="AF174" t="str">
        <f t="shared" si="29"/>
        <v>CLEAN</v>
      </c>
    </row>
    <row r="175" spans="1:32">
      <c r="A175" t="s">
        <v>1032</v>
      </c>
      <c r="B175" s="10">
        <v>45493</v>
      </c>
      <c r="C175" s="10">
        <v>45495</v>
      </c>
      <c r="D175">
        <f t="shared" si="20"/>
        <v>2</v>
      </c>
      <c r="E175" t="str">
        <f t="shared" si="21"/>
        <v>OK</v>
      </c>
      <c r="F175" t="s">
        <v>1033</v>
      </c>
      <c r="G175" t="s">
        <v>61</v>
      </c>
      <c r="H175" t="s">
        <v>23</v>
      </c>
      <c r="I175" t="s">
        <v>53</v>
      </c>
      <c r="J175" t="s">
        <v>246</v>
      </c>
      <c r="K175" t="s">
        <v>247</v>
      </c>
      <c r="L175" t="s">
        <v>40</v>
      </c>
      <c r="M175" t="s">
        <v>41</v>
      </c>
      <c r="N175" t="s">
        <v>1034</v>
      </c>
      <c r="O175" t="s">
        <v>49</v>
      </c>
      <c r="P175">
        <v>7</v>
      </c>
      <c r="Q175">
        <v>2060.73</v>
      </c>
      <c r="R175">
        <v>0.1</v>
      </c>
      <c r="S175" t="str">
        <f t="shared" si="22"/>
        <v>OK</v>
      </c>
      <c r="T175">
        <v>12982.6</v>
      </c>
      <c r="U175">
        <v>7246.36</v>
      </c>
      <c r="V175">
        <v>5736.24</v>
      </c>
      <c r="W175" t="s">
        <v>31</v>
      </c>
      <c r="X175" t="s">
        <v>67</v>
      </c>
      <c r="Y175" t="str">
        <f>IF(COUNTIF($A$2:$A$901,A175)&gt;1,
  IF(COUNTIF($A$2:A175,A175)=1,
    " ORIGINAL",
    "CONFLICTING DUPLICATE - REVIEW"),
"OK")</f>
        <v>OK</v>
      </c>
      <c r="Z175">
        <f t="shared" si="23"/>
        <v>0.1</v>
      </c>
      <c r="AA175">
        <f t="shared" si="24"/>
        <v>12982.6</v>
      </c>
      <c r="AB175">
        <f t="shared" si="25"/>
        <v>5736.24</v>
      </c>
      <c r="AC175">
        <f t="shared" si="26"/>
        <v>0.44180000000000003</v>
      </c>
      <c r="AD175">
        <f t="shared" si="27"/>
        <v>7</v>
      </c>
      <c r="AE175">
        <f t="shared" si="28"/>
        <v>2024</v>
      </c>
      <c r="AF175" t="str">
        <f t="shared" si="29"/>
        <v>CLEAN</v>
      </c>
    </row>
    <row r="176" spans="1:32">
      <c r="A176" t="s">
        <v>1035</v>
      </c>
      <c r="B176" s="10">
        <v>45389</v>
      </c>
      <c r="C176" s="10">
        <v>45511</v>
      </c>
      <c r="D176">
        <f t="shared" si="20"/>
        <v>122</v>
      </c>
      <c r="E176" t="str">
        <f t="shared" si="21"/>
        <v>OK</v>
      </c>
      <c r="F176" t="s">
        <v>1036</v>
      </c>
      <c r="G176" t="s">
        <v>140</v>
      </c>
      <c r="H176" t="s">
        <v>36</v>
      </c>
      <c r="I176" t="s">
        <v>53</v>
      </c>
      <c r="J176" t="s">
        <v>246</v>
      </c>
      <c r="K176" t="s">
        <v>247</v>
      </c>
      <c r="L176" t="s">
        <v>73</v>
      </c>
      <c r="M176" t="s">
        <v>273</v>
      </c>
      <c r="N176" t="s">
        <v>1037</v>
      </c>
      <c r="O176" t="s">
        <v>49</v>
      </c>
      <c r="P176">
        <v>8</v>
      </c>
      <c r="Q176">
        <v>2034.25</v>
      </c>
      <c r="R176">
        <v>0</v>
      </c>
      <c r="S176" t="str">
        <f t="shared" si="22"/>
        <v>OK</v>
      </c>
      <c r="T176">
        <v>16274</v>
      </c>
      <c r="U176">
        <v>9424.25</v>
      </c>
      <c r="V176">
        <v>6849.75</v>
      </c>
      <c r="W176" t="s">
        <v>31</v>
      </c>
      <c r="X176" t="s">
        <v>32</v>
      </c>
      <c r="Y176" t="str">
        <f>IF(COUNTIF($A$2:$A$901,A176)&gt;1,
  IF(COUNTIF($A$2:A176,A176)=1,
    " ORIGINAL",
    "CONFLICTING DUPLICATE - REVIEW"),
"OK")</f>
        <v>OK</v>
      </c>
      <c r="Z176">
        <f t="shared" si="23"/>
        <v>0</v>
      </c>
      <c r="AA176">
        <f t="shared" si="24"/>
        <v>16274</v>
      </c>
      <c r="AB176">
        <f t="shared" si="25"/>
        <v>6849.75</v>
      </c>
      <c r="AC176">
        <f t="shared" si="26"/>
        <v>0.4209</v>
      </c>
      <c r="AD176">
        <f t="shared" si="27"/>
        <v>4</v>
      </c>
      <c r="AE176">
        <f t="shared" si="28"/>
        <v>2024</v>
      </c>
      <c r="AF176" t="str">
        <f t="shared" si="29"/>
        <v>CLEAN</v>
      </c>
    </row>
    <row r="177" spans="1:32">
      <c r="A177" t="s">
        <v>1038</v>
      </c>
      <c r="B177" s="10">
        <v>45409</v>
      </c>
      <c r="C177" s="10">
        <v>45327</v>
      </c>
      <c r="D177">
        <f t="shared" si="20"/>
        <v>-82</v>
      </c>
      <c r="E177" t="str">
        <f t="shared" si="21"/>
        <v>INVALID</v>
      </c>
      <c r="F177" t="s">
        <v>1039</v>
      </c>
      <c r="G177" t="s">
        <v>35</v>
      </c>
      <c r="H177" t="s">
        <v>89</v>
      </c>
      <c r="I177" t="s">
        <v>53</v>
      </c>
      <c r="J177" t="s">
        <v>174</v>
      </c>
      <c r="K177" t="s">
        <v>175</v>
      </c>
      <c r="L177" t="s">
        <v>27</v>
      </c>
      <c r="M177" t="s">
        <v>152</v>
      </c>
      <c r="N177" t="s">
        <v>1040</v>
      </c>
      <c r="O177" t="s">
        <v>30</v>
      </c>
      <c r="P177">
        <v>5</v>
      </c>
      <c r="Q177">
        <v>554.04</v>
      </c>
      <c r="R177">
        <v>0.1</v>
      </c>
      <c r="S177" t="str">
        <f t="shared" si="22"/>
        <v>OK</v>
      </c>
      <c r="T177">
        <v>2493.1799999999998</v>
      </c>
      <c r="U177">
        <v>1764</v>
      </c>
      <c r="V177">
        <v>729.18</v>
      </c>
      <c r="W177" t="s">
        <v>31</v>
      </c>
      <c r="X177" t="s">
        <v>32</v>
      </c>
      <c r="Y177" t="str">
        <f>IF(COUNTIF($A$2:$A$901,A177)&gt;1,
  IF(COUNTIF($A$2:A177,A177)=1,
    " ORIGINAL",
    "CONFLICTING DUPLICATE - REVIEW"),
"OK")</f>
        <v>OK</v>
      </c>
      <c r="Z177">
        <f t="shared" si="23"/>
        <v>0.1</v>
      </c>
      <c r="AA177">
        <f t="shared" si="24"/>
        <v>2493.1799999999998</v>
      </c>
      <c r="AB177">
        <f t="shared" si="25"/>
        <v>729.18</v>
      </c>
      <c r="AC177">
        <f t="shared" si="26"/>
        <v>0.29249999999999998</v>
      </c>
      <c r="AD177">
        <f t="shared" si="27"/>
        <v>4</v>
      </c>
      <c r="AE177">
        <f t="shared" si="28"/>
        <v>2024</v>
      </c>
      <c r="AF177" t="str">
        <f t="shared" si="29"/>
        <v>INVALID</v>
      </c>
    </row>
    <row r="178" spans="1:32">
      <c r="A178" t="s">
        <v>1041</v>
      </c>
      <c r="B178" s="10">
        <v>45504</v>
      </c>
      <c r="C178" s="10">
        <v>45390</v>
      </c>
      <c r="D178">
        <f t="shared" si="20"/>
        <v>-114</v>
      </c>
      <c r="E178" t="str">
        <f t="shared" si="21"/>
        <v>INVALID</v>
      </c>
      <c r="F178" t="s">
        <v>1042</v>
      </c>
      <c r="G178" t="s">
        <v>22</v>
      </c>
      <c r="H178" t="s">
        <v>36</v>
      </c>
      <c r="I178" t="s">
        <v>37</v>
      </c>
      <c r="J178" t="s">
        <v>165</v>
      </c>
      <c r="K178" t="s">
        <v>166</v>
      </c>
      <c r="L178" t="s">
        <v>73</v>
      </c>
      <c r="M178" t="s">
        <v>170</v>
      </c>
      <c r="N178" t="s">
        <v>1043</v>
      </c>
      <c r="O178" t="s">
        <v>58</v>
      </c>
      <c r="P178">
        <v>8</v>
      </c>
      <c r="Q178">
        <v>2614.7399999999998</v>
      </c>
      <c r="R178">
        <v>0</v>
      </c>
      <c r="S178" t="str">
        <f t="shared" si="22"/>
        <v>OK</v>
      </c>
      <c r="T178">
        <v>15688.44</v>
      </c>
      <c r="U178">
        <v>10047.33</v>
      </c>
      <c r="V178">
        <v>5641.11</v>
      </c>
      <c r="W178" t="s">
        <v>31</v>
      </c>
      <c r="X178" t="s">
        <v>67</v>
      </c>
      <c r="Y178" t="str">
        <f>IF(COUNTIF($A$2:$A$901,A178)&gt;1,
  IF(COUNTIF($A$2:A178,A178)=1,
    " ORIGINAL",
    "CONFLICTING DUPLICATE - REVIEW"),
"OK")</f>
        <v>OK</v>
      </c>
      <c r="Z178">
        <f t="shared" si="23"/>
        <v>0</v>
      </c>
      <c r="AA178">
        <f t="shared" si="24"/>
        <v>20917.919999999998</v>
      </c>
      <c r="AB178">
        <f t="shared" si="25"/>
        <v>10870.59</v>
      </c>
      <c r="AC178">
        <f t="shared" si="26"/>
        <v>0.51970000000000005</v>
      </c>
      <c r="AD178">
        <f t="shared" si="27"/>
        <v>7</v>
      </c>
      <c r="AE178">
        <f t="shared" si="28"/>
        <v>2024</v>
      </c>
      <c r="AF178" t="str">
        <f t="shared" si="29"/>
        <v>INVALID</v>
      </c>
    </row>
    <row r="179" spans="1:32">
      <c r="A179" t="s">
        <v>1050</v>
      </c>
      <c r="B179" s="10">
        <v>45475</v>
      </c>
      <c r="C179" s="10">
        <v>45481</v>
      </c>
      <c r="D179">
        <f t="shared" si="20"/>
        <v>6</v>
      </c>
      <c r="E179" t="str">
        <f t="shared" si="21"/>
        <v>OK</v>
      </c>
      <c r="F179" t="s">
        <v>1051</v>
      </c>
      <c r="G179" t="s">
        <v>140</v>
      </c>
      <c r="H179" t="s">
        <v>23</v>
      </c>
      <c r="I179" t="s">
        <v>24</v>
      </c>
      <c r="J179" t="s">
        <v>349</v>
      </c>
      <c r="K179" t="s">
        <v>350</v>
      </c>
      <c r="L179" t="s">
        <v>27</v>
      </c>
      <c r="M179" t="s">
        <v>28</v>
      </c>
      <c r="N179" t="s">
        <v>1052</v>
      </c>
      <c r="O179" t="s">
        <v>58</v>
      </c>
      <c r="P179">
        <v>9</v>
      </c>
      <c r="Q179">
        <v>3450.4</v>
      </c>
      <c r="R179">
        <v>0.05</v>
      </c>
      <c r="S179" t="str">
        <f t="shared" si="22"/>
        <v>OK</v>
      </c>
      <c r="T179">
        <v>29500.92</v>
      </c>
      <c r="U179">
        <v>17989.68</v>
      </c>
      <c r="V179">
        <v>11511.24</v>
      </c>
      <c r="W179" t="s">
        <v>110</v>
      </c>
      <c r="X179" t="s">
        <v>102</v>
      </c>
      <c r="Y179" t="str">
        <f>IF(COUNTIF($A$2:$A$901,A179)&gt;1,
  IF(COUNTIF($A$2:A179,A179)=1,
    " ORIGINAL",
    "CONFLICTING DUPLICATE - REVIEW"),
"OK")</f>
        <v>OK</v>
      </c>
      <c r="Z179">
        <f t="shared" si="23"/>
        <v>0.05</v>
      </c>
      <c r="AA179">
        <f t="shared" si="24"/>
        <v>29500.92</v>
      </c>
      <c r="AB179">
        <f t="shared" si="25"/>
        <v>11511.24</v>
      </c>
      <c r="AC179">
        <f t="shared" si="26"/>
        <v>0.39019999999999999</v>
      </c>
      <c r="AD179">
        <f t="shared" si="27"/>
        <v>7</v>
      </c>
      <c r="AE179">
        <f t="shared" si="28"/>
        <v>2024</v>
      </c>
      <c r="AF179" t="str">
        <f t="shared" si="29"/>
        <v>CLEAN</v>
      </c>
    </row>
    <row r="180" spans="1:32">
      <c r="A180" t="s">
        <v>1053</v>
      </c>
      <c r="B180" s="10">
        <v>45338</v>
      </c>
      <c r="C180" s="10">
        <v>45340</v>
      </c>
      <c r="D180">
        <f t="shared" si="20"/>
        <v>2</v>
      </c>
      <c r="E180" t="str">
        <f t="shared" si="21"/>
        <v>OK</v>
      </c>
      <c r="F180" t="s">
        <v>1054</v>
      </c>
      <c r="G180" t="s">
        <v>22</v>
      </c>
      <c r="H180" t="s">
        <v>89</v>
      </c>
      <c r="I180" t="s">
        <v>24</v>
      </c>
      <c r="J180" t="s">
        <v>121</v>
      </c>
      <c r="K180" t="s">
        <v>122</v>
      </c>
      <c r="L180" t="s">
        <v>27</v>
      </c>
      <c r="M180" t="s">
        <v>90</v>
      </c>
      <c r="N180" t="s">
        <v>1055</v>
      </c>
      <c r="O180" t="s">
        <v>58</v>
      </c>
      <c r="P180">
        <v>2</v>
      </c>
      <c r="Q180">
        <v>1947.53</v>
      </c>
      <c r="R180">
        <v>0.2</v>
      </c>
      <c r="S180" t="str">
        <f t="shared" si="22"/>
        <v>OK</v>
      </c>
      <c r="T180">
        <v>3116.05</v>
      </c>
      <c r="U180">
        <v>1956.63</v>
      </c>
      <c r="V180">
        <v>1159.42</v>
      </c>
      <c r="W180" t="s">
        <v>31</v>
      </c>
      <c r="X180" t="s">
        <v>67</v>
      </c>
      <c r="Y180" t="str">
        <f>IF(COUNTIF($A$2:$A$901,A180)&gt;1,
  IF(COUNTIF($A$2:A180,A180)=1,
    " ORIGINAL",
    "CONFLICTING DUPLICATE - REVIEW"),
"OK")</f>
        <v>OK</v>
      </c>
      <c r="Z180">
        <f t="shared" si="23"/>
        <v>0.2</v>
      </c>
      <c r="AA180">
        <f t="shared" si="24"/>
        <v>3116.05</v>
      </c>
      <c r="AB180">
        <f t="shared" si="25"/>
        <v>1159.42</v>
      </c>
      <c r="AC180">
        <f t="shared" si="26"/>
        <v>0.37209999999999999</v>
      </c>
      <c r="AD180">
        <f t="shared" si="27"/>
        <v>2</v>
      </c>
      <c r="AE180">
        <f t="shared" si="28"/>
        <v>2024</v>
      </c>
      <c r="AF180" t="str">
        <f t="shared" si="29"/>
        <v>CLEAN</v>
      </c>
    </row>
    <row r="181" spans="1:32">
      <c r="A181" t="s">
        <v>1059</v>
      </c>
      <c r="B181" s="10">
        <v>45407</v>
      </c>
      <c r="C181" s="10">
        <v>45412</v>
      </c>
      <c r="D181">
        <f t="shared" si="20"/>
        <v>5</v>
      </c>
      <c r="E181" t="str">
        <f t="shared" si="21"/>
        <v>OK</v>
      </c>
      <c r="F181" t="s">
        <v>1060</v>
      </c>
      <c r="G181" t="s">
        <v>35</v>
      </c>
      <c r="H181" t="s">
        <v>36</v>
      </c>
      <c r="I181" t="s">
        <v>53</v>
      </c>
      <c r="J181" t="s">
        <v>174</v>
      </c>
      <c r="K181" t="s">
        <v>175</v>
      </c>
      <c r="L181" t="s">
        <v>73</v>
      </c>
      <c r="M181" t="s">
        <v>170</v>
      </c>
      <c r="N181" t="s">
        <v>1061</v>
      </c>
      <c r="O181" t="s">
        <v>58</v>
      </c>
      <c r="P181">
        <v>3</v>
      </c>
      <c r="Q181">
        <v>4149.46</v>
      </c>
      <c r="R181">
        <v>0.1</v>
      </c>
      <c r="S181" t="str">
        <f t="shared" si="22"/>
        <v>OK</v>
      </c>
      <c r="T181">
        <v>11203.54</v>
      </c>
      <c r="U181">
        <v>8452.93</v>
      </c>
      <c r="V181">
        <v>2750.61</v>
      </c>
      <c r="W181" t="s">
        <v>31</v>
      </c>
      <c r="X181" t="s">
        <v>32</v>
      </c>
      <c r="Y181" t="str">
        <f>IF(COUNTIF($A$2:$A$901,A181)&gt;1,
  IF(COUNTIF($A$2:A181,A181)=1,
    " ORIGINAL",
    "CONFLICTING DUPLICATE - REVIEW"),
"OK")</f>
        <v>OK</v>
      </c>
      <c r="Z181">
        <f t="shared" si="23"/>
        <v>0.1</v>
      </c>
      <c r="AA181">
        <f t="shared" si="24"/>
        <v>11203.54</v>
      </c>
      <c r="AB181">
        <f t="shared" si="25"/>
        <v>2750.61</v>
      </c>
      <c r="AC181">
        <f t="shared" si="26"/>
        <v>0.2455</v>
      </c>
      <c r="AD181">
        <f t="shared" si="27"/>
        <v>4</v>
      </c>
      <c r="AE181">
        <f t="shared" si="28"/>
        <v>2024</v>
      </c>
      <c r="AF181" t="str">
        <f t="shared" si="29"/>
        <v>CLEAN</v>
      </c>
    </row>
    <row r="182" spans="1:32">
      <c r="A182" t="s">
        <v>1062</v>
      </c>
      <c r="B182" s="10">
        <v>45525</v>
      </c>
      <c r="C182" s="10">
        <v>45529</v>
      </c>
      <c r="D182">
        <f t="shared" si="20"/>
        <v>4</v>
      </c>
      <c r="E182" t="str">
        <f t="shared" si="21"/>
        <v>OK</v>
      </c>
      <c r="F182" t="s">
        <v>1063</v>
      </c>
      <c r="G182" t="s">
        <v>161</v>
      </c>
      <c r="H182" t="s">
        <v>23</v>
      </c>
      <c r="I182" t="s">
        <v>62</v>
      </c>
      <c r="J182" t="s">
        <v>179</v>
      </c>
      <c r="K182" t="s">
        <v>180</v>
      </c>
      <c r="L182" t="s">
        <v>27</v>
      </c>
      <c r="M182" t="s">
        <v>152</v>
      </c>
      <c r="N182" t="s">
        <v>1064</v>
      </c>
      <c r="O182" t="s">
        <v>49</v>
      </c>
      <c r="P182">
        <v>1</v>
      </c>
      <c r="Q182">
        <v>270.27999999999997</v>
      </c>
      <c r="R182">
        <v>0</v>
      </c>
      <c r="S182" t="str">
        <f t="shared" si="22"/>
        <v>OK</v>
      </c>
      <c r="T182">
        <v>270.27999999999997</v>
      </c>
      <c r="U182">
        <v>156.34</v>
      </c>
      <c r="V182">
        <v>113.94</v>
      </c>
      <c r="W182" t="s">
        <v>31</v>
      </c>
      <c r="X182" t="s">
        <v>32</v>
      </c>
      <c r="Y182" t="str">
        <f>IF(COUNTIF($A$2:$A$901,A182)&gt;1,
  IF(COUNTIF($A$2:A182,A182)=1,
    " ORIGINAL",
    "CONFLICTING DUPLICATE - REVIEW"),
"OK")</f>
        <v>OK</v>
      </c>
      <c r="Z182">
        <f t="shared" si="23"/>
        <v>0</v>
      </c>
      <c r="AA182">
        <f t="shared" si="24"/>
        <v>270.27999999999997</v>
      </c>
      <c r="AB182">
        <f t="shared" si="25"/>
        <v>113.94</v>
      </c>
      <c r="AC182">
        <f t="shared" si="26"/>
        <v>0.42159999999999997</v>
      </c>
      <c r="AD182">
        <f t="shared" si="27"/>
        <v>8</v>
      </c>
      <c r="AE182">
        <f t="shared" si="28"/>
        <v>2024</v>
      </c>
      <c r="AF182" t="str">
        <f t="shared" si="29"/>
        <v>CLEAN</v>
      </c>
    </row>
    <row r="183" spans="1:32">
      <c r="A183" t="s">
        <v>1065</v>
      </c>
      <c r="B183" s="10">
        <v>45630</v>
      </c>
      <c r="C183" s="10">
        <v>45632</v>
      </c>
      <c r="D183">
        <f t="shared" si="20"/>
        <v>2</v>
      </c>
      <c r="E183" t="str">
        <f t="shared" si="21"/>
        <v>OK</v>
      </c>
      <c r="F183" t="s">
        <v>1066</v>
      </c>
      <c r="G183" t="s">
        <v>127</v>
      </c>
      <c r="H183" t="s">
        <v>94</v>
      </c>
      <c r="I183" t="s">
        <v>37</v>
      </c>
      <c r="J183" t="s">
        <v>98</v>
      </c>
      <c r="K183" t="s">
        <v>99</v>
      </c>
      <c r="L183" t="s">
        <v>27</v>
      </c>
      <c r="M183" t="s">
        <v>47</v>
      </c>
      <c r="N183" t="s">
        <v>1067</v>
      </c>
      <c r="O183" t="s">
        <v>30</v>
      </c>
      <c r="P183">
        <v>3</v>
      </c>
      <c r="Q183">
        <v>876.14</v>
      </c>
      <c r="R183" t="s">
        <v>462</v>
      </c>
      <c r="S183" t="str">
        <f t="shared" si="22"/>
        <v>INVALID-ABOVE</v>
      </c>
      <c r="T183">
        <v>2628.42</v>
      </c>
      <c r="U183">
        <v>1541.54</v>
      </c>
      <c r="V183">
        <v>1086.8800000000001</v>
      </c>
      <c r="W183" t="s">
        <v>110</v>
      </c>
      <c r="X183" t="s">
        <v>102</v>
      </c>
      <c r="Y183" t="str">
        <f>IF(COUNTIF($A$2:$A$901,A183)&gt;1,
  IF(COUNTIF($A$2:A183,A183)=1,
    " ORIGINAL",
    "CONFLICTING DUPLICATE - REVIEW"),
"OK")</f>
        <v>OK</v>
      </c>
      <c r="Z183">
        <f t="shared" si="23"/>
        <v>0.7</v>
      </c>
      <c r="AA183">
        <f t="shared" si="24"/>
        <v>788.53</v>
      </c>
      <c r="AB183">
        <f t="shared" si="25"/>
        <v>-753.01</v>
      </c>
      <c r="AC183">
        <f t="shared" si="26"/>
        <v>-0.95499999999999996</v>
      </c>
      <c r="AD183">
        <f t="shared" si="27"/>
        <v>12</v>
      </c>
      <c r="AE183">
        <f t="shared" si="28"/>
        <v>2024</v>
      </c>
      <c r="AF183" t="str">
        <f t="shared" si="29"/>
        <v>INVALID</v>
      </c>
    </row>
    <row r="184" spans="1:32">
      <c r="A184" t="s">
        <v>1068</v>
      </c>
      <c r="B184" s="10">
        <v>45466</v>
      </c>
      <c r="C184" s="10">
        <v>45473</v>
      </c>
      <c r="D184">
        <f t="shared" si="20"/>
        <v>7</v>
      </c>
      <c r="E184" t="str">
        <f t="shared" si="21"/>
        <v>OK</v>
      </c>
      <c r="F184" t="s">
        <v>1069</v>
      </c>
      <c r="G184" t="s">
        <v>78</v>
      </c>
      <c r="H184" t="s">
        <v>36</v>
      </c>
      <c r="I184" t="s">
        <v>62</v>
      </c>
      <c r="J184" t="s">
        <v>189</v>
      </c>
      <c r="K184" t="s">
        <v>190</v>
      </c>
      <c r="L184" t="s">
        <v>73</v>
      </c>
      <c r="M184" t="s">
        <v>74</v>
      </c>
      <c r="N184" t="s">
        <v>1070</v>
      </c>
      <c r="O184" t="s">
        <v>43</v>
      </c>
      <c r="P184">
        <v>4</v>
      </c>
      <c r="Q184">
        <v>674.82</v>
      </c>
      <c r="R184">
        <v>0</v>
      </c>
      <c r="S184" t="str">
        <f t="shared" si="22"/>
        <v>OK</v>
      </c>
      <c r="T184">
        <v>2699.28</v>
      </c>
      <c r="U184">
        <v>1759.76</v>
      </c>
      <c r="V184">
        <v>939.52</v>
      </c>
      <c r="W184" t="s">
        <v>154</v>
      </c>
      <c r="X184" t="s">
        <v>67</v>
      </c>
      <c r="Y184" t="str">
        <f>IF(COUNTIF($A$2:$A$901,A184)&gt;1,
  IF(COUNTIF($A$2:A184,A184)=1,
    " ORIGINAL",
    "CONFLICTING DUPLICATE - REVIEW"),
"OK")</f>
        <v>OK</v>
      </c>
      <c r="Z184">
        <f t="shared" si="23"/>
        <v>0</v>
      </c>
      <c r="AA184">
        <f t="shared" si="24"/>
        <v>2699.28</v>
      </c>
      <c r="AB184">
        <f t="shared" si="25"/>
        <v>939.52</v>
      </c>
      <c r="AC184">
        <f t="shared" si="26"/>
        <v>0.34810000000000002</v>
      </c>
      <c r="AD184">
        <f t="shared" si="27"/>
        <v>6</v>
      </c>
      <c r="AE184">
        <f t="shared" si="28"/>
        <v>2024</v>
      </c>
      <c r="AF184" t="str">
        <f t="shared" si="29"/>
        <v>INVALID</v>
      </c>
    </row>
    <row r="185" spans="1:32">
      <c r="A185" t="s">
        <v>1071</v>
      </c>
      <c r="B185" s="10">
        <v>45608</v>
      </c>
      <c r="C185" s="10">
        <v>45637</v>
      </c>
      <c r="D185">
        <f t="shared" si="20"/>
        <v>29</v>
      </c>
      <c r="E185" t="str">
        <f t="shared" si="21"/>
        <v>OK</v>
      </c>
      <c r="F185" t="s">
        <v>1072</v>
      </c>
      <c r="G185" t="s">
        <v>46</v>
      </c>
      <c r="H185" t="s">
        <v>23</v>
      </c>
      <c r="I185" t="s">
        <v>24</v>
      </c>
      <c r="J185" t="s">
        <v>135</v>
      </c>
      <c r="K185" t="s">
        <v>136</v>
      </c>
      <c r="L185" t="s">
        <v>73</v>
      </c>
      <c r="M185" t="s">
        <v>170</v>
      </c>
      <c r="N185" t="s">
        <v>1073</v>
      </c>
      <c r="O185" t="s">
        <v>30</v>
      </c>
      <c r="P185">
        <v>6</v>
      </c>
      <c r="Q185">
        <v>1369.48</v>
      </c>
      <c r="R185">
        <v>0.15</v>
      </c>
      <c r="S185" t="str">
        <f t="shared" si="22"/>
        <v>OK</v>
      </c>
      <c r="T185">
        <v>6984.35</v>
      </c>
      <c r="U185">
        <v>4023.63</v>
      </c>
      <c r="V185">
        <v>2960.72</v>
      </c>
      <c r="W185" t="s">
        <v>31</v>
      </c>
      <c r="X185" t="s">
        <v>32</v>
      </c>
      <c r="Y185" t="str">
        <f>IF(COUNTIF($A$2:$A$901,A185)&gt;1,
  IF(COUNTIF($A$2:A185,A185)=1,
    " ORIGINAL",
    "CONFLICTING DUPLICATE - REVIEW"),
"OK")</f>
        <v>OK</v>
      </c>
      <c r="Z185">
        <f t="shared" si="23"/>
        <v>0.15</v>
      </c>
      <c r="AA185">
        <f t="shared" si="24"/>
        <v>6984.35</v>
      </c>
      <c r="AB185">
        <f t="shared" si="25"/>
        <v>2960.72</v>
      </c>
      <c r="AC185">
        <f t="shared" si="26"/>
        <v>0.4239</v>
      </c>
      <c r="AD185">
        <f t="shared" si="27"/>
        <v>11</v>
      </c>
      <c r="AE185">
        <f t="shared" si="28"/>
        <v>2024</v>
      </c>
      <c r="AF185" t="str">
        <f t="shared" si="29"/>
        <v>CLEAN</v>
      </c>
    </row>
    <row r="186" spans="1:32">
      <c r="A186" t="s">
        <v>1074</v>
      </c>
      <c r="B186" s="10">
        <v>45347</v>
      </c>
      <c r="C186" s="10">
        <v>45351</v>
      </c>
      <c r="D186">
        <f t="shared" si="20"/>
        <v>4</v>
      </c>
      <c r="E186" t="str">
        <f t="shared" si="21"/>
        <v>OK</v>
      </c>
      <c r="F186" t="s">
        <v>1075</v>
      </c>
      <c r="G186" t="s">
        <v>46</v>
      </c>
      <c r="H186" t="s">
        <v>36</v>
      </c>
      <c r="I186" t="s">
        <v>62</v>
      </c>
      <c r="J186" t="s">
        <v>189</v>
      </c>
      <c r="K186" t="s">
        <v>190</v>
      </c>
      <c r="L186" t="s">
        <v>40</v>
      </c>
      <c r="M186" t="s">
        <v>56</v>
      </c>
      <c r="N186" t="s">
        <v>149</v>
      </c>
      <c r="O186" t="s">
        <v>58</v>
      </c>
      <c r="P186">
        <v>9</v>
      </c>
      <c r="Q186">
        <v>1331.46</v>
      </c>
      <c r="R186">
        <v>0.15</v>
      </c>
      <c r="S186" t="str">
        <f t="shared" si="22"/>
        <v>OK</v>
      </c>
      <c r="T186">
        <v>10185.67</v>
      </c>
      <c r="U186">
        <v>6479.31</v>
      </c>
      <c r="V186">
        <v>3706.36</v>
      </c>
      <c r="W186" t="s">
        <v>31</v>
      </c>
      <c r="X186" t="s">
        <v>32</v>
      </c>
      <c r="Y186" t="str">
        <f>IF(COUNTIF($A$2:$A$901,A186)&gt;1,
  IF(COUNTIF($A$2:A186,A186)=1,
    " ORIGINAL",
    "CONFLICTING DUPLICATE - REVIEW"),
"OK")</f>
        <v>OK</v>
      </c>
      <c r="Z186">
        <f t="shared" si="23"/>
        <v>0.15</v>
      </c>
      <c r="AA186">
        <f t="shared" si="24"/>
        <v>10185.67</v>
      </c>
      <c r="AB186">
        <f t="shared" si="25"/>
        <v>3706.36</v>
      </c>
      <c r="AC186">
        <f t="shared" si="26"/>
        <v>0.3639</v>
      </c>
      <c r="AD186">
        <f t="shared" si="27"/>
        <v>2</v>
      </c>
      <c r="AE186">
        <f t="shared" si="28"/>
        <v>2024</v>
      </c>
      <c r="AF186" t="str">
        <f t="shared" si="29"/>
        <v>CLEAN</v>
      </c>
    </row>
    <row r="187" spans="1:32">
      <c r="A187" t="s">
        <v>1085</v>
      </c>
      <c r="B187" s="10">
        <v>45497</v>
      </c>
      <c r="C187" s="10">
        <v>45500</v>
      </c>
      <c r="D187">
        <f t="shared" si="20"/>
        <v>3</v>
      </c>
      <c r="E187" t="str">
        <f t="shared" si="21"/>
        <v>OK</v>
      </c>
      <c r="F187" t="s">
        <v>1086</v>
      </c>
      <c r="G187" t="s">
        <v>46</v>
      </c>
      <c r="H187" t="s">
        <v>23</v>
      </c>
      <c r="I187" t="s">
        <v>62</v>
      </c>
      <c r="J187" t="s">
        <v>25</v>
      </c>
      <c r="K187" t="s">
        <v>108</v>
      </c>
      <c r="L187" t="s">
        <v>73</v>
      </c>
      <c r="M187" t="s">
        <v>74</v>
      </c>
      <c r="N187" t="s">
        <v>1087</v>
      </c>
      <c r="O187" t="s">
        <v>30</v>
      </c>
      <c r="P187">
        <v>3</v>
      </c>
      <c r="Q187">
        <v>1834.55</v>
      </c>
      <c r="R187">
        <v>0.2</v>
      </c>
      <c r="S187" t="str">
        <f t="shared" si="22"/>
        <v>OK</v>
      </c>
      <c r="T187">
        <v>4402.92</v>
      </c>
      <c r="U187">
        <v>2993.94</v>
      </c>
      <c r="V187">
        <v>1408.98</v>
      </c>
      <c r="W187" t="s">
        <v>110</v>
      </c>
      <c r="X187" t="s">
        <v>67</v>
      </c>
      <c r="Y187" t="str">
        <f>IF(COUNTIF($A$2:$A$901,A187)&gt;1,
  IF(COUNTIF($A$2:A187,A187)=1,
    " ORIGINAL",
    "CONFLICTING DUPLICATE - REVIEW"),
"OK")</f>
        <v>OK</v>
      </c>
      <c r="Z187">
        <f t="shared" si="23"/>
        <v>0.2</v>
      </c>
      <c r="AA187">
        <f t="shared" si="24"/>
        <v>4402.92</v>
      </c>
      <c r="AB187">
        <f t="shared" si="25"/>
        <v>1408.98</v>
      </c>
      <c r="AC187">
        <f t="shared" si="26"/>
        <v>0.32</v>
      </c>
      <c r="AD187">
        <f t="shared" si="27"/>
        <v>7</v>
      </c>
      <c r="AE187">
        <f t="shared" si="28"/>
        <v>2024</v>
      </c>
      <c r="AF187" t="str">
        <f t="shared" si="29"/>
        <v>CLEAN</v>
      </c>
    </row>
    <row r="188" spans="1:32">
      <c r="A188" t="s">
        <v>1094</v>
      </c>
      <c r="B188" s="10">
        <v>45428</v>
      </c>
      <c r="C188" s="10">
        <v>45436</v>
      </c>
      <c r="D188">
        <f t="shared" si="20"/>
        <v>8</v>
      </c>
      <c r="E188" t="str">
        <f t="shared" si="21"/>
        <v>OK</v>
      </c>
      <c r="F188" t="s">
        <v>1095</v>
      </c>
      <c r="G188" t="s">
        <v>52</v>
      </c>
      <c r="H188" t="s">
        <v>94</v>
      </c>
      <c r="I188" t="s">
        <v>24</v>
      </c>
      <c r="J188" t="s">
        <v>121</v>
      </c>
      <c r="K188" t="s">
        <v>122</v>
      </c>
      <c r="L188" t="s">
        <v>73</v>
      </c>
      <c r="M188" t="s">
        <v>74</v>
      </c>
      <c r="N188" t="s">
        <v>1096</v>
      </c>
      <c r="O188" t="s">
        <v>43</v>
      </c>
      <c r="P188">
        <v>1</v>
      </c>
      <c r="Q188">
        <v>783.09</v>
      </c>
      <c r="R188">
        <v>0</v>
      </c>
      <c r="S188" t="str">
        <f t="shared" si="22"/>
        <v>OK</v>
      </c>
      <c r="T188">
        <v>783.09</v>
      </c>
      <c r="U188">
        <v>503.89</v>
      </c>
      <c r="V188">
        <v>279.2</v>
      </c>
      <c r="W188" t="s">
        <v>154</v>
      </c>
      <c r="X188" t="s">
        <v>67</v>
      </c>
      <c r="Y188" t="str">
        <f>IF(COUNTIF($A$2:$A$901,A188)&gt;1,
  IF(COUNTIF($A$2:A188,A188)=1,
    " ORIGINAL",
    "CONFLICTING DUPLICATE - REVIEW"),
"OK")</f>
        <v>OK</v>
      </c>
      <c r="Z188">
        <f t="shared" si="23"/>
        <v>0</v>
      </c>
      <c r="AA188">
        <f t="shared" si="24"/>
        <v>783.09</v>
      </c>
      <c r="AB188">
        <f t="shared" si="25"/>
        <v>279.2</v>
      </c>
      <c r="AC188">
        <f t="shared" si="26"/>
        <v>0.35649999999999998</v>
      </c>
      <c r="AD188">
        <f t="shared" si="27"/>
        <v>5</v>
      </c>
      <c r="AE188">
        <f t="shared" si="28"/>
        <v>2024</v>
      </c>
      <c r="AF188" t="str">
        <f t="shared" si="29"/>
        <v>INVALID</v>
      </c>
    </row>
    <row r="189" spans="1:32">
      <c r="A189" t="s">
        <v>1097</v>
      </c>
      <c r="B189" s="10">
        <v>45394</v>
      </c>
      <c r="C189" s="10">
        <v>45632</v>
      </c>
      <c r="D189">
        <f t="shared" si="20"/>
        <v>238</v>
      </c>
      <c r="E189" t="str">
        <f t="shared" si="21"/>
        <v>OK</v>
      </c>
      <c r="F189" t="s">
        <v>1098</v>
      </c>
      <c r="G189" t="s">
        <v>131</v>
      </c>
      <c r="H189" t="s">
        <v>94</v>
      </c>
      <c r="I189" t="s">
        <v>37</v>
      </c>
      <c r="J189" t="s">
        <v>38</v>
      </c>
      <c r="K189" t="s">
        <v>39</v>
      </c>
      <c r="L189" t="s">
        <v>27</v>
      </c>
      <c r="M189" t="s">
        <v>152</v>
      </c>
      <c r="N189" t="s">
        <v>1099</v>
      </c>
      <c r="O189" t="s">
        <v>30</v>
      </c>
      <c r="P189">
        <v>4</v>
      </c>
      <c r="Q189">
        <v>2685.66</v>
      </c>
      <c r="R189">
        <v>0</v>
      </c>
      <c r="S189" t="str">
        <f t="shared" si="22"/>
        <v>OK</v>
      </c>
      <c r="T189">
        <v>10742.64</v>
      </c>
      <c r="U189">
        <v>6477.37</v>
      </c>
      <c r="V189">
        <v>4265.2700000000004</v>
      </c>
      <c r="W189" t="s">
        <v>31</v>
      </c>
      <c r="X189" t="s">
        <v>102</v>
      </c>
      <c r="Y189" t="str">
        <f>IF(COUNTIF($A$2:$A$901,A189)&gt;1,
  IF(COUNTIF($A$2:A189,A189)=1,
    " ORIGINAL",
    "CONFLICTING DUPLICATE - REVIEW"),
"OK")</f>
        <v xml:space="preserve"> ORIGINAL</v>
      </c>
      <c r="Z189">
        <f t="shared" si="23"/>
        <v>0</v>
      </c>
      <c r="AA189">
        <f t="shared" si="24"/>
        <v>10742.64</v>
      </c>
      <c r="AB189">
        <f t="shared" si="25"/>
        <v>4265.2700000000004</v>
      </c>
      <c r="AC189">
        <f t="shared" si="26"/>
        <v>0.39700000000000002</v>
      </c>
      <c r="AD189">
        <f t="shared" si="27"/>
        <v>4</v>
      </c>
      <c r="AE189">
        <f t="shared" si="28"/>
        <v>2024</v>
      </c>
      <c r="AF189" t="str">
        <f t="shared" si="29"/>
        <v>CLEAN</v>
      </c>
    </row>
    <row r="190" spans="1:32">
      <c r="A190" t="s">
        <v>1097</v>
      </c>
      <c r="B190" s="10">
        <v>45394</v>
      </c>
      <c r="C190" s="10">
        <v>45632</v>
      </c>
      <c r="D190">
        <f t="shared" si="20"/>
        <v>238</v>
      </c>
      <c r="E190" t="str">
        <f t="shared" si="21"/>
        <v>OK</v>
      </c>
      <c r="F190" t="s">
        <v>1098</v>
      </c>
      <c r="G190" t="s">
        <v>131</v>
      </c>
      <c r="H190" t="s">
        <v>94</v>
      </c>
      <c r="I190" t="s">
        <v>37</v>
      </c>
      <c r="J190" t="s">
        <v>38</v>
      </c>
      <c r="K190" t="s">
        <v>39</v>
      </c>
      <c r="L190" t="s">
        <v>27</v>
      </c>
      <c r="M190" t="s">
        <v>152</v>
      </c>
      <c r="N190" t="s">
        <v>1099</v>
      </c>
      <c r="O190" t="s">
        <v>30</v>
      </c>
      <c r="P190">
        <v>4</v>
      </c>
      <c r="Q190">
        <v>2685.66</v>
      </c>
      <c r="R190">
        <v>0</v>
      </c>
      <c r="S190" t="str">
        <f t="shared" si="22"/>
        <v>OK</v>
      </c>
      <c r="T190">
        <v>10989.89</v>
      </c>
      <c r="U190">
        <v>6477.37</v>
      </c>
      <c r="V190">
        <v>4265.2700000000004</v>
      </c>
      <c r="W190" t="s">
        <v>31</v>
      </c>
      <c r="X190" t="s">
        <v>32</v>
      </c>
      <c r="Y190" t="str">
        <f>IF(COUNTIF($A$2:$A$901,A190)&gt;1,
  IF(COUNTIF($A$2:A190,A190)=1,
    " ORIGINAL",
    "CONFLICTING DUPLICATE - REVIEW"),
"OK")</f>
        <v>CONFLICTING DUPLICATE - REVIEW</v>
      </c>
      <c r="Z190">
        <f t="shared" si="23"/>
        <v>0</v>
      </c>
      <c r="AA190">
        <f t="shared" si="24"/>
        <v>10742.64</v>
      </c>
      <c r="AB190">
        <f t="shared" si="25"/>
        <v>4265.2700000000004</v>
      </c>
      <c r="AC190">
        <f t="shared" si="26"/>
        <v>0.39700000000000002</v>
      </c>
      <c r="AD190">
        <f t="shared" si="27"/>
        <v>4</v>
      </c>
      <c r="AE190">
        <f t="shared" si="28"/>
        <v>2024</v>
      </c>
      <c r="AF190" t="str">
        <f t="shared" si="29"/>
        <v>CLEAN</v>
      </c>
    </row>
    <row r="191" spans="1:32">
      <c r="A191" t="s">
        <v>1106</v>
      </c>
      <c r="B191" s="10">
        <v>45547</v>
      </c>
      <c r="C191" s="10">
        <v>45552</v>
      </c>
      <c r="D191">
        <f t="shared" si="20"/>
        <v>5</v>
      </c>
      <c r="E191" t="str">
        <f t="shared" si="21"/>
        <v>OK</v>
      </c>
      <c r="F191" t="s">
        <v>1107</v>
      </c>
      <c r="G191" t="s">
        <v>61</v>
      </c>
      <c r="H191" t="s">
        <v>23</v>
      </c>
      <c r="I191" t="s">
        <v>37</v>
      </c>
      <c r="J191" t="s">
        <v>227</v>
      </c>
      <c r="K191" t="s">
        <v>228</v>
      </c>
      <c r="L191" t="s">
        <v>27</v>
      </c>
      <c r="M191" t="s">
        <v>123</v>
      </c>
      <c r="N191" t="s">
        <v>1108</v>
      </c>
      <c r="O191" t="s">
        <v>49</v>
      </c>
      <c r="P191">
        <v>9</v>
      </c>
      <c r="Q191">
        <v>1921.47</v>
      </c>
      <c r="R191">
        <v>0.25</v>
      </c>
      <c r="S191" t="str">
        <f t="shared" si="22"/>
        <v>OK</v>
      </c>
      <c r="T191">
        <v>12969.92</v>
      </c>
      <c r="U191">
        <v>9398.4599999999991</v>
      </c>
      <c r="V191">
        <v>3571.46</v>
      </c>
      <c r="W191" t="s">
        <v>31</v>
      </c>
      <c r="X191" t="s">
        <v>32</v>
      </c>
      <c r="Y191" t="str">
        <f>IF(COUNTIF($A$2:$A$901,A191)&gt;1,
  IF(COUNTIF($A$2:A191,A191)=1,
    " ORIGINAL",
    "CONFLICTING DUPLICATE - REVIEW"),
"OK")</f>
        <v>OK</v>
      </c>
      <c r="Z191">
        <f t="shared" si="23"/>
        <v>0.25</v>
      </c>
      <c r="AA191">
        <f t="shared" si="24"/>
        <v>12969.92</v>
      </c>
      <c r="AB191">
        <f t="shared" si="25"/>
        <v>3571.46</v>
      </c>
      <c r="AC191">
        <f t="shared" si="26"/>
        <v>0.27539999999999998</v>
      </c>
      <c r="AD191">
        <f t="shared" si="27"/>
        <v>9</v>
      </c>
      <c r="AE191">
        <f t="shared" si="28"/>
        <v>2024</v>
      </c>
      <c r="AF191" t="str">
        <f t="shared" si="29"/>
        <v>CLEAN</v>
      </c>
    </row>
    <row r="192" spans="1:32">
      <c r="A192" t="s">
        <v>1112</v>
      </c>
      <c r="B192" s="10">
        <v>45368</v>
      </c>
      <c r="C192" s="10">
        <v>45372</v>
      </c>
      <c r="D192">
        <f t="shared" si="20"/>
        <v>4</v>
      </c>
      <c r="E192" t="str">
        <f t="shared" si="21"/>
        <v>OK</v>
      </c>
      <c r="F192" t="s">
        <v>864</v>
      </c>
      <c r="G192" t="s">
        <v>127</v>
      </c>
      <c r="H192" t="s">
        <v>23</v>
      </c>
      <c r="I192" t="s">
        <v>24</v>
      </c>
      <c r="J192" t="s">
        <v>25</v>
      </c>
      <c r="K192" t="s">
        <v>26</v>
      </c>
      <c r="L192" t="s">
        <v>73</v>
      </c>
      <c r="M192" t="s">
        <v>79</v>
      </c>
      <c r="N192" t="s">
        <v>1113</v>
      </c>
      <c r="O192" t="s">
        <v>49</v>
      </c>
      <c r="P192">
        <v>8</v>
      </c>
      <c r="Q192">
        <v>1992.57</v>
      </c>
      <c r="R192">
        <v>0</v>
      </c>
      <c r="S192" t="str">
        <f t="shared" si="22"/>
        <v>OK</v>
      </c>
      <c r="T192">
        <v>15940.56</v>
      </c>
      <c r="U192">
        <v>12347.15</v>
      </c>
      <c r="V192">
        <v>3593.41</v>
      </c>
      <c r="W192" t="s">
        <v>31</v>
      </c>
      <c r="X192" t="s">
        <v>32</v>
      </c>
      <c r="Y192" t="str">
        <f>IF(COUNTIF($A$2:$A$901,A192)&gt;1,
  IF(COUNTIF($A$2:A192,A192)=1,
    " ORIGINAL",
    "CONFLICTING DUPLICATE - REVIEW"),
"OK")</f>
        <v>OK</v>
      </c>
      <c r="Z192">
        <f t="shared" si="23"/>
        <v>0</v>
      </c>
      <c r="AA192">
        <f t="shared" si="24"/>
        <v>15940.56</v>
      </c>
      <c r="AB192">
        <f t="shared" si="25"/>
        <v>3593.41</v>
      </c>
      <c r="AC192">
        <f t="shared" si="26"/>
        <v>0.22539999999999999</v>
      </c>
      <c r="AD192">
        <f t="shared" si="27"/>
        <v>3</v>
      </c>
      <c r="AE192">
        <f t="shared" si="28"/>
        <v>2024</v>
      </c>
      <c r="AF192" t="str">
        <f t="shared" si="29"/>
        <v>CLEAN</v>
      </c>
    </row>
    <row r="193" spans="1:32">
      <c r="A193" t="s">
        <v>1114</v>
      </c>
      <c r="B193" s="10">
        <v>45516</v>
      </c>
      <c r="C193" s="10">
        <v>45522</v>
      </c>
      <c r="D193">
        <f t="shared" si="20"/>
        <v>6</v>
      </c>
      <c r="E193" t="str">
        <f t="shared" si="21"/>
        <v>OK</v>
      </c>
      <c r="F193" t="s">
        <v>1115</v>
      </c>
      <c r="G193" t="s">
        <v>61</v>
      </c>
      <c r="H193" t="s">
        <v>23</v>
      </c>
      <c r="I193" t="s">
        <v>37</v>
      </c>
      <c r="J193" t="s">
        <v>165</v>
      </c>
      <c r="K193" t="s">
        <v>166</v>
      </c>
      <c r="L193" t="s">
        <v>27</v>
      </c>
      <c r="M193" t="s">
        <v>90</v>
      </c>
      <c r="N193" t="s">
        <v>1116</v>
      </c>
      <c r="O193" t="s">
        <v>43</v>
      </c>
      <c r="P193">
        <v>6</v>
      </c>
      <c r="Q193">
        <v>1181.74</v>
      </c>
      <c r="R193">
        <v>0</v>
      </c>
      <c r="S193" t="str">
        <f t="shared" si="22"/>
        <v>OK</v>
      </c>
      <c r="T193">
        <v>7090.44</v>
      </c>
      <c r="U193">
        <v>5672.27</v>
      </c>
      <c r="V193">
        <v>1262.8699999999999</v>
      </c>
      <c r="W193" t="s">
        <v>31</v>
      </c>
      <c r="X193" t="s">
        <v>32</v>
      </c>
      <c r="Y193" t="str">
        <f>IF(COUNTIF($A$2:$A$901,A193)&gt;1,
  IF(COUNTIF($A$2:A193,A193)=1,
    " ORIGINAL",
    "CONFLICTING DUPLICATE - REVIEW"),
"OK")</f>
        <v>OK</v>
      </c>
      <c r="Z193">
        <f t="shared" si="23"/>
        <v>0</v>
      </c>
      <c r="AA193">
        <f t="shared" si="24"/>
        <v>7090.44</v>
      </c>
      <c r="AB193">
        <f t="shared" si="25"/>
        <v>1418.17</v>
      </c>
      <c r="AC193">
        <f t="shared" si="26"/>
        <v>0.2</v>
      </c>
      <c r="AD193">
        <f t="shared" si="27"/>
        <v>8</v>
      </c>
      <c r="AE193">
        <f t="shared" si="28"/>
        <v>2024</v>
      </c>
      <c r="AF193" t="str">
        <f t="shared" si="29"/>
        <v>CLEAN</v>
      </c>
    </row>
    <row r="194" spans="1:32">
      <c r="A194" t="s">
        <v>1117</v>
      </c>
      <c r="B194" s="10">
        <v>45516</v>
      </c>
      <c r="C194" s="10">
        <v>45634</v>
      </c>
      <c r="D194">
        <f t="shared" ref="D194:D257" si="30">C194-B194</f>
        <v>118</v>
      </c>
      <c r="E194" t="str">
        <f t="shared" ref="E194:E257" si="31">IF(D194&lt;0,"INVALID","OK")</f>
        <v>OK</v>
      </c>
      <c r="F194" t="s">
        <v>1118</v>
      </c>
      <c r="G194" t="s">
        <v>52</v>
      </c>
      <c r="H194" t="s">
        <v>36</v>
      </c>
      <c r="I194" t="s">
        <v>53</v>
      </c>
      <c r="J194" t="s">
        <v>83</v>
      </c>
      <c r="K194" t="s">
        <v>84</v>
      </c>
      <c r="L194" t="s">
        <v>73</v>
      </c>
      <c r="M194" t="s">
        <v>74</v>
      </c>
      <c r="N194" t="s">
        <v>1119</v>
      </c>
      <c r="O194" t="s">
        <v>49</v>
      </c>
      <c r="P194">
        <v>8</v>
      </c>
      <c r="Q194">
        <v>4402.3599999999997</v>
      </c>
      <c r="R194">
        <v>0.25</v>
      </c>
      <c r="S194" t="str">
        <f t="shared" si="22"/>
        <v>OK</v>
      </c>
      <c r="T194">
        <v>26414.16</v>
      </c>
      <c r="U194">
        <v>21822.53</v>
      </c>
      <c r="V194">
        <v>4591.63</v>
      </c>
      <c r="W194" t="s">
        <v>31</v>
      </c>
      <c r="X194" t="s">
        <v>32</v>
      </c>
      <c r="Y194" t="str">
        <f>IF(COUNTIF($A$2:$A$901,A194)&gt;1,
  IF(COUNTIF($A$2:A194,A194)=1,
    " ORIGINAL",
    "CONFLICTING DUPLICATE - REVIEW"),
"OK")</f>
        <v>OK</v>
      </c>
      <c r="Z194">
        <f t="shared" si="23"/>
        <v>0.25</v>
      </c>
      <c r="AA194">
        <f t="shared" si="24"/>
        <v>26414.16</v>
      </c>
      <c r="AB194">
        <f t="shared" si="25"/>
        <v>4591.63</v>
      </c>
      <c r="AC194">
        <f t="shared" si="26"/>
        <v>0.17380000000000001</v>
      </c>
      <c r="AD194">
        <f t="shared" si="27"/>
        <v>8</v>
      </c>
      <c r="AE194">
        <f t="shared" si="28"/>
        <v>2024</v>
      </c>
      <c r="AF194" t="str">
        <f t="shared" si="29"/>
        <v>CLEAN</v>
      </c>
    </row>
    <row r="195" spans="1:32">
      <c r="A195" t="s">
        <v>1123</v>
      </c>
      <c r="B195" s="10">
        <v>45312</v>
      </c>
      <c r="C195" s="10">
        <v>45320</v>
      </c>
      <c r="D195">
        <f t="shared" si="30"/>
        <v>8</v>
      </c>
      <c r="E195" t="str">
        <f t="shared" si="31"/>
        <v>OK</v>
      </c>
      <c r="F195" t="s">
        <v>1124</v>
      </c>
      <c r="G195" t="s">
        <v>78</v>
      </c>
      <c r="H195" t="s">
        <v>23</v>
      </c>
      <c r="I195" t="s">
        <v>53</v>
      </c>
      <c r="J195" t="s">
        <v>174</v>
      </c>
      <c r="K195" t="s">
        <v>175</v>
      </c>
      <c r="L195" t="s">
        <v>27</v>
      </c>
      <c r="M195" t="s">
        <v>152</v>
      </c>
      <c r="N195" t="s">
        <v>1125</v>
      </c>
      <c r="O195" t="s">
        <v>58</v>
      </c>
      <c r="P195">
        <v>5</v>
      </c>
      <c r="Q195">
        <v>4058.08</v>
      </c>
      <c r="R195">
        <v>0.1</v>
      </c>
      <c r="S195" t="str">
        <f t="shared" ref="S195:S258" si="32">IF(R195&lt;0,"INVALID-NEGATIVE",IF(R195&gt;1,"INVALID-ABOVE","OK"))</f>
        <v>OK</v>
      </c>
      <c r="T195">
        <v>18261.36</v>
      </c>
      <c r="U195">
        <v>11399.94</v>
      </c>
      <c r="V195">
        <v>6861.42</v>
      </c>
      <c r="W195" t="s">
        <v>31</v>
      </c>
      <c r="X195" t="s">
        <v>32</v>
      </c>
      <c r="Y195" t="str">
        <f>IF(COUNTIF($A$2:$A$901,A195)&gt;1,
  IF(COUNTIF($A$2:A195,A195)=1,
    " ORIGINAL",
    "CONFLICTING DUPLICATE - REVIEW"),
"OK")</f>
        <v>OK</v>
      </c>
      <c r="Z195">
        <f t="shared" ref="Z195:Z258" si="33">IF(R195&lt;0, 0,
  IF(ISNUMBER(R195), R195,
    IFERROR(VALUE(SUBSTITUTE(R195,"%",""))/100, 0)))</f>
        <v>0.1</v>
      </c>
      <c r="AA195">
        <f t="shared" ref="AA195:AA258" si="34">ROUND(P195*Q195*(1-Z195),2)</f>
        <v>18261.36</v>
      </c>
      <c r="AB195">
        <f t="shared" ref="AB195:AB258" si="35">ROUND(AA195-U195,2)</f>
        <v>6861.42</v>
      </c>
      <c r="AC195">
        <f t="shared" ref="AC195:AC258" si="36">IFERROR(ROUND(AB195/AA195,4),0)</f>
        <v>0.37569999999999998</v>
      </c>
      <c r="AD195">
        <f t="shared" ref="AD195:AD258" si="37">IFERROR(MONTH(B195),"INVALID")</f>
        <v>1</v>
      </c>
      <c r="AE195">
        <f t="shared" ref="AE195:AE258" si="38">IFERROR(YEAR(B195),"INVALID")</f>
        <v>2024</v>
      </c>
      <c r="AF195" t="str">
        <f t="shared" ref="AF195:AF258" si="39">IF(OR(R195&lt;0,NOT(ISNUMBER(R195)),D195&lt;0,W195="Failed"),"INVALID",IF(OR(I195="Unknown",O195="Unknown",R195&gt;1,AA195&lt;0),"WARNING","CLEAN"))</f>
        <v>CLEAN</v>
      </c>
    </row>
    <row r="196" spans="1:32">
      <c r="A196" t="s">
        <v>1135</v>
      </c>
      <c r="B196" s="10">
        <v>45599</v>
      </c>
      <c r="C196" s="10">
        <v>45599</v>
      </c>
      <c r="D196">
        <f t="shared" si="30"/>
        <v>0</v>
      </c>
      <c r="E196" t="str">
        <f t="shared" si="31"/>
        <v>OK</v>
      </c>
      <c r="F196" t="s">
        <v>1136</v>
      </c>
      <c r="G196" t="s">
        <v>113</v>
      </c>
      <c r="H196" t="s">
        <v>23</v>
      </c>
      <c r="I196" t="s">
        <v>24</v>
      </c>
      <c r="J196" t="s">
        <v>121</v>
      </c>
      <c r="K196" t="s">
        <v>122</v>
      </c>
      <c r="L196" t="s">
        <v>40</v>
      </c>
      <c r="M196" t="s">
        <v>157</v>
      </c>
      <c r="N196" t="s">
        <v>1137</v>
      </c>
      <c r="O196" t="s">
        <v>43</v>
      </c>
      <c r="P196">
        <v>9</v>
      </c>
      <c r="Q196">
        <v>3456.38</v>
      </c>
      <c r="R196">
        <v>0</v>
      </c>
      <c r="S196" t="str">
        <f t="shared" si="32"/>
        <v>OK</v>
      </c>
      <c r="T196">
        <v>31107.42</v>
      </c>
      <c r="U196">
        <v>20146.66</v>
      </c>
      <c r="V196">
        <v>10960.76</v>
      </c>
      <c r="W196" t="s">
        <v>110</v>
      </c>
      <c r="X196" t="s">
        <v>102</v>
      </c>
      <c r="Y196" t="str">
        <f>IF(COUNTIF($A$2:$A$901,A196)&gt;1,
  IF(COUNTIF($A$2:A196,A196)=1,
    " ORIGINAL",
    "CONFLICTING DUPLICATE - REVIEW"),
"OK")</f>
        <v>OK</v>
      </c>
      <c r="Z196">
        <f t="shared" si="33"/>
        <v>0</v>
      </c>
      <c r="AA196">
        <f t="shared" si="34"/>
        <v>31107.42</v>
      </c>
      <c r="AB196">
        <f t="shared" si="35"/>
        <v>10960.76</v>
      </c>
      <c r="AC196">
        <f t="shared" si="36"/>
        <v>0.35239999999999999</v>
      </c>
      <c r="AD196">
        <f t="shared" si="37"/>
        <v>11</v>
      </c>
      <c r="AE196">
        <f t="shared" si="38"/>
        <v>2024</v>
      </c>
      <c r="AF196" t="str">
        <f t="shared" si="39"/>
        <v>CLEAN</v>
      </c>
    </row>
    <row r="197" spans="1:32">
      <c r="A197" t="s">
        <v>1138</v>
      </c>
      <c r="B197" s="10">
        <v>45549</v>
      </c>
      <c r="C197" s="10">
        <v>45557</v>
      </c>
      <c r="D197">
        <f t="shared" si="30"/>
        <v>8</v>
      </c>
      <c r="E197" t="str">
        <f t="shared" si="31"/>
        <v>OK</v>
      </c>
      <c r="F197" t="s">
        <v>1139</v>
      </c>
      <c r="G197" t="s">
        <v>22</v>
      </c>
      <c r="H197" t="s">
        <v>23</v>
      </c>
      <c r="I197" t="s">
        <v>62</v>
      </c>
      <c r="J197" t="s">
        <v>71</v>
      </c>
      <c r="K197" t="s">
        <v>72</v>
      </c>
      <c r="L197" t="s">
        <v>40</v>
      </c>
      <c r="M197" t="s">
        <v>56</v>
      </c>
      <c r="N197" t="s">
        <v>1140</v>
      </c>
      <c r="O197" t="s">
        <v>30</v>
      </c>
      <c r="P197">
        <v>2</v>
      </c>
      <c r="Q197">
        <v>2765.3</v>
      </c>
      <c r="R197">
        <v>0</v>
      </c>
      <c r="S197" t="str">
        <f t="shared" si="32"/>
        <v>OK</v>
      </c>
      <c r="T197">
        <v>5530.6</v>
      </c>
      <c r="U197">
        <v>4453.1099999999997</v>
      </c>
      <c r="V197">
        <v>1077.49</v>
      </c>
      <c r="W197" t="s">
        <v>31</v>
      </c>
      <c r="X197" t="s">
        <v>32</v>
      </c>
      <c r="Y197" t="str">
        <f>IF(COUNTIF($A$2:$A$901,A197)&gt;1,
  IF(COUNTIF($A$2:A197,A197)=1,
    " ORIGINAL",
    "CONFLICTING DUPLICATE - REVIEW"),
"OK")</f>
        <v>OK</v>
      </c>
      <c r="Z197">
        <f t="shared" si="33"/>
        <v>0</v>
      </c>
      <c r="AA197">
        <f t="shared" si="34"/>
        <v>5530.6</v>
      </c>
      <c r="AB197">
        <f t="shared" si="35"/>
        <v>1077.49</v>
      </c>
      <c r="AC197">
        <f t="shared" si="36"/>
        <v>0.1948</v>
      </c>
      <c r="AD197">
        <f t="shared" si="37"/>
        <v>9</v>
      </c>
      <c r="AE197">
        <f t="shared" si="38"/>
        <v>2024</v>
      </c>
      <c r="AF197" t="str">
        <f t="shared" si="39"/>
        <v>CLEAN</v>
      </c>
    </row>
    <row r="198" spans="1:32">
      <c r="A198" t="s">
        <v>1144</v>
      </c>
      <c r="B198" s="10">
        <v>45303</v>
      </c>
      <c r="C198" s="10">
        <v>45634</v>
      </c>
      <c r="D198">
        <f t="shared" si="30"/>
        <v>331</v>
      </c>
      <c r="E198" t="str">
        <f t="shared" si="31"/>
        <v>OK</v>
      </c>
      <c r="F198" t="s">
        <v>1145</v>
      </c>
      <c r="G198" t="s">
        <v>127</v>
      </c>
      <c r="H198" t="s">
        <v>36</v>
      </c>
      <c r="I198" t="s">
        <v>62</v>
      </c>
      <c r="J198" t="s">
        <v>189</v>
      </c>
      <c r="K198" t="s">
        <v>190</v>
      </c>
      <c r="L198" t="s">
        <v>40</v>
      </c>
      <c r="M198" t="s">
        <v>65</v>
      </c>
      <c r="N198" t="s">
        <v>1146</v>
      </c>
      <c r="O198" t="s">
        <v>30</v>
      </c>
      <c r="P198">
        <v>5</v>
      </c>
      <c r="Q198">
        <v>2981.49</v>
      </c>
      <c r="R198">
        <v>0.2</v>
      </c>
      <c r="S198" t="str">
        <f t="shared" si="32"/>
        <v>OK</v>
      </c>
      <c r="T198">
        <v>11925.96</v>
      </c>
      <c r="U198">
        <v>10103.51</v>
      </c>
      <c r="V198">
        <v>1822.45</v>
      </c>
      <c r="W198" t="s">
        <v>101</v>
      </c>
      <c r="X198" t="s">
        <v>102</v>
      </c>
      <c r="Y198" t="str">
        <f>IF(COUNTIF($A$2:$A$901,A198)&gt;1,
  IF(COUNTIF($A$2:A198,A198)=1,
    " ORIGINAL",
    "CONFLICTING DUPLICATE - REVIEW"),
"OK")</f>
        <v>OK</v>
      </c>
      <c r="Z198">
        <f t="shared" si="33"/>
        <v>0.2</v>
      </c>
      <c r="AA198">
        <f t="shared" si="34"/>
        <v>11925.96</v>
      </c>
      <c r="AB198">
        <f t="shared" si="35"/>
        <v>1822.45</v>
      </c>
      <c r="AC198">
        <f t="shared" si="36"/>
        <v>0.15279999999999999</v>
      </c>
      <c r="AD198">
        <f t="shared" si="37"/>
        <v>1</v>
      </c>
      <c r="AE198">
        <f t="shared" si="38"/>
        <v>2024</v>
      </c>
      <c r="AF198" t="str">
        <f t="shared" si="39"/>
        <v>CLEAN</v>
      </c>
    </row>
    <row r="199" spans="1:32">
      <c r="A199" t="s">
        <v>1147</v>
      </c>
      <c r="B199" s="10">
        <v>45445</v>
      </c>
      <c r="C199" s="10">
        <v>45450</v>
      </c>
      <c r="D199">
        <f t="shared" si="30"/>
        <v>5</v>
      </c>
      <c r="E199" t="str">
        <f t="shared" si="31"/>
        <v>OK</v>
      </c>
      <c r="F199" t="s">
        <v>1148</v>
      </c>
      <c r="G199" t="s">
        <v>127</v>
      </c>
      <c r="H199" t="s">
        <v>89</v>
      </c>
      <c r="I199" t="s">
        <v>53</v>
      </c>
      <c r="J199" t="s">
        <v>174</v>
      </c>
      <c r="K199" t="s">
        <v>175</v>
      </c>
      <c r="L199" t="s">
        <v>73</v>
      </c>
      <c r="M199" t="s">
        <v>170</v>
      </c>
      <c r="N199" t="s">
        <v>1149</v>
      </c>
      <c r="O199" t="s">
        <v>43</v>
      </c>
      <c r="P199">
        <v>9</v>
      </c>
      <c r="Q199">
        <v>2860.26</v>
      </c>
      <c r="R199">
        <v>0.25</v>
      </c>
      <c r="S199" t="str">
        <f t="shared" si="32"/>
        <v>OK</v>
      </c>
      <c r="T199">
        <v>19306.759999999998</v>
      </c>
      <c r="U199">
        <v>14442.38</v>
      </c>
      <c r="V199">
        <v>4864.38</v>
      </c>
      <c r="W199" t="s">
        <v>31</v>
      </c>
      <c r="X199" t="s">
        <v>32</v>
      </c>
      <c r="Y199" t="str">
        <f>IF(COUNTIF($A$2:$A$901,A199)&gt;1,
  IF(COUNTIF($A$2:A199,A199)=1,
    " ORIGINAL",
    "CONFLICTING DUPLICATE - REVIEW"),
"OK")</f>
        <v>OK</v>
      </c>
      <c r="Z199">
        <f t="shared" si="33"/>
        <v>0.25</v>
      </c>
      <c r="AA199">
        <f t="shared" si="34"/>
        <v>19306.759999999998</v>
      </c>
      <c r="AB199">
        <f t="shared" si="35"/>
        <v>4864.38</v>
      </c>
      <c r="AC199">
        <f t="shared" si="36"/>
        <v>0.252</v>
      </c>
      <c r="AD199">
        <f t="shared" si="37"/>
        <v>6</v>
      </c>
      <c r="AE199">
        <f t="shared" si="38"/>
        <v>2024</v>
      </c>
      <c r="AF199" t="str">
        <f t="shared" si="39"/>
        <v>CLEAN</v>
      </c>
    </row>
    <row r="200" spans="1:32">
      <c r="A200" t="s">
        <v>1153</v>
      </c>
      <c r="B200" s="10">
        <v>45474</v>
      </c>
      <c r="C200" s="10">
        <v>45305</v>
      </c>
      <c r="D200">
        <f t="shared" si="30"/>
        <v>-169</v>
      </c>
      <c r="E200" t="str">
        <f t="shared" si="31"/>
        <v>INVALID</v>
      </c>
      <c r="F200" t="s">
        <v>1154</v>
      </c>
      <c r="G200" t="s">
        <v>131</v>
      </c>
      <c r="H200" t="s">
        <v>36</v>
      </c>
      <c r="I200" t="s">
        <v>37</v>
      </c>
      <c r="J200" t="s">
        <v>227</v>
      </c>
      <c r="K200" t="s">
        <v>228</v>
      </c>
      <c r="L200" t="s">
        <v>40</v>
      </c>
      <c r="M200" t="s">
        <v>56</v>
      </c>
      <c r="N200" t="s">
        <v>1155</v>
      </c>
      <c r="O200" t="s">
        <v>30</v>
      </c>
      <c r="P200">
        <v>4</v>
      </c>
      <c r="Q200">
        <v>3309.54</v>
      </c>
      <c r="R200">
        <v>0.1</v>
      </c>
      <c r="S200" t="str">
        <f t="shared" si="32"/>
        <v>OK</v>
      </c>
      <c r="T200">
        <v>11914.34</v>
      </c>
      <c r="U200">
        <v>9771.24</v>
      </c>
      <c r="V200">
        <v>2143.1</v>
      </c>
      <c r="W200" t="s">
        <v>101</v>
      </c>
      <c r="X200" t="s">
        <v>102</v>
      </c>
      <c r="Y200" t="str">
        <f>IF(COUNTIF($A$2:$A$901,A200)&gt;1,
  IF(COUNTIF($A$2:A200,A200)=1,
    " ORIGINAL",
    "CONFLICTING DUPLICATE - REVIEW"),
"OK")</f>
        <v>OK</v>
      </c>
      <c r="Z200">
        <f t="shared" si="33"/>
        <v>0.1</v>
      </c>
      <c r="AA200">
        <f t="shared" si="34"/>
        <v>11914.34</v>
      </c>
      <c r="AB200">
        <f t="shared" si="35"/>
        <v>2143.1</v>
      </c>
      <c r="AC200">
        <f t="shared" si="36"/>
        <v>0.1799</v>
      </c>
      <c r="AD200">
        <f t="shared" si="37"/>
        <v>7</v>
      </c>
      <c r="AE200">
        <f t="shared" si="38"/>
        <v>2024</v>
      </c>
      <c r="AF200" t="str">
        <f t="shared" si="39"/>
        <v>INVALID</v>
      </c>
    </row>
    <row r="201" spans="1:32">
      <c r="A201" t="s">
        <v>1165</v>
      </c>
      <c r="B201" s="10">
        <v>45653</v>
      </c>
      <c r="C201" s="10">
        <v>45657</v>
      </c>
      <c r="D201">
        <f t="shared" si="30"/>
        <v>4</v>
      </c>
      <c r="E201" t="str">
        <f t="shared" si="31"/>
        <v>OK</v>
      </c>
      <c r="F201" t="s">
        <v>1166</v>
      </c>
      <c r="G201" t="s">
        <v>263</v>
      </c>
      <c r="H201" t="s">
        <v>89</v>
      </c>
      <c r="I201" t="s">
        <v>24</v>
      </c>
      <c r="J201" t="s">
        <v>121</v>
      </c>
      <c r="K201" t="s">
        <v>122</v>
      </c>
      <c r="L201" t="s">
        <v>40</v>
      </c>
      <c r="M201" t="s">
        <v>56</v>
      </c>
      <c r="N201" t="s">
        <v>1167</v>
      </c>
      <c r="O201" t="s">
        <v>58</v>
      </c>
      <c r="P201">
        <v>6</v>
      </c>
      <c r="Q201">
        <v>3346.78</v>
      </c>
      <c r="R201">
        <v>-0.06</v>
      </c>
      <c r="S201" t="str">
        <f t="shared" si="32"/>
        <v>INVALID-NEGATIVE</v>
      </c>
      <c r="T201">
        <v>20080.68</v>
      </c>
      <c r="U201">
        <v>12908.84</v>
      </c>
      <c r="V201">
        <v>7171.84</v>
      </c>
      <c r="W201" t="s">
        <v>110</v>
      </c>
      <c r="X201" t="s">
        <v>67</v>
      </c>
      <c r="Y201" t="str">
        <f>IF(COUNTIF($A$2:$A$901,A201)&gt;1,
  IF(COUNTIF($A$2:A201,A201)=1,
    " ORIGINAL",
    "CONFLICTING DUPLICATE - REVIEW"),
"OK")</f>
        <v>OK</v>
      </c>
      <c r="Z201">
        <f t="shared" si="33"/>
        <v>0</v>
      </c>
      <c r="AA201">
        <f t="shared" si="34"/>
        <v>20080.68</v>
      </c>
      <c r="AB201">
        <f t="shared" si="35"/>
        <v>7171.84</v>
      </c>
      <c r="AC201">
        <f t="shared" si="36"/>
        <v>0.35720000000000002</v>
      </c>
      <c r="AD201">
        <f t="shared" si="37"/>
        <v>12</v>
      </c>
      <c r="AE201">
        <f t="shared" si="38"/>
        <v>2024</v>
      </c>
      <c r="AF201" t="str">
        <f t="shared" si="39"/>
        <v>INVALID</v>
      </c>
    </row>
    <row r="202" spans="1:32">
      <c r="A202" t="s">
        <v>1168</v>
      </c>
      <c r="B202" s="10">
        <v>45631</v>
      </c>
      <c r="C202" s="10">
        <v>45421</v>
      </c>
      <c r="D202">
        <f t="shared" si="30"/>
        <v>-210</v>
      </c>
      <c r="E202" t="str">
        <f t="shared" si="31"/>
        <v>INVALID</v>
      </c>
      <c r="F202" t="s">
        <v>1169</v>
      </c>
      <c r="G202" t="s">
        <v>113</v>
      </c>
      <c r="H202" t="s">
        <v>89</v>
      </c>
      <c r="I202" t="s">
        <v>62</v>
      </c>
      <c r="J202" t="s">
        <v>25</v>
      </c>
      <c r="K202" t="s">
        <v>108</v>
      </c>
      <c r="L202" t="s">
        <v>40</v>
      </c>
      <c r="M202" t="s">
        <v>41</v>
      </c>
      <c r="N202" t="s">
        <v>1170</v>
      </c>
      <c r="O202" t="s">
        <v>58</v>
      </c>
      <c r="P202">
        <v>5</v>
      </c>
      <c r="Q202">
        <v>3203.48</v>
      </c>
      <c r="R202">
        <v>0</v>
      </c>
      <c r="S202" t="str">
        <f t="shared" si="32"/>
        <v>OK</v>
      </c>
      <c r="T202">
        <v>16017.4</v>
      </c>
      <c r="U202">
        <v>9557.7999999999993</v>
      </c>
      <c r="V202">
        <v>6459.6</v>
      </c>
      <c r="W202" t="s">
        <v>110</v>
      </c>
      <c r="X202" t="s">
        <v>67</v>
      </c>
      <c r="Y202" t="str">
        <f>IF(COUNTIF($A$2:$A$901,A202)&gt;1,
  IF(COUNTIF($A$2:A202,A202)=1,
    " ORIGINAL",
    "CONFLICTING DUPLICATE - REVIEW"),
"OK")</f>
        <v>OK</v>
      </c>
      <c r="Z202">
        <f t="shared" si="33"/>
        <v>0</v>
      </c>
      <c r="AA202">
        <f t="shared" si="34"/>
        <v>16017.4</v>
      </c>
      <c r="AB202">
        <f t="shared" si="35"/>
        <v>6459.6</v>
      </c>
      <c r="AC202">
        <f t="shared" si="36"/>
        <v>0.40329999999999999</v>
      </c>
      <c r="AD202">
        <f t="shared" si="37"/>
        <v>12</v>
      </c>
      <c r="AE202">
        <f t="shared" si="38"/>
        <v>2024</v>
      </c>
      <c r="AF202" t="str">
        <f t="shared" si="39"/>
        <v>INVALID</v>
      </c>
    </row>
    <row r="203" spans="1:32">
      <c r="A203" t="s">
        <v>1180</v>
      </c>
      <c r="B203" s="10">
        <v>45525</v>
      </c>
      <c r="C203" s="10">
        <v>45526</v>
      </c>
      <c r="D203">
        <f t="shared" si="30"/>
        <v>1</v>
      </c>
      <c r="E203" t="str">
        <f t="shared" si="31"/>
        <v>OK</v>
      </c>
      <c r="F203" t="s">
        <v>1181</v>
      </c>
      <c r="G203" t="s">
        <v>46</v>
      </c>
      <c r="H203" t="s">
        <v>23</v>
      </c>
      <c r="I203" t="s">
        <v>53</v>
      </c>
      <c r="J203" t="s">
        <v>246</v>
      </c>
      <c r="K203" t="s">
        <v>247</v>
      </c>
      <c r="L203" t="s">
        <v>73</v>
      </c>
      <c r="M203" t="s">
        <v>170</v>
      </c>
      <c r="N203" t="s">
        <v>1182</v>
      </c>
      <c r="O203" t="s">
        <v>43</v>
      </c>
      <c r="P203">
        <v>9</v>
      </c>
      <c r="Q203">
        <v>616.96</v>
      </c>
      <c r="R203">
        <v>0.1</v>
      </c>
      <c r="S203" t="str">
        <f t="shared" si="32"/>
        <v>OK</v>
      </c>
      <c r="T203">
        <v>4997.38</v>
      </c>
      <c r="U203">
        <v>2971.39</v>
      </c>
      <c r="V203">
        <v>2025.99</v>
      </c>
      <c r="W203" t="s">
        <v>31</v>
      </c>
      <c r="X203" t="s">
        <v>32</v>
      </c>
      <c r="Y203" t="str">
        <f>IF(COUNTIF($A$2:$A$901,A203)&gt;1,
  IF(COUNTIF($A$2:A203,A203)=1,
    " ORIGINAL",
    "CONFLICTING DUPLICATE - REVIEW"),
"OK")</f>
        <v>OK</v>
      </c>
      <c r="Z203">
        <f t="shared" si="33"/>
        <v>0.1</v>
      </c>
      <c r="AA203">
        <f t="shared" si="34"/>
        <v>4997.38</v>
      </c>
      <c r="AB203">
        <f t="shared" si="35"/>
        <v>2025.99</v>
      </c>
      <c r="AC203">
        <f t="shared" si="36"/>
        <v>0.40539999999999998</v>
      </c>
      <c r="AD203">
        <f t="shared" si="37"/>
        <v>8</v>
      </c>
      <c r="AE203">
        <f t="shared" si="38"/>
        <v>2024</v>
      </c>
      <c r="AF203" t="str">
        <f t="shared" si="39"/>
        <v>CLEAN</v>
      </c>
    </row>
    <row r="204" spans="1:32">
      <c r="A204" t="s">
        <v>1183</v>
      </c>
      <c r="B204" s="10">
        <v>45460</v>
      </c>
      <c r="C204" s="10">
        <v>45463</v>
      </c>
      <c r="D204">
        <f t="shared" si="30"/>
        <v>3</v>
      </c>
      <c r="E204" t="str">
        <f t="shared" si="31"/>
        <v>OK</v>
      </c>
      <c r="F204" t="s">
        <v>1184</v>
      </c>
      <c r="G204" t="s">
        <v>131</v>
      </c>
      <c r="H204" t="s">
        <v>36</v>
      </c>
      <c r="I204" t="s">
        <v>62</v>
      </c>
      <c r="J204" t="s">
        <v>179</v>
      </c>
      <c r="K204" t="s">
        <v>180</v>
      </c>
      <c r="L204" t="s">
        <v>40</v>
      </c>
      <c r="M204" t="s">
        <v>56</v>
      </c>
      <c r="N204" t="s">
        <v>1185</v>
      </c>
      <c r="O204" t="s">
        <v>58</v>
      </c>
      <c r="P204">
        <v>7</v>
      </c>
      <c r="Q204">
        <v>3155.25</v>
      </c>
      <c r="R204">
        <v>0.2</v>
      </c>
      <c r="S204" t="str">
        <f t="shared" si="32"/>
        <v>OK</v>
      </c>
      <c r="T204">
        <v>17669.400000000001</v>
      </c>
      <c r="U204">
        <v>13718.77</v>
      </c>
      <c r="V204">
        <v>3950.63</v>
      </c>
      <c r="W204" t="s">
        <v>101</v>
      </c>
      <c r="X204" t="s">
        <v>67</v>
      </c>
      <c r="Y204" t="str">
        <f>IF(COUNTIF($A$2:$A$901,A204)&gt;1,
  IF(COUNTIF($A$2:A204,A204)=1,
    " ORIGINAL",
    "CONFLICTING DUPLICATE - REVIEW"),
"OK")</f>
        <v>OK</v>
      </c>
      <c r="Z204">
        <f t="shared" si="33"/>
        <v>0.2</v>
      </c>
      <c r="AA204">
        <f t="shared" si="34"/>
        <v>17669.400000000001</v>
      </c>
      <c r="AB204">
        <f t="shared" si="35"/>
        <v>3950.63</v>
      </c>
      <c r="AC204">
        <f t="shared" si="36"/>
        <v>0.22359999999999999</v>
      </c>
      <c r="AD204">
        <f t="shared" si="37"/>
        <v>6</v>
      </c>
      <c r="AE204">
        <f t="shared" si="38"/>
        <v>2024</v>
      </c>
      <c r="AF204" t="str">
        <f t="shared" si="39"/>
        <v>CLEAN</v>
      </c>
    </row>
    <row r="205" spans="1:32">
      <c r="A205" t="s">
        <v>1189</v>
      </c>
      <c r="B205" s="10">
        <v>45527</v>
      </c>
      <c r="C205" s="10">
        <v>45529</v>
      </c>
      <c r="D205">
        <f t="shared" si="30"/>
        <v>2</v>
      </c>
      <c r="E205" t="str">
        <f t="shared" si="31"/>
        <v>OK</v>
      </c>
      <c r="F205" t="s">
        <v>1190</v>
      </c>
      <c r="G205" t="s">
        <v>70</v>
      </c>
      <c r="H205" t="s">
        <v>23</v>
      </c>
      <c r="I205" t="s">
        <v>62</v>
      </c>
      <c r="J205" t="s">
        <v>189</v>
      </c>
      <c r="K205" t="s">
        <v>190</v>
      </c>
      <c r="L205" t="s">
        <v>73</v>
      </c>
      <c r="M205" t="s">
        <v>273</v>
      </c>
      <c r="N205" t="s">
        <v>1191</v>
      </c>
      <c r="O205" t="s">
        <v>43</v>
      </c>
      <c r="P205">
        <v>4</v>
      </c>
      <c r="Q205">
        <v>491.16</v>
      </c>
      <c r="R205">
        <v>0.05</v>
      </c>
      <c r="S205" t="str">
        <f t="shared" si="32"/>
        <v>OK</v>
      </c>
      <c r="T205">
        <v>1866.41</v>
      </c>
      <c r="U205">
        <v>1576.49</v>
      </c>
      <c r="V205">
        <v>289.92</v>
      </c>
      <c r="W205" t="s">
        <v>31</v>
      </c>
      <c r="X205" t="s">
        <v>32</v>
      </c>
      <c r="Y205" t="str">
        <f>IF(COUNTIF($A$2:$A$901,A205)&gt;1,
  IF(COUNTIF($A$2:A205,A205)=1,
    " ORIGINAL",
    "CONFLICTING DUPLICATE - REVIEW"),
"OK")</f>
        <v>OK</v>
      </c>
      <c r="Z205">
        <f t="shared" si="33"/>
        <v>0.05</v>
      </c>
      <c r="AA205">
        <f t="shared" si="34"/>
        <v>1866.41</v>
      </c>
      <c r="AB205">
        <f t="shared" si="35"/>
        <v>289.92</v>
      </c>
      <c r="AC205">
        <f t="shared" si="36"/>
        <v>0.15529999999999999</v>
      </c>
      <c r="AD205">
        <f t="shared" si="37"/>
        <v>8</v>
      </c>
      <c r="AE205">
        <f t="shared" si="38"/>
        <v>2024</v>
      </c>
      <c r="AF205" t="str">
        <f t="shared" si="39"/>
        <v>CLEAN</v>
      </c>
    </row>
    <row r="206" spans="1:32">
      <c r="A206" t="s">
        <v>1198</v>
      </c>
      <c r="B206" s="10">
        <v>45458</v>
      </c>
      <c r="C206" s="10">
        <v>45464</v>
      </c>
      <c r="D206">
        <f t="shared" si="30"/>
        <v>6</v>
      </c>
      <c r="E206" t="str">
        <f t="shared" si="31"/>
        <v>OK</v>
      </c>
      <c r="F206" t="s">
        <v>1199</v>
      </c>
      <c r="G206" t="s">
        <v>88</v>
      </c>
      <c r="H206" t="s">
        <v>89</v>
      </c>
      <c r="I206" t="s">
        <v>62</v>
      </c>
      <c r="J206" t="s">
        <v>189</v>
      </c>
      <c r="K206" t="s">
        <v>190</v>
      </c>
      <c r="L206" t="s">
        <v>73</v>
      </c>
      <c r="M206" t="s">
        <v>74</v>
      </c>
      <c r="N206" t="s">
        <v>1200</v>
      </c>
      <c r="O206" t="s">
        <v>49</v>
      </c>
      <c r="P206">
        <v>8</v>
      </c>
      <c r="Q206">
        <v>1706.4</v>
      </c>
      <c r="R206">
        <v>0</v>
      </c>
      <c r="S206" t="str">
        <f t="shared" si="32"/>
        <v>OK</v>
      </c>
      <c r="T206">
        <v>12968.64</v>
      </c>
      <c r="U206">
        <v>10119.61</v>
      </c>
      <c r="V206">
        <v>2849.03</v>
      </c>
      <c r="W206" t="s">
        <v>31</v>
      </c>
      <c r="X206" t="s">
        <v>32</v>
      </c>
      <c r="Y206" t="str">
        <f>IF(COUNTIF($A$2:$A$901,A206)&gt;1,
  IF(COUNTIF($A$2:A206,A206)=1,
    " ORIGINAL",
    "CONFLICTING DUPLICATE - REVIEW"),
"OK")</f>
        <v>OK</v>
      </c>
      <c r="Z206">
        <f t="shared" si="33"/>
        <v>0</v>
      </c>
      <c r="AA206">
        <f t="shared" si="34"/>
        <v>13651.2</v>
      </c>
      <c r="AB206">
        <f t="shared" si="35"/>
        <v>3531.59</v>
      </c>
      <c r="AC206">
        <f t="shared" si="36"/>
        <v>0.25869999999999999</v>
      </c>
      <c r="AD206">
        <f t="shared" si="37"/>
        <v>6</v>
      </c>
      <c r="AE206">
        <f t="shared" si="38"/>
        <v>2024</v>
      </c>
      <c r="AF206" t="str">
        <f t="shared" si="39"/>
        <v>CLEAN</v>
      </c>
    </row>
    <row r="207" spans="1:32">
      <c r="A207" t="s">
        <v>1204</v>
      </c>
      <c r="B207" s="10">
        <v>45366</v>
      </c>
      <c r="C207" s="10">
        <v>45367</v>
      </c>
      <c r="D207">
        <f t="shared" si="30"/>
        <v>1</v>
      </c>
      <c r="E207" t="str">
        <f t="shared" si="31"/>
        <v>OK</v>
      </c>
      <c r="F207" t="s">
        <v>1205</v>
      </c>
      <c r="G207" t="s">
        <v>140</v>
      </c>
      <c r="H207" t="s">
        <v>23</v>
      </c>
      <c r="I207" t="s">
        <v>24</v>
      </c>
      <c r="J207" t="s">
        <v>349</v>
      </c>
      <c r="K207" t="s">
        <v>350</v>
      </c>
      <c r="L207" t="s">
        <v>27</v>
      </c>
      <c r="M207" t="s">
        <v>47</v>
      </c>
      <c r="N207" t="s">
        <v>1206</v>
      </c>
      <c r="O207" t="s">
        <v>58</v>
      </c>
      <c r="P207">
        <v>6</v>
      </c>
      <c r="Q207">
        <v>3815.09</v>
      </c>
      <c r="R207">
        <v>0.15</v>
      </c>
      <c r="S207" t="str">
        <f t="shared" si="32"/>
        <v>OK</v>
      </c>
      <c r="T207">
        <v>19456.96</v>
      </c>
      <c r="U207">
        <v>14520.06</v>
      </c>
      <c r="V207">
        <v>4936.8999999999996</v>
      </c>
      <c r="W207" t="s">
        <v>154</v>
      </c>
      <c r="X207" t="s">
        <v>67</v>
      </c>
      <c r="Y207" t="str">
        <f>IF(COUNTIF($A$2:$A$901,A207)&gt;1,
  IF(COUNTIF($A$2:A207,A207)=1,
    " ORIGINAL",
    "CONFLICTING DUPLICATE - REVIEW"),
"OK")</f>
        <v>OK</v>
      </c>
      <c r="Z207">
        <f t="shared" si="33"/>
        <v>0.15</v>
      </c>
      <c r="AA207">
        <f t="shared" si="34"/>
        <v>19456.96</v>
      </c>
      <c r="AB207">
        <f t="shared" si="35"/>
        <v>4936.8999999999996</v>
      </c>
      <c r="AC207">
        <f t="shared" si="36"/>
        <v>0.25369999999999998</v>
      </c>
      <c r="AD207">
        <f t="shared" si="37"/>
        <v>3</v>
      </c>
      <c r="AE207">
        <f t="shared" si="38"/>
        <v>2024</v>
      </c>
      <c r="AF207" t="str">
        <f t="shared" si="39"/>
        <v>INVALID</v>
      </c>
    </row>
    <row r="208" spans="1:32">
      <c r="A208" t="s">
        <v>1213</v>
      </c>
      <c r="B208" s="10">
        <v>45519</v>
      </c>
      <c r="C208" s="10">
        <v>45525</v>
      </c>
      <c r="D208">
        <f t="shared" si="30"/>
        <v>6</v>
      </c>
      <c r="E208" t="str">
        <f t="shared" si="31"/>
        <v>OK</v>
      </c>
      <c r="F208" t="s">
        <v>1214</v>
      </c>
      <c r="G208" t="s">
        <v>61</v>
      </c>
      <c r="H208" t="s">
        <v>36</v>
      </c>
      <c r="I208" t="s">
        <v>62</v>
      </c>
      <c r="J208" t="s">
        <v>25</v>
      </c>
      <c r="K208" t="s">
        <v>108</v>
      </c>
      <c r="L208" t="s">
        <v>73</v>
      </c>
      <c r="M208" t="s">
        <v>79</v>
      </c>
      <c r="N208" t="s">
        <v>1215</v>
      </c>
      <c r="O208" t="s">
        <v>49</v>
      </c>
      <c r="P208">
        <v>7</v>
      </c>
      <c r="Q208">
        <v>2333.81</v>
      </c>
      <c r="R208">
        <v>0.2</v>
      </c>
      <c r="S208" t="str">
        <f t="shared" si="32"/>
        <v>OK</v>
      </c>
      <c r="T208">
        <v>13069.34</v>
      </c>
      <c r="U208">
        <v>8768.59</v>
      </c>
      <c r="V208">
        <v>4300.75</v>
      </c>
      <c r="W208" t="s">
        <v>31</v>
      </c>
      <c r="X208" t="s">
        <v>32</v>
      </c>
      <c r="Y208" t="str">
        <f>IF(COUNTIF($A$2:$A$901,A208)&gt;1,
  IF(COUNTIF($A$2:A208,A208)=1,
    " ORIGINAL",
    "CONFLICTING DUPLICATE - REVIEW"),
"OK")</f>
        <v>OK</v>
      </c>
      <c r="Z208">
        <f t="shared" si="33"/>
        <v>0.2</v>
      </c>
      <c r="AA208">
        <f t="shared" si="34"/>
        <v>13069.34</v>
      </c>
      <c r="AB208">
        <f t="shared" si="35"/>
        <v>4300.75</v>
      </c>
      <c r="AC208">
        <f t="shared" si="36"/>
        <v>0.3291</v>
      </c>
      <c r="AD208">
        <f t="shared" si="37"/>
        <v>8</v>
      </c>
      <c r="AE208">
        <f t="shared" si="38"/>
        <v>2024</v>
      </c>
      <c r="AF208" t="str">
        <f t="shared" si="39"/>
        <v>CLEAN</v>
      </c>
    </row>
    <row r="209" spans="1:32">
      <c r="A209" t="s">
        <v>1216</v>
      </c>
      <c r="B209" s="10">
        <v>45313</v>
      </c>
      <c r="C209" s="10">
        <v>45315</v>
      </c>
      <c r="D209">
        <f t="shared" si="30"/>
        <v>2</v>
      </c>
      <c r="E209" t="str">
        <f t="shared" si="31"/>
        <v>OK</v>
      </c>
      <c r="F209" t="s">
        <v>1217</v>
      </c>
      <c r="G209" t="s">
        <v>161</v>
      </c>
      <c r="H209" t="s">
        <v>94</v>
      </c>
      <c r="I209" t="s">
        <v>62</v>
      </c>
      <c r="J209" t="s">
        <v>63</v>
      </c>
      <c r="K209" t="s">
        <v>64</v>
      </c>
      <c r="L209" t="s">
        <v>27</v>
      </c>
      <c r="M209" t="s">
        <v>47</v>
      </c>
      <c r="N209" t="s">
        <v>1218</v>
      </c>
      <c r="O209" t="s">
        <v>58</v>
      </c>
      <c r="P209">
        <v>6</v>
      </c>
      <c r="Q209">
        <v>1026.06</v>
      </c>
      <c r="R209">
        <v>0</v>
      </c>
      <c r="S209" t="str">
        <f t="shared" si="32"/>
        <v>OK</v>
      </c>
      <c r="T209">
        <v>4617.2700000000004</v>
      </c>
      <c r="U209">
        <v>2981.94</v>
      </c>
      <c r="V209">
        <v>1635.33</v>
      </c>
      <c r="W209" t="s">
        <v>101</v>
      </c>
      <c r="X209" t="s">
        <v>67</v>
      </c>
      <c r="Y209" t="str">
        <f>IF(COUNTIF($A$2:$A$901,A209)&gt;1,
  IF(COUNTIF($A$2:A209,A209)=1,
    " ORIGINAL",
    "CONFLICTING DUPLICATE - REVIEW"),
"OK")</f>
        <v>OK</v>
      </c>
      <c r="Z209">
        <f t="shared" si="33"/>
        <v>0</v>
      </c>
      <c r="AA209">
        <f t="shared" si="34"/>
        <v>6156.36</v>
      </c>
      <c r="AB209">
        <f t="shared" si="35"/>
        <v>3174.42</v>
      </c>
      <c r="AC209">
        <f t="shared" si="36"/>
        <v>0.51559999999999995</v>
      </c>
      <c r="AD209">
        <f t="shared" si="37"/>
        <v>1</v>
      </c>
      <c r="AE209">
        <f t="shared" si="38"/>
        <v>2024</v>
      </c>
      <c r="AF209" t="str">
        <f t="shared" si="39"/>
        <v>CLEAN</v>
      </c>
    </row>
    <row r="210" spans="1:32">
      <c r="A210" t="s">
        <v>1227</v>
      </c>
      <c r="B210" s="10">
        <v>45657</v>
      </c>
      <c r="C210" s="10">
        <v>45661</v>
      </c>
      <c r="D210">
        <f t="shared" si="30"/>
        <v>4</v>
      </c>
      <c r="E210" t="str">
        <f t="shared" si="31"/>
        <v>OK</v>
      </c>
      <c r="F210" t="s">
        <v>1228</v>
      </c>
      <c r="G210" t="s">
        <v>70</v>
      </c>
      <c r="H210" t="s">
        <v>23</v>
      </c>
      <c r="I210" t="s">
        <v>24</v>
      </c>
      <c r="J210" t="s">
        <v>349</v>
      </c>
      <c r="K210" t="s">
        <v>350</v>
      </c>
      <c r="L210" t="s">
        <v>40</v>
      </c>
      <c r="M210" t="s">
        <v>65</v>
      </c>
      <c r="N210" t="s">
        <v>1229</v>
      </c>
      <c r="O210" t="s">
        <v>43</v>
      </c>
      <c r="P210">
        <v>3</v>
      </c>
      <c r="Q210">
        <v>1166.6099999999999</v>
      </c>
      <c r="R210">
        <v>0.25</v>
      </c>
      <c r="S210" t="str">
        <f t="shared" si="32"/>
        <v>OK</v>
      </c>
      <c r="T210">
        <v>2624.87</v>
      </c>
      <c r="U210">
        <v>2253.88</v>
      </c>
      <c r="V210">
        <v>370.99</v>
      </c>
      <c r="W210" t="s">
        <v>31</v>
      </c>
      <c r="X210" t="s">
        <v>32</v>
      </c>
      <c r="Y210" t="str">
        <f>IF(COUNTIF($A$2:$A$901,A210)&gt;1,
  IF(COUNTIF($A$2:A210,A210)=1,
    " ORIGINAL",
    "CONFLICTING DUPLICATE - REVIEW"),
"OK")</f>
        <v>OK</v>
      </c>
      <c r="Z210">
        <f t="shared" si="33"/>
        <v>0.25</v>
      </c>
      <c r="AA210">
        <f t="shared" si="34"/>
        <v>2624.87</v>
      </c>
      <c r="AB210">
        <f t="shared" si="35"/>
        <v>370.99</v>
      </c>
      <c r="AC210">
        <f t="shared" si="36"/>
        <v>0.14130000000000001</v>
      </c>
      <c r="AD210">
        <f t="shared" si="37"/>
        <v>12</v>
      </c>
      <c r="AE210">
        <f t="shared" si="38"/>
        <v>2024</v>
      </c>
      <c r="AF210" t="str">
        <f t="shared" si="39"/>
        <v>CLEAN</v>
      </c>
    </row>
    <row r="211" spans="1:32">
      <c r="A211" t="s">
        <v>1230</v>
      </c>
      <c r="B211" s="10">
        <v>45655</v>
      </c>
      <c r="C211" s="10">
        <v>45657</v>
      </c>
      <c r="D211">
        <f t="shared" si="30"/>
        <v>2</v>
      </c>
      <c r="E211" t="str">
        <f t="shared" si="31"/>
        <v>OK</v>
      </c>
      <c r="F211" t="s">
        <v>1231</v>
      </c>
      <c r="G211" t="s">
        <v>46</v>
      </c>
      <c r="H211" t="s">
        <v>36</v>
      </c>
      <c r="I211" t="s">
        <v>37</v>
      </c>
      <c r="J211" t="s">
        <v>144</v>
      </c>
      <c r="K211" t="s">
        <v>145</v>
      </c>
      <c r="L211" t="s">
        <v>40</v>
      </c>
      <c r="M211" t="s">
        <v>65</v>
      </c>
      <c r="N211" t="s">
        <v>1232</v>
      </c>
      <c r="O211" t="s">
        <v>49</v>
      </c>
      <c r="P211">
        <v>6</v>
      </c>
      <c r="Q211">
        <v>1844.78</v>
      </c>
      <c r="R211">
        <v>0.2</v>
      </c>
      <c r="S211" t="str">
        <f t="shared" si="32"/>
        <v>OK</v>
      </c>
      <c r="T211">
        <v>8854.94</v>
      </c>
      <c r="U211">
        <v>7433.95</v>
      </c>
      <c r="V211">
        <v>1420.99</v>
      </c>
      <c r="W211" t="s">
        <v>31</v>
      </c>
      <c r="X211" t="s">
        <v>32</v>
      </c>
      <c r="Y211" t="str">
        <f>IF(COUNTIF($A$2:$A$901,A211)&gt;1,
  IF(COUNTIF($A$2:A211,A211)=1,
    " ORIGINAL",
    "CONFLICTING DUPLICATE - REVIEW"),
"OK")</f>
        <v>OK</v>
      </c>
      <c r="Z211">
        <f t="shared" si="33"/>
        <v>0.2</v>
      </c>
      <c r="AA211">
        <f t="shared" si="34"/>
        <v>8854.94</v>
      </c>
      <c r="AB211">
        <f t="shared" si="35"/>
        <v>1420.99</v>
      </c>
      <c r="AC211">
        <f t="shared" si="36"/>
        <v>0.1605</v>
      </c>
      <c r="AD211">
        <f t="shared" si="37"/>
        <v>12</v>
      </c>
      <c r="AE211">
        <f t="shared" si="38"/>
        <v>2024</v>
      </c>
      <c r="AF211" t="str">
        <f t="shared" si="39"/>
        <v>CLEAN</v>
      </c>
    </row>
    <row r="212" spans="1:32">
      <c r="A212" t="s">
        <v>1239</v>
      </c>
      <c r="B212" s="10">
        <v>45554</v>
      </c>
      <c r="C212" s="10">
        <v>45558</v>
      </c>
      <c r="D212">
        <f t="shared" si="30"/>
        <v>4</v>
      </c>
      <c r="E212" t="str">
        <f t="shared" si="31"/>
        <v>OK</v>
      </c>
      <c r="F212" t="s">
        <v>1240</v>
      </c>
      <c r="G212" t="s">
        <v>35</v>
      </c>
      <c r="H212" t="s">
        <v>36</v>
      </c>
      <c r="I212" t="s">
        <v>53</v>
      </c>
      <c r="J212" t="s">
        <v>184</v>
      </c>
      <c r="K212" t="s">
        <v>185</v>
      </c>
      <c r="L212" t="s">
        <v>27</v>
      </c>
      <c r="M212" t="s">
        <v>28</v>
      </c>
      <c r="N212" t="s">
        <v>1241</v>
      </c>
      <c r="O212" t="s">
        <v>58</v>
      </c>
      <c r="P212">
        <v>7</v>
      </c>
      <c r="Q212">
        <v>1136.68</v>
      </c>
      <c r="R212">
        <v>0</v>
      </c>
      <c r="S212" t="str">
        <f t="shared" si="32"/>
        <v>OK</v>
      </c>
      <c r="T212">
        <v>7956.76</v>
      </c>
      <c r="U212">
        <v>4799.54</v>
      </c>
      <c r="V212">
        <v>3157.22</v>
      </c>
      <c r="W212" t="s">
        <v>31</v>
      </c>
      <c r="X212" t="s">
        <v>32</v>
      </c>
      <c r="Y212" t="str">
        <f>IF(COUNTIF($A$2:$A$901,A212)&gt;1,
  IF(COUNTIF($A$2:A212,A212)=1,
    " ORIGINAL",
    "CONFLICTING DUPLICATE - REVIEW"),
"OK")</f>
        <v>OK</v>
      </c>
      <c r="Z212">
        <f t="shared" si="33"/>
        <v>0</v>
      </c>
      <c r="AA212">
        <f t="shared" si="34"/>
        <v>7956.76</v>
      </c>
      <c r="AB212">
        <f t="shared" si="35"/>
        <v>3157.22</v>
      </c>
      <c r="AC212">
        <f t="shared" si="36"/>
        <v>0.39679999999999999</v>
      </c>
      <c r="AD212">
        <f t="shared" si="37"/>
        <v>9</v>
      </c>
      <c r="AE212">
        <f t="shared" si="38"/>
        <v>2024</v>
      </c>
      <c r="AF212" t="str">
        <f t="shared" si="39"/>
        <v>CLEAN</v>
      </c>
    </row>
    <row r="213" spans="1:32">
      <c r="A213" t="s">
        <v>1242</v>
      </c>
      <c r="B213" s="10">
        <v>45389</v>
      </c>
      <c r="C213" s="10">
        <v>45396</v>
      </c>
      <c r="D213">
        <f t="shared" si="30"/>
        <v>7</v>
      </c>
      <c r="E213" t="str">
        <f t="shared" si="31"/>
        <v>OK</v>
      </c>
      <c r="F213" t="s">
        <v>1243</v>
      </c>
      <c r="G213" t="s">
        <v>70</v>
      </c>
      <c r="H213" t="s">
        <v>23</v>
      </c>
      <c r="I213" t="s">
        <v>62</v>
      </c>
      <c r="J213" t="s">
        <v>63</v>
      </c>
      <c r="K213" t="s">
        <v>64</v>
      </c>
      <c r="L213" t="s">
        <v>40</v>
      </c>
      <c r="M213" t="s">
        <v>157</v>
      </c>
      <c r="N213" t="s">
        <v>1244</v>
      </c>
      <c r="O213" t="s">
        <v>43</v>
      </c>
      <c r="P213">
        <v>5</v>
      </c>
      <c r="Q213">
        <v>2235.85</v>
      </c>
      <c r="R213">
        <v>0.25</v>
      </c>
      <c r="S213" t="str">
        <f t="shared" si="32"/>
        <v>OK</v>
      </c>
      <c r="T213">
        <v>8384.44</v>
      </c>
      <c r="U213">
        <v>4765.96</v>
      </c>
      <c r="V213">
        <v>3618.48</v>
      </c>
      <c r="W213" t="s">
        <v>31</v>
      </c>
      <c r="X213" t="s">
        <v>102</v>
      </c>
      <c r="Y213" t="str">
        <f>IF(COUNTIF($A$2:$A$901,A213)&gt;1,
  IF(COUNTIF($A$2:A213,A213)=1,
    " ORIGINAL",
    "CONFLICTING DUPLICATE - REVIEW"),
"OK")</f>
        <v>OK</v>
      </c>
      <c r="Z213">
        <f t="shared" si="33"/>
        <v>0.25</v>
      </c>
      <c r="AA213">
        <f t="shared" si="34"/>
        <v>8384.44</v>
      </c>
      <c r="AB213">
        <f t="shared" si="35"/>
        <v>3618.48</v>
      </c>
      <c r="AC213">
        <f t="shared" si="36"/>
        <v>0.43159999999999998</v>
      </c>
      <c r="AD213">
        <f t="shared" si="37"/>
        <v>4</v>
      </c>
      <c r="AE213">
        <f t="shared" si="38"/>
        <v>2024</v>
      </c>
      <c r="AF213" t="str">
        <f t="shared" si="39"/>
        <v>CLEAN</v>
      </c>
    </row>
    <row r="214" spans="1:32">
      <c r="A214" t="s">
        <v>1253</v>
      </c>
      <c r="B214" s="10">
        <v>45366</v>
      </c>
      <c r="C214" s="10">
        <v>45371</v>
      </c>
      <c r="D214">
        <f t="shared" si="30"/>
        <v>5</v>
      </c>
      <c r="E214" t="str">
        <f t="shared" si="31"/>
        <v>OK</v>
      </c>
      <c r="F214" t="s">
        <v>1254</v>
      </c>
      <c r="G214" t="s">
        <v>140</v>
      </c>
      <c r="H214" t="s">
        <v>23</v>
      </c>
      <c r="I214" t="s">
        <v>37</v>
      </c>
      <c r="J214" t="s">
        <v>227</v>
      </c>
      <c r="K214" t="s">
        <v>228</v>
      </c>
      <c r="L214" t="s">
        <v>73</v>
      </c>
      <c r="M214" t="s">
        <v>79</v>
      </c>
      <c r="N214" t="s">
        <v>1255</v>
      </c>
      <c r="O214" t="s">
        <v>58</v>
      </c>
      <c r="P214">
        <v>2</v>
      </c>
      <c r="Q214">
        <v>1881.4</v>
      </c>
      <c r="R214">
        <v>0.25</v>
      </c>
      <c r="S214" t="str">
        <f t="shared" si="32"/>
        <v>OK</v>
      </c>
      <c r="T214">
        <v>2822.1</v>
      </c>
      <c r="U214">
        <v>1624.57</v>
      </c>
      <c r="V214">
        <v>1197.53</v>
      </c>
      <c r="W214" t="s">
        <v>31</v>
      </c>
      <c r="X214" t="s">
        <v>102</v>
      </c>
      <c r="Y214" t="str">
        <f>IF(COUNTIF($A$2:$A$901,A214)&gt;1,
  IF(COUNTIF($A$2:A214,A214)=1,
    " ORIGINAL",
    "CONFLICTING DUPLICATE - REVIEW"),
"OK")</f>
        <v>OK</v>
      </c>
      <c r="Z214">
        <f t="shared" si="33"/>
        <v>0.25</v>
      </c>
      <c r="AA214">
        <f t="shared" si="34"/>
        <v>2822.1</v>
      </c>
      <c r="AB214">
        <f t="shared" si="35"/>
        <v>1197.53</v>
      </c>
      <c r="AC214">
        <f t="shared" si="36"/>
        <v>0.42430000000000001</v>
      </c>
      <c r="AD214">
        <f t="shared" si="37"/>
        <v>3</v>
      </c>
      <c r="AE214">
        <f t="shared" si="38"/>
        <v>2024</v>
      </c>
      <c r="AF214" t="str">
        <f t="shared" si="39"/>
        <v>CLEAN</v>
      </c>
    </row>
    <row r="215" spans="1:32">
      <c r="A215" t="s">
        <v>1265</v>
      </c>
      <c r="B215" s="10">
        <v>45425</v>
      </c>
      <c r="C215" s="10">
        <v>45430</v>
      </c>
      <c r="D215">
        <f t="shared" si="30"/>
        <v>5</v>
      </c>
      <c r="E215" t="str">
        <f t="shared" si="31"/>
        <v>OK</v>
      </c>
      <c r="F215" t="s">
        <v>1266</v>
      </c>
      <c r="G215" t="s">
        <v>46</v>
      </c>
      <c r="H215" t="s">
        <v>36</v>
      </c>
      <c r="I215" t="s">
        <v>62</v>
      </c>
      <c r="J215" t="s">
        <v>179</v>
      </c>
      <c r="K215" t="s">
        <v>180</v>
      </c>
      <c r="L215" t="s">
        <v>40</v>
      </c>
      <c r="M215" t="s">
        <v>65</v>
      </c>
      <c r="N215" t="s">
        <v>1267</v>
      </c>
      <c r="O215" t="s">
        <v>58</v>
      </c>
      <c r="P215">
        <v>3</v>
      </c>
      <c r="Q215">
        <v>3128.59</v>
      </c>
      <c r="R215">
        <v>0</v>
      </c>
      <c r="S215" t="str">
        <f t="shared" si="32"/>
        <v>OK</v>
      </c>
      <c r="T215">
        <v>9385.77</v>
      </c>
      <c r="U215">
        <v>6872.44</v>
      </c>
      <c r="V215">
        <v>2783.66</v>
      </c>
      <c r="W215" t="s">
        <v>31</v>
      </c>
      <c r="X215" t="s">
        <v>32</v>
      </c>
      <c r="Y215" t="str">
        <f>IF(COUNTIF($A$2:$A$901,A215)&gt;1,
  IF(COUNTIF($A$2:A215,A215)=1,
    " ORIGINAL",
    "CONFLICTING DUPLICATE - REVIEW"),
"OK")</f>
        <v>OK</v>
      </c>
      <c r="Z215">
        <f t="shared" si="33"/>
        <v>0</v>
      </c>
      <c r="AA215">
        <f t="shared" si="34"/>
        <v>9385.77</v>
      </c>
      <c r="AB215">
        <f t="shared" si="35"/>
        <v>2513.33</v>
      </c>
      <c r="AC215">
        <f t="shared" si="36"/>
        <v>0.26779999999999998</v>
      </c>
      <c r="AD215">
        <f t="shared" si="37"/>
        <v>5</v>
      </c>
      <c r="AE215">
        <f t="shared" si="38"/>
        <v>2024</v>
      </c>
      <c r="AF215" t="str">
        <f t="shared" si="39"/>
        <v>CLEAN</v>
      </c>
    </row>
    <row r="216" spans="1:32">
      <c r="A216" t="s">
        <v>1268</v>
      </c>
      <c r="B216" s="10">
        <v>45387</v>
      </c>
      <c r="C216" s="10">
        <v>45395</v>
      </c>
      <c r="D216">
        <f t="shared" si="30"/>
        <v>8</v>
      </c>
      <c r="E216" t="str">
        <f t="shared" si="31"/>
        <v>OK</v>
      </c>
      <c r="F216" t="s">
        <v>1269</v>
      </c>
      <c r="G216" t="s">
        <v>161</v>
      </c>
      <c r="H216" t="s">
        <v>89</v>
      </c>
      <c r="I216" t="s">
        <v>62</v>
      </c>
      <c r="J216" t="s">
        <v>179</v>
      </c>
      <c r="K216" t="s">
        <v>180</v>
      </c>
      <c r="L216" t="s">
        <v>73</v>
      </c>
      <c r="M216" t="s">
        <v>273</v>
      </c>
      <c r="N216" t="s">
        <v>1270</v>
      </c>
      <c r="O216" t="s">
        <v>30</v>
      </c>
      <c r="P216">
        <v>5</v>
      </c>
      <c r="Q216">
        <v>1937.54</v>
      </c>
      <c r="R216">
        <v>0.2</v>
      </c>
      <c r="S216" t="str">
        <f t="shared" si="32"/>
        <v>OK</v>
      </c>
      <c r="T216">
        <v>7750.16</v>
      </c>
      <c r="U216">
        <v>5434.3</v>
      </c>
      <c r="V216">
        <v>2315.86</v>
      </c>
      <c r="W216" t="s">
        <v>110</v>
      </c>
      <c r="X216" t="s">
        <v>67</v>
      </c>
      <c r="Y216" t="str">
        <f>IF(COUNTIF($A$2:$A$901,A216)&gt;1,
  IF(COUNTIF($A$2:A216,A216)=1,
    " ORIGINAL",
    "CONFLICTING DUPLICATE - REVIEW"),
"OK")</f>
        <v>OK</v>
      </c>
      <c r="Z216">
        <f t="shared" si="33"/>
        <v>0.2</v>
      </c>
      <c r="AA216">
        <f t="shared" si="34"/>
        <v>7750.16</v>
      </c>
      <c r="AB216">
        <f t="shared" si="35"/>
        <v>2315.86</v>
      </c>
      <c r="AC216">
        <f t="shared" si="36"/>
        <v>0.29880000000000001</v>
      </c>
      <c r="AD216">
        <f t="shared" si="37"/>
        <v>4</v>
      </c>
      <c r="AE216">
        <f t="shared" si="38"/>
        <v>2024</v>
      </c>
      <c r="AF216" t="str">
        <f t="shared" si="39"/>
        <v>CLEAN</v>
      </c>
    </row>
    <row r="217" spans="1:32">
      <c r="A217" t="s">
        <v>1271</v>
      </c>
      <c r="B217" s="10">
        <v>45602</v>
      </c>
      <c r="C217" s="10">
        <v>45607</v>
      </c>
      <c r="D217">
        <f t="shared" si="30"/>
        <v>5</v>
      </c>
      <c r="E217" t="str">
        <f t="shared" si="31"/>
        <v>OK</v>
      </c>
      <c r="F217" t="s">
        <v>1272</v>
      </c>
      <c r="G217" t="s">
        <v>46</v>
      </c>
      <c r="H217" t="s">
        <v>23</v>
      </c>
      <c r="I217" t="s">
        <v>62</v>
      </c>
      <c r="J217" t="s">
        <v>179</v>
      </c>
      <c r="K217" t="s">
        <v>180</v>
      </c>
      <c r="L217" t="s">
        <v>40</v>
      </c>
      <c r="M217" t="s">
        <v>56</v>
      </c>
      <c r="N217" t="s">
        <v>1273</v>
      </c>
      <c r="O217" t="s">
        <v>58</v>
      </c>
      <c r="P217">
        <v>4</v>
      </c>
      <c r="Q217">
        <v>1917.26</v>
      </c>
      <c r="R217">
        <v>0.2</v>
      </c>
      <c r="S217" t="str">
        <f t="shared" si="32"/>
        <v>OK</v>
      </c>
      <c r="T217">
        <v>6135.23</v>
      </c>
      <c r="U217">
        <v>3439.79</v>
      </c>
      <c r="V217">
        <v>2695.44</v>
      </c>
      <c r="W217" t="s">
        <v>31</v>
      </c>
      <c r="X217" t="s">
        <v>32</v>
      </c>
      <c r="Y217" t="str">
        <f>IF(COUNTIF($A$2:$A$901,A217)&gt;1,
  IF(COUNTIF($A$2:A217,A217)=1,
    " ORIGINAL",
    "CONFLICTING DUPLICATE - REVIEW"),
"OK")</f>
        <v>OK</v>
      </c>
      <c r="Z217">
        <f t="shared" si="33"/>
        <v>0.2</v>
      </c>
      <c r="AA217">
        <f t="shared" si="34"/>
        <v>6135.23</v>
      </c>
      <c r="AB217">
        <f t="shared" si="35"/>
        <v>2695.44</v>
      </c>
      <c r="AC217">
        <f t="shared" si="36"/>
        <v>0.43930000000000002</v>
      </c>
      <c r="AD217">
        <f t="shared" si="37"/>
        <v>11</v>
      </c>
      <c r="AE217">
        <f t="shared" si="38"/>
        <v>2024</v>
      </c>
      <c r="AF217" t="str">
        <f t="shared" si="39"/>
        <v>CLEAN</v>
      </c>
    </row>
    <row r="218" spans="1:32">
      <c r="A218" t="s">
        <v>1277</v>
      </c>
      <c r="B218" s="10">
        <v>45341</v>
      </c>
      <c r="C218" s="10">
        <v>45344</v>
      </c>
      <c r="D218">
        <f t="shared" si="30"/>
        <v>3</v>
      </c>
      <c r="E218" t="str">
        <f t="shared" si="31"/>
        <v>OK</v>
      </c>
      <c r="F218" t="s">
        <v>1278</v>
      </c>
      <c r="G218" t="s">
        <v>88</v>
      </c>
      <c r="H218" t="s">
        <v>36</v>
      </c>
      <c r="I218" t="s">
        <v>53</v>
      </c>
      <c r="J218" t="s">
        <v>184</v>
      </c>
      <c r="K218" t="s">
        <v>185</v>
      </c>
      <c r="L218" t="s">
        <v>40</v>
      </c>
      <c r="M218" t="s">
        <v>56</v>
      </c>
      <c r="N218" t="s">
        <v>1279</v>
      </c>
      <c r="O218" t="s">
        <v>43</v>
      </c>
      <c r="P218">
        <v>9</v>
      </c>
      <c r="Q218">
        <v>4053.01</v>
      </c>
      <c r="R218">
        <v>0</v>
      </c>
      <c r="S218" t="str">
        <f t="shared" si="32"/>
        <v>OK</v>
      </c>
      <c r="T218">
        <v>36477.089999999997</v>
      </c>
      <c r="U218">
        <v>24525.48</v>
      </c>
      <c r="V218">
        <v>11951.61</v>
      </c>
      <c r="W218" t="s">
        <v>31</v>
      </c>
      <c r="X218" t="s">
        <v>32</v>
      </c>
      <c r="Y218" t="str">
        <f>IF(COUNTIF($A$2:$A$901,A218)&gt;1,
  IF(COUNTIF($A$2:A218,A218)=1,
    " ORIGINAL",
    "CONFLICTING DUPLICATE - REVIEW"),
"OK")</f>
        <v>OK</v>
      </c>
      <c r="Z218">
        <f t="shared" si="33"/>
        <v>0</v>
      </c>
      <c r="AA218">
        <f t="shared" si="34"/>
        <v>36477.089999999997</v>
      </c>
      <c r="AB218">
        <f t="shared" si="35"/>
        <v>11951.61</v>
      </c>
      <c r="AC218">
        <f t="shared" si="36"/>
        <v>0.3276</v>
      </c>
      <c r="AD218">
        <f t="shared" si="37"/>
        <v>2</v>
      </c>
      <c r="AE218">
        <f t="shared" si="38"/>
        <v>2024</v>
      </c>
      <c r="AF218" t="str">
        <f t="shared" si="39"/>
        <v>CLEAN</v>
      </c>
    </row>
    <row r="219" spans="1:32">
      <c r="A219" t="s">
        <v>1280</v>
      </c>
      <c r="B219" s="10">
        <v>45527</v>
      </c>
      <c r="C219" s="10">
        <v>45533</v>
      </c>
      <c r="D219">
        <f t="shared" si="30"/>
        <v>6</v>
      </c>
      <c r="E219" t="str">
        <f t="shared" si="31"/>
        <v>OK</v>
      </c>
      <c r="F219" t="s">
        <v>1281</v>
      </c>
      <c r="G219" t="s">
        <v>35</v>
      </c>
      <c r="H219" t="s">
        <v>89</v>
      </c>
      <c r="I219" t="s">
        <v>24</v>
      </c>
      <c r="J219" t="s">
        <v>135</v>
      </c>
      <c r="K219" t="s">
        <v>136</v>
      </c>
      <c r="L219" t="s">
        <v>27</v>
      </c>
      <c r="M219" t="s">
        <v>90</v>
      </c>
      <c r="N219" t="s">
        <v>1282</v>
      </c>
      <c r="O219" t="s">
        <v>43</v>
      </c>
      <c r="P219">
        <v>2</v>
      </c>
      <c r="Q219">
        <v>1936.91</v>
      </c>
      <c r="R219">
        <v>0.05</v>
      </c>
      <c r="S219" t="str">
        <f t="shared" si="32"/>
        <v>OK</v>
      </c>
      <c r="T219">
        <v>3680.13</v>
      </c>
      <c r="U219">
        <v>2967.46</v>
      </c>
      <c r="V219">
        <v>712.67</v>
      </c>
      <c r="W219" t="s">
        <v>31</v>
      </c>
      <c r="X219" t="s">
        <v>32</v>
      </c>
      <c r="Y219" t="str">
        <f>IF(COUNTIF($A$2:$A$901,A219)&gt;1,
  IF(COUNTIF($A$2:A219,A219)=1,
    " ORIGINAL",
    "CONFLICTING DUPLICATE - REVIEW"),
"OK")</f>
        <v>OK</v>
      </c>
      <c r="Z219">
        <f t="shared" si="33"/>
        <v>0.05</v>
      </c>
      <c r="AA219">
        <f t="shared" si="34"/>
        <v>3680.13</v>
      </c>
      <c r="AB219">
        <f t="shared" si="35"/>
        <v>712.67</v>
      </c>
      <c r="AC219">
        <f t="shared" si="36"/>
        <v>0.19370000000000001</v>
      </c>
      <c r="AD219">
        <f t="shared" si="37"/>
        <v>8</v>
      </c>
      <c r="AE219">
        <f t="shared" si="38"/>
        <v>2024</v>
      </c>
      <c r="AF219" t="str">
        <f t="shared" si="39"/>
        <v>CLEAN</v>
      </c>
    </row>
    <row r="220" spans="1:32">
      <c r="A220" t="s">
        <v>1283</v>
      </c>
      <c r="B220" s="10">
        <v>45355</v>
      </c>
      <c r="C220" s="10">
        <v>45386</v>
      </c>
      <c r="D220">
        <f t="shared" si="30"/>
        <v>31</v>
      </c>
      <c r="E220" t="str">
        <f t="shared" si="31"/>
        <v>OK</v>
      </c>
      <c r="F220" t="s">
        <v>1284</v>
      </c>
      <c r="G220" t="s">
        <v>263</v>
      </c>
      <c r="H220" t="s">
        <v>23</v>
      </c>
      <c r="I220" t="s">
        <v>62</v>
      </c>
      <c r="J220" t="s">
        <v>63</v>
      </c>
      <c r="K220" t="s">
        <v>64</v>
      </c>
      <c r="L220" t="s">
        <v>40</v>
      </c>
      <c r="M220" t="s">
        <v>56</v>
      </c>
      <c r="N220" t="s">
        <v>1285</v>
      </c>
      <c r="O220" t="s">
        <v>49</v>
      </c>
      <c r="P220">
        <v>7</v>
      </c>
      <c r="Q220">
        <v>3945.21</v>
      </c>
      <c r="R220">
        <v>0</v>
      </c>
      <c r="S220" t="str">
        <f t="shared" si="32"/>
        <v>OK</v>
      </c>
      <c r="T220">
        <v>27616.47</v>
      </c>
      <c r="U220">
        <v>21225.26</v>
      </c>
      <c r="V220">
        <v>6391.21</v>
      </c>
      <c r="W220" t="s">
        <v>31</v>
      </c>
      <c r="X220" t="s">
        <v>32</v>
      </c>
      <c r="Y220" t="str">
        <f>IF(COUNTIF($A$2:$A$901,A220)&gt;1,
  IF(COUNTIF($A$2:A220,A220)=1,
    " ORIGINAL",
    "CONFLICTING DUPLICATE - REVIEW"),
"OK")</f>
        <v>OK</v>
      </c>
      <c r="Z220">
        <f t="shared" si="33"/>
        <v>0</v>
      </c>
      <c r="AA220">
        <f t="shared" si="34"/>
        <v>27616.47</v>
      </c>
      <c r="AB220">
        <f t="shared" si="35"/>
        <v>6391.21</v>
      </c>
      <c r="AC220">
        <f t="shared" si="36"/>
        <v>0.23139999999999999</v>
      </c>
      <c r="AD220">
        <f t="shared" si="37"/>
        <v>3</v>
      </c>
      <c r="AE220">
        <f t="shared" si="38"/>
        <v>2024</v>
      </c>
      <c r="AF220" t="str">
        <f t="shared" si="39"/>
        <v>CLEAN</v>
      </c>
    </row>
    <row r="221" spans="1:32">
      <c r="A221" t="s">
        <v>1286</v>
      </c>
      <c r="B221" s="10">
        <v>45449</v>
      </c>
      <c r="C221" s="10">
        <v>45450</v>
      </c>
      <c r="D221">
        <f t="shared" si="30"/>
        <v>1</v>
      </c>
      <c r="E221" t="str">
        <f t="shared" si="31"/>
        <v>OK</v>
      </c>
      <c r="F221" t="s">
        <v>1287</v>
      </c>
      <c r="G221" t="s">
        <v>117</v>
      </c>
      <c r="H221" t="s">
        <v>94</v>
      </c>
      <c r="I221" t="s">
        <v>53</v>
      </c>
      <c r="J221" t="s">
        <v>246</v>
      </c>
      <c r="K221" t="s">
        <v>247</v>
      </c>
      <c r="L221" t="s">
        <v>40</v>
      </c>
      <c r="M221" t="s">
        <v>41</v>
      </c>
      <c r="N221" t="s">
        <v>1288</v>
      </c>
      <c r="O221" t="s">
        <v>43</v>
      </c>
      <c r="P221">
        <v>7</v>
      </c>
      <c r="Q221">
        <v>861.91</v>
      </c>
      <c r="R221">
        <v>0.05</v>
      </c>
      <c r="S221" t="str">
        <f t="shared" si="32"/>
        <v>OK</v>
      </c>
      <c r="T221">
        <v>5731.7</v>
      </c>
      <c r="U221">
        <v>4115.5600000000004</v>
      </c>
      <c r="V221">
        <v>1616.14</v>
      </c>
      <c r="W221" t="s">
        <v>31</v>
      </c>
      <c r="X221" t="s">
        <v>32</v>
      </c>
      <c r="Y221" t="str">
        <f>IF(COUNTIF($A$2:$A$901,A221)&gt;1,
  IF(COUNTIF($A$2:A221,A221)=1,
    " ORIGINAL",
    "CONFLICTING DUPLICATE - REVIEW"),
"OK")</f>
        <v>OK</v>
      </c>
      <c r="Z221">
        <f t="shared" si="33"/>
        <v>0.05</v>
      </c>
      <c r="AA221">
        <f t="shared" si="34"/>
        <v>5731.7</v>
      </c>
      <c r="AB221">
        <f t="shared" si="35"/>
        <v>1616.14</v>
      </c>
      <c r="AC221">
        <f t="shared" si="36"/>
        <v>0.28199999999999997</v>
      </c>
      <c r="AD221">
        <f t="shared" si="37"/>
        <v>6</v>
      </c>
      <c r="AE221">
        <f t="shared" si="38"/>
        <v>2024</v>
      </c>
      <c r="AF221" t="str">
        <f t="shared" si="39"/>
        <v>CLEAN</v>
      </c>
    </row>
    <row r="222" spans="1:32">
      <c r="A222" t="s">
        <v>1295</v>
      </c>
      <c r="B222" s="10">
        <v>45492</v>
      </c>
      <c r="C222" s="10">
        <v>45499</v>
      </c>
      <c r="D222">
        <f t="shared" si="30"/>
        <v>7</v>
      </c>
      <c r="E222" t="str">
        <f t="shared" si="31"/>
        <v>OK</v>
      </c>
      <c r="F222" t="s">
        <v>1296</v>
      </c>
      <c r="G222" t="s">
        <v>70</v>
      </c>
      <c r="H222" t="s">
        <v>89</v>
      </c>
      <c r="I222" t="s">
        <v>24</v>
      </c>
      <c r="J222" t="s">
        <v>121</v>
      </c>
      <c r="K222" t="s">
        <v>122</v>
      </c>
      <c r="L222" t="s">
        <v>73</v>
      </c>
      <c r="M222" t="s">
        <v>273</v>
      </c>
      <c r="N222" t="s">
        <v>1297</v>
      </c>
      <c r="O222" t="s">
        <v>43</v>
      </c>
      <c r="P222">
        <v>2</v>
      </c>
      <c r="Q222">
        <v>1263.6500000000001</v>
      </c>
      <c r="R222">
        <v>0.2</v>
      </c>
      <c r="S222" t="str">
        <f t="shared" si="32"/>
        <v>OK</v>
      </c>
      <c r="T222">
        <v>2021.84</v>
      </c>
      <c r="U222">
        <v>1355.22</v>
      </c>
      <c r="V222">
        <v>666.62</v>
      </c>
      <c r="W222" t="s">
        <v>31</v>
      </c>
      <c r="X222" t="s">
        <v>32</v>
      </c>
      <c r="Y222" t="str">
        <f>IF(COUNTIF($A$2:$A$901,A222)&gt;1,
  IF(COUNTIF($A$2:A222,A222)=1,
    " ORIGINAL",
    "CONFLICTING DUPLICATE - REVIEW"),
"OK")</f>
        <v>OK</v>
      </c>
      <c r="Z222">
        <f t="shared" si="33"/>
        <v>0.2</v>
      </c>
      <c r="AA222">
        <f t="shared" si="34"/>
        <v>2021.84</v>
      </c>
      <c r="AB222">
        <f t="shared" si="35"/>
        <v>666.62</v>
      </c>
      <c r="AC222">
        <f t="shared" si="36"/>
        <v>0.32969999999999999</v>
      </c>
      <c r="AD222">
        <f t="shared" si="37"/>
        <v>7</v>
      </c>
      <c r="AE222">
        <f t="shared" si="38"/>
        <v>2024</v>
      </c>
      <c r="AF222" t="str">
        <f t="shared" si="39"/>
        <v>CLEAN</v>
      </c>
    </row>
    <row r="223" spans="1:32">
      <c r="A223" t="s">
        <v>1307</v>
      </c>
      <c r="B223" s="10">
        <v>45373</v>
      </c>
      <c r="C223" s="10">
        <v>45373</v>
      </c>
      <c r="D223">
        <f t="shared" si="30"/>
        <v>0</v>
      </c>
      <c r="E223" t="str">
        <f t="shared" si="31"/>
        <v>OK</v>
      </c>
      <c r="F223" t="s">
        <v>1308</v>
      </c>
      <c r="G223" t="s">
        <v>113</v>
      </c>
      <c r="H223" t="s">
        <v>36</v>
      </c>
      <c r="I223" t="s">
        <v>53</v>
      </c>
      <c r="J223" t="s">
        <v>174</v>
      </c>
      <c r="K223" t="s">
        <v>175</v>
      </c>
      <c r="L223" t="s">
        <v>40</v>
      </c>
      <c r="M223" t="s">
        <v>41</v>
      </c>
      <c r="N223" t="s">
        <v>1309</v>
      </c>
      <c r="O223" t="s">
        <v>2762</v>
      </c>
      <c r="P223">
        <v>3</v>
      </c>
      <c r="Q223">
        <v>1365.26</v>
      </c>
      <c r="R223">
        <v>0</v>
      </c>
      <c r="S223" t="str">
        <f t="shared" si="32"/>
        <v>OK</v>
      </c>
      <c r="T223">
        <v>4095.78</v>
      </c>
      <c r="U223">
        <v>2807.77</v>
      </c>
      <c r="V223">
        <v>1288.01</v>
      </c>
      <c r="W223" t="s">
        <v>31</v>
      </c>
      <c r="X223" t="s">
        <v>32</v>
      </c>
      <c r="Y223" t="str">
        <f>IF(COUNTIF($A$2:$A$901,A223)&gt;1,
  IF(COUNTIF($A$2:A223,A223)=1,
    " ORIGINAL",
    "CONFLICTING DUPLICATE - REVIEW"),
"OK")</f>
        <v>OK</v>
      </c>
      <c r="Z223">
        <f t="shared" si="33"/>
        <v>0</v>
      </c>
      <c r="AA223">
        <f t="shared" si="34"/>
        <v>4095.78</v>
      </c>
      <c r="AB223">
        <f t="shared" si="35"/>
        <v>1288.01</v>
      </c>
      <c r="AC223">
        <f t="shared" si="36"/>
        <v>0.3145</v>
      </c>
      <c r="AD223">
        <f t="shared" si="37"/>
        <v>3</v>
      </c>
      <c r="AE223">
        <f t="shared" si="38"/>
        <v>2024</v>
      </c>
      <c r="AF223" t="str">
        <f t="shared" si="39"/>
        <v>WARNING</v>
      </c>
    </row>
    <row r="224" spans="1:32">
      <c r="A224" t="s">
        <v>1310</v>
      </c>
      <c r="B224" s="10">
        <v>45565</v>
      </c>
      <c r="C224" s="10">
        <v>45392</v>
      </c>
      <c r="D224">
        <f t="shared" si="30"/>
        <v>-173</v>
      </c>
      <c r="E224" t="str">
        <f t="shared" si="31"/>
        <v>INVALID</v>
      </c>
      <c r="F224" t="s">
        <v>1311</v>
      </c>
      <c r="G224" t="s">
        <v>52</v>
      </c>
      <c r="H224" t="s">
        <v>36</v>
      </c>
      <c r="I224" t="s">
        <v>53</v>
      </c>
      <c r="J224" t="s">
        <v>184</v>
      </c>
      <c r="K224" t="s">
        <v>185</v>
      </c>
      <c r="L224" t="s">
        <v>27</v>
      </c>
      <c r="M224" t="s">
        <v>28</v>
      </c>
      <c r="N224" t="s">
        <v>1312</v>
      </c>
      <c r="O224" t="s">
        <v>43</v>
      </c>
      <c r="P224">
        <v>5</v>
      </c>
      <c r="Q224">
        <v>3512.25</v>
      </c>
      <c r="R224">
        <v>0.05</v>
      </c>
      <c r="S224" t="str">
        <f t="shared" si="32"/>
        <v>OK</v>
      </c>
      <c r="T224">
        <v>16683.189999999999</v>
      </c>
      <c r="U224">
        <v>10301.16</v>
      </c>
      <c r="V224">
        <v>6382.03</v>
      </c>
      <c r="W224" t="s">
        <v>31</v>
      </c>
      <c r="X224" t="s">
        <v>102</v>
      </c>
      <c r="Y224" t="str">
        <f>IF(COUNTIF($A$2:$A$901,A224)&gt;1,
  IF(COUNTIF($A$2:A224,A224)=1,
    " ORIGINAL",
    "CONFLICTING DUPLICATE - REVIEW"),
"OK")</f>
        <v>OK</v>
      </c>
      <c r="Z224">
        <f t="shared" si="33"/>
        <v>0.05</v>
      </c>
      <c r="AA224">
        <f t="shared" si="34"/>
        <v>16683.189999999999</v>
      </c>
      <c r="AB224">
        <f t="shared" si="35"/>
        <v>6382.03</v>
      </c>
      <c r="AC224">
        <f t="shared" si="36"/>
        <v>0.38250000000000001</v>
      </c>
      <c r="AD224">
        <f t="shared" si="37"/>
        <v>9</v>
      </c>
      <c r="AE224">
        <f t="shared" si="38"/>
        <v>2024</v>
      </c>
      <c r="AF224" t="str">
        <f t="shared" si="39"/>
        <v>INVALID</v>
      </c>
    </row>
    <row r="225" spans="1:32">
      <c r="A225" t="s">
        <v>1313</v>
      </c>
      <c r="B225" s="10">
        <v>45318</v>
      </c>
      <c r="C225" s="10">
        <v>45325</v>
      </c>
      <c r="D225">
        <f t="shared" si="30"/>
        <v>7</v>
      </c>
      <c r="E225" t="str">
        <f t="shared" si="31"/>
        <v>OK</v>
      </c>
      <c r="F225" t="s">
        <v>1314</v>
      </c>
      <c r="G225" t="s">
        <v>88</v>
      </c>
      <c r="H225" t="s">
        <v>89</v>
      </c>
      <c r="I225" t="s">
        <v>62</v>
      </c>
      <c r="J225" t="s">
        <v>25</v>
      </c>
      <c r="K225" t="s">
        <v>108</v>
      </c>
      <c r="L225" t="s">
        <v>40</v>
      </c>
      <c r="M225" t="s">
        <v>65</v>
      </c>
      <c r="N225" t="s">
        <v>1315</v>
      </c>
      <c r="O225" t="s">
        <v>43</v>
      </c>
      <c r="P225">
        <v>3</v>
      </c>
      <c r="Q225">
        <v>359.61</v>
      </c>
      <c r="R225">
        <v>0</v>
      </c>
      <c r="S225" t="str">
        <f t="shared" si="32"/>
        <v>OK</v>
      </c>
      <c r="T225">
        <v>1078.83</v>
      </c>
      <c r="U225">
        <v>926.35</v>
      </c>
      <c r="V225">
        <v>152.47999999999999</v>
      </c>
      <c r="W225" t="s">
        <v>31</v>
      </c>
      <c r="X225" t="s">
        <v>32</v>
      </c>
      <c r="Y225" t="str">
        <f>IF(COUNTIF($A$2:$A$901,A225)&gt;1,
  IF(COUNTIF($A$2:A225,A225)=1,
    " ORIGINAL",
    "CONFLICTING DUPLICATE - REVIEW"),
"OK")</f>
        <v>OK</v>
      </c>
      <c r="Z225">
        <f t="shared" si="33"/>
        <v>0</v>
      </c>
      <c r="AA225">
        <f t="shared" si="34"/>
        <v>1078.83</v>
      </c>
      <c r="AB225">
        <f t="shared" si="35"/>
        <v>152.47999999999999</v>
      </c>
      <c r="AC225">
        <f t="shared" si="36"/>
        <v>0.14130000000000001</v>
      </c>
      <c r="AD225">
        <f t="shared" si="37"/>
        <v>1</v>
      </c>
      <c r="AE225">
        <f t="shared" si="38"/>
        <v>2024</v>
      </c>
      <c r="AF225" t="str">
        <f t="shared" si="39"/>
        <v>CLEAN</v>
      </c>
    </row>
    <row r="226" spans="1:32">
      <c r="A226" t="s">
        <v>1316</v>
      </c>
      <c r="B226" s="10">
        <v>45558</v>
      </c>
      <c r="C226" s="10">
        <v>45559</v>
      </c>
      <c r="D226">
        <f t="shared" si="30"/>
        <v>1</v>
      </c>
      <c r="E226" t="str">
        <f t="shared" si="31"/>
        <v>OK</v>
      </c>
      <c r="F226" t="s">
        <v>1317</v>
      </c>
      <c r="G226" t="s">
        <v>88</v>
      </c>
      <c r="H226" t="s">
        <v>94</v>
      </c>
      <c r="I226" t="s">
        <v>62</v>
      </c>
      <c r="J226" t="s">
        <v>179</v>
      </c>
      <c r="K226" t="s">
        <v>180</v>
      </c>
      <c r="L226" t="s">
        <v>40</v>
      </c>
      <c r="M226" t="s">
        <v>157</v>
      </c>
      <c r="N226" t="s">
        <v>1318</v>
      </c>
      <c r="O226" t="s">
        <v>2762</v>
      </c>
      <c r="P226">
        <v>7</v>
      </c>
      <c r="Q226">
        <v>3878.01</v>
      </c>
      <c r="R226">
        <v>0.1</v>
      </c>
      <c r="S226" t="str">
        <f t="shared" si="32"/>
        <v>OK</v>
      </c>
      <c r="T226">
        <v>24431.46</v>
      </c>
      <c r="U226">
        <v>18202.36</v>
      </c>
      <c r="V226">
        <v>6229.1</v>
      </c>
      <c r="W226" t="s">
        <v>31</v>
      </c>
      <c r="X226" t="s">
        <v>32</v>
      </c>
      <c r="Y226" t="str">
        <f>IF(COUNTIF($A$2:$A$901,A226)&gt;1,
  IF(COUNTIF($A$2:A226,A226)=1,
    " ORIGINAL",
    "CONFLICTING DUPLICATE - REVIEW"),
"OK")</f>
        <v>OK</v>
      </c>
      <c r="Z226">
        <f t="shared" si="33"/>
        <v>0.1</v>
      </c>
      <c r="AA226">
        <f t="shared" si="34"/>
        <v>24431.46</v>
      </c>
      <c r="AB226">
        <f t="shared" si="35"/>
        <v>6229.1</v>
      </c>
      <c r="AC226">
        <f t="shared" si="36"/>
        <v>0.255</v>
      </c>
      <c r="AD226">
        <f t="shared" si="37"/>
        <v>9</v>
      </c>
      <c r="AE226">
        <f t="shared" si="38"/>
        <v>2024</v>
      </c>
      <c r="AF226" t="str">
        <f t="shared" si="39"/>
        <v>WARNING</v>
      </c>
    </row>
    <row r="227" spans="1:32">
      <c r="A227" t="s">
        <v>1322</v>
      </c>
      <c r="B227" s="10">
        <v>45424</v>
      </c>
      <c r="C227" s="10">
        <v>45425</v>
      </c>
      <c r="D227">
        <f t="shared" si="30"/>
        <v>1</v>
      </c>
      <c r="E227" t="str">
        <f t="shared" si="31"/>
        <v>OK</v>
      </c>
      <c r="F227" t="s">
        <v>1323</v>
      </c>
      <c r="G227" t="s">
        <v>117</v>
      </c>
      <c r="H227" t="s">
        <v>89</v>
      </c>
      <c r="I227" t="s">
        <v>62</v>
      </c>
      <c r="J227" t="s">
        <v>189</v>
      </c>
      <c r="K227" t="s">
        <v>190</v>
      </c>
      <c r="L227" t="s">
        <v>27</v>
      </c>
      <c r="M227" t="s">
        <v>90</v>
      </c>
      <c r="N227" t="s">
        <v>1324</v>
      </c>
      <c r="O227" t="s">
        <v>30</v>
      </c>
      <c r="P227">
        <v>3</v>
      </c>
      <c r="Q227">
        <v>2644.55</v>
      </c>
      <c r="R227">
        <v>0</v>
      </c>
      <c r="S227" t="str">
        <f t="shared" si="32"/>
        <v>OK</v>
      </c>
      <c r="T227">
        <v>7933.65</v>
      </c>
      <c r="U227">
        <v>5698.42</v>
      </c>
      <c r="V227">
        <v>2235.23</v>
      </c>
      <c r="W227" t="s">
        <v>31</v>
      </c>
      <c r="X227" t="s">
        <v>32</v>
      </c>
      <c r="Y227" t="str">
        <f>IF(COUNTIF($A$2:$A$901,A227)&gt;1,
  IF(COUNTIF($A$2:A227,A227)=1,
    " ORIGINAL",
    "CONFLICTING DUPLICATE - REVIEW"),
"OK")</f>
        <v>OK</v>
      </c>
      <c r="Z227">
        <f t="shared" si="33"/>
        <v>0</v>
      </c>
      <c r="AA227">
        <f t="shared" si="34"/>
        <v>7933.65</v>
      </c>
      <c r="AB227">
        <f t="shared" si="35"/>
        <v>2235.23</v>
      </c>
      <c r="AC227">
        <f t="shared" si="36"/>
        <v>0.28170000000000001</v>
      </c>
      <c r="AD227">
        <f t="shared" si="37"/>
        <v>5</v>
      </c>
      <c r="AE227">
        <f t="shared" si="38"/>
        <v>2024</v>
      </c>
      <c r="AF227" t="str">
        <f t="shared" si="39"/>
        <v>CLEAN</v>
      </c>
    </row>
    <row r="228" spans="1:32">
      <c r="A228" t="s">
        <v>1331</v>
      </c>
      <c r="B228" s="10">
        <v>45394</v>
      </c>
      <c r="C228" s="10">
        <v>45402</v>
      </c>
      <c r="D228">
        <f t="shared" si="30"/>
        <v>8</v>
      </c>
      <c r="E228" t="str">
        <f t="shared" si="31"/>
        <v>OK</v>
      </c>
      <c r="F228" t="s">
        <v>1332</v>
      </c>
      <c r="G228" t="s">
        <v>161</v>
      </c>
      <c r="H228" t="s">
        <v>23</v>
      </c>
      <c r="I228" t="s">
        <v>62</v>
      </c>
      <c r="J228" t="s">
        <v>189</v>
      </c>
      <c r="K228" t="s">
        <v>190</v>
      </c>
      <c r="L228" t="s">
        <v>40</v>
      </c>
      <c r="M228" t="s">
        <v>41</v>
      </c>
      <c r="N228" t="s">
        <v>1333</v>
      </c>
      <c r="O228" t="s">
        <v>49</v>
      </c>
      <c r="P228">
        <v>9</v>
      </c>
      <c r="Q228">
        <v>1302.6099999999999</v>
      </c>
      <c r="R228">
        <v>0.2</v>
      </c>
      <c r="S228" t="str">
        <f t="shared" si="32"/>
        <v>OK</v>
      </c>
      <c r="T228">
        <v>9378.7900000000009</v>
      </c>
      <c r="U228">
        <v>6774.48</v>
      </c>
      <c r="V228">
        <v>2604.31</v>
      </c>
      <c r="W228" t="s">
        <v>31</v>
      </c>
      <c r="X228" t="s">
        <v>32</v>
      </c>
      <c r="Y228" t="str">
        <f>IF(COUNTIF($A$2:$A$901,A228)&gt;1,
  IF(COUNTIF($A$2:A228,A228)=1,
    " ORIGINAL",
    "CONFLICTING DUPLICATE - REVIEW"),
"OK")</f>
        <v>OK</v>
      </c>
      <c r="Z228">
        <f t="shared" si="33"/>
        <v>0.2</v>
      </c>
      <c r="AA228">
        <f t="shared" si="34"/>
        <v>9378.7900000000009</v>
      </c>
      <c r="AB228">
        <f t="shared" si="35"/>
        <v>2604.31</v>
      </c>
      <c r="AC228">
        <f t="shared" si="36"/>
        <v>0.2777</v>
      </c>
      <c r="AD228">
        <f t="shared" si="37"/>
        <v>4</v>
      </c>
      <c r="AE228">
        <f t="shared" si="38"/>
        <v>2024</v>
      </c>
      <c r="AF228" t="str">
        <f t="shared" si="39"/>
        <v>CLEAN</v>
      </c>
    </row>
    <row r="229" spans="1:32">
      <c r="A229" t="s">
        <v>1337</v>
      </c>
      <c r="B229" s="10">
        <v>45313</v>
      </c>
      <c r="C229" s="10">
        <v>45321</v>
      </c>
      <c r="D229">
        <f t="shared" si="30"/>
        <v>8</v>
      </c>
      <c r="E229" t="str">
        <f t="shared" si="31"/>
        <v>OK</v>
      </c>
      <c r="F229" t="s">
        <v>1338</v>
      </c>
      <c r="G229" t="s">
        <v>46</v>
      </c>
      <c r="H229" t="s">
        <v>89</v>
      </c>
      <c r="I229" t="s">
        <v>53</v>
      </c>
      <c r="J229" t="s">
        <v>174</v>
      </c>
      <c r="K229" t="s">
        <v>175</v>
      </c>
      <c r="L229" t="s">
        <v>40</v>
      </c>
      <c r="M229" t="s">
        <v>65</v>
      </c>
      <c r="N229" t="s">
        <v>1339</v>
      </c>
      <c r="O229" t="s">
        <v>43</v>
      </c>
      <c r="P229">
        <v>1</v>
      </c>
      <c r="Q229">
        <v>2111.39</v>
      </c>
      <c r="R229">
        <v>0.25</v>
      </c>
      <c r="S229" t="str">
        <f t="shared" si="32"/>
        <v>OK</v>
      </c>
      <c r="T229">
        <v>1583.54</v>
      </c>
      <c r="U229">
        <v>1014.19</v>
      </c>
      <c r="V229">
        <v>569.35</v>
      </c>
      <c r="W229" t="s">
        <v>31</v>
      </c>
      <c r="X229" t="s">
        <v>32</v>
      </c>
      <c r="Y229" t="str">
        <f>IF(COUNTIF($A$2:$A$901,A229)&gt;1,
  IF(COUNTIF($A$2:A229,A229)=1,
    " ORIGINAL",
    "CONFLICTING DUPLICATE - REVIEW"),
"OK")</f>
        <v>OK</v>
      </c>
      <c r="Z229">
        <f t="shared" si="33"/>
        <v>0.25</v>
      </c>
      <c r="AA229">
        <f t="shared" si="34"/>
        <v>1583.54</v>
      </c>
      <c r="AB229">
        <f t="shared" si="35"/>
        <v>569.35</v>
      </c>
      <c r="AC229">
        <f t="shared" si="36"/>
        <v>0.35949999999999999</v>
      </c>
      <c r="AD229">
        <f t="shared" si="37"/>
        <v>1</v>
      </c>
      <c r="AE229">
        <f t="shared" si="38"/>
        <v>2024</v>
      </c>
      <c r="AF229" t="str">
        <f t="shared" si="39"/>
        <v>CLEAN</v>
      </c>
    </row>
    <row r="230" spans="1:32">
      <c r="A230" t="s">
        <v>1343</v>
      </c>
      <c r="B230" s="10">
        <v>45533</v>
      </c>
      <c r="C230" s="10">
        <v>45534</v>
      </c>
      <c r="D230">
        <f t="shared" si="30"/>
        <v>1</v>
      </c>
      <c r="E230" t="str">
        <f t="shared" si="31"/>
        <v>OK</v>
      </c>
      <c r="F230" t="s">
        <v>1344</v>
      </c>
      <c r="G230" t="s">
        <v>52</v>
      </c>
      <c r="H230" t="s">
        <v>94</v>
      </c>
      <c r="I230" t="s">
        <v>37</v>
      </c>
      <c r="J230" t="s">
        <v>165</v>
      </c>
      <c r="K230" t="s">
        <v>166</v>
      </c>
      <c r="L230" t="s">
        <v>27</v>
      </c>
      <c r="M230" t="s">
        <v>123</v>
      </c>
      <c r="N230" t="s">
        <v>1345</v>
      </c>
      <c r="O230" t="s">
        <v>49</v>
      </c>
      <c r="P230">
        <v>4</v>
      </c>
      <c r="Q230">
        <v>2484.08</v>
      </c>
      <c r="R230">
        <v>0.05</v>
      </c>
      <c r="S230" t="str">
        <f t="shared" si="32"/>
        <v>OK</v>
      </c>
      <c r="T230">
        <v>9439.5</v>
      </c>
      <c r="U230">
        <v>5519.39</v>
      </c>
      <c r="V230">
        <v>3920.11</v>
      </c>
      <c r="W230" t="s">
        <v>31</v>
      </c>
      <c r="X230" t="s">
        <v>32</v>
      </c>
      <c r="Y230" t="str">
        <f>IF(COUNTIF($A$2:$A$901,A230)&gt;1,
  IF(COUNTIF($A$2:A230,A230)=1,
    " ORIGINAL",
    "CONFLICTING DUPLICATE - REVIEW"),
"OK")</f>
        <v>OK</v>
      </c>
      <c r="Z230">
        <f t="shared" si="33"/>
        <v>0.05</v>
      </c>
      <c r="AA230">
        <f t="shared" si="34"/>
        <v>9439.5</v>
      </c>
      <c r="AB230">
        <f t="shared" si="35"/>
        <v>3920.11</v>
      </c>
      <c r="AC230">
        <f t="shared" si="36"/>
        <v>0.4153</v>
      </c>
      <c r="AD230">
        <f t="shared" si="37"/>
        <v>8</v>
      </c>
      <c r="AE230">
        <f t="shared" si="38"/>
        <v>2024</v>
      </c>
      <c r="AF230" t="str">
        <f t="shared" si="39"/>
        <v>CLEAN</v>
      </c>
    </row>
    <row r="231" spans="1:32">
      <c r="A231" t="s">
        <v>1346</v>
      </c>
      <c r="B231" s="10">
        <v>45316</v>
      </c>
      <c r="C231" s="10">
        <v>45318</v>
      </c>
      <c r="D231">
        <f t="shared" si="30"/>
        <v>2</v>
      </c>
      <c r="E231" t="str">
        <f t="shared" si="31"/>
        <v>OK</v>
      </c>
      <c r="F231" t="s">
        <v>1347</v>
      </c>
      <c r="G231" t="s">
        <v>127</v>
      </c>
      <c r="H231" t="s">
        <v>89</v>
      </c>
      <c r="I231" t="s">
        <v>53</v>
      </c>
      <c r="J231" t="s">
        <v>174</v>
      </c>
      <c r="K231" t="s">
        <v>175</v>
      </c>
      <c r="L231" t="s">
        <v>27</v>
      </c>
      <c r="M231" t="s">
        <v>123</v>
      </c>
      <c r="N231" t="s">
        <v>1348</v>
      </c>
      <c r="O231" t="s">
        <v>43</v>
      </c>
      <c r="P231">
        <v>7</v>
      </c>
      <c r="Q231">
        <v>1727.26</v>
      </c>
      <c r="R231">
        <v>0.15</v>
      </c>
      <c r="S231" t="str">
        <f t="shared" si="32"/>
        <v>OK</v>
      </c>
      <c r="T231">
        <v>10277.200000000001</v>
      </c>
      <c r="U231">
        <v>7906.5</v>
      </c>
      <c r="V231">
        <v>2370.6999999999998</v>
      </c>
      <c r="W231" t="s">
        <v>31</v>
      </c>
      <c r="X231" t="s">
        <v>102</v>
      </c>
      <c r="Y231" t="str">
        <f>IF(COUNTIF($A$2:$A$901,A231)&gt;1,
  IF(COUNTIF($A$2:A231,A231)=1,
    " ORIGINAL",
    "CONFLICTING DUPLICATE - REVIEW"),
"OK")</f>
        <v>OK</v>
      </c>
      <c r="Z231">
        <f t="shared" si="33"/>
        <v>0.15</v>
      </c>
      <c r="AA231">
        <f t="shared" si="34"/>
        <v>10277.200000000001</v>
      </c>
      <c r="AB231">
        <f t="shared" si="35"/>
        <v>2370.6999999999998</v>
      </c>
      <c r="AC231">
        <f t="shared" si="36"/>
        <v>0.23069999999999999</v>
      </c>
      <c r="AD231">
        <f t="shared" si="37"/>
        <v>1</v>
      </c>
      <c r="AE231">
        <f t="shared" si="38"/>
        <v>2024</v>
      </c>
      <c r="AF231" t="str">
        <f t="shared" si="39"/>
        <v>CLEAN</v>
      </c>
    </row>
    <row r="232" spans="1:32">
      <c r="A232" t="s">
        <v>1355</v>
      </c>
      <c r="B232" s="10">
        <v>45605</v>
      </c>
      <c r="C232" s="10">
        <v>45613</v>
      </c>
      <c r="D232">
        <f t="shared" si="30"/>
        <v>8</v>
      </c>
      <c r="E232" t="str">
        <f t="shared" si="31"/>
        <v>OK</v>
      </c>
      <c r="F232" t="s">
        <v>1356</v>
      </c>
      <c r="G232" t="s">
        <v>131</v>
      </c>
      <c r="H232" t="s">
        <v>89</v>
      </c>
      <c r="I232" t="s">
        <v>37</v>
      </c>
      <c r="J232" t="s">
        <v>38</v>
      </c>
      <c r="K232" t="s">
        <v>39</v>
      </c>
      <c r="L232" t="s">
        <v>73</v>
      </c>
      <c r="M232" t="s">
        <v>79</v>
      </c>
      <c r="N232" t="s">
        <v>1357</v>
      </c>
      <c r="O232" t="s">
        <v>58</v>
      </c>
      <c r="P232">
        <v>6</v>
      </c>
      <c r="Q232">
        <v>3660.4</v>
      </c>
      <c r="R232">
        <v>0</v>
      </c>
      <c r="S232" t="str">
        <f t="shared" si="32"/>
        <v>OK</v>
      </c>
      <c r="T232">
        <v>21962.400000000001</v>
      </c>
      <c r="U232">
        <v>15331.99</v>
      </c>
      <c r="V232">
        <v>6630.41</v>
      </c>
      <c r="W232" t="s">
        <v>154</v>
      </c>
      <c r="X232" t="s">
        <v>67</v>
      </c>
      <c r="Y232" t="str">
        <f>IF(COUNTIF($A$2:$A$901,A232)&gt;1,
  IF(COUNTIF($A$2:A232,A232)=1,
    " ORIGINAL",
    "CONFLICTING DUPLICATE - REVIEW"),
"OK")</f>
        <v>OK</v>
      </c>
      <c r="Z232">
        <f t="shared" si="33"/>
        <v>0</v>
      </c>
      <c r="AA232">
        <f t="shared" si="34"/>
        <v>21962.400000000001</v>
      </c>
      <c r="AB232">
        <f t="shared" si="35"/>
        <v>6630.41</v>
      </c>
      <c r="AC232">
        <f t="shared" si="36"/>
        <v>0.3019</v>
      </c>
      <c r="AD232">
        <f t="shared" si="37"/>
        <v>11</v>
      </c>
      <c r="AE232">
        <f t="shared" si="38"/>
        <v>2024</v>
      </c>
      <c r="AF232" t="str">
        <f t="shared" si="39"/>
        <v>INVALID</v>
      </c>
    </row>
    <row r="233" spans="1:32">
      <c r="A233" t="s">
        <v>1370</v>
      </c>
      <c r="B233" s="10">
        <v>45342</v>
      </c>
      <c r="C233" s="10">
        <v>45349</v>
      </c>
      <c r="D233">
        <f t="shared" si="30"/>
        <v>7</v>
      </c>
      <c r="E233" t="str">
        <f t="shared" si="31"/>
        <v>OK</v>
      </c>
      <c r="F233" t="s">
        <v>1371</v>
      </c>
      <c r="G233" t="s">
        <v>161</v>
      </c>
      <c r="H233" t="s">
        <v>23</v>
      </c>
      <c r="I233" t="s">
        <v>53</v>
      </c>
      <c r="J233" t="s">
        <v>184</v>
      </c>
      <c r="K233" t="s">
        <v>185</v>
      </c>
      <c r="L233" t="s">
        <v>73</v>
      </c>
      <c r="M233" t="s">
        <v>74</v>
      </c>
      <c r="N233" t="s">
        <v>1372</v>
      </c>
      <c r="O233" t="s">
        <v>49</v>
      </c>
      <c r="P233">
        <v>9</v>
      </c>
      <c r="Q233">
        <v>3779.31</v>
      </c>
      <c r="R233">
        <v>0.2</v>
      </c>
      <c r="S233" t="str">
        <f t="shared" si="32"/>
        <v>OK</v>
      </c>
      <c r="T233">
        <v>27211.03</v>
      </c>
      <c r="U233">
        <v>17940.43</v>
      </c>
      <c r="V233">
        <v>9270.6</v>
      </c>
      <c r="W233" t="s">
        <v>31</v>
      </c>
      <c r="X233" t="s">
        <v>32</v>
      </c>
      <c r="Y233" t="str">
        <f>IF(COUNTIF($A$2:$A$901,A233)&gt;1,
  IF(COUNTIF($A$2:A233,A233)=1,
    " ORIGINAL",
    "CONFLICTING DUPLICATE - REVIEW"),
"OK")</f>
        <v xml:space="preserve"> ORIGINAL</v>
      </c>
      <c r="Z233">
        <f t="shared" si="33"/>
        <v>0.2</v>
      </c>
      <c r="AA233">
        <f t="shared" si="34"/>
        <v>27211.03</v>
      </c>
      <c r="AB233">
        <f t="shared" si="35"/>
        <v>9270.6</v>
      </c>
      <c r="AC233">
        <f t="shared" si="36"/>
        <v>0.3407</v>
      </c>
      <c r="AD233">
        <f t="shared" si="37"/>
        <v>2</v>
      </c>
      <c r="AE233">
        <f t="shared" si="38"/>
        <v>2024</v>
      </c>
      <c r="AF233" t="str">
        <f t="shared" si="39"/>
        <v>CLEAN</v>
      </c>
    </row>
    <row r="234" spans="1:32">
      <c r="A234" t="s">
        <v>1370</v>
      </c>
      <c r="B234" s="10">
        <v>45342</v>
      </c>
      <c r="C234" s="10">
        <v>45349</v>
      </c>
      <c r="D234">
        <f t="shared" si="30"/>
        <v>7</v>
      </c>
      <c r="E234" t="str">
        <f t="shared" si="31"/>
        <v>OK</v>
      </c>
      <c r="F234" t="s">
        <v>1371</v>
      </c>
      <c r="G234" t="s">
        <v>161</v>
      </c>
      <c r="H234" t="s">
        <v>23</v>
      </c>
      <c r="I234" t="s">
        <v>53</v>
      </c>
      <c r="J234" t="s">
        <v>184</v>
      </c>
      <c r="K234" t="s">
        <v>185</v>
      </c>
      <c r="L234" t="s">
        <v>73</v>
      </c>
      <c r="M234" t="s">
        <v>74</v>
      </c>
      <c r="N234" t="s">
        <v>1372</v>
      </c>
      <c r="O234" t="s">
        <v>49</v>
      </c>
      <c r="P234">
        <v>9</v>
      </c>
      <c r="Q234">
        <v>3779.31</v>
      </c>
      <c r="R234">
        <v>0.2</v>
      </c>
      <c r="S234" t="str">
        <f t="shared" si="32"/>
        <v>OK</v>
      </c>
      <c r="T234">
        <v>27322.9</v>
      </c>
      <c r="U234">
        <v>17940.43</v>
      </c>
      <c r="V234">
        <v>9270.6</v>
      </c>
      <c r="W234" t="s">
        <v>31</v>
      </c>
      <c r="X234" t="s">
        <v>102</v>
      </c>
      <c r="Y234" t="str">
        <f>IF(COUNTIF($A$2:$A$901,A234)&gt;1,
  IF(COUNTIF($A$2:A234,A234)=1,
    " ORIGINAL",
    "CONFLICTING DUPLICATE - REVIEW"),
"OK")</f>
        <v>CONFLICTING DUPLICATE - REVIEW</v>
      </c>
      <c r="Z234">
        <f t="shared" si="33"/>
        <v>0.2</v>
      </c>
      <c r="AA234">
        <f t="shared" si="34"/>
        <v>27211.03</v>
      </c>
      <c r="AB234">
        <f t="shared" si="35"/>
        <v>9270.6</v>
      </c>
      <c r="AC234">
        <f t="shared" si="36"/>
        <v>0.3407</v>
      </c>
      <c r="AD234">
        <f t="shared" si="37"/>
        <v>2</v>
      </c>
      <c r="AE234">
        <f t="shared" si="38"/>
        <v>2024</v>
      </c>
      <c r="AF234" t="str">
        <f t="shared" si="39"/>
        <v>CLEAN</v>
      </c>
    </row>
    <row r="235" spans="1:32">
      <c r="A235" t="s">
        <v>1373</v>
      </c>
      <c r="B235" s="10">
        <v>45469</v>
      </c>
      <c r="C235" s="10">
        <v>45472</v>
      </c>
      <c r="D235">
        <f t="shared" si="30"/>
        <v>3</v>
      </c>
      <c r="E235" t="str">
        <f t="shared" si="31"/>
        <v>OK</v>
      </c>
      <c r="F235" t="s">
        <v>1374</v>
      </c>
      <c r="G235" t="s">
        <v>78</v>
      </c>
      <c r="H235" t="s">
        <v>89</v>
      </c>
      <c r="I235" t="s">
        <v>24</v>
      </c>
      <c r="J235" t="s">
        <v>121</v>
      </c>
      <c r="K235" t="s">
        <v>122</v>
      </c>
      <c r="L235" t="s">
        <v>73</v>
      </c>
      <c r="M235" t="s">
        <v>170</v>
      </c>
      <c r="N235" t="s">
        <v>1375</v>
      </c>
      <c r="O235" t="s">
        <v>58</v>
      </c>
      <c r="P235">
        <v>8</v>
      </c>
      <c r="Q235">
        <v>804.52</v>
      </c>
      <c r="R235">
        <v>0</v>
      </c>
      <c r="S235" t="str">
        <f t="shared" si="32"/>
        <v>OK</v>
      </c>
      <c r="T235">
        <v>6436.16</v>
      </c>
      <c r="U235">
        <v>4263.83</v>
      </c>
      <c r="V235">
        <v>2172.33</v>
      </c>
      <c r="W235" t="s">
        <v>31</v>
      </c>
      <c r="X235" t="s">
        <v>32</v>
      </c>
      <c r="Y235" t="str">
        <f>IF(COUNTIF($A$2:$A$901,A235)&gt;1,
  IF(COUNTIF($A$2:A235,A235)=1,
    " ORIGINAL",
    "CONFLICTING DUPLICATE - REVIEW"),
"OK")</f>
        <v>OK</v>
      </c>
      <c r="Z235">
        <f t="shared" si="33"/>
        <v>0</v>
      </c>
      <c r="AA235">
        <f t="shared" si="34"/>
        <v>6436.16</v>
      </c>
      <c r="AB235">
        <f t="shared" si="35"/>
        <v>2172.33</v>
      </c>
      <c r="AC235">
        <f t="shared" si="36"/>
        <v>0.33750000000000002</v>
      </c>
      <c r="AD235">
        <f t="shared" si="37"/>
        <v>6</v>
      </c>
      <c r="AE235">
        <f t="shared" si="38"/>
        <v>2024</v>
      </c>
      <c r="AF235" t="str">
        <f t="shared" si="39"/>
        <v>CLEAN</v>
      </c>
    </row>
    <row r="236" spans="1:32">
      <c r="A236" t="s">
        <v>1376</v>
      </c>
      <c r="B236" s="10">
        <v>45561</v>
      </c>
      <c r="C236" s="10">
        <v>45562</v>
      </c>
      <c r="D236">
        <f t="shared" si="30"/>
        <v>1</v>
      </c>
      <c r="E236" t="str">
        <f t="shared" si="31"/>
        <v>OK</v>
      </c>
      <c r="F236" t="s">
        <v>1377</v>
      </c>
      <c r="G236" t="s">
        <v>46</v>
      </c>
      <c r="H236" t="s">
        <v>94</v>
      </c>
      <c r="I236" t="s">
        <v>24</v>
      </c>
      <c r="J236" t="s">
        <v>349</v>
      </c>
      <c r="K236" t="s">
        <v>350</v>
      </c>
      <c r="L236" t="s">
        <v>27</v>
      </c>
      <c r="M236" t="s">
        <v>90</v>
      </c>
      <c r="N236" t="s">
        <v>1378</v>
      </c>
      <c r="O236" t="s">
        <v>49</v>
      </c>
      <c r="P236">
        <v>2</v>
      </c>
      <c r="Q236">
        <v>1065.69</v>
      </c>
      <c r="R236">
        <v>0.1</v>
      </c>
      <c r="S236" t="str">
        <f t="shared" si="32"/>
        <v>OK</v>
      </c>
      <c r="T236">
        <v>1918.24</v>
      </c>
      <c r="U236">
        <v>1373.52</v>
      </c>
      <c r="V236">
        <v>544.72</v>
      </c>
      <c r="W236" t="s">
        <v>101</v>
      </c>
      <c r="X236" t="s">
        <v>67</v>
      </c>
      <c r="Y236" t="str">
        <f>IF(COUNTIF($A$2:$A$901,A236)&gt;1,
  IF(COUNTIF($A$2:A236,A236)=1,
    " ORIGINAL",
    "CONFLICTING DUPLICATE - REVIEW"),
"OK")</f>
        <v>OK</v>
      </c>
      <c r="Z236">
        <f t="shared" si="33"/>
        <v>0.1</v>
      </c>
      <c r="AA236">
        <f t="shared" si="34"/>
        <v>1918.24</v>
      </c>
      <c r="AB236">
        <f t="shared" si="35"/>
        <v>544.72</v>
      </c>
      <c r="AC236">
        <f t="shared" si="36"/>
        <v>0.28399999999999997</v>
      </c>
      <c r="AD236">
        <f t="shared" si="37"/>
        <v>9</v>
      </c>
      <c r="AE236">
        <f t="shared" si="38"/>
        <v>2024</v>
      </c>
      <c r="AF236" t="str">
        <f t="shared" si="39"/>
        <v>CLEAN</v>
      </c>
    </row>
    <row r="237" spans="1:32">
      <c r="A237" t="s">
        <v>1379</v>
      </c>
      <c r="B237" s="10">
        <v>45473</v>
      </c>
      <c r="C237" s="10">
        <v>45298</v>
      </c>
      <c r="D237">
        <f t="shared" si="30"/>
        <v>-175</v>
      </c>
      <c r="E237" t="str">
        <f t="shared" si="31"/>
        <v>INVALID</v>
      </c>
      <c r="F237" t="s">
        <v>1380</v>
      </c>
      <c r="G237" t="s">
        <v>88</v>
      </c>
      <c r="H237" t="s">
        <v>23</v>
      </c>
      <c r="I237" t="s">
        <v>24</v>
      </c>
      <c r="J237" t="s">
        <v>235</v>
      </c>
      <c r="K237" t="s">
        <v>236</v>
      </c>
      <c r="L237" t="s">
        <v>73</v>
      </c>
      <c r="M237" t="s">
        <v>79</v>
      </c>
      <c r="N237" t="s">
        <v>1381</v>
      </c>
      <c r="O237" t="s">
        <v>43</v>
      </c>
      <c r="P237">
        <v>8</v>
      </c>
      <c r="Q237">
        <v>3756.66</v>
      </c>
      <c r="R237">
        <v>0.1</v>
      </c>
      <c r="S237" t="str">
        <f t="shared" si="32"/>
        <v>OK</v>
      </c>
      <c r="T237">
        <v>27047.95</v>
      </c>
      <c r="U237">
        <v>18431.330000000002</v>
      </c>
      <c r="V237">
        <v>8616.6200000000008</v>
      </c>
      <c r="W237" t="s">
        <v>31</v>
      </c>
      <c r="X237" t="s">
        <v>32</v>
      </c>
      <c r="Y237" t="str">
        <f>IF(COUNTIF($A$2:$A$901,A237)&gt;1,
  IF(COUNTIF($A$2:A237,A237)=1,
    " ORIGINAL",
    "CONFLICTING DUPLICATE - REVIEW"),
"OK")</f>
        <v>OK</v>
      </c>
      <c r="Z237">
        <f t="shared" si="33"/>
        <v>0.1</v>
      </c>
      <c r="AA237">
        <f t="shared" si="34"/>
        <v>27047.95</v>
      </c>
      <c r="AB237">
        <f t="shared" si="35"/>
        <v>8616.6200000000008</v>
      </c>
      <c r="AC237">
        <f t="shared" si="36"/>
        <v>0.31859999999999999</v>
      </c>
      <c r="AD237">
        <f t="shared" si="37"/>
        <v>6</v>
      </c>
      <c r="AE237">
        <f t="shared" si="38"/>
        <v>2024</v>
      </c>
      <c r="AF237" t="str">
        <f t="shared" si="39"/>
        <v>INVALID</v>
      </c>
    </row>
    <row r="238" spans="1:32">
      <c r="A238" t="s">
        <v>1391</v>
      </c>
      <c r="B238" s="10">
        <v>45534</v>
      </c>
      <c r="C238" s="10">
        <v>45331</v>
      </c>
      <c r="D238">
        <f t="shared" si="30"/>
        <v>-203</v>
      </c>
      <c r="E238" t="str">
        <f t="shared" si="31"/>
        <v>INVALID</v>
      </c>
      <c r="F238" t="s">
        <v>1392</v>
      </c>
      <c r="G238" t="s">
        <v>78</v>
      </c>
      <c r="H238" t="s">
        <v>36</v>
      </c>
      <c r="I238" t="s">
        <v>24</v>
      </c>
      <c r="J238" t="s">
        <v>235</v>
      </c>
      <c r="K238" t="s">
        <v>236</v>
      </c>
      <c r="L238" t="s">
        <v>27</v>
      </c>
      <c r="M238" t="s">
        <v>28</v>
      </c>
      <c r="N238" t="s">
        <v>1393</v>
      </c>
      <c r="O238" t="s">
        <v>30</v>
      </c>
      <c r="P238">
        <v>1</v>
      </c>
      <c r="Q238">
        <v>4320.84</v>
      </c>
      <c r="R238">
        <v>0.15</v>
      </c>
      <c r="S238" t="str">
        <f t="shared" si="32"/>
        <v>OK</v>
      </c>
      <c r="T238">
        <v>3672.71</v>
      </c>
      <c r="U238">
        <v>2714.23</v>
      </c>
      <c r="V238">
        <v>763.38</v>
      </c>
      <c r="W238" t="s">
        <v>31</v>
      </c>
      <c r="X238" t="s">
        <v>32</v>
      </c>
      <c r="Y238" t="str">
        <f>IF(COUNTIF($A$2:$A$901,A238)&gt;1,
  IF(COUNTIF($A$2:A238,A238)=1,
    " ORIGINAL",
    "CONFLICTING DUPLICATE - REVIEW"),
"OK")</f>
        <v>OK</v>
      </c>
      <c r="Z238">
        <f t="shared" si="33"/>
        <v>0.15</v>
      </c>
      <c r="AA238">
        <f t="shared" si="34"/>
        <v>3672.71</v>
      </c>
      <c r="AB238">
        <f t="shared" si="35"/>
        <v>958.48</v>
      </c>
      <c r="AC238">
        <f t="shared" si="36"/>
        <v>0.26100000000000001</v>
      </c>
      <c r="AD238">
        <f t="shared" si="37"/>
        <v>8</v>
      </c>
      <c r="AE238">
        <f t="shared" si="38"/>
        <v>2024</v>
      </c>
      <c r="AF238" t="str">
        <f t="shared" si="39"/>
        <v>INVALID</v>
      </c>
    </row>
    <row r="239" spans="1:32">
      <c r="A239" t="s">
        <v>1394</v>
      </c>
      <c r="B239" s="10">
        <v>45332</v>
      </c>
      <c r="C239" s="10">
        <v>45335</v>
      </c>
      <c r="D239">
        <f t="shared" si="30"/>
        <v>3</v>
      </c>
      <c r="E239" t="str">
        <f t="shared" si="31"/>
        <v>OK</v>
      </c>
      <c r="F239" t="s">
        <v>1395</v>
      </c>
      <c r="G239" t="s">
        <v>22</v>
      </c>
      <c r="H239" t="s">
        <v>94</v>
      </c>
      <c r="I239" t="s">
        <v>62</v>
      </c>
      <c r="J239" t="s">
        <v>189</v>
      </c>
      <c r="K239" t="s">
        <v>190</v>
      </c>
      <c r="L239" t="s">
        <v>73</v>
      </c>
      <c r="M239" t="s">
        <v>273</v>
      </c>
      <c r="N239" t="s">
        <v>1396</v>
      </c>
      <c r="O239" t="s">
        <v>43</v>
      </c>
      <c r="P239">
        <v>2</v>
      </c>
      <c r="Q239">
        <v>4118.45</v>
      </c>
      <c r="R239">
        <v>0.25</v>
      </c>
      <c r="S239" t="str">
        <f t="shared" si="32"/>
        <v>OK</v>
      </c>
      <c r="T239">
        <v>6177.67</v>
      </c>
      <c r="U239">
        <v>4520.75</v>
      </c>
      <c r="V239">
        <v>1656.92</v>
      </c>
      <c r="W239" t="s">
        <v>31</v>
      </c>
      <c r="X239" t="s">
        <v>32</v>
      </c>
      <c r="Y239" t="str">
        <f>IF(COUNTIF($A$2:$A$901,A239)&gt;1,
  IF(COUNTIF($A$2:A239,A239)=1,
    " ORIGINAL",
    "CONFLICTING DUPLICATE - REVIEW"),
"OK")</f>
        <v>OK</v>
      </c>
      <c r="Z239">
        <f t="shared" si="33"/>
        <v>0.25</v>
      </c>
      <c r="AA239">
        <f t="shared" si="34"/>
        <v>6177.68</v>
      </c>
      <c r="AB239">
        <f t="shared" si="35"/>
        <v>1656.93</v>
      </c>
      <c r="AC239">
        <f t="shared" si="36"/>
        <v>0.26819999999999999</v>
      </c>
      <c r="AD239">
        <f t="shared" si="37"/>
        <v>2</v>
      </c>
      <c r="AE239">
        <f t="shared" si="38"/>
        <v>2024</v>
      </c>
      <c r="AF239" t="str">
        <f t="shared" si="39"/>
        <v>CLEAN</v>
      </c>
    </row>
    <row r="240" spans="1:32">
      <c r="A240" t="s">
        <v>1397</v>
      </c>
      <c r="B240" s="10">
        <v>45533</v>
      </c>
      <c r="C240" s="10">
        <v>45331</v>
      </c>
      <c r="D240">
        <f t="shared" si="30"/>
        <v>-202</v>
      </c>
      <c r="E240" t="str">
        <f t="shared" si="31"/>
        <v>INVALID</v>
      </c>
      <c r="F240" t="s">
        <v>1398</v>
      </c>
      <c r="G240" t="s">
        <v>113</v>
      </c>
      <c r="H240" t="s">
        <v>36</v>
      </c>
      <c r="I240" t="s">
        <v>62</v>
      </c>
      <c r="J240" t="s">
        <v>63</v>
      </c>
      <c r="K240" t="s">
        <v>64</v>
      </c>
      <c r="L240" t="s">
        <v>40</v>
      </c>
      <c r="M240" t="s">
        <v>157</v>
      </c>
      <c r="N240" t="s">
        <v>1399</v>
      </c>
      <c r="O240" t="s">
        <v>58</v>
      </c>
      <c r="P240">
        <v>6</v>
      </c>
      <c r="Q240">
        <v>172.82</v>
      </c>
      <c r="R240">
        <v>0.05</v>
      </c>
      <c r="S240" t="str">
        <f t="shared" si="32"/>
        <v>OK</v>
      </c>
      <c r="T240">
        <v>985.07</v>
      </c>
      <c r="U240">
        <v>844.48</v>
      </c>
      <c r="V240">
        <v>140.59</v>
      </c>
      <c r="W240" t="s">
        <v>31</v>
      </c>
      <c r="X240" t="s">
        <v>32</v>
      </c>
      <c r="Y240" t="str">
        <f>IF(COUNTIF($A$2:$A$901,A240)&gt;1,
  IF(COUNTIF($A$2:A240,A240)=1,
    " ORIGINAL",
    "CONFLICTING DUPLICATE - REVIEW"),
"OK")</f>
        <v>OK</v>
      </c>
      <c r="Z240">
        <f t="shared" si="33"/>
        <v>0.05</v>
      </c>
      <c r="AA240">
        <f t="shared" si="34"/>
        <v>985.07</v>
      </c>
      <c r="AB240">
        <f t="shared" si="35"/>
        <v>140.59</v>
      </c>
      <c r="AC240">
        <f t="shared" si="36"/>
        <v>0.14269999999999999</v>
      </c>
      <c r="AD240">
        <f t="shared" si="37"/>
        <v>8</v>
      </c>
      <c r="AE240">
        <f t="shared" si="38"/>
        <v>2024</v>
      </c>
      <c r="AF240" t="str">
        <f t="shared" si="39"/>
        <v>INVALID</v>
      </c>
    </row>
    <row r="241" spans="1:32">
      <c r="A241" t="s">
        <v>1400</v>
      </c>
      <c r="B241" s="10">
        <v>45401</v>
      </c>
      <c r="C241" s="10">
        <v>45402</v>
      </c>
      <c r="D241">
        <f t="shared" si="30"/>
        <v>1</v>
      </c>
      <c r="E241" t="str">
        <f t="shared" si="31"/>
        <v>OK</v>
      </c>
      <c r="F241" t="s">
        <v>1401</v>
      </c>
      <c r="G241" t="s">
        <v>113</v>
      </c>
      <c r="H241" t="s">
        <v>89</v>
      </c>
      <c r="I241" t="s">
        <v>53</v>
      </c>
      <c r="J241" t="s">
        <v>184</v>
      </c>
      <c r="K241" t="s">
        <v>185</v>
      </c>
      <c r="L241" t="s">
        <v>27</v>
      </c>
      <c r="M241" t="s">
        <v>47</v>
      </c>
      <c r="N241" t="s">
        <v>1402</v>
      </c>
      <c r="O241" t="s">
        <v>30</v>
      </c>
      <c r="P241">
        <v>4</v>
      </c>
      <c r="Q241">
        <v>1540.22</v>
      </c>
      <c r="R241">
        <v>0</v>
      </c>
      <c r="S241" t="str">
        <f t="shared" si="32"/>
        <v>OK</v>
      </c>
      <c r="T241">
        <v>6160.88</v>
      </c>
      <c r="U241">
        <v>4938.7</v>
      </c>
      <c r="V241">
        <v>1222.18</v>
      </c>
      <c r="W241" t="s">
        <v>101</v>
      </c>
      <c r="X241" t="s">
        <v>102</v>
      </c>
      <c r="Y241" t="str">
        <f>IF(COUNTIF($A$2:$A$901,A241)&gt;1,
  IF(COUNTIF($A$2:A241,A241)=1,
    " ORIGINAL",
    "CONFLICTING DUPLICATE - REVIEW"),
"OK")</f>
        <v>OK</v>
      </c>
      <c r="Z241">
        <f t="shared" si="33"/>
        <v>0</v>
      </c>
      <c r="AA241">
        <f t="shared" si="34"/>
        <v>6160.88</v>
      </c>
      <c r="AB241">
        <f t="shared" si="35"/>
        <v>1222.18</v>
      </c>
      <c r="AC241">
        <f t="shared" si="36"/>
        <v>0.19839999999999999</v>
      </c>
      <c r="AD241">
        <f t="shared" si="37"/>
        <v>4</v>
      </c>
      <c r="AE241">
        <f t="shared" si="38"/>
        <v>2024</v>
      </c>
      <c r="AF241" t="str">
        <f t="shared" si="39"/>
        <v>CLEAN</v>
      </c>
    </row>
    <row r="242" spans="1:32">
      <c r="A242" t="s">
        <v>1409</v>
      </c>
      <c r="B242" s="10">
        <v>45459</v>
      </c>
      <c r="C242" s="10">
        <v>45464</v>
      </c>
      <c r="D242">
        <f t="shared" si="30"/>
        <v>5</v>
      </c>
      <c r="E242" t="str">
        <f t="shared" si="31"/>
        <v>OK</v>
      </c>
      <c r="F242" t="s">
        <v>1410</v>
      </c>
      <c r="G242" t="s">
        <v>78</v>
      </c>
      <c r="H242" t="s">
        <v>23</v>
      </c>
      <c r="I242" t="s">
        <v>53</v>
      </c>
      <c r="J242" t="s">
        <v>184</v>
      </c>
      <c r="K242" t="s">
        <v>185</v>
      </c>
      <c r="L242" t="s">
        <v>40</v>
      </c>
      <c r="M242" t="s">
        <v>56</v>
      </c>
      <c r="N242" t="s">
        <v>1411</v>
      </c>
      <c r="O242" t="s">
        <v>43</v>
      </c>
      <c r="P242">
        <v>6</v>
      </c>
      <c r="Q242">
        <v>1156.78</v>
      </c>
      <c r="R242">
        <v>0.05</v>
      </c>
      <c r="S242" t="str">
        <f t="shared" si="32"/>
        <v>OK</v>
      </c>
      <c r="T242">
        <v>6593.65</v>
      </c>
      <c r="U242">
        <v>4359.3900000000003</v>
      </c>
      <c r="V242">
        <v>2234.2600000000002</v>
      </c>
      <c r="W242" t="s">
        <v>31</v>
      </c>
      <c r="X242" t="s">
        <v>102</v>
      </c>
      <c r="Y242" t="str">
        <f>IF(COUNTIF($A$2:$A$901,A242)&gt;1,
  IF(COUNTIF($A$2:A242,A242)=1,
    " ORIGINAL",
    "CONFLICTING DUPLICATE - REVIEW"),
"OK")</f>
        <v>OK</v>
      </c>
      <c r="Z242">
        <f t="shared" si="33"/>
        <v>0.05</v>
      </c>
      <c r="AA242">
        <f t="shared" si="34"/>
        <v>6593.65</v>
      </c>
      <c r="AB242">
        <f t="shared" si="35"/>
        <v>2234.2600000000002</v>
      </c>
      <c r="AC242">
        <f t="shared" si="36"/>
        <v>0.33889999999999998</v>
      </c>
      <c r="AD242">
        <f t="shared" si="37"/>
        <v>6</v>
      </c>
      <c r="AE242">
        <f t="shared" si="38"/>
        <v>2024</v>
      </c>
      <c r="AF242" t="str">
        <f t="shared" si="39"/>
        <v>CLEAN</v>
      </c>
    </row>
    <row r="243" spans="1:32">
      <c r="A243" t="s">
        <v>1412</v>
      </c>
      <c r="B243" s="10">
        <v>45337</v>
      </c>
      <c r="C243" s="10">
        <v>45340</v>
      </c>
      <c r="D243">
        <f t="shared" si="30"/>
        <v>3</v>
      </c>
      <c r="E243" t="str">
        <f t="shared" si="31"/>
        <v>OK</v>
      </c>
      <c r="F243" t="s">
        <v>1413</v>
      </c>
      <c r="G243" t="s">
        <v>88</v>
      </c>
      <c r="H243" t="s">
        <v>36</v>
      </c>
      <c r="I243" t="s">
        <v>53</v>
      </c>
      <c r="J243" t="s">
        <v>184</v>
      </c>
      <c r="K243" t="s">
        <v>185</v>
      </c>
      <c r="L243" t="s">
        <v>73</v>
      </c>
      <c r="M243" t="s">
        <v>74</v>
      </c>
      <c r="N243" t="s">
        <v>1414</v>
      </c>
      <c r="O243" t="s">
        <v>43</v>
      </c>
      <c r="P243">
        <v>8</v>
      </c>
      <c r="Q243">
        <v>379.82</v>
      </c>
      <c r="R243">
        <v>0.05</v>
      </c>
      <c r="S243" t="str">
        <f t="shared" si="32"/>
        <v>OK</v>
      </c>
      <c r="T243">
        <v>2886.63</v>
      </c>
      <c r="U243">
        <v>1588.23</v>
      </c>
      <c r="V243">
        <v>1298.4000000000001</v>
      </c>
      <c r="W243" t="s">
        <v>154</v>
      </c>
      <c r="X243" t="s">
        <v>102</v>
      </c>
      <c r="Y243" t="str">
        <f>IF(COUNTIF($A$2:$A$901,A243)&gt;1,
  IF(COUNTIF($A$2:A243,A243)=1,
    " ORIGINAL",
    "CONFLICTING DUPLICATE - REVIEW"),
"OK")</f>
        <v>OK</v>
      </c>
      <c r="Z243">
        <f t="shared" si="33"/>
        <v>0.05</v>
      </c>
      <c r="AA243">
        <f t="shared" si="34"/>
        <v>2886.63</v>
      </c>
      <c r="AB243">
        <f t="shared" si="35"/>
        <v>1298.4000000000001</v>
      </c>
      <c r="AC243">
        <f t="shared" si="36"/>
        <v>0.44979999999999998</v>
      </c>
      <c r="AD243">
        <f t="shared" si="37"/>
        <v>2</v>
      </c>
      <c r="AE243">
        <f t="shared" si="38"/>
        <v>2024</v>
      </c>
      <c r="AF243" t="str">
        <f t="shared" si="39"/>
        <v>INVALID</v>
      </c>
    </row>
    <row r="244" spans="1:32">
      <c r="A244" t="s">
        <v>1421</v>
      </c>
      <c r="B244" s="10">
        <v>45384</v>
      </c>
      <c r="C244" s="10">
        <v>45390</v>
      </c>
      <c r="D244">
        <f t="shared" si="30"/>
        <v>6</v>
      </c>
      <c r="E244" t="str">
        <f t="shared" si="31"/>
        <v>OK</v>
      </c>
      <c r="F244" t="s">
        <v>269</v>
      </c>
      <c r="G244" t="s">
        <v>70</v>
      </c>
      <c r="H244" t="s">
        <v>89</v>
      </c>
      <c r="I244" t="s">
        <v>37</v>
      </c>
      <c r="J244" t="s">
        <v>38</v>
      </c>
      <c r="K244" t="s">
        <v>39</v>
      </c>
      <c r="L244" t="s">
        <v>73</v>
      </c>
      <c r="M244" t="s">
        <v>273</v>
      </c>
      <c r="N244" t="s">
        <v>1422</v>
      </c>
      <c r="O244" t="s">
        <v>30</v>
      </c>
      <c r="P244">
        <v>6</v>
      </c>
      <c r="Q244">
        <v>3722.84</v>
      </c>
      <c r="R244">
        <v>0.2</v>
      </c>
      <c r="S244" t="str">
        <f t="shared" si="32"/>
        <v>OK</v>
      </c>
      <c r="T244">
        <v>17869.63</v>
      </c>
      <c r="U244">
        <v>12163.8</v>
      </c>
      <c r="V244">
        <v>5705.83</v>
      </c>
      <c r="W244" t="s">
        <v>31</v>
      </c>
      <c r="X244" t="s">
        <v>32</v>
      </c>
      <c r="Y244" t="str">
        <f>IF(COUNTIF($A$2:$A$901,A244)&gt;1,
  IF(COUNTIF($A$2:A244,A244)=1,
    " ORIGINAL",
    "CONFLICTING DUPLICATE - REVIEW"),
"OK")</f>
        <v>OK</v>
      </c>
      <c r="Z244">
        <f t="shared" si="33"/>
        <v>0.2</v>
      </c>
      <c r="AA244">
        <f t="shared" si="34"/>
        <v>17869.63</v>
      </c>
      <c r="AB244">
        <f t="shared" si="35"/>
        <v>5705.83</v>
      </c>
      <c r="AC244">
        <f t="shared" si="36"/>
        <v>0.31929999999999997</v>
      </c>
      <c r="AD244">
        <f t="shared" si="37"/>
        <v>4</v>
      </c>
      <c r="AE244">
        <f t="shared" si="38"/>
        <v>2024</v>
      </c>
      <c r="AF244" t="str">
        <f t="shared" si="39"/>
        <v>CLEAN</v>
      </c>
    </row>
    <row r="245" spans="1:32">
      <c r="A245" t="s">
        <v>1423</v>
      </c>
      <c r="B245" s="10">
        <v>45361</v>
      </c>
      <c r="C245" s="10">
        <v>45568</v>
      </c>
      <c r="D245">
        <f t="shared" si="30"/>
        <v>207</v>
      </c>
      <c r="E245" t="str">
        <f t="shared" si="31"/>
        <v>OK</v>
      </c>
      <c r="F245" t="s">
        <v>1424</v>
      </c>
      <c r="G245" t="s">
        <v>22</v>
      </c>
      <c r="H245" t="s">
        <v>23</v>
      </c>
      <c r="I245" t="s">
        <v>37</v>
      </c>
      <c r="J245" t="s">
        <v>144</v>
      </c>
      <c r="K245" t="s">
        <v>145</v>
      </c>
      <c r="L245" t="s">
        <v>40</v>
      </c>
      <c r="M245" t="s">
        <v>157</v>
      </c>
      <c r="N245" t="s">
        <v>1425</v>
      </c>
      <c r="O245" t="s">
        <v>58</v>
      </c>
      <c r="P245">
        <v>6</v>
      </c>
      <c r="Q245">
        <v>4217.49</v>
      </c>
      <c r="R245">
        <v>0</v>
      </c>
      <c r="S245" t="str">
        <f t="shared" si="32"/>
        <v>OK</v>
      </c>
      <c r="T245">
        <v>25304.94</v>
      </c>
      <c r="U245">
        <v>20771.95</v>
      </c>
      <c r="V245">
        <v>4532.99</v>
      </c>
      <c r="W245" t="s">
        <v>31</v>
      </c>
      <c r="X245" t="s">
        <v>67</v>
      </c>
      <c r="Y245" t="str">
        <f>IF(COUNTIF($A$2:$A$901,A245)&gt;1,
  IF(COUNTIF($A$2:A245,A245)=1,
    " ORIGINAL",
    "CONFLICTING DUPLICATE - REVIEW"),
"OK")</f>
        <v>OK</v>
      </c>
      <c r="Z245">
        <f t="shared" si="33"/>
        <v>0</v>
      </c>
      <c r="AA245">
        <f t="shared" si="34"/>
        <v>25304.94</v>
      </c>
      <c r="AB245">
        <f t="shared" si="35"/>
        <v>4532.99</v>
      </c>
      <c r="AC245">
        <f t="shared" si="36"/>
        <v>0.17910000000000001</v>
      </c>
      <c r="AD245">
        <f t="shared" si="37"/>
        <v>3</v>
      </c>
      <c r="AE245">
        <f t="shared" si="38"/>
        <v>2024</v>
      </c>
      <c r="AF245" t="str">
        <f t="shared" si="39"/>
        <v>CLEAN</v>
      </c>
    </row>
    <row r="246" spans="1:32">
      <c r="A246" t="s">
        <v>1429</v>
      </c>
      <c r="B246" s="10">
        <v>45386</v>
      </c>
      <c r="C246" s="10">
        <v>45389</v>
      </c>
      <c r="D246">
        <f t="shared" si="30"/>
        <v>3</v>
      </c>
      <c r="E246" t="str">
        <f t="shared" si="31"/>
        <v>OK</v>
      </c>
      <c r="F246" t="s">
        <v>1430</v>
      </c>
      <c r="G246" t="s">
        <v>140</v>
      </c>
      <c r="H246" t="s">
        <v>94</v>
      </c>
      <c r="I246" t="s">
        <v>37</v>
      </c>
      <c r="J246" t="s">
        <v>38</v>
      </c>
      <c r="K246" t="s">
        <v>39</v>
      </c>
      <c r="L246" t="s">
        <v>40</v>
      </c>
      <c r="M246" t="s">
        <v>56</v>
      </c>
      <c r="N246" t="s">
        <v>1431</v>
      </c>
      <c r="O246" t="s">
        <v>49</v>
      </c>
      <c r="P246">
        <v>1</v>
      </c>
      <c r="Q246">
        <v>3683.75</v>
      </c>
      <c r="R246">
        <v>0.1</v>
      </c>
      <c r="S246" t="str">
        <f t="shared" si="32"/>
        <v>OK</v>
      </c>
      <c r="T246">
        <v>3315.38</v>
      </c>
      <c r="U246">
        <v>2347.6799999999998</v>
      </c>
      <c r="V246">
        <v>967.7</v>
      </c>
      <c r="W246" t="s">
        <v>31</v>
      </c>
      <c r="X246" t="s">
        <v>32</v>
      </c>
      <c r="Y246" t="str">
        <f>IF(COUNTIF($A$2:$A$901,A246)&gt;1,
  IF(COUNTIF($A$2:A246,A246)=1,
    " ORIGINAL",
    "CONFLICTING DUPLICATE - REVIEW"),
"OK")</f>
        <v>OK</v>
      </c>
      <c r="Z246">
        <f t="shared" si="33"/>
        <v>0.1</v>
      </c>
      <c r="AA246">
        <f t="shared" si="34"/>
        <v>3315.38</v>
      </c>
      <c r="AB246">
        <f t="shared" si="35"/>
        <v>967.7</v>
      </c>
      <c r="AC246">
        <f t="shared" si="36"/>
        <v>0.29189999999999999</v>
      </c>
      <c r="AD246">
        <f t="shared" si="37"/>
        <v>4</v>
      </c>
      <c r="AE246">
        <f t="shared" si="38"/>
        <v>2024</v>
      </c>
      <c r="AF246" t="str">
        <f t="shared" si="39"/>
        <v>CLEAN</v>
      </c>
    </row>
    <row r="247" spans="1:32">
      <c r="A247" t="s">
        <v>1435</v>
      </c>
      <c r="B247" s="10">
        <v>45421</v>
      </c>
      <c r="C247" s="10">
        <v>45417</v>
      </c>
      <c r="D247">
        <f t="shared" si="30"/>
        <v>-4</v>
      </c>
      <c r="E247" t="str">
        <f t="shared" si="31"/>
        <v>INVALID</v>
      </c>
      <c r="F247" t="s">
        <v>1436</v>
      </c>
      <c r="G247" t="s">
        <v>52</v>
      </c>
      <c r="H247" t="s">
        <v>23</v>
      </c>
      <c r="I247" t="s">
        <v>37</v>
      </c>
      <c r="J247" t="s">
        <v>165</v>
      </c>
      <c r="K247" t="s">
        <v>166</v>
      </c>
      <c r="L247" t="s">
        <v>40</v>
      </c>
      <c r="M247" t="s">
        <v>157</v>
      </c>
      <c r="N247" t="s">
        <v>1437</v>
      </c>
      <c r="O247" t="s">
        <v>43</v>
      </c>
      <c r="P247">
        <v>2</v>
      </c>
      <c r="Q247">
        <v>2111.23</v>
      </c>
      <c r="R247">
        <v>0.2</v>
      </c>
      <c r="S247" t="str">
        <f t="shared" si="32"/>
        <v>OK</v>
      </c>
      <c r="T247">
        <v>3377.97</v>
      </c>
      <c r="U247">
        <v>2496.29</v>
      </c>
      <c r="V247">
        <v>881.68</v>
      </c>
      <c r="W247" t="s">
        <v>31</v>
      </c>
      <c r="X247" t="s">
        <v>32</v>
      </c>
      <c r="Y247" t="str">
        <f>IF(COUNTIF($A$2:$A$901,A247)&gt;1,
  IF(COUNTIF($A$2:A247,A247)=1,
    " ORIGINAL",
    "CONFLICTING DUPLICATE - REVIEW"),
"OK")</f>
        <v>OK</v>
      </c>
      <c r="Z247">
        <f t="shared" si="33"/>
        <v>0.2</v>
      </c>
      <c r="AA247">
        <f t="shared" si="34"/>
        <v>3377.97</v>
      </c>
      <c r="AB247">
        <f t="shared" si="35"/>
        <v>881.68</v>
      </c>
      <c r="AC247">
        <f t="shared" si="36"/>
        <v>0.26100000000000001</v>
      </c>
      <c r="AD247">
        <f t="shared" si="37"/>
        <v>5</v>
      </c>
      <c r="AE247">
        <f t="shared" si="38"/>
        <v>2024</v>
      </c>
      <c r="AF247" t="str">
        <f t="shared" si="39"/>
        <v>INVALID</v>
      </c>
    </row>
    <row r="248" spans="1:32">
      <c r="A248" t="s">
        <v>1444</v>
      </c>
      <c r="B248" s="10">
        <v>45306</v>
      </c>
      <c r="C248" s="10">
        <v>45309</v>
      </c>
      <c r="D248">
        <f t="shared" si="30"/>
        <v>3</v>
      </c>
      <c r="E248" t="str">
        <f t="shared" si="31"/>
        <v>OK</v>
      </c>
      <c r="F248" t="s">
        <v>1445</v>
      </c>
      <c r="G248" t="s">
        <v>35</v>
      </c>
      <c r="H248" t="s">
        <v>36</v>
      </c>
      <c r="I248" t="s">
        <v>53</v>
      </c>
      <c r="J248" t="s">
        <v>83</v>
      </c>
      <c r="K248" t="s">
        <v>84</v>
      </c>
      <c r="L248" t="s">
        <v>40</v>
      </c>
      <c r="M248" t="s">
        <v>65</v>
      </c>
      <c r="N248" t="s">
        <v>1446</v>
      </c>
      <c r="O248" t="s">
        <v>49</v>
      </c>
      <c r="P248">
        <v>2</v>
      </c>
      <c r="Q248">
        <v>201.21</v>
      </c>
      <c r="R248">
        <v>0.15</v>
      </c>
      <c r="S248" t="str">
        <f t="shared" si="32"/>
        <v>OK</v>
      </c>
      <c r="T248">
        <v>342.06</v>
      </c>
      <c r="U248">
        <v>244.57</v>
      </c>
      <c r="V248">
        <v>97.49</v>
      </c>
      <c r="W248" t="s">
        <v>31</v>
      </c>
      <c r="X248" t="s">
        <v>32</v>
      </c>
      <c r="Y248" t="str">
        <f>IF(COUNTIF($A$2:$A$901,A248)&gt;1,
  IF(COUNTIF($A$2:A248,A248)=1,
    " ORIGINAL",
    "CONFLICTING DUPLICATE - REVIEW"),
"OK")</f>
        <v>OK</v>
      </c>
      <c r="Z248">
        <f t="shared" si="33"/>
        <v>0.15</v>
      </c>
      <c r="AA248">
        <f t="shared" si="34"/>
        <v>342.06</v>
      </c>
      <c r="AB248">
        <f t="shared" si="35"/>
        <v>97.49</v>
      </c>
      <c r="AC248">
        <f t="shared" si="36"/>
        <v>0.28499999999999998</v>
      </c>
      <c r="AD248">
        <f t="shared" si="37"/>
        <v>1</v>
      </c>
      <c r="AE248">
        <f t="shared" si="38"/>
        <v>2024</v>
      </c>
      <c r="AF248" t="str">
        <f t="shared" si="39"/>
        <v>CLEAN</v>
      </c>
    </row>
    <row r="249" spans="1:32">
      <c r="A249" t="s">
        <v>1447</v>
      </c>
      <c r="B249" s="10">
        <v>45449</v>
      </c>
      <c r="C249" s="10">
        <v>45456</v>
      </c>
      <c r="D249">
        <f t="shared" si="30"/>
        <v>7</v>
      </c>
      <c r="E249" t="str">
        <f t="shared" si="31"/>
        <v>OK</v>
      </c>
      <c r="F249" t="s">
        <v>1341</v>
      </c>
      <c r="G249" t="s">
        <v>88</v>
      </c>
      <c r="H249" t="s">
        <v>89</v>
      </c>
      <c r="I249" t="s">
        <v>37</v>
      </c>
      <c r="J249" t="s">
        <v>165</v>
      </c>
      <c r="K249" t="s">
        <v>166</v>
      </c>
      <c r="L249" t="s">
        <v>73</v>
      </c>
      <c r="M249" t="s">
        <v>273</v>
      </c>
      <c r="N249" t="s">
        <v>1448</v>
      </c>
      <c r="O249" t="s">
        <v>30</v>
      </c>
      <c r="P249">
        <v>6</v>
      </c>
      <c r="Q249">
        <v>3270.36</v>
      </c>
      <c r="R249">
        <v>0</v>
      </c>
      <c r="S249" t="str">
        <f t="shared" si="32"/>
        <v>OK</v>
      </c>
      <c r="T249">
        <v>19622.16</v>
      </c>
      <c r="U249">
        <v>14271.27</v>
      </c>
      <c r="V249">
        <v>5350.89</v>
      </c>
      <c r="W249" t="s">
        <v>31</v>
      </c>
      <c r="X249" t="s">
        <v>32</v>
      </c>
      <c r="Y249" t="str">
        <f>IF(COUNTIF($A$2:$A$901,A249)&gt;1,
  IF(COUNTIF($A$2:A249,A249)=1,
    " ORIGINAL",
    "CONFLICTING DUPLICATE - REVIEW"),
"OK")</f>
        <v>OK</v>
      </c>
      <c r="Z249">
        <f t="shared" si="33"/>
        <v>0</v>
      </c>
      <c r="AA249">
        <f t="shared" si="34"/>
        <v>19622.16</v>
      </c>
      <c r="AB249">
        <f t="shared" si="35"/>
        <v>5350.89</v>
      </c>
      <c r="AC249">
        <f t="shared" si="36"/>
        <v>0.2727</v>
      </c>
      <c r="AD249">
        <f t="shared" si="37"/>
        <v>6</v>
      </c>
      <c r="AE249">
        <f t="shared" si="38"/>
        <v>2024</v>
      </c>
      <c r="AF249" t="str">
        <f t="shared" si="39"/>
        <v>CLEAN</v>
      </c>
    </row>
    <row r="250" spans="1:32">
      <c r="A250" t="s">
        <v>1452</v>
      </c>
      <c r="B250" s="10">
        <v>45375</v>
      </c>
      <c r="C250" s="10">
        <v>45377</v>
      </c>
      <c r="D250">
        <f t="shared" si="30"/>
        <v>2</v>
      </c>
      <c r="E250" t="str">
        <f t="shared" si="31"/>
        <v>OK</v>
      </c>
      <c r="F250" t="s">
        <v>1453</v>
      </c>
      <c r="G250" t="s">
        <v>140</v>
      </c>
      <c r="H250" t="s">
        <v>36</v>
      </c>
      <c r="I250" t="s">
        <v>24</v>
      </c>
      <c r="J250" t="s">
        <v>235</v>
      </c>
      <c r="K250" t="s">
        <v>236</v>
      </c>
      <c r="L250" t="s">
        <v>27</v>
      </c>
      <c r="M250" t="s">
        <v>28</v>
      </c>
      <c r="N250" t="s">
        <v>1454</v>
      </c>
      <c r="O250" t="s">
        <v>30</v>
      </c>
      <c r="P250">
        <v>8</v>
      </c>
      <c r="Q250">
        <v>1917.64</v>
      </c>
      <c r="R250">
        <v>0.15</v>
      </c>
      <c r="S250" t="str">
        <f t="shared" si="32"/>
        <v>OK</v>
      </c>
      <c r="T250">
        <v>13039.95</v>
      </c>
      <c r="U250">
        <v>11127.82</v>
      </c>
      <c r="V250">
        <v>1912.13</v>
      </c>
      <c r="W250" t="s">
        <v>31</v>
      </c>
      <c r="X250" t="s">
        <v>67</v>
      </c>
      <c r="Y250" t="str">
        <f>IF(COUNTIF($A$2:$A$901,A250)&gt;1,
  IF(COUNTIF($A$2:A250,A250)=1,
    " ORIGINAL",
    "CONFLICTING DUPLICATE - REVIEW"),
"OK")</f>
        <v>OK</v>
      </c>
      <c r="Z250">
        <f t="shared" si="33"/>
        <v>0.15</v>
      </c>
      <c r="AA250">
        <f t="shared" si="34"/>
        <v>13039.95</v>
      </c>
      <c r="AB250">
        <f t="shared" si="35"/>
        <v>1912.13</v>
      </c>
      <c r="AC250">
        <f t="shared" si="36"/>
        <v>0.14660000000000001</v>
      </c>
      <c r="AD250">
        <f t="shared" si="37"/>
        <v>3</v>
      </c>
      <c r="AE250">
        <f t="shared" si="38"/>
        <v>2024</v>
      </c>
      <c r="AF250" t="str">
        <f t="shared" si="39"/>
        <v>CLEAN</v>
      </c>
    </row>
    <row r="251" spans="1:32">
      <c r="A251" t="s">
        <v>1455</v>
      </c>
      <c r="B251" s="10">
        <v>45570</v>
      </c>
      <c r="C251" s="10">
        <v>45428</v>
      </c>
      <c r="D251">
        <f t="shared" si="30"/>
        <v>-142</v>
      </c>
      <c r="E251" t="str">
        <f t="shared" si="31"/>
        <v>INVALID</v>
      </c>
      <c r="F251" t="s">
        <v>1456</v>
      </c>
      <c r="G251" t="s">
        <v>161</v>
      </c>
      <c r="H251" t="s">
        <v>94</v>
      </c>
      <c r="I251" t="s">
        <v>37</v>
      </c>
      <c r="J251" t="s">
        <v>227</v>
      </c>
      <c r="K251" t="s">
        <v>228</v>
      </c>
      <c r="L251" t="s">
        <v>73</v>
      </c>
      <c r="M251" t="s">
        <v>74</v>
      </c>
      <c r="N251" t="s">
        <v>1457</v>
      </c>
      <c r="O251" t="s">
        <v>30</v>
      </c>
      <c r="P251">
        <v>6</v>
      </c>
      <c r="Q251">
        <v>2013.33</v>
      </c>
      <c r="R251">
        <v>0.2</v>
      </c>
      <c r="S251" t="str">
        <f t="shared" si="32"/>
        <v>OK</v>
      </c>
      <c r="T251">
        <v>9663.98</v>
      </c>
      <c r="U251">
        <v>5628.93</v>
      </c>
      <c r="V251">
        <v>4035.05</v>
      </c>
      <c r="W251" t="s">
        <v>31</v>
      </c>
      <c r="X251" t="s">
        <v>32</v>
      </c>
      <c r="Y251" t="str">
        <f>IF(COUNTIF($A$2:$A$901,A251)&gt;1,
  IF(COUNTIF($A$2:A251,A251)=1,
    " ORIGINAL",
    "CONFLICTING DUPLICATE - REVIEW"),
"OK")</f>
        <v>OK</v>
      </c>
      <c r="Z251">
        <f t="shared" si="33"/>
        <v>0.2</v>
      </c>
      <c r="AA251">
        <f t="shared" si="34"/>
        <v>9663.98</v>
      </c>
      <c r="AB251">
        <f t="shared" si="35"/>
        <v>4035.05</v>
      </c>
      <c r="AC251">
        <f t="shared" si="36"/>
        <v>0.41749999999999998</v>
      </c>
      <c r="AD251">
        <f t="shared" si="37"/>
        <v>10</v>
      </c>
      <c r="AE251">
        <f t="shared" si="38"/>
        <v>2024</v>
      </c>
      <c r="AF251" t="str">
        <f t="shared" si="39"/>
        <v>INVALID</v>
      </c>
    </row>
    <row r="252" spans="1:32">
      <c r="A252" t="s">
        <v>1464</v>
      </c>
      <c r="B252" s="10">
        <v>45491</v>
      </c>
      <c r="C252" s="10">
        <v>45495</v>
      </c>
      <c r="D252">
        <f t="shared" si="30"/>
        <v>4</v>
      </c>
      <c r="E252" t="str">
        <f t="shared" si="31"/>
        <v>OK</v>
      </c>
      <c r="F252" t="s">
        <v>1465</v>
      </c>
      <c r="G252" t="s">
        <v>78</v>
      </c>
      <c r="H252" t="s">
        <v>36</v>
      </c>
      <c r="I252" t="s">
        <v>53</v>
      </c>
      <c r="J252" t="s">
        <v>54</v>
      </c>
      <c r="K252" t="s">
        <v>55</v>
      </c>
      <c r="L252" t="s">
        <v>27</v>
      </c>
      <c r="M252" t="s">
        <v>47</v>
      </c>
      <c r="N252" t="s">
        <v>1466</v>
      </c>
      <c r="O252" t="s">
        <v>58</v>
      </c>
      <c r="P252">
        <v>4</v>
      </c>
      <c r="Q252">
        <v>808.77</v>
      </c>
      <c r="R252">
        <v>0</v>
      </c>
      <c r="S252" t="str">
        <f t="shared" si="32"/>
        <v>OK</v>
      </c>
      <c r="T252">
        <v>3235.08</v>
      </c>
      <c r="U252">
        <v>1848.6</v>
      </c>
      <c r="V252">
        <v>1386.48</v>
      </c>
      <c r="W252" t="s">
        <v>31</v>
      </c>
      <c r="X252" t="s">
        <v>32</v>
      </c>
      <c r="Y252" t="str">
        <f>IF(COUNTIF($A$2:$A$901,A252)&gt;1,
  IF(COUNTIF($A$2:A252,A252)=1,
    " ORIGINAL",
    "CONFLICTING DUPLICATE - REVIEW"),
"OK")</f>
        <v>OK</v>
      </c>
      <c r="Z252">
        <f t="shared" si="33"/>
        <v>0</v>
      </c>
      <c r="AA252">
        <f t="shared" si="34"/>
        <v>3235.08</v>
      </c>
      <c r="AB252">
        <f t="shared" si="35"/>
        <v>1386.48</v>
      </c>
      <c r="AC252">
        <f t="shared" si="36"/>
        <v>0.42859999999999998</v>
      </c>
      <c r="AD252">
        <f t="shared" si="37"/>
        <v>7</v>
      </c>
      <c r="AE252">
        <f t="shared" si="38"/>
        <v>2024</v>
      </c>
      <c r="AF252" t="str">
        <f t="shared" si="39"/>
        <v>CLEAN</v>
      </c>
    </row>
    <row r="253" spans="1:32">
      <c r="A253" t="s">
        <v>1467</v>
      </c>
      <c r="B253" s="10">
        <v>45342</v>
      </c>
      <c r="C253" s="10">
        <v>45342</v>
      </c>
      <c r="D253">
        <f t="shared" si="30"/>
        <v>0</v>
      </c>
      <c r="E253" t="str">
        <f t="shared" si="31"/>
        <v>OK</v>
      </c>
      <c r="F253" t="s">
        <v>1468</v>
      </c>
      <c r="G253" t="s">
        <v>78</v>
      </c>
      <c r="H253" t="s">
        <v>89</v>
      </c>
      <c r="I253" t="s">
        <v>24</v>
      </c>
      <c r="J253" t="s">
        <v>135</v>
      </c>
      <c r="K253" t="s">
        <v>136</v>
      </c>
      <c r="L253" t="s">
        <v>73</v>
      </c>
      <c r="M253" t="s">
        <v>74</v>
      </c>
      <c r="N253" t="s">
        <v>1469</v>
      </c>
      <c r="O253" t="s">
        <v>43</v>
      </c>
      <c r="P253">
        <v>5</v>
      </c>
      <c r="Q253">
        <v>2604.91</v>
      </c>
      <c r="R253">
        <v>0.15</v>
      </c>
      <c r="S253" t="str">
        <f t="shared" si="32"/>
        <v>OK</v>
      </c>
      <c r="T253">
        <v>11070.87</v>
      </c>
      <c r="U253">
        <v>6623.61</v>
      </c>
      <c r="V253">
        <v>4447.26</v>
      </c>
      <c r="W253" t="s">
        <v>31</v>
      </c>
      <c r="X253" t="s">
        <v>102</v>
      </c>
      <c r="Y253" t="str">
        <f>IF(COUNTIF($A$2:$A$901,A253)&gt;1,
  IF(COUNTIF($A$2:A253,A253)=1,
    " ORIGINAL",
    "CONFLICTING DUPLICATE - REVIEW"),
"OK")</f>
        <v>OK</v>
      </c>
      <c r="Z253">
        <f t="shared" si="33"/>
        <v>0.15</v>
      </c>
      <c r="AA253">
        <f t="shared" si="34"/>
        <v>11070.87</v>
      </c>
      <c r="AB253">
        <f t="shared" si="35"/>
        <v>4447.26</v>
      </c>
      <c r="AC253">
        <f t="shared" si="36"/>
        <v>0.4017</v>
      </c>
      <c r="AD253">
        <f t="shared" si="37"/>
        <v>2</v>
      </c>
      <c r="AE253">
        <f t="shared" si="38"/>
        <v>2024</v>
      </c>
      <c r="AF253" t="str">
        <f t="shared" si="39"/>
        <v>CLEAN</v>
      </c>
    </row>
    <row r="254" spans="1:32">
      <c r="A254" t="s">
        <v>1470</v>
      </c>
      <c r="B254" s="10">
        <v>45416</v>
      </c>
      <c r="C254" s="10">
        <v>45416</v>
      </c>
      <c r="D254">
        <f t="shared" si="30"/>
        <v>0</v>
      </c>
      <c r="E254" t="str">
        <f t="shared" si="31"/>
        <v>OK</v>
      </c>
      <c r="F254" t="s">
        <v>1471</v>
      </c>
      <c r="G254" t="s">
        <v>35</v>
      </c>
      <c r="H254" t="s">
        <v>36</v>
      </c>
      <c r="I254" t="s">
        <v>62</v>
      </c>
      <c r="J254" t="s">
        <v>189</v>
      </c>
      <c r="K254" t="s">
        <v>190</v>
      </c>
      <c r="L254" t="s">
        <v>40</v>
      </c>
      <c r="M254" t="s">
        <v>41</v>
      </c>
      <c r="N254" t="s">
        <v>1472</v>
      </c>
      <c r="O254" t="s">
        <v>58</v>
      </c>
      <c r="P254">
        <v>7</v>
      </c>
      <c r="Q254">
        <v>2851.51</v>
      </c>
      <c r="R254">
        <v>0</v>
      </c>
      <c r="S254" t="str">
        <f t="shared" si="32"/>
        <v>OK</v>
      </c>
      <c r="T254">
        <v>19960.57</v>
      </c>
      <c r="U254">
        <v>16603.599999999999</v>
      </c>
      <c r="V254">
        <v>3356.97</v>
      </c>
      <c r="W254" t="s">
        <v>31</v>
      </c>
      <c r="X254" t="s">
        <v>32</v>
      </c>
      <c r="Y254" t="str">
        <f>IF(COUNTIF($A$2:$A$901,A254)&gt;1,
  IF(COUNTIF($A$2:A254,A254)=1,
    " ORIGINAL",
    "CONFLICTING DUPLICATE - REVIEW"),
"OK")</f>
        <v>OK</v>
      </c>
      <c r="Z254">
        <f t="shared" si="33"/>
        <v>0</v>
      </c>
      <c r="AA254">
        <f t="shared" si="34"/>
        <v>19960.57</v>
      </c>
      <c r="AB254">
        <f t="shared" si="35"/>
        <v>3356.97</v>
      </c>
      <c r="AC254">
        <f t="shared" si="36"/>
        <v>0.16819999999999999</v>
      </c>
      <c r="AD254">
        <f t="shared" si="37"/>
        <v>5</v>
      </c>
      <c r="AE254">
        <f t="shared" si="38"/>
        <v>2024</v>
      </c>
      <c r="AF254" t="str">
        <f t="shared" si="39"/>
        <v>CLEAN</v>
      </c>
    </row>
    <row r="255" spans="1:32">
      <c r="A255" t="s">
        <v>1473</v>
      </c>
      <c r="B255" s="10">
        <v>45332</v>
      </c>
      <c r="C255" s="10">
        <v>45333</v>
      </c>
      <c r="D255">
        <f t="shared" si="30"/>
        <v>1</v>
      </c>
      <c r="E255" t="str">
        <f t="shared" si="31"/>
        <v>OK</v>
      </c>
      <c r="F255" t="s">
        <v>1474</v>
      </c>
      <c r="G255" t="s">
        <v>22</v>
      </c>
      <c r="H255" t="s">
        <v>89</v>
      </c>
      <c r="I255" t="s">
        <v>24</v>
      </c>
      <c r="J255" t="s">
        <v>25</v>
      </c>
      <c r="K255" t="s">
        <v>26</v>
      </c>
      <c r="L255" t="s">
        <v>73</v>
      </c>
      <c r="M255" t="s">
        <v>170</v>
      </c>
      <c r="N255" t="s">
        <v>1475</v>
      </c>
      <c r="O255" t="s">
        <v>30</v>
      </c>
      <c r="P255">
        <v>3</v>
      </c>
      <c r="Q255">
        <v>3183.72</v>
      </c>
      <c r="R255">
        <v>0.1</v>
      </c>
      <c r="S255" t="str">
        <f t="shared" si="32"/>
        <v>OK</v>
      </c>
      <c r="T255">
        <v>8596.0400000000009</v>
      </c>
      <c r="U255">
        <v>5378.16</v>
      </c>
      <c r="V255">
        <v>3217.88</v>
      </c>
      <c r="W255" t="s">
        <v>31</v>
      </c>
      <c r="X255" t="s">
        <v>32</v>
      </c>
      <c r="Y255" t="str">
        <f>IF(COUNTIF($A$2:$A$901,A255)&gt;1,
  IF(COUNTIF($A$2:A255,A255)=1,
    " ORIGINAL",
    "CONFLICTING DUPLICATE - REVIEW"),
"OK")</f>
        <v>OK</v>
      </c>
      <c r="Z255">
        <f t="shared" si="33"/>
        <v>0.1</v>
      </c>
      <c r="AA255">
        <f t="shared" si="34"/>
        <v>8596.0400000000009</v>
      </c>
      <c r="AB255">
        <f t="shared" si="35"/>
        <v>3217.88</v>
      </c>
      <c r="AC255">
        <f t="shared" si="36"/>
        <v>0.37430000000000002</v>
      </c>
      <c r="AD255">
        <f t="shared" si="37"/>
        <v>2</v>
      </c>
      <c r="AE255">
        <f t="shared" si="38"/>
        <v>2024</v>
      </c>
      <c r="AF255" t="str">
        <f t="shared" si="39"/>
        <v>CLEAN</v>
      </c>
    </row>
    <row r="256" spans="1:32">
      <c r="A256" t="s">
        <v>1476</v>
      </c>
      <c r="B256" s="10">
        <v>45379</v>
      </c>
      <c r="C256" s="10">
        <v>45386</v>
      </c>
      <c r="D256">
        <f t="shared" si="30"/>
        <v>7</v>
      </c>
      <c r="E256" t="str">
        <f t="shared" si="31"/>
        <v>OK</v>
      </c>
      <c r="F256" t="s">
        <v>1477</v>
      </c>
      <c r="G256" t="s">
        <v>61</v>
      </c>
      <c r="H256" t="s">
        <v>94</v>
      </c>
      <c r="I256" t="s">
        <v>62</v>
      </c>
      <c r="J256" t="s">
        <v>189</v>
      </c>
      <c r="K256" t="s">
        <v>190</v>
      </c>
      <c r="L256" t="s">
        <v>27</v>
      </c>
      <c r="M256" t="s">
        <v>28</v>
      </c>
      <c r="N256" t="s">
        <v>1478</v>
      </c>
      <c r="O256" t="s">
        <v>49</v>
      </c>
      <c r="P256">
        <v>3</v>
      </c>
      <c r="Q256">
        <v>1150.92</v>
      </c>
      <c r="R256">
        <v>0</v>
      </c>
      <c r="S256" t="str">
        <f t="shared" si="32"/>
        <v>OK</v>
      </c>
      <c r="T256">
        <v>3452.76</v>
      </c>
      <c r="U256">
        <v>2077.96</v>
      </c>
      <c r="V256">
        <v>1374.8</v>
      </c>
      <c r="W256" t="s">
        <v>31</v>
      </c>
      <c r="X256" t="s">
        <v>32</v>
      </c>
      <c r="Y256" t="str">
        <f>IF(COUNTIF($A$2:$A$901,A256)&gt;1,
  IF(COUNTIF($A$2:A256,A256)=1,
    " ORIGINAL",
    "CONFLICTING DUPLICATE - REVIEW"),
"OK")</f>
        <v>OK</v>
      </c>
      <c r="Z256">
        <f t="shared" si="33"/>
        <v>0</v>
      </c>
      <c r="AA256">
        <f t="shared" si="34"/>
        <v>3452.76</v>
      </c>
      <c r="AB256">
        <f t="shared" si="35"/>
        <v>1374.8</v>
      </c>
      <c r="AC256">
        <f t="shared" si="36"/>
        <v>0.3982</v>
      </c>
      <c r="AD256">
        <f t="shared" si="37"/>
        <v>3</v>
      </c>
      <c r="AE256">
        <f t="shared" si="38"/>
        <v>2024</v>
      </c>
      <c r="AF256" t="str">
        <f t="shared" si="39"/>
        <v>CLEAN</v>
      </c>
    </row>
    <row r="257" spans="1:32">
      <c r="A257" t="s">
        <v>1485</v>
      </c>
      <c r="B257" s="10">
        <v>45558</v>
      </c>
      <c r="C257" s="10">
        <v>45560</v>
      </c>
      <c r="D257">
        <f t="shared" si="30"/>
        <v>2</v>
      </c>
      <c r="E257" t="str">
        <f t="shared" si="31"/>
        <v>OK</v>
      </c>
      <c r="F257" t="s">
        <v>1486</v>
      </c>
      <c r="G257" t="s">
        <v>127</v>
      </c>
      <c r="H257" t="s">
        <v>94</v>
      </c>
      <c r="I257" t="s">
        <v>24</v>
      </c>
      <c r="J257" t="s">
        <v>349</v>
      </c>
      <c r="K257" t="s">
        <v>350</v>
      </c>
      <c r="L257" t="s">
        <v>27</v>
      </c>
      <c r="M257" t="s">
        <v>152</v>
      </c>
      <c r="N257" t="s">
        <v>1487</v>
      </c>
      <c r="O257" t="s">
        <v>49</v>
      </c>
      <c r="P257">
        <v>2</v>
      </c>
      <c r="Q257">
        <v>1275.1400000000001</v>
      </c>
      <c r="R257">
        <v>0.2</v>
      </c>
      <c r="S257" t="str">
        <f t="shared" si="32"/>
        <v>OK</v>
      </c>
      <c r="T257">
        <v>2040.22</v>
      </c>
      <c r="U257">
        <v>1395.71</v>
      </c>
      <c r="V257">
        <v>644.51</v>
      </c>
      <c r="W257" t="s">
        <v>31</v>
      </c>
      <c r="X257" t="s">
        <v>32</v>
      </c>
      <c r="Y257" t="str">
        <f>IF(COUNTIF($A$2:$A$901,A257)&gt;1,
  IF(COUNTIF($A$2:A257,A257)=1,
    " ORIGINAL",
    "CONFLICTING DUPLICATE - REVIEW"),
"OK")</f>
        <v>OK</v>
      </c>
      <c r="Z257">
        <f t="shared" si="33"/>
        <v>0.2</v>
      </c>
      <c r="AA257">
        <f t="shared" si="34"/>
        <v>2040.22</v>
      </c>
      <c r="AB257">
        <f t="shared" si="35"/>
        <v>644.51</v>
      </c>
      <c r="AC257">
        <f t="shared" si="36"/>
        <v>0.31590000000000001</v>
      </c>
      <c r="AD257">
        <f t="shared" si="37"/>
        <v>9</v>
      </c>
      <c r="AE257">
        <f t="shared" si="38"/>
        <v>2024</v>
      </c>
      <c r="AF257" t="str">
        <f t="shared" si="39"/>
        <v>CLEAN</v>
      </c>
    </row>
    <row r="258" spans="1:32">
      <c r="A258" t="s">
        <v>1494</v>
      </c>
      <c r="B258" s="10">
        <v>45320</v>
      </c>
      <c r="C258" s="10">
        <v>45328</v>
      </c>
      <c r="D258">
        <f t="shared" ref="D258:D321" si="40">C258-B258</f>
        <v>8</v>
      </c>
      <c r="E258" t="str">
        <f t="shared" ref="E258:E321" si="41">IF(D258&lt;0,"INVALID","OK")</f>
        <v>OK</v>
      </c>
      <c r="F258" t="s">
        <v>1495</v>
      </c>
      <c r="G258" t="s">
        <v>127</v>
      </c>
      <c r="H258" t="s">
        <v>36</v>
      </c>
      <c r="I258" t="s">
        <v>62</v>
      </c>
      <c r="J258" t="s">
        <v>71</v>
      </c>
      <c r="K258" t="s">
        <v>72</v>
      </c>
      <c r="L258" t="s">
        <v>27</v>
      </c>
      <c r="M258" t="s">
        <v>90</v>
      </c>
      <c r="N258" t="s">
        <v>1496</v>
      </c>
      <c r="O258" t="s">
        <v>58</v>
      </c>
      <c r="P258">
        <v>2</v>
      </c>
      <c r="Q258">
        <v>1258.9000000000001</v>
      </c>
      <c r="R258">
        <v>0</v>
      </c>
      <c r="S258" t="str">
        <f t="shared" si="32"/>
        <v>OK</v>
      </c>
      <c r="T258">
        <v>2517.8000000000002</v>
      </c>
      <c r="U258">
        <v>1478.54</v>
      </c>
      <c r="V258">
        <v>1039.26</v>
      </c>
      <c r="W258" t="s">
        <v>31</v>
      </c>
      <c r="X258" t="s">
        <v>32</v>
      </c>
      <c r="Y258" t="str">
        <f>IF(COUNTIF($A$2:$A$901,A258)&gt;1,
  IF(COUNTIF($A$2:A258,A258)=1,
    " ORIGINAL",
    "CONFLICTING DUPLICATE - REVIEW"),
"OK")</f>
        <v>OK</v>
      </c>
      <c r="Z258">
        <f t="shared" si="33"/>
        <v>0</v>
      </c>
      <c r="AA258">
        <f t="shared" si="34"/>
        <v>2517.8000000000002</v>
      </c>
      <c r="AB258">
        <f t="shared" si="35"/>
        <v>1039.26</v>
      </c>
      <c r="AC258">
        <f t="shared" si="36"/>
        <v>0.4128</v>
      </c>
      <c r="AD258">
        <f t="shared" si="37"/>
        <v>1</v>
      </c>
      <c r="AE258">
        <f t="shared" si="38"/>
        <v>2024</v>
      </c>
      <c r="AF258" t="str">
        <f t="shared" si="39"/>
        <v>CLEAN</v>
      </c>
    </row>
    <row r="259" spans="1:32">
      <c r="A259" t="s">
        <v>1497</v>
      </c>
      <c r="B259" s="10">
        <v>45383</v>
      </c>
      <c r="C259" s="10">
        <v>45299</v>
      </c>
      <c r="D259">
        <f t="shared" si="40"/>
        <v>-84</v>
      </c>
      <c r="E259" t="str">
        <f t="shared" si="41"/>
        <v>INVALID</v>
      </c>
      <c r="F259" t="s">
        <v>1498</v>
      </c>
      <c r="G259" t="s">
        <v>35</v>
      </c>
      <c r="H259" t="s">
        <v>36</v>
      </c>
      <c r="I259" t="s">
        <v>37</v>
      </c>
      <c r="J259" t="s">
        <v>144</v>
      </c>
      <c r="K259" t="s">
        <v>145</v>
      </c>
      <c r="L259" t="s">
        <v>73</v>
      </c>
      <c r="M259" t="s">
        <v>74</v>
      </c>
      <c r="N259" t="s">
        <v>1499</v>
      </c>
      <c r="O259" t="s">
        <v>43</v>
      </c>
      <c r="P259">
        <v>9</v>
      </c>
      <c r="Q259">
        <v>1591.96</v>
      </c>
      <c r="R259">
        <v>0.2</v>
      </c>
      <c r="S259" t="str">
        <f t="shared" ref="S259:S322" si="42">IF(R259&lt;0,"INVALID-NEGATIVE",IF(R259&gt;1,"INVALID-ABOVE","OK"))</f>
        <v>OK</v>
      </c>
      <c r="T259">
        <v>11462.11</v>
      </c>
      <c r="U259">
        <v>7105.48</v>
      </c>
      <c r="V259">
        <v>4356.63</v>
      </c>
      <c r="W259" t="s">
        <v>31</v>
      </c>
      <c r="X259" t="s">
        <v>32</v>
      </c>
      <c r="Y259" t="str">
        <f>IF(COUNTIF($A$2:$A$901,A259)&gt;1,
  IF(COUNTIF($A$2:A259,A259)=1,
    " ORIGINAL",
    "CONFLICTING DUPLICATE - REVIEW"),
"OK")</f>
        <v>OK</v>
      </c>
      <c r="Z259">
        <f t="shared" ref="Z259:Z322" si="43">IF(R259&lt;0, 0,
  IF(ISNUMBER(R259), R259,
    IFERROR(VALUE(SUBSTITUTE(R259,"%",""))/100, 0)))</f>
        <v>0.2</v>
      </c>
      <c r="AA259">
        <f t="shared" ref="AA259:AA322" si="44">ROUND(P259*Q259*(1-Z259),2)</f>
        <v>11462.11</v>
      </c>
      <c r="AB259">
        <f t="shared" ref="AB259:AB322" si="45">ROUND(AA259-U259,2)</f>
        <v>4356.63</v>
      </c>
      <c r="AC259">
        <f t="shared" ref="AC259:AC322" si="46">IFERROR(ROUND(AB259/AA259,4),0)</f>
        <v>0.38009999999999999</v>
      </c>
      <c r="AD259">
        <f t="shared" ref="AD259:AD322" si="47">IFERROR(MONTH(B259),"INVALID")</f>
        <v>4</v>
      </c>
      <c r="AE259">
        <f t="shared" ref="AE259:AE322" si="48">IFERROR(YEAR(B259),"INVALID")</f>
        <v>2024</v>
      </c>
      <c r="AF259" t="str">
        <f t="shared" ref="AF259:AF322" si="49">IF(OR(R259&lt;0,NOT(ISNUMBER(R259)),D259&lt;0,W259="Failed"),"INVALID",IF(OR(I259="Unknown",O259="Unknown",R259&gt;1,AA259&lt;0),"WARNING","CLEAN"))</f>
        <v>INVALID</v>
      </c>
    </row>
    <row r="260" spans="1:32">
      <c r="A260" t="s">
        <v>1500</v>
      </c>
      <c r="B260" s="10">
        <v>45524</v>
      </c>
      <c r="C260" s="10">
        <v>45525</v>
      </c>
      <c r="D260">
        <f t="shared" si="40"/>
        <v>1</v>
      </c>
      <c r="E260" t="str">
        <f t="shared" si="41"/>
        <v>OK</v>
      </c>
      <c r="F260" t="s">
        <v>1501</v>
      </c>
      <c r="G260" t="s">
        <v>88</v>
      </c>
      <c r="H260" t="s">
        <v>89</v>
      </c>
      <c r="I260" t="s">
        <v>37</v>
      </c>
      <c r="J260" t="s">
        <v>38</v>
      </c>
      <c r="K260" t="s">
        <v>39</v>
      </c>
      <c r="L260" t="s">
        <v>73</v>
      </c>
      <c r="M260" t="s">
        <v>79</v>
      </c>
      <c r="N260" t="s">
        <v>1502</v>
      </c>
      <c r="O260" t="s">
        <v>49</v>
      </c>
      <c r="P260">
        <v>5</v>
      </c>
      <c r="Q260">
        <v>4288.33</v>
      </c>
      <c r="R260">
        <v>0.1</v>
      </c>
      <c r="S260" t="str">
        <f t="shared" si="42"/>
        <v>OK</v>
      </c>
      <c r="T260">
        <v>19297.490000000002</v>
      </c>
      <c r="U260">
        <v>15451.66</v>
      </c>
      <c r="V260">
        <v>3845.83</v>
      </c>
      <c r="W260" t="s">
        <v>101</v>
      </c>
      <c r="X260" t="s">
        <v>67</v>
      </c>
      <c r="Y260" t="str">
        <f>IF(COUNTIF($A$2:$A$901,A260)&gt;1,
  IF(COUNTIF($A$2:A260,A260)=1,
    " ORIGINAL",
    "CONFLICTING DUPLICATE - REVIEW"),
"OK")</f>
        <v>OK</v>
      </c>
      <c r="Z260">
        <f t="shared" si="43"/>
        <v>0.1</v>
      </c>
      <c r="AA260">
        <f t="shared" si="44"/>
        <v>19297.490000000002</v>
      </c>
      <c r="AB260">
        <f t="shared" si="45"/>
        <v>3845.83</v>
      </c>
      <c r="AC260">
        <f t="shared" si="46"/>
        <v>0.1993</v>
      </c>
      <c r="AD260">
        <f t="shared" si="47"/>
        <v>8</v>
      </c>
      <c r="AE260">
        <f t="shared" si="48"/>
        <v>2024</v>
      </c>
      <c r="AF260" t="str">
        <f t="shared" si="49"/>
        <v>CLEAN</v>
      </c>
    </row>
    <row r="261" spans="1:32">
      <c r="A261" t="s">
        <v>1506</v>
      </c>
      <c r="B261" s="10">
        <v>45310</v>
      </c>
      <c r="C261" s="10">
        <v>45316</v>
      </c>
      <c r="D261">
        <f t="shared" si="40"/>
        <v>6</v>
      </c>
      <c r="E261" t="str">
        <f t="shared" si="41"/>
        <v>OK</v>
      </c>
      <c r="F261" t="s">
        <v>1507</v>
      </c>
      <c r="G261" t="s">
        <v>88</v>
      </c>
      <c r="H261" t="s">
        <v>89</v>
      </c>
      <c r="I261" t="s">
        <v>62</v>
      </c>
      <c r="J261" t="s">
        <v>189</v>
      </c>
      <c r="K261" t="s">
        <v>190</v>
      </c>
      <c r="L261" t="s">
        <v>73</v>
      </c>
      <c r="M261" t="s">
        <v>79</v>
      </c>
      <c r="N261" t="s">
        <v>1508</v>
      </c>
      <c r="O261" t="s">
        <v>49</v>
      </c>
      <c r="P261">
        <v>3</v>
      </c>
      <c r="Q261">
        <v>1041.6600000000001</v>
      </c>
      <c r="R261">
        <v>0.1</v>
      </c>
      <c r="S261" t="str">
        <f t="shared" si="42"/>
        <v>OK</v>
      </c>
      <c r="T261">
        <v>2812.48</v>
      </c>
      <c r="U261">
        <v>2282.12</v>
      </c>
      <c r="V261">
        <v>530.36</v>
      </c>
      <c r="W261" t="s">
        <v>31</v>
      </c>
      <c r="X261" t="s">
        <v>32</v>
      </c>
      <c r="Y261" t="str">
        <f>IF(COUNTIF($A$2:$A$901,A261)&gt;1,
  IF(COUNTIF($A$2:A261,A261)=1,
    " ORIGINAL",
    "CONFLICTING DUPLICATE - REVIEW"),
"OK")</f>
        <v>OK</v>
      </c>
      <c r="Z261">
        <f t="shared" si="43"/>
        <v>0.1</v>
      </c>
      <c r="AA261">
        <f t="shared" si="44"/>
        <v>2812.48</v>
      </c>
      <c r="AB261">
        <f t="shared" si="45"/>
        <v>530.36</v>
      </c>
      <c r="AC261">
        <f t="shared" si="46"/>
        <v>0.18859999999999999</v>
      </c>
      <c r="AD261">
        <f t="shared" si="47"/>
        <v>1</v>
      </c>
      <c r="AE261">
        <f t="shared" si="48"/>
        <v>2024</v>
      </c>
      <c r="AF261" t="str">
        <f t="shared" si="49"/>
        <v>CLEAN</v>
      </c>
    </row>
    <row r="262" spans="1:32">
      <c r="A262" t="s">
        <v>1509</v>
      </c>
      <c r="B262" s="10">
        <v>45501</v>
      </c>
      <c r="C262" s="10">
        <v>45504</v>
      </c>
      <c r="D262">
        <f t="shared" si="40"/>
        <v>3</v>
      </c>
      <c r="E262" t="str">
        <f t="shared" si="41"/>
        <v>OK</v>
      </c>
      <c r="F262" t="s">
        <v>1510</v>
      </c>
      <c r="G262" t="s">
        <v>88</v>
      </c>
      <c r="H262" t="s">
        <v>23</v>
      </c>
      <c r="I262" t="s">
        <v>24</v>
      </c>
      <c r="J262" t="s">
        <v>25</v>
      </c>
      <c r="K262" t="s">
        <v>26</v>
      </c>
      <c r="L262" t="s">
        <v>40</v>
      </c>
      <c r="M262" t="s">
        <v>41</v>
      </c>
      <c r="N262" t="s">
        <v>1511</v>
      </c>
      <c r="O262" t="s">
        <v>43</v>
      </c>
      <c r="P262">
        <v>2</v>
      </c>
      <c r="Q262">
        <v>4424.78</v>
      </c>
      <c r="R262">
        <v>0.2</v>
      </c>
      <c r="S262" t="str">
        <f t="shared" si="42"/>
        <v>OK</v>
      </c>
      <c r="T262">
        <v>7079.65</v>
      </c>
      <c r="U262">
        <v>4465.91</v>
      </c>
      <c r="V262">
        <v>2613.7399999999998</v>
      </c>
      <c r="W262" t="s">
        <v>31</v>
      </c>
      <c r="X262" t="s">
        <v>32</v>
      </c>
      <c r="Y262" t="str">
        <f>IF(COUNTIF($A$2:$A$901,A262)&gt;1,
  IF(COUNTIF($A$2:A262,A262)=1,
    " ORIGINAL",
    "CONFLICTING DUPLICATE - REVIEW"),
"OK")</f>
        <v>OK</v>
      </c>
      <c r="Z262">
        <f t="shared" si="43"/>
        <v>0.2</v>
      </c>
      <c r="AA262">
        <f t="shared" si="44"/>
        <v>7079.65</v>
      </c>
      <c r="AB262">
        <f t="shared" si="45"/>
        <v>2613.7399999999998</v>
      </c>
      <c r="AC262">
        <f t="shared" si="46"/>
        <v>0.36919999999999997</v>
      </c>
      <c r="AD262">
        <f t="shared" si="47"/>
        <v>7</v>
      </c>
      <c r="AE262">
        <f t="shared" si="48"/>
        <v>2024</v>
      </c>
      <c r="AF262" t="str">
        <f t="shared" si="49"/>
        <v>CLEAN</v>
      </c>
    </row>
    <row r="263" spans="1:32">
      <c r="A263" t="s">
        <v>1512</v>
      </c>
      <c r="B263" s="10">
        <v>45598</v>
      </c>
      <c r="C263" s="10">
        <v>45337</v>
      </c>
      <c r="D263">
        <f t="shared" si="40"/>
        <v>-261</v>
      </c>
      <c r="E263" t="str">
        <f t="shared" si="41"/>
        <v>INVALID</v>
      </c>
      <c r="F263" t="s">
        <v>1513</v>
      </c>
      <c r="G263" t="s">
        <v>263</v>
      </c>
      <c r="H263" t="s">
        <v>23</v>
      </c>
      <c r="I263" t="s">
        <v>53</v>
      </c>
      <c r="J263" t="s">
        <v>54</v>
      </c>
      <c r="K263" t="s">
        <v>55</v>
      </c>
      <c r="L263" t="s">
        <v>27</v>
      </c>
      <c r="M263" t="s">
        <v>152</v>
      </c>
      <c r="N263" t="s">
        <v>1514</v>
      </c>
      <c r="O263" t="s">
        <v>58</v>
      </c>
      <c r="P263">
        <v>3</v>
      </c>
      <c r="Q263">
        <v>3019.14</v>
      </c>
      <c r="R263">
        <v>0.25</v>
      </c>
      <c r="S263" t="str">
        <f t="shared" si="42"/>
        <v>OK</v>
      </c>
      <c r="T263">
        <v>6793.07</v>
      </c>
      <c r="U263">
        <v>4985.22</v>
      </c>
      <c r="V263">
        <v>1807.85</v>
      </c>
      <c r="W263" t="s">
        <v>31</v>
      </c>
      <c r="X263" t="s">
        <v>32</v>
      </c>
      <c r="Y263" t="str">
        <f>IF(COUNTIF($A$2:$A$901,A263)&gt;1,
  IF(COUNTIF($A$2:A263,A263)=1,
    " ORIGINAL",
    "CONFLICTING DUPLICATE - REVIEW"),
"OK")</f>
        <v>OK</v>
      </c>
      <c r="Z263">
        <f t="shared" si="43"/>
        <v>0.25</v>
      </c>
      <c r="AA263">
        <f t="shared" si="44"/>
        <v>6793.07</v>
      </c>
      <c r="AB263">
        <f t="shared" si="45"/>
        <v>1807.85</v>
      </c>
      <c r="AC263">
        <f t="shared" si="46"/>
        <v>0.2661</v>
      </c>
      <c r="AD263">
        <f t="shared" si="47"/>
        <v>11</v>
      </c>
      <c r="AE263">
        <f t="shared" si="48"/>
        <v>2024</v>
      </c>
      <c r="AF263" t="str">
        <f t="shared" si="49"/>
        <v>INVALID</v>
      </c>
    </row>
    <row r="264" spans="1:32">
      <c r="A264" t="s">
        <v>1515</v>
      </c>
      <c r="B264" s="10">
        <v>45325</v>
      </c>
      <c r="C264" s="10">
        <v>45358</v>
      </c>
      <c r="D264">
        <f t="shared" si="40"/>
        <v>33</v>
      </c>
      <c r="E264" t="str">
        <f t="shared" si="41"/>
        <v>OK</v>
      </c>
      <c r="F264" t="s">
        <v>1516</v>
      </c>
      <c r="G264" t="s">
        <v>140</v>
      </c>
      <c r="H264" t="s">
        <v>89</v>
      </c>
      <c r="I264" t="s">
        <v>37</v>
      </c>
      <c r="J264" t="s">
        <v>38</v>
      </c>
      <c r="K264" t="s">
        <v>39</v>
      </c>
      <c r="L264" t="s">
        <v>27</v>
      </c>
      <c r="M264" t="s">
        <v>123</v>
      </c>
      <c r="N264" t="s">
        <v>1517</v>
      </c>
      <c r="O264" t="s">
        <v>58</v>
      </c>
      <c r="P264">
        <v>7</v>
      </c>
      <c r="Q264">
        <v>263.45999999999998</v>
      </c>
      <c r="R264">
        <v>0</v>
      </c>
      <c r="S264" t="str">
        <f t="shared" si="42"/>
        <v>OK</v>
      </c>
      <c r="T264">
        <v>1844.22</v>
      </c>
      <c r="U264">
        <v>1094.21</v>
      </c>
      <c r="V264">
        <v>750.01</v>
      </c>
      <c r="W264" t="s">
        <v>31</v>
      </c>
      <c r="X264" t="s">
        <v>32</v>
      </c>
      <c r="Y264" t="str">
        <f>IF(COUNTIF($A$2:$A$901,A264)&gt;1,
  IF(COUNTIF($A$2:A264,A264)=1,
    " ORIGINAL",
    "CONFLICTING DUPLICATE - REVIEW"),
"OK")</f>
        <v>OK</v>
      </c>
      <c r="Z264">
        <f t="shared" si="43"/>
        <v>0</v>
      </c>
      <c r="AA264">
        <f t="shared" si="44"/>
        <v>1844.22</v>
      </c>
      <c r="AB264">
        <f t="shared" si="45"/>
        <v>750.01</v>
      </c>
      <c r="AC264">
        <f t="shared" si="46"/>
        <v>0.40670000000000001</v>
      </c>
      <c r="AD264">
        <f t="shared" si="47"/>
        <v>2</v>
      </c>
      <c r="AE264">
        <f t="shared" si="48"/>
        <v>2024</v>
      </c>
      <c r="AF264" t="str">
        <f t="shared" si="49"/>
        <v>CLEAN</v>
      </c>
    </row>
    <row r="265" spans="1:32">
      <c r="A265" t="s">
        <v>1518</v>
      </c>
      <c r="B265" s="10">
        <v>45609</v>
      </c>
      <c r="C265" s="10">
        <v>45609</v>
      </c>
      <c r="D265">
        <f t="shared" si="40"/>
        <v>0</v>
      </c>
      <c r="E265" t="str">
        <f t="shared" si="41"/>
        <v>OK</v>
      </c>
      <c r="F265" t="s">
        <v>1519</v>
      </c>
      <c r="G265" t="s">
        <v>113</v>
      </c>
      <c r="H265" t="s">
        <v>23</v>
      </c>
      <c r="I265" t="s">
        <v>62</v>
      </c>
      <c r="J265" t="s">
        <v>189</v>
      </c>
      <c r="K265" t="s">
        <v>190</v>
      </c>
      <c r="L265" t="s">
        <v>73</v>
      </c>
      <c r="M265" t="s">
        <v>79</v>
      </c>
      <c r="N265" t="s">
        <v>1520</v>
      </c>
      <c r="O265" t="s">
        <v>58</v>
      </c>
      <c r="P265">
        <v>6</v>
      </c>
      <c r="Q265">
        <v>191.45</v>
      </c>
      <c r="R265">
        <v>0.2</v>
      </c>
      <c r="S265" t="str">
        <f t="shared" si="42"/>
        <v>OK</v>
      </c>
      <c r="T265">
        <v>918.96</v>
      </c>
      <c r="U265">
        <v>554.17999999999995</v>
      </c>
      <c r="V265">
        <v>364.78</v>
      </c>
      <c r="W265" t="s">
        <v>31</v>
      </c>
      <c r="X265" t="s">
        <v>32</v>
      </c>
      <c r="Y265" t="str">
        <f>IF(COUNTIF($A$2:$A$901,A265)&gt;1,
  IF(COUNTIF($A$2:A265,A265)=1,
    " ORIGINAL",
    "CONFLICTING DUPLICATE - REVIEW"),
"OK")</f>
        <v>OK</v>
      </c>
      <c r="Z265">
        <f t="shared" si="43"/>
        <v>0.2</v>
      </c>
      <c r="AA265">
        <f t="shared" si="44"/>
        <v>918.96</v>
      </c>
      <c r="AB265">
        <f t="shared" si="45"/>
        <v>364.78</v>
      </c>
      <c r="AC265">
        <f t="shared" si="46"/>
        <v>0.39689999999999998</v>
      </c>
      <c r="AD265">
        <f t="shared" si="47"/>
        <v>11</v>
      </c>
      <c r="AE265">
        <f t="shared" si="48"/>
        <v>2024</v>
      </c>
      <c r="AF265" t="str">
        <f t="shared" si="49"/>
        <v>CLEAN</v>
      </c>
    </row>
    <row r="266" spans="1:32">
      <c r="A266" t="s">
        <v>1521</v>
      </c>
      <c r="B266" s="10">
        <v>45357</v>
      </c>
      <c r="C266" s="10">
        <v>45453</v>
      </c>
      <c r="D266">
        <f t="shared" si="40"/>
        <v>96</v>
      </c>
      <c r="E266" t="str">
        <f t="shared" si="41"/>
        <v>OK</v>
      </c>
      <c r="F266" t="s">
        <v>1522</v>
      </c>
      <c r="G266" t="s">
        <v>161</v>
      </c>
      <c r="H266" t="s">
        <v>89</v>
      </c>
      <c r="I266" t="s">
        <v>24</v>
      </c>
      <c r="J266" t="s">
        <v>121</v>
      </c>
      <c r="K266" t="s">
        <v>122</v>
      </c>
      <c r="L266" t="s">
        <v>40</v>
      </c>
      <c r="M266" t="s">
        <v>56</v>
      </c>
      <c r="N266" t="s">
        <v>1523</v>
      </c>
      <c r="O266" t="s">
        <v>58</v>
      </c>
      <c r="P266">
        <v>3</v>
      </c>
      <c r="Q266">
        <v>1633.57</v>
      </c>
      <c r="R266">
        <v>0</v>
      </c>
      <c r="S266" t="str">
        <f t="shared" si="42"/>
        <v>OK</v>
      </c>
      <c r="T266">
        <v>4900.71</v>
      </c>
      <c r="U266">
        <v>2713.9</v>
      </c>
      <c r="V266">
        <v>2186.81</v>
      </c>
      <c r="W266" t="s">
        <v>31</v>
      </c>
      <c r="X266" t="s">
        <v>32</v>
      </c>
      <c r="Y266" t="str">
        <f>IF(COUNTIF($A$2:$A$901,A266)&gt;1,
  IF(COUNTIF($A$2:A266,A266)=1,
    " ORIGINAL",
    "CONFLICTING DUPLICATE - REVIEW"),
"OK")</f>
        <v>OK</v>
      </c>
      <c r="Z266">
        <f t="shared" si="43"/>
        <v>0</v>
      </c>
      <c r="AA266">
        <f t="shared" si="44"/>
        <v>4900.71</v>
      </c>
      <c r="AB266">
        <f t="shared" si="45"/>
        <v>2186.81</v>
      </c>
      <c r="AC266">
        <f t="shared" si="46"/>
        <v>0.44619999999999999</v>
      </c>
      <c r="AD266">
        <f t="shared" si="47"/>
        <v>3</v>
      </c>
      <c r="AE266">
        <f t="shared" si="48"/>
        <v>2024</v>
      </c>
      <c r="AF266" t="str">
        <f t="shared" si="49"/>
        <v>CLEAN</v>
      </c>
    </row>
    <row r="267" spans="1:32">
      <c r="A267" t="s">
        <v>1527</v>
      </c>
      <c r="B267" s="10">
        <v>45419</v>
      </c>
      <c r="C267" s="10">
        <v>45426</v>
      </c>
      <c r="D267">
        <f t="shared" si="40"/>
        <v>7</v>
      </c>
      <c r="E267" t="str">
        <f t="shared" si="41"/>
        <v>OK</v>
      </c>
      <c r="F267" t="s">
        <v>1528</v>
      </c>
      <c r="G267" t="s">
        <v>131</v>
      </c>
      <c r="H267" t="s">
        <v>36</v>
      </c>
      <c r="I267" t="s">
        <v>24</v>
      </c>
      <c r="J267" t="s">
        <v>25</v>
      </c>
      <c r="K267" t="s">
        <v>26</v>
      </c>
      <c r="L267" t="s">
        <v>27</v>
      </c>
      <c r="M267" t="s">
        <v>123</v>
      </c>
      <c r="N267" t="s">
        <v>1529</v>
      </c>
      <c r="O267" t="s">
        <v>49</v>
      </c>
      <c r="P267">
        <v>3</v>
      </c>
      <c r="Q267">
        <v>383.58</v>
      </c>
      <c r="R267">
        <v>0.1</v>
      </c>
      <c r="S267" t="str">
        <f t="shared" si="42"/>
        <v>OK</v>
      </c>
      <c r="T267">
        <v>1035.67</v>
      </c>
      <c r="U267">
        <v>595.41999999999996</v>
      </c>
      <c r="V267">
        <v>440.25</v>
      </c>
      <c r="W267" t="s">
        <v>31</v>
      </c>
      <c r="X267" t="s">
        <v>32</v>
      </c>
      <c r="Y267" t="str">
        <f>IF(COUNTIF($A$2:$A$901,A267)&gt;1,
  IF(COUNTIF($A$2:A267,A267)=1,
    " ORIGINAL",
    "CONFLICTING DUPLICATE - REVIEW"),
"OK")</f>
        <v>OK</v>
      </c>
      <c r="Z267">
        <f t="shared" si="43"/>
        <v>0.1</v>
      </c>
      <c r="AA267">
        <f t="shared" si="44"/>
        <v>1035.67</v>
      </c>
      <c r="AB267">
        <f t="shared" si="45"/>
        <v>440.25</v>
      </c>
      <c r="AC267">
        <f t="shared" si="46"/>
        <v>0.42509999999999998</v>
      </c>
      <c r="AD267">
        <f t="shared" si="47"/>
        <v>5</v>
      </c>
      <c r="AE267">
        <f t="shared" si="48"/>
        <v>2024</v>
      </c>
      <c r="AF267" t="str">
        <f t="shared" si="49"/>
        <v>CLEAN</v>
      </c>
    </row>
    <row r="268" spans="1:32">
      <c r="A268" t="s">
        <v>1533</v>
      </c>
      <c r="B268" s="10">
        <v>45452</v>
      </c>
      <c r="C268" s="10">
        <v>45456</v>
      </c>
      <c r="D268">
        <f t="shared" si="40"/>
        <v>4</v>
      </c>
      <c r="E268" t="str">
        <f t="shared" si="41"/>
        <v>OK</v>
      </c>
      <c r="F268" t="s">
        <v>1534</v>
      </c>
      <c r="G268" t="s">
        <v>35</v>
      </c>
      <c r="H268" t="s">
        <v>94</v>
      </c>
      <c r="I268" t="s">
        <v>2762</v>
      </c>
      <c r="J268" t="s">
        <v>135</v>
      </c>
      <c r="K268" t="s">
        <v>136</v>
      </c>
      <c r="L268" t="s">
        <v>73</v>
      </c>
      <c r="M268" t="s">
        <v>273</v>
      </c>
      <c r="N268" t="s">
        <v>1535</v>
      </c>
      <c r="O268" t="s">
        <v>43</v>
      </c>
      <c r="P268">
        <v>7</v>
      </c>
      <c r="Q268">
        <v>4079.71</v>
      </c>
      <c r="R268">
        <v>0.1</v>
      </c>
      <c r="S268" t="str">
        <f t="shared" si="42"/>
        <v>OK</v>
      </c>
      <c r="T268">
        <v>25702.17</v>
      </c>
      <c r="U268">
        <v>14571.48</v>
      </c>
      <c r="V268">
        <v>11130.69</v>
      </c>
      <c r="W268" t="s">
        <v>101</v>
      </c>
      <c r="X268" t="s">
        <v>102</v>
      </c>
      <c r="Y268" t="str">
        <f>IF(COUNTIF($A$2:$A$901,A268)&gt;1,
  IF(COUNTIF($A$2:A268,A268)=1,
    " ORIGINAL",
    "CONFLICTING DUPLICATE - REVIEW"),
"OK")</f>
        <v>OK</v>
      </c>
      <c r="Z268">
        <f t="shared" si="43"/>
        <v>0.1</v>
      </c>
      <c r="AA268">
        <f t="shared" si="44"/>
        <v>25702.17</v>
      </c>
      <c r="AB268">
        <f t="shared" si="45"/>
        <v>11130.69</v>
      </c>
      <c r="AC268">
        <f t="shared" si="46"/>
        <v>0.43309999999999998</v>
      </c>
      <c r="AD268">
        <f t="shared" si="47"/>
        <v>6</v>
      </c>
      <c r="AE268">
        <f t="shared" si="48"/>
        <v>2024</v>
      </c>
      <c r="AF268" t="str">
        <f t="shared" si="49"/>
        <v>WARNING</v>
      </c>
    </row>
    <row r="269" spans="1:32">
      <c r="A269" t="s">
        <v>1536</v>
      </c>
      <c r="B269" s="10">
        <v>45345</v>
      </c>
      <c r="C269" s="10">
        <v>45342</v>
      </c>
      <c r="D269">
        <f t="shared" si="40"/>
        <v>-3</v>
      </c>
      <c r="E269" t="str">
        <f t="shared" si="41"/>
        <v>INVALID</v>
      </c>
      <c r="F269" t="s">
        <v>1537</v>
      </c>
      <c r="G269" t="s">
        <v>52</v>
      </c>
      <c r="H269" t="s">
        <v>89</v>
      </c>
      <c r="I269" t="s">
        <v>37</v>
      </c>
      <c r="J269" t="s">
        <v>38</v>
      </c>
      <c r="K269" t="s">
        <v>39</v>
      </c>
      <c r="L269" t="s">
        <v>40</v>
      </c>
      <c r="M269" t="s">
        <v>65</v>
      </c>
      <c r="N269" t="s">
        <v>1538</v>
      </c>
      <c r="O269" t="s">
        <v>30</v>
      </c>
      <c r="P269">
        <v>1</v>
      </c>
      <c r="Q269">
        <v>2202.5500000000002</v>
      </c>
      <c r="R269">
        <v>0</v>
      </c>
      <c r="S269" t="str">
        <f t="shared" si="42"/>
        <v>OK</v>
      </c>
      <c r="T269">
        <v>1651.91</v>
      </c>
      <c r="U269">
        <v>1034.57</v>
      </c>
      <c r="V269">
        <v>617.34</v>
      </c>
      <c r="W269" t="s">
        <v>31</v>
      </c>
      <c r="X269" t="s">
        <v>32</v>
      </c>
      <c r="Y269" t="str">
        <f>IF(COUNTIF($A$2:$A$901,A269)&gt;1,
  IF(COUNTIF($A$2:A269,A269)=1,
    " ORIGINAL",
    "CONFLICTING DUPLICATE - REVIEW"),
"OK")</f>
        <v>OK</v>
      </c>
      <c r="Z269">
        <f t="shared" si="43"/>
        <v>0</v>
      </c>
      <c r="AA269">
        <f t="shared" si="44"/>
        <v>2202.5500000000002</v>
      </c>
      <c r="AB269">
        <f t="shared" si="45"/>
        <v>1167.98</v>
      </c>
      <c r="AC269">
        <f t="shared" si="46"/>
        <v>0.53029999999999999</v>
      </c>
      <c r="AD269">
        <f t="shared" si="47"/>
        <v>2</v>
      </c>
      <c r="AE269">
        <f t="shared" si="48"/>
        <v>2024</v>
      </c>
      <c r="AF269" t="str">
        <f t="shared" si="49"/>
        <v>INVALID</v>
      </c>
    </row>
    <row r="270" spans="1:32">
      <c r="A270" t="s">
        <v>1545</v>
      </c>
      <c r="B270" s="10">
        <v>45495</v>
      </c>
      <c r="C270" s="10">
        <v>45495</v>
      </c>
      <c r="D270">
        <f t="shared" si="40"/>
        <v>0</v>
      </c>
      <c r="E270" t="str">
        <f t="shared" si="41"/>
        <v>OK</v>
      </c>
      <c r="F270" t="s">
        <v>1546</v>
      </c>
      <c r="G270" t="s">
        <v>113</v>
      </c>
      <c r="H270" t="s">
        <v>23</v>
      </c>
      <c r="I270" t="s">
        <v>53</v>
      </c>
      <c r="J270" t="s">
        <v>174</v>
      </c>
      <c r="K270" t="s">
        <v>175</v>
      </c>
      <c r="L270" t="s">
        <v>73</v>
      </c>
      <c r="M270" t="s">
        <v>74</v>
      </c>
      <c r="N270" t="s">
        <v>1547</v>
      </c>
      <c r="O270" t="s">
        <v>30</v>
      </c>
      <c r="P270">
        <v>3</v>
      </c>
      <c r="Q270">
        <v>1286.22</v>
      </c>
      <c r="R270">
        <v>0.25</v>
      </c>
      <c r="S270" t="str">
        <f t="shared" si="42"/>
        <v>OK</v>
      </c>
      <c r="T270">
        <v>2893.99</v>
      </c>
      <c r="U270">
        <v>1856.03</v>
      </c>
      <c r="V270">
        <v>1037.96</v>
      </c>
      <c r="W270" t="s">
        <v>31</v>
      </c>
      <c r="X270" t="s">
        <v>32</v>
      </c>
      <c r="Y270" t="str">
        <f>IF(COUNTIF($A$2:$A$901,A270)&gt;1,
  IF(COUNTIF($A$2:A270,A270)=1,
    " ORIGINAL",
    "CONFLICTING DUPLICATE - REVIEW"),
"OK")</f>
        <v>OK</v>
      </c>
      <c r="Z270">
        <f t="shared" si="43"/>
        <v>0.25</v>
      </c>
      <c r="AA270">
        <f t="shared" si="44"/>
        <v>2894</v>
      </c>
      <c r="AB270">
        <f t="shared" si="45"/>
        <v>1037.97</v>
      </c>
      <c r="AC270">
        <f t="shared" si="46"/>
        <v>0.35870000000000002</v>
      </c>
      <c r="AD270">
        <f t="shared" si="47"/>
        <v>7</v>
      </c>
      <c r="AE270">
        <f t="shared" si="48"/>
        <v>2024</v>
      </c>
      <c r="AF270" t="str">
        <f t="shared" si="49"/>
        <v>CLEAN</v>
      </c>
    </row>
    <row r="271" spans="1:32">
      <c r="A271" t="s">
        <v>1548</v>
      </c>
      <c r="B271" s="10">
        <v>45651</v>
      </c>
      <c r="C271" s="10">
        <v>45651</v>
      </c>
      <c r="D271">
        <f t="shared" si="40"/>
        <v>0</v>
      </c>
      <c r="E271" t="str">
        <f t="shared" si="41"/>
        <v>OK</v>
      </c>
      <c r="F271" t="s">
        <v>1549</v>
      </c>
      <c r="G271" t="s">
        <v>35</v>
      </c>
      <c r="H271" t="s">
        <v>89</v>
      </c>
      <c r="I271" t="s">
        <v>37</v>
      </c>
      <c r="J271" t="s">
        <v>144</v>
      </c>
      <c r="K271" t="s">
        <v>145</v>
      </c>
      <c r="L271" t="s">
        <v>73</v>
      </c>
      <c r="M271" t="s">
        <v>79</v>
      </c>
      <c r="N271" t="s">
        <v>1550</v>
      </c>
      <c r="O271" t="s">
        <v>58</v>
      </c>
      <c r="P271">
        <v>1</v>
      </c>
      <c r="Q271">
        <v>829.66</v>
      </c>
      <c r="R271">
        <v>0.15</v>
      </c>
      <c r="S271" t="str">
        <f t="shared" si="42"/>
        <v>OK</v>
      </c>
      <c r="T271">
        <v>705.21</v>
      </c>
      <c r="U271">
        <v>438.32</v>
      </c>
      <c r="V271">
        <v>266.89</v>
      </c>
      <c r="W271" t="s">
        <v>31</v>
      </c>
      <c r="X271" t="s">
        <v>32</v>
      </c>
      <c r="Y271" t="str">
        <f>IF(COUNTIF($A$2:$A$901,A271)&gt;1,
  IF(COUNTIF($A$2:A271,A271)=1,
    " ORIGINAL",
    "CONFLICTING DUPLICATE - REVIEW"),
"OK")</f>
        <v>OK</v>
      </c>
      <c r="Z271">
        <f t="shared" si="43"/>
        <v>0.15</v>
      </c>
      <c r="AA271">
        <f t="shared" si="44"/>
        <v>705.21</v>
      </c>
      <c r="AB271">
        <f t="shared" si="45"/>
        <v>266.89</v>
      </c>
      <c r="AC271">
        <f t="shared" si="46"/>
        <v>0.3785</v>
      </c>
      <c r="AD271">
        <f t="shared" si="47"/>
        <v>12</v>
      </c>
      <c r="AE271">
        <f t="shared" si="48"/>
        <v>2024</v>
      </c>
      <c r="AF271" t="str">
        <f t="shared" si="49"/>
        <v>CLEAN</v>
      </c>
    </row>
    <row r="272" spans="1:32">
      <c r="A272" t="s">
        <v>1551</v>
      </c>
      <c r="B272" s="10">
        <v>45654</v>
      </c>
      <c r="C272" s="10">
        <v>45657</v>
      </c>
      <c r="D272">
        <f t="shared" si="40"/>
        <v>3</v>
      </c>
      <c r="E272" t="str">
        <f t="shared" si="41"/>
        <v>OK</v>
      </c>
      <c r="F272" t="s">
        <v>1552</v>
      </c>
      <c r="G272" t="s">
        <v>35</v>
      </c>
      <c r="H272" t="s">
        <v>36</v>
      </c>
      <c r="I272" t="s">
        <v>53</v>
      </c>
      <c r="J272" t="s">
        <v>83</v>
      </c>
      <c r="K272" t="s">
        <v>84</v>
      </c>
      <c r="L272" t="s">
        <v>40</v>
      </c>
      <c r="M272" t="s">
        <v>56</v>
      </c>
      <c r="N272" t="s">
        <v>1553</v>
      </c>
      <c r="O272" t="s">
        <v>49</v>
      </c>
      <c r="P272">
        <v>6</v>
      </c>
      <c r="Q272">
        <v>3641.22</v>
      </c>
      <c r="R272">
        <v>0.25</v>
      </c>
      <c r="S272" t="str">
        <f t="shared" si="42"/>
        <v>OK</v>
      </c>
      <c r="T272">
        <v>16385.490000000002</v>
      </c>
      <c r="U272">
        <v>13679.24</v>
      </c>
      <c r="V272">
        <v>2706.25</v>
      </c>
      <c r="W272" t="s">
        <v>31</v>
      </c>
      <c r="X272" t="s">
        <v>32</v>
      </c>
      <c r="Y272" t="str">
        <f>IF(COUNTIF($A$2:$A$901,A272)&gt;1,
  IF(COUNTIF($A$2:A272,A272)=1,
    " ORIGINAL",
    "CONFLICTING DUPLICATE - REVIEW"),
"OK")</f>
        <v>OK</v>
      </c>
      <c r="Z272">
        <f t="shared" si="43"/>
        <v>0.25</v>
      </c>
      <c r="AA272">
        <f t="shared" si="44"/>
        <v>16385.490000000002</v>
      </c>
      <c r="AB272">
        <f t="shared" si="45"/>
        <v>2706.25</v>
      </c>
      <c r="AC272">
        <f t="shared" si="46"/>
        <v>0.16520000000000001</v>
      </c>
      <c r="AD272">
        <f t="shared" si="47"/>
        <v>12</v>
      </c>
      <c r="AE272">
        <f t="shared" si="48"/>
        <v>2024</v>
      </c>
      <c r="AF272" t="str">
        <f t="shared" si="49"/>
        <v>CLEAN</v>
      </c>
    </row>
    <row r="273" spans="1:32">
      <c r="A273" t="s">
        <v>1563</v>
      </c>
      <c r="B273" s="10">
        <v>45579</v>
      </c>
      <c r="C273" s="10">
        <v>45585</v>
      </c>
      <c r="D273">
        <f t="shared" si="40"/>
        <v>6</v>
      </c>
      <c r="E273" t="str">
        <f t="shared" si="41"/>
        <v>OK</v>
      </c>
      <c r="F273" t="s">
        <v>1564</v>
      </c>
      <c r="G273" t="s">
        <v>88</v>
      </c>
      <c r="H273" t="s">
        <v>36</v>
      </c>
      <c r="I273" t="s">
        <v>24</v>
      </c>
      <c r="J273" t="s">
        <v>25</v>
      </c>
      <c r="K273" t="s">
        <v>26</v>
      </c>
      <c r="L273" t="s">
        <v>40</v>
      </c>
      <c r="M273" t="s">
        <v>41</v>
      </c>
      <c r="N273" t="s">
        <v>1565</v>
      </c>
      <c r="O273" t="s">
        <v>43</v>
      </c>
      <c r="P273">
        <v>7</v>
      </c>
      <c r="Q273">
        <v>1547.6</v>
      </c>
      <c r="R273">
        <v>0.2</v>
      </c>
      <c r="S273" t="str">
        <f t="shared" si="42"/>
        <v>OK</v>
      </c>
      <c r="T273">
        <v>8666.56</v>
      </c>
      <c r="U273">
        <v>5967.44</v>
      </c>
      <c r="V273">
        <v>2699.12</v>
      </c>
      <c r="W273" t="s">
        <v>31</v>
      </c>
      <c r="X273" t="s">
        <v>32</v>
      </c>
      <c r="Y273" t="str">
        <f>IF(COUNTIF($A$2:$A$901,A273)&gt;1,
  IF(COUNTIF($A$2:A273,A273)=1,
    " ORIGINAL",
    "CONFLICTING DUPLICATE - REVIEW"),
"OK")</f>
        <v>OK</v>
      </c>
      <c r="Z273">
        <f t="shared" si="43"/>
        <v>0.2</v>
      </c>
      <c r="AA273">
        <f t="shared" si="44"/>
        <v>8666.56</v>
      </c>
      <c r="AB273">
        <f t="shared" si="45"/>
        <v>2699.12</v>
      </c>
      <c r="AC273">
        <f t="shared" si="46"/>
        <v>0.31140000000000001</v>
      </c>
      <c r="AD273">
        <f t="shared" si="47"/>
        <v>10</v>
      </c>
      <c r="AE273">
        <f t="shared" si="48"/>
        <v>2024</v>
      </c>
      <c r="AF273" t="str">
        <f t="shared" si="49"/>
        <v>CLEAN</v>
      </c>
    </row>
    <row r="274" spans="1:32">
      <c r="A274" t="s">
        <v>1566</v>
      </c>
      <c r="B274" s="10">
        <v>45329</v>
      </c>
      <c r="C274" s="10">
        <v>45334</v>
      </c>
      <c r="D274">
        <f t="shared" si="40"/>
        <v>5</v>
      </c>
      <c r="E274" t="str">
        <f t="shared" si="41"/>
        <v>OK</v>
      </c>
      <c r="F274" t="s">
        <v>1567</v>
      </c>
      <c r="G274" t="s">
        <v>52</v>
      </c>
      <c r="H274" t="s">
        <v>94</v>
      </c>
      <c r="I274" t="s">
        <v>37</v>
      </c>
      <c r="J274" t="s">
        <v>98</v>
      </c>
      <c r="K274" t="s">
        <v>99</v>
      </c>
      <c r="L274" t="s">
        <v>73</v>
      </c>
      <c r="M274" t="s">
        <v>74</v>
      </c>
      <c r="N274" t="s">
        <v>1568</v>
      </c>
      <c r="O274" t="s">
        <v>30</v>
      </c>
      <c r="P274">
        <v>1</v>
      </c>
      <c r="Q274">
        <v>452.19</v>
      </c>
      <c r="R274">
        <v>0.2</v>
      </c>
      <c r="S274" t="str">
        <f t="shared" si="42"/>
        <v>OK</v>
      </c>
      <c r="T274">
        <v>361.75</v>
      </c>
      <c r="U274">
        <v>262.52999999999997</v>
      </c>
      <c r="V274">
        <v>99.22</v>
      </c>
      <c r="W274" t="s">
        <v>31</v>
      </c>
      <c r="X274" t="s">
        <v>32</v>
      </c>
      <c r="Y274" t="str">
        <f>IF(COUNTIF($A$2:$A$901,A274)&gt;1,
  IF(COUNTIF($A$2:A274,A274)=1,
    " ORIGINAL",
    "CONFLICTING DUPLICATE - REVIEW"),
"OK")</f>
        <v>OK</v>
      </c>
      <c r="Z274">
        <f t="shared" si="43"/>
        <v>0.2</v>
      </c>
      <c r="AA274">
        <f t="shared" si="44"/>
        <v>361.75</v>
      </c>
      <c r="AB274">
        <f t="shared" si="45"/>
        <v>99.22</v>
      </c>
      <c r="AC274">
        <f t="shared" si="46"/>
        <v>0.27429999999999999</v>
      </c>
      <c r="AD274">
        <f t="shared" si="47"/>
        <v>2</v>
      </c>
      <c r="AE274">
        <f t="shared" si="48"/>
        <v>2024</v>
      </c>
      <c r="AF274" t="str">
        <f t="shared" si="49"/>
        <v>CLEAN</v>
      </c>
    </row>
    <row r="275" spans="1:32">
      <c r="A275" t="s">
        <v>1569</v>
      </c>
      <c r="B275" s="10">
        <v>45551</v>
      </c>
      <c r="C275" s="10">
        <v>45554</v>
      </c>
      <c r="D275">
        <f t="shared" si="40"/>
        <v>3</v>
      </c>
      <c r="E275" t="str">
        <f t="shared" si="41"/>
        <v>OK</v>
      </c>
      <c r="F275" t="s">
        <v>1570</v>
      </c>
      <c r="G275" t="s">
        <v>88</v>
      </c>
      <c r="H275" t="s">
        <v>23</v>
      </c>
      <c r="I275" t="s">
        <v>62</v>
      </c>
      <c r="J275" t="s">
        <v>25</v>
      </c>
      <c r="K275" t="s">
        <v>108</v>
      </c>
      <c r="L275" t="s">
        <v>27</v>
      </c>
      <c r="M275" t="s">
        <v>152</v>
      </c>
      <c r="N275" t="s">
        <v>1571</v>
      </c>
      <c r="O275" t="s">
        <v>49</v>
      </c>
      <c r="P275">
        <v>7</v>
      </c>
      <c r="Q275">
        <v>406.42</v>
      </c>
      <c r="R275">
        <v>0.15</v>
      </c>
      <c r="S275" t="str">
        <f t="shared" si="42"/>
        <v>OK</v>
      </c>
      <c r="T275">
        <v>2418.1999999999998</v>
      </c>
      <c r="U275">
        <v>1613.82</v>
      </c>
      <c r="V275">
        <v>804.38</v>
      </c>
      <c r="W275" t="s">
        <v>31</v>
      </c>
      <c r="X275" t="s">
        <v>32</v>
      </c>
      <c r="Y275" t="str">
        <f>IF(COUNTIF($A$2:$A$901,A275)&gt;1,
  IF(COUNTIF($A$2:A275,A275)=1,
    " ORIGINAL",
    "CONFLICTING DUPLICATE - REVIEW"),
"OK")</f>
        <v>OK</v>
      </c>
      <c r="Z275">
        <f t="shared" si="43"/>
        <v>0.15</v>
      </c>
      <c r="AA275">
        <f t="shared" si="44"/>
        <v>2418.1999999999998</v>
      </c>
      <c r="AB275">
        <f t="shared" si="45"/>
        <v>804.38</v>
      </c>
      <c r="AC275">
        <f t="shared" si="46"/>
        <v>0.33260000000000001</v>
      </c>
      <c r="AD275">
        <f t="shared" si="47"/>
        <v>9</v>
      </c>
      <c r="AE275">
        <f t="shared" si="48"/>
        <v>2024</v>
      </c>
      <c r="AF275" t="str">
        <f t="shared" si="49"/>
        <v>CLEAN</v>
      </c>
    </row>
    <row r="276" spans="1:32">
      <c r="A276" t="s">
        <v>1581</v>
      </c>
      <c r="B276" s="10">
        <v>45610</v>
      </c>
      <c r="C276" s="10">
        <v>45618</v>
      </c>
      <c r="D276">
        <f t="shared" si="40"/>
        <v>8</v>
      </c>
      <c r="E276" t="str">
        <f t="shared" si="41"/>
        <v>OK</v>
      </c>
      <c r="F276" t="s">
        <v>1582</v>
      </c>
      <c r="G276" t="s">
        <v>46</v>
      </c>
      <c r="H276" t="s">
        <v>23</v>
      </c>
      <c r="I276" t="s">
        <v>62</v>
      </c>
      <c r="J276" t="s">
        <v>71</v>
      </c>
      <c r="K276" t="s">
        <v>72</v>
      </c>
      <c r="L276" t="s">
        <v>73</v>
      </c>
      <c r="M276" t="s">
        <v>170</v>
      </c>
      <c r="N276" t="s">
        <v>1583</v>
      </c>
      <c r="O276" t="s">
        <v>58</v>
      </c>
      <c r="P276">
        <v>3</v>
      </c>
      <c r="Q276">
        <v>671.68</v>
      </c>
      <c r="R276">
        <v>-0.13</v>
      </c>
      <c r="S276" t="str">
        <f t="shared" si="42"/>
        <v>INVALID-NEGATIVE</v>
      </c>
      <c r="T276">
        <v>1712.78</v>
      </c>
      <c r="U276">
        <v>1569.38</v>
      </c>
      <c r="V276">
        <v>360.66</v>
      </c>
      <c r="W276" t="s">
        <v>154</v>
      </c>
      <c r="X276" t="s">
        <v>67</v>
      </c>
      <c r="Y276" t="str">
        <f>IF(COUNTIF($A$2:$A$901,A276)&gt;1,
  IF(COUNTIF($A$2:A276,A276)=1,
    " ORIGINAL",
    "CONFLICTING DUPLICATE - REVIEW"),
"OK")</f>
        <v>OK</v>
      </c>
      <c r="Z276">
        <f t="shared" si="43"/>
        <v>0</v>
      </c>
      <c r="AA276">
        <f t="shared" si="44"/>
        <v>2015.04</v>
      </c>
      <c r="AB276">
        <f t="shared" si="45"/>
        <v>445.66</v>
      </c>
      <c r="AC276">
        <f t="shared" si="46"/>
        <v>0.22120000000000001</v>
      </c>
      <c r="AD276">
        <f t="shared" si="47"/>
        <v>11</v>
      </c>
      <c r="AE276">
        <f t="shared" si="48"/>
        <v>2024</v>
      </c>
      <c r="AF276" t="str">
        <f t="shared" si="49"/>
        <v>INVALID</v>
      </c>
    </row>
    <row r="277" spans="1:32">
      <c r="A277" t="s">
        <v>1584</v>
      </c>
      <c r="B277" s="10">
        <v>45421</v>
      </c>
      <c r="C277" s="10">
        <v>45427</v>
      </c>
      <c r="D277">
        <f t="shared" si="40"/>
        <v>6</v>
      </c>
      <c r="E277" t="str">
        <f t="shared" si="41"/>
        <v>OK</v>
      </c>
      <c r="F277" t="s">
        <v>1585</v>
      </c>
      <c r="G277" t="s">
        <v>35</v>
      </c>
      <c r="H277" t="s">
        <v>36</v>
      </c>
      <c r="I277" t="s">
        <v>37</v>
      </c>
      <c r="J277" t="s">
        <v>165</v>
      </c>
      <c r="K277" t="s">
        <v>166</v>
      </c>
      <c r="L277" t="s">
        <v>73</v>
      </c>
      <c r="M277" t="s">
        <v>170</v>
      </c>
      <c r="N277" t="s">
        <v>1586</v>
      </c>
      <c r="O277" t="s">
        <v>30</v>
      </c>
      <c r="P277">
        <v>4</v>
      </c>
      <c r="Q277">
        <v>995.98</v>
      </c>
      <c r="R277">
        <v>0.05</v>
      </c>
      <c r="S277" t="str">
        <f t="shared" si="42"/>
        <v>OK</v>
      </c>
      <c r="T277">
        <v>3784.72</v>
      </c>
      <c r="U277">
        <v>2419.2399999999998</v>
      </c>
      <c r="V277">
        <v>1365.48</v>
      </c>
      <c r="W277" t="s">
        <v>101</v>
      </c>
      <c r="X277" t="s">
        <v>102</v>
      </c>
      <c r="Y277" t="str">
        <f>IF(COUNTIF($A$2:$A$901,A277)&gt;1,
  IF(COUNTIF($A$2:A277,A277)=1,
    " ORIGINAL",
    "CONFLICTING DUPLICATE - REVIEW"),
"OK")</f>
        <v>OK</v>
      </c>
      <c r="Z277">
        <f t="shared" si="43"/>
        <v>0.05</v>
      </c>
      <c r="AA277">
        <f t="shared" si="44"/>
        <v>3784.72</v>
      </c>
      <c r="AB277">
        <f t="shared" si="45"/>
        <v>1365.48</v>
      </c>
      <c r="AC277">
        <f t="shared" si="46"/>
        <v>0.36080000000000001</v>
      </c>
      <c r="AD277">
        <f t="shared" si="47"/>
        <v>5</v>
      </c>
      <c r="AE277">
        <f t="shared" si="48"/>
        <v>2024</v>
      </c>
      <c r="AF277" t="str">
        <f t="shared" si="49"/>
        <v>CLEAN</v>
      </c>
    </row>
    <row r="278" spans="1:32">
      <c r="A278" t="s">
        <v>1590</v>
      </c>
      <c r="B278" s="10">
        <v>45533</v>
      </c>
      <c r="C278" s="10">
        <v>45533</v>
      </c>
      <c r="D278">
        <f t="shared" si="40"/>
        <v>0</v>
      </c>
      <c r="E278" t="str">
        <f t="shared" si="41"/>
        <v>OK</v>
      </c>
      <c r="F278" t="s">
        <v>1591</v>
      </c>
      <c r="G278" t="s">
        <v>131</v>
      </c>
      <c r="H278" t="s">
        <v>36</v>
      </c>
      <c r="I278" t="s">
        <v>24</v>
      </c>
      <c r="J278" t="s">
        <v>135</v>
      </c>
      <c r="K278" t="s">
        <v>136</v>
      </c>
      <c r="L278" t="s">
        <v>73</v>
      </c>
      <c r="M278" t="s">
        <v>74</v>
      </c>
      <c r="N278" t="s">
        <v>1592</v>
      </c>
      <c r="O278" t="s">
        <v>30</v>
      </c>
      <c r="P278">
        <v>1</v>
      </c>
      <c r="Q278">
        <v>3106.88</v>
      </c>
      <c r="R278">
        <v>0.2</v>
      </c>
      <c r="S278" t="str">
        <f t="shared" si="42"/>
        <v>OK</v>
      </c>
      <c r="T278">
        <v>2485.5</v>
      </c>
      <c r="U278">
        <v>2028.43</v>
      </c>
      <c r="V278">
        <v>457.07</v>
      </c>
      <c r="W278" t="s">
        <v>31</v>
      </c>
      <c r="X278" t="s">
        <v>67</v>
      </c>
      <c r="Y278" t="str">
        <f>IF(COUNTIF($A$2:$A$901,A278)&gt;1,
  IF(COUNTIF($A$2:A278,A278)=1,
    " ORIGINAL",
    "CONFLICTING DUPLICATE - REVIEW"),
"OK")</f>
        <v>OK</v>
      </c>
      <c r="Z278">
        <f t="shared" si="43"/>
        <v>0.2</v>
      </c>
      <c r="AA278">
        <f t="shared" si="44"/>
        <v>2485.5</v>
      </c>
      <c r="AB278">
        <f t="shared" si="45"/>
        <v>457.07</v>
      </c>
      <c r="AC278">
        <f t="shared" si="46"/>
        <v>0.18390000000000001</v>
      </c>
      <c r="AD278">
        <f t="shared" si="47"/>
        <v>8</v>
      </c>
      <c r="AE278">
        <f t="shared" si="48"/>
        <v>2024</v>
      </c>
      <c r="AF278" t="str">
        <f t="shared" si="49"/>
        <v>CLEAN</v>
      </c>
    </row>
    <row r="279" spans="1:32">
      <c r="A279" t="s">
        <v>1596</v>
      </c>
      <c r="B279" s="10">
        <v>45648</v>
      </c>
      <c r="C279" s="10">
        <v>45652</v>
      </c>
      <c r="D279">
        <f t="shared" si="40"/>
        <v>4</v>
      </c>
      <c r="E279" t="str">
        <f t="shared" si="41"/>
        <v>OK</v>
      </c>
      <c r="F279" t="s">
        <v>1597</v>
      </c>
      <c r="G279" t="s">
        <v>117</v>
      </c>
      <c r="H279" t="s">
        <v>94</v>
      </c>
      <c r="I279" t="s">
        <v>24</v>
      </c>
      <c r="J279" t="s">
        <v>135</v>
      </c>
      <c r="K279" t="s">
        <v>136</v>
      </c>
      <c r="L279" t="s">
        <v>40</v>
      </c>
      <c r="M279" t="s">
        <v>65</v>
      </c>
      <c r="N279" t="s">
        <v>1598</v>
      </c>
      <c r="O279" t="s">
        <v>58</v>
      </c>
      <c r="P279">
        <v>9</v>
      </c>
      <c r="Q279">
        <v>1110.8699999999999</v>
      </c>
      <c r="R279">
        <v>0</v>
      </c>
      <c r="S279" t="str">
        <f t="shared" si="42"/>
        <v>OK</v>
      </c>
      <c r="T279">
        <v>7498.37</v>
      </c>
      <c r="U279">
        <v>6059.07</v>
      </c>
      <c r="V279">
        <v>1439.3</v>
      </c>
      <c r="W279" t="s">
        <v>31</v>
      </c>
      <c r="X279" t="s">
        <v>67</v>
      </c>
      <c r="Y279" t="str">
        <f>IF(COUNTIF($A$2:$A$901,A279)&gt;1,
  IF(COUNTIF($A$2:A279,A279)=1,
    " ORIGINAL",
    "CONFLICTING DUPLICATE - REVIEW"),
"OK")</f>
        <v>OK</v>
      </c>
      <c r="Z279">
        <f t="shared" si="43"/>
        <v>0</v>
      </c>
      <c r="AA279">
        <f t="shared" si="44"/>
        <v>9997.83</v>
      </c>
      <c r="AB279">
        <f t="shared" si="45"/>
        <v>3938.76</v>
      </c>
      <c r="AC279">
        <f t="shared" si="46"/>
        <v>0.39400000000000002</v>
      </c>
      <c r="AD279">
        <f t="shared" si="47"/>
        <v>12</v>
      </c>
      <c r="AE279">
        <f t="shared" si="48"/>
        <v>2024</v>
      </c>
      <c r="AF279" t="str">
        <f t="shared" si="49"/>
        <v>CLEAN</v>
      </c>
    </row>
    <row r="280" spans="1:32">
      <c r="A280" t="s">
        <v>1599</v>
      </c>
      <c r="B280" s="10">
        <v>45429</v>
      </c>
      <c r="C280" s="10">
        <v>45434</v>
      </c>
      <c r="D280">
        <f t="shared" si="40"/>
        <v>5</v>
      </c>
      <c r="E280" t="str">
        <f t="shared" si="41"/>
        <v>OK</v>
      </c>
      <c r="F280" t="s">
        <v>1600</v>
      </c>
      <c r="G280" t="s">
        <v>131</v>
      </c>
      <c r="H280" t="s">
        <v>23</v>
      </c>
      <c r="I280" t="s">
        <v>53</v>
      </c>
      <c r="J280" t="s">
        <v>184</v>
      </c>
      <c r="K280" t="s">
        <v>185</v>
      </c>
      <c r="L280" t="s">
        <v>73</v>
      </c>
      <c r="M280" t="s">
        <v>170</v>
      </c>
      <c r="N280" t="s">
        <v>1601</v>
      </c>
      <c r="O280" t="s">
        <v>43</v>
      </c>
      <c r="P280">
        <v>9</v>
      </c>
      <c r="Q280">
        <v>3795.99</v>
      </c>
      <c r="R280" t="s">
        <v>766</v>
      </c>
      <c r="S280" t="str">
        <f t="shared" si="42"/>
        <v>INVALID-ABOVE</v>
      </c>
      <c r="T280">
        <v>34163.910000000003</v>
      </c>
      <c r="U280">
        <v>28577.15</v>
      </c>
      <c r="V280">
        <v>5586.76</v>
      </c>
      <c r="W280" t="s">
        <v>31</v>
      </c>
      <c r="X280" t="s">
        <v>32</v>
      </c>
      <c r="Y280" t="str">
        <f>IF(COUNTIF($A$2:$A$901,A280)&gt;1,
  IF(COUNTIF($A$2:A280,A280)=1,
    " ORIGINAL",
    "CONFLICTING DUPLICATE - REVIEW"),
"OK")</f>
        <v>OK</v>
      </c>
      <c r="Z280">
        <f t="shared" si="43"/>
        <v>0.85</v>
      </c>
      <c r="AA280">
        <f t="shared" si="44"/>
        <v>5124.59</v>
      </c>
      <c r="AB280">
        <f t="shared" si="45"/>
        <v>-23452.560000000001</v>
      </c>
      <c r="AC280">
        <f t="shared" si="46"/>
        <v>-4.5765000000000002</v>
      </c>
      <c r="AD280">
        <f t="shared" si="47"/>
        <v>5</v>
      </c>
      <c r="AE280">
        <f t="shared" si="48"/>
        <v>2024</v>
      </c>
      <c r="AF280" t="str">
        <f t="shared" si="49"/>
        <v>INVALID</v>
      </c>
    </row>
    <row r="281" spans="1:32">
      <c r="A281" t="s">
        <v>1602</v>
      </c>
      <c r="B281" s="10">
        <v>45515</v>
      </c>
      <c r="C281" s="10">
        <v>45521</v>
      </c>
      <c r="D281">
        <f t="shared" si="40"/>
        <v>6</v>
      </c>
      <c r="E281" t="str">
        <f t="shared" si="41"/>
        <v>OK</v>
      </c>
      <c r="F281" t="s">
        <v>807</v>
      </c>
      <c r="G281" t="s">
        <v>78</v>
      </c>
      <c r="H281" t="s">
        <v>23</v>
      </c>
      <c r="I281" t="s">
        <v>37</v>
      </c>
      <c r="J281" t="s">
        <v>227</v>
      </c>
      <c r="K281" t="s">
        <v>228</v>
      </c>
      <c r="L281" t="s">
        <v>27</v>
      </c>
      <c r="M281" t="s">
        <v>47</v>
      </c>
      <c r="N281" t="s">
        <v>1603</v>
      </c>
      <c r="O281" t="s">
        <v>30</v>
      </c>
      <c r="P281">
        <v>6</v>
      </c>
      <c r="Q281">
        <v>3497.54</v>
      </c>
      <c r="R281">
        <v>0.15</v>
      </c>
      <c r="S281" t="str">
        <f t="shared" si="42"/>
        <v>OK</v>
      </c>
      <c r="T281">
        <v>17837.45</v>
      </c>
      <c r="U281">
        <v>13627.02</v>
      </c>
      <c r="V281">
        <v>4210.43</v>
      </c>
      <c r="W281" t="s">
        <v>31</v>
      </c>
      <c r="X281" t="s">
        <v>32</v>
      </c>
      <c r="Y281" t="str">
        <f>IF(COUNTIF($A$2:$A$901,A281)&gt;1,
  IF(COUNTIF($A$2:A281,A281)=1,
    " ORIGINAL",
    "CONFLICTING DUPLICATE - REVIEW"),
"OK")</f>
        <v>OK</v>
      </c>
      <c r="Z281">
        <f t="shared" si="43"/>
        <v>0.15</v>
      </c>
      <c r="AA281">
        <f t="shared" si="44"/>
        <v>17837.45</v>
      </c>
      <c r="AB281">
        <f t="shared" si="45"/>
        <v>4210.43</v>
      </c>
      <c r="AC281">
        <f t="shared" si="46"/>
        <v>0.23599999999999999</v>
      </c>
      <c r="AD281">
        <f t="shared" si="47"/>
        <v>8</v>
      </c>
      <c r="AE281">
        <f t="shared" si="48"/>
        <v>2024</v>
      </c>
      <c r="AF281" t="str">
        <f t="shared" si="49"/>
        <v>CLEAN</v>
      </c>
    </row>
    <row r="282" spans="1:32">
      <c r="A282" t="s">
        <v>1604</v>
      </c>
      <c r="B282" s="10">
        <v>45383</v>
      </c>
      <c r="C282" s="10">
        <v>45391</v>
      </c>
      <c r="D282">
        <f t="shared" si="40"/>
        <v>8</v>
      </c>
      <c r="E282" t="str">
        <f t="shared" si="41"/>
        <v>OK</v>
      </c>
      <c r="F282" t="s">
        <v>1605</v>
      </c>
      <c r="G282" t="s">
        <v>113</v>
      </c>
      <c r="H282" t="s">
        <v>36</v>
      </c>
      <c r="I282" t="s">
        <v>37</v>
      </c>
      <c r="J282" t="s">
        <v>38</v>
      </c>
      <c r="K282" t="s">
        <v>39</v>
      </c>
      <c r="L282" t="s">
        <v>73</v>
      </c>
      <c r="M282" t="s">
        <v>79</v>
      </c>
      <c r="N282" t="s">
        <v>1606</v>
      </c>
      <c r="O282" t="s">
        <v>30</v>
      </c>
      <c r="P282">
        <v>6</v>
      </c>
      <c r="Q282">
        <v>826.93</v>
      </c>
      <c r="R282">
        <v>0.1</v>
      </c>
      <c r="S282" t="str">
        <f t="shared" si="42"/>
        <v>OK</v>
      </c>
      <c r="T282">
        <v>4465.42</v>
      </c>
      <c r="U282">
        <v>3377.1</v>
      </c>
      <c r="V282">
        <v>1088.32</v>
      </c>
      <c r="W282" t="s">
        <v>31</v>
      </c>
      <c r="X282" t="s">
        <v>32</v>
      </c>
      <c r="Y282" t="str">
        <f>IF(COUNTIF($A$2:$A$901,A282)&gt;1,
  IF(COUNTIF($A$2:A282,A282)=1,
    " ORIGINAL",
    "CONFLICTING DUPLICATE - REVIEW"),
"OK")</f>
        <v>OK</v>
      </c>
      <c r="Z282">
        <f t="shared" si="43"/>
        <v>0.1</v>
      </c>
      <c r="AA282">
        <f t="shared" si="44"/>
        <v>4465.42</v>
      </c>
      <c r="AB282">
        <f t="shared" si="45"/>
        <v>1088.32</v>
      </c>
      <c r="AC282">
        <f t="shared" si="46"/>
        <v>0.2437</v>
      </c>
      <c r="AD282">
        <f t="shared" si="47"/>
        <v>4</v>
      </c>
      <c r="AE282">
        <f t="shared" si="48"/>
        <v>2024</v>
      </c>
      <c r="AF282" t="str">
        <f t="shared" si="49"/>
        <v>CLEAN</v>
      </c>
    </row>
    <row r="283" spans="1:32">
      <c r="A283" t="s">
        <v>1607</v>
      </c>
      <c r="B283" s="10">
        <v>45563</v>
      </c>
      <c r="C283" s="10">
        <v>45570</v>
      </c>
      <c r="D283">
        <f t="shared" si="40"/>
        <v>7</v>
      </c>
      <c r="E283" t="str">
        <f t="shared" si="41"/>
        <v>OK</v>
      </c>
      <c r="F283" t="s">
        <v>1608</v>
      </c>
      <c r="G283" t="s">
        <v>127</v>
      </c>
      <c r="H283" t="s">
        <v>23</v>
      </c>
      <c r="I283" t="s">
        <v>53</v>
      </c>
      <c r="J283" t="s">
        <v>246</v>
      </c>
      <c r="K283" t="s">
        <v>247</v>
      </c>
      <c r="L283" t="s">
        <v>73</v>
      </c>
      <c r="M283" t="s">
        <v>170</v>
      </c>
      <c r="N283" t="s">
        <v>1609</v>
      </c>
      <c r="O283" t="s">
        <v>58</v>
      </c>
      <c r="P283">
        <v>7</v>
      </c>
      <c r="Q283">
        <v>1681.6</v>
      </c>
      <c r="R283">
        <v>0.1</v>
      </c>
      <c r="S283" t="str">
        <f t="shared" si="42"/>
        <v>OK</v>
      </c>
      <c r="T283">
        <v>10594.08</v>
      </c>
      <c r="U283">
        <v>7160.31</v>
      </c>
      <c r="V283">
        <v>3433.77</v>
      </c>
      <c r="W283" t="s">
        <v>31</v>
      </c>
      <c r="X283" t="s">
        <v>32</v>
      </c>
      <c r="Y283" t="str">
        <f>IF(COUNTIF($A$2:$A$901,A283)&gt;1,
  IF(COUNTIF($A$2:A283,A283)=1,
    " ORIGINAL",
    "CONFLICTING DUPLICATE - REVIEW"),
"OK")</f>
        <v>OK</v>
      </c>
      <c r="Z283">
        <f t="shared" si="43"/>
        <v>0.1</v>
      </c>
      <c r="AA283">
        <f t="shared" si="44"/>
        <v>10594.08</v>
      </c>
      <c r="AB283">
        <f t="shared" si="45"/>
        <v>3433.77</v>
      </c>
      <c r="AC283">
        <f t="shared" si="46"/>
        <v>0.3241</v>
      </c>
      <c r="AD283">
        <f t="shared" si="47"/>
        <v>9</v>
      </c>
      <c r="AE283">
        <f t="shared" si="48"/>
        <v>2024</v>
      </c>
      <c r="AF283" t="str">
        <f t="shared" si="49"/>
        <v>CLEAN</v>
      </c>
    </row>
    <row r="284" spans="1:32">
      <c r="A284" t="s">
        <v>1613</v>
      </c>
      <c r="B284" s="10">
        <v>45605</v>
      </c>
      <c r="C284" s="10">
        <v>45610</v>
      </c>
      <c r="D284">
        <f t="shared" si="40"/>
        <v>5</v>
      </c>
      <c r="E284" t="str">
        <f t="shared" si="41"/>
        <v>OK</v>
      </c>
      <c r="F284" t="s">
        <v>1614</v>
      </c>
      <c r="G284" t="s">
        <v>78</v>
      </c>
      <c r="H284" t="s">
        <v>89</v>
      </c>
      <c r="I284" t="s">
        <v>62</v>
      </c>
      <c r="J284" t="s">
        <v>71</v>
      </c>
      <c r="K284" t="s">
        <v>72</v>
      </c>
      <c r="L284" t="s">
        <v>27</v>
      </c>
      <c r="M284" t="s">
        <v>47</v>
      </c>
      <c r="N284" t="s">
        <v>1615</v>
      </c>
      <c r="O284" t="s">
        <v>49</v>
      </c>
      <c r="P284">
        <v>9</v>
      </c>
      <c r="Q284">
        <v>2438.29</v>
      </c>
      <c r="R284">
        <v>0.2</v>
      </c>
      <c r="S284" t="str">
        <f t="shared" si="42"/>
        <v>OK</v>
      </c>
      <c r="T284">
        <v>17555.689999999999</v>
      </c>
      <c r="U284">
        <v>13293.2</v>
      </c>
      <c r="V284">
        <v>4262.49</v>
      </c>
      <c r="W284" t="s">
        <v>31</v>
      </c>
      <c r="X284" t="s">
        <v>67</v>
      </c>
      <c r="Y284" t="str">
        <f>IF(COUNTIF($A$2:$A$901,A284)&gt;1,
  IF(COUNTIF($A$2:A284,A284)=1,
    " ORIGINAL",
    "CONFLICTING DUPLICATE - REVIEW"),
"OK")</f>
        <v>OK</v>
      </c>
      <c r="Z284">
        <f t="shared" si="43"/>
        <v>0.2</v>
      </c>
      <c r="AA284">
        <f t="shared" si="44"/>
        <v>17555.689999999999</v>
      </c>
      <c r="AB284">
        <f t="shared" si="45"/>
        <v>4262.49</v>
      </c>
      <c r="AC284">
        <f t="shared" si="46"/>
        <v>0.24279999999999999</v>
      </c>
      <c r="AD284">
        <f t="shared" si="47"/>
        <v>11</v>
      </c>
      <c r="AE284">
        <f t="shared" si="48"/>
        <v>2024</v>
      </c>
      <c r="AF284" t="str">
        <f t="shared" si="49"/>
        <v>CLEAN</v>
      </c>
    </row>
    <row r="285" spans="1:32">
      <c r="A285" t="s">
        <v>1616</v>
      </c>
      <c r="B285" s="10">
        <v>45641</v>
      </c>
      <c r="C285" s="10">
        <v>45641</v>
      </c>
      <c r="D285">
        <f t="shared" si="40"/>
        <v>0</v>
      </c>
      <c r="E285" t="str">
        <f t="shared" si="41"/>
        <v>OK</v>
      </c>
      <c r="F285" t="s">
        <v>1617</v>
      </c>
      <c r="G285" t="s">
        <v>127</v>
      </c>
      <c r="H285" t="s">
        <v>36</v>
      </c>
      <c r="I285" t="s">
        <v>24</v>
      </c>
      <c r="J285" t="s">
        <v>121</v>
      </c>
      <c r="K285" t="s">
        <v>122</v>
      </c>
      <c r="L285" t="s">
        <v>40</v>
      </c>
      <c r="M285" t="s">
        <v>56</v>
      </c>
      <c r="N285" t="s">
        <v>1618</v>
      </c>
      <c r="O285" t="s">
        <v>49</v>
      </c>
      <c r="P285">
        <v>2</v>
      </c>
      <c r="Q285">
        <v>669.8</v>
      </c>
      <c r="R285">
        <v>0.1</v>
      </c>
      <c r="S285" t="str">
        <f t="shared" si="42"/>
        <v>OK</v>
      </c>
      <c r="T285">
        <v>1205.6400000000001</v>
      </c>
      <c r="U285">
        <v>842.07</v>
      </c>
      <c r="V285">
        <v>363.57</v>
      </c>
      <c r="W285" t="s">
        <v>101</v>
      </c>
      <c r="X285" t="s">
        <v>102</v>
      </c>
      <c r="Y285" t="str">
        <f>IF(COUNTIF($A$2:$A$901,A285)&gt;1,
  IF(COUNTIF($A$2:A285,A285)=1,
    " ORIGINAL",
    "CONFLICTING DUPLICATE - REVIEW"),
"OK")</f>
        <v>OK</v>
      </c>
      <c r="Z285">
        <f t="shared" si="43"/>
        <v>0.1</v>
      </c>
      <c r="AA285">
        <f t="shared" si="44"/>
        <v>1205.6400000000001</v>
      </c>
      <c r="AB285">
        <f t="shared" si="45"/>
        <v>363.57</v>
      </c>
      <c r="AC285">
        <f t="shared" si="46"/>
        <v>0.30159999999999998</v>
      </c>
      <c r="AD285">
        <f t="shared" si="47"/>
        <v>12</v>
      </c>
      <c r="AE285">
        <f t="shared" si="48"/>
        <v>2024</v>
      </c>
      <c r="AF285" t="str">
        <f t="shared" si="49"/>
        <v>CLEAN</v>
      </c>
    </row>
    <row r="286" spans="1:32">
      <c r="A286" t="s">
        <v>1622</v>
      </c>
      <c r="B286" s="10">
        <v>45382</v>
      </c>
      <c r="C286" s="10">
        <v>45477</v>
      </c>
      <c r="D286">
        <f t="shared" si="40"/>
        <v>95</v>
      </c>
      <c r="E286" t="str">
        <f t="shared" si="41"/>
        <v>OK</v>
      </c>
      <c r="F286" t="s">
        <v>1623</v>
      </c>
      <c r="G286" t="s">
        <v>46</v>
      </c>
      <c r="H286" t="s">
        <v>36</v>
      </c>
      <c r="I286" t="s">
        <v>24</v>
      </c>
      <c r="J286" t="s">
        <v>235</v>
      </c>
      <c r="K286" t="s">
        <v>236</v>
      </c>
      <c r="L286" t="s">
        <v>73</v>
      </c>
      <c r="M286" t="s">
        <v>273</v>
      </c>
      <c r="N286" t="s">
        <v>1624</v>
      </c>
      <c r="O286" t="s">
        <v>30</v>
      </c>
      <c r="P286">
        <v>4</v>
      </c>
      <c r="Q286">
        <v>1831</v>
      </c>
      <c r="R286">
        <v>0</v>
      </c>
      <c r="S286" t="str">
        <f t="shared" si="42"/>
        <v>OK</v>
      </c>
      <c r="T286">
        <v>7324</v>
      </c>
      <c r="U286">
        <v>4179.63</v>
      </c>
      <c r="V286">
        <v>3144.37</v>
      </c>
      <c r="W286" t="s">
        <v>31</v>
      </c>
      <c r="X286" t="s">
        <v>32</v>
      </c>
      <c r="Y286" t="str">
        <f>IF(COUNTIF($A$2:$A$901,A286)&gt;1,
  IF(COUNTIF($A$2:A286,A286)=1,
    " ORIGINAL",
    "CONFLICTING DUPLICATE - REVIEW"),
"OK")</f>
        <v>OK</v>
      </c>
      <c r="Z286">
        <f t="shared" si="43"/>
        <v>0</v>
      </c>
      <c r="AA286">
        <f t="shared" si="44"/>
        <v>7324</v>
      </c>
      <c r="AB286">
        <f t="shared" si="45"/>
        <v>3144.37</v>
      </c>
      <c r="AC286">
        <f t="shared" si="46"/>
        <v>0.42930000000000001</v>
      </c>
      <c r="AD286">
        <f t="shared" si="47"/>
        <v>3</v>
      </c>
      <c r="AE286">
        <f t="shared" si="48"/>
        <v>2024</v>
      </c>
      <c r="AF286" t="str">
        <f t="shared" si="49"/>
        <v>CLEAN</v>
      </c>
    </row>
    <row r="287" spans="1:32">
      <c r="A287" t="s">
        <v>1628</v>
      </c>
      <c r="B287" s="10">
        <v>45583</v>
      </c>
      <c r="C287" s="10">
        <v>45586</v>
      </c>
      <c r="D287">
        <f t="shared" si="40"/>
        <v>3</v>
      </c>
      <c r="E287" t="str">
        <f t="shared" si="41"/>
        <v>OK</v>
      </c>
      <c r="F287" t="s">
        <v>1629</v>
      </c>
      <c r="G287" t="s">
        <v>127</v>
      </c>
      <c r="H287" t="s">
        <v>23</v>
      </c>
      <c r="I287" t="s">
        <v>53</v>
      </c>
      <c r="J287" t="s">
        <v>174</v>
      </c>
      <c r="K287" t="s">
        <v>175</v>
      </c>
      <c r="L287" t="s">
        <v>27</v>
      </c>
      <c r="M287" t="s">
        <v>123</v>
      </c>
      <c r="N287" t="s">
        <v>1630</v>
      </c>
      <c r="O287" t="s">
        <v>30</v>
      </c>
      <c r="P287">
        <v>2</v>
      </c>
      <c r="Q287">
        <v>4238.51</v>
      </c>
      <c r="R287">
        <v>0</v>
      </c>
      <c r="S287" t="str">
        <f t="shared" si="42"/>
        <v>OK</v>
      </c>
      <c r="T287">
        <v>8477.02</v>
      </c>
      <c r="U287">
        <v>6884.96</v>
      </c>
      <c r="V287">
        <v>1592.06</v>
      </c>
      <c r="W287" t="s">
        <v>31</v>
      </c>
      <c r="X287" t="s">
        <v>32</v>
      </c>
      <c r="Y287" t="str">
        <f>IF(COUNTIF($A$2:$A$901,A287)&gt;1,
  IF(COUNTIF($A$2:A287,A287)=1,
    " ORIGINAL",
    "CONFLICTING DUPLICATE - REVIEW"),
"OK")</f>
        <v>OK</v>
      </c>
      <c r="Z287">
        <f t="shared" si="43"/>
        <v>0</v>
      </c>
      <c r="AA287">
        <f t="shared" si="44"/>
        <v>8477.02</v>
      </c>
      <c r="AB287">
        <f t="shared" si="45"/>
        <v>1592.06</v>
      </c>
      <c r="AC287">
        <f t="shared" si="46"/>
        <v>0.18779999999999999</v>
      </c>
      <c r="AD287">
        <f t="shared" si="47"/>
        <v>10</v>
      </c>
      <c r="AE287">
        <f t="shared" si="48"/>
        <v>2024</v>
      </c>
      <c r="AF287" t="str">
        <f t="shared" si="49"/>
        <v>CLEAN</v>
      </c>
    </row>
    <row r="288" spans="1:32">
      <c r="A288" t="s">
        <v>1631</v>
      </c>
      <c r="B288" s="10">
        <v>45588</v>
      </c>
      <c r="C288" s="10">
        <v>45591</v>
      </c>
      <c r="D288">
        <f t="shared" si="40"/>
        <v>3</v>
      </c>
      <c r="E288" t="str">
        <f t="shared" si="41"/>
        <v>OK</v>
      </c>
      <c r="F288" t="s">
        <v>1632</v>
      </c>
      <c r="G288" t="s">
        <v>131</v>
      </c>
      <c r="H288" t="s">
        <v>23</v>
      </c>
      <c r="I288" t="s">
        <v>62</v>
      </c>
      <c r="J288" t="s">
        <v>71</v>
      </c>
      <c r="K288" t="s">
        <v>72</v>
      </c>
      <c r="L288" t="s">
        <v>40</v>
      </c>
      <c r="M288" t="s">
        <v>157</v>
      </c>
      <c r="N288" t="s">
        <v>1633</v>
      </c>
      <c r="O288" t="s">
        <v>58</v>
      </c>
      <c r="P288">
        <v>9</v>
      </c>
      <c r="Q288">
        <v>544.27</v>
      </c>
      <c r="R288">
        <v>0.25</v>
      </c>
      <c r="S288" t="str">
        <f t="shared" si="42"/>
        <v>OK</v>
      </c>
      <c r="T288">
        <v>3673.82</v>
      </c>
      <c r="U288">
        <v>2088.15</v>
      </c>
      <c r="V288">
        <v>1585.67</v>
      </c>
      <c r="W288" t="s">
        <v>31</v>
      </c>
      <c r="X288" t="s">
        <v>32</v>
      </c>
      <c r="Y288" t="str">
        <f>IF(COUNTIF($A$2:$A$901,A288)&gt;1,
  IF(COUNTIF($A$2:A288,A288)=1,
    " ORIGINAL",
    "CONFLICTING DUPLICATE - REVIEW"),
"OK")</f>
        <v>OK</v>
      </c>
      <c r="Z288">
        <f t="shared" si="43"/>
        <v>0.25</v>
      </c>
      <c r="AA288">
        <f t="shared" si="44"/>
        <v>3673.82</v>
      </c>
      <c r="AB288">
        <f t="shared" si="45"/>
        <v>1585.67</v>
      </c>
      <c r="AC288">
        <f t="shared" si="46"/>
        <v>0.43159999999999998</v>
      </c>
      <c r="AD288">
        <f t="shared" si="47"/>
        <v>10</v>
      </c>
      <c r="AE288">
        <f t="shared" si="48"/>
        <v>2024</v>
      </c>
      <c r="AF288" t="str">
        <f t="shared" si="49"/>
        <v>CLEAN</v>
      </c>
    </row>
    <row r="289" spans="1:32">
      <c r="A289" t="s">
        <v>1639</v>
      </c>
      <c r="B289" s="10">
        <v>45614</v>
      </c>
      <c r="C289" s="10">
        <v>45618</v>
      </c>
      <c r="D289">
        <f t="shared" si="40"/>
        <v>4</v>
      </c>
      <c r="E289" t="str">
        <f t="shared" si="41"/>
        <v>OK</v>
      </c>
      <c r="F289" t="s">
        <v>1640</v>
      </c>
      <c r="G289" t="s">
        <v>22</v>
      </c>
      <c r="H289" t="s">
        <v>94</v>
      </c>
      <c r="I289" t="s">
        <v>53</v>
      </c>
      <c r="J289" t="s">
        <v>184</v>
      </c>
      <c r="K289" t="s">
        <v>185</v>
      </c>
      <c r="L289" t="s">
        <v>73</v>
      </c>
      <c r="M289" t="s">
        <v>74</v>
      </c>
      <c r="N289" t="s">
        <v>1641</v>
      </c>
      <c r="O289" t="s">
        <v>58</v>
      </c>
      <c r="P289">
        <v>6</v>
      </c>
      <c r="Q289">
        <v>3872.94</v>
      </c>
      <c r="R289">
        <v>0.1</v>
      </c>
      <c r="S289" t="str">
        <f t="shared" si="42"/>
        <v>OK</v>
      </c>
      <c r="T289">
        <v>20913.88</v>
      </c>
      <c r="U289">
        <v>11684.68</v>
      </c>
      <c r="V289">
        <v>9229.2000000000007</v>
      </c>
      <c r="W289" t="s">
        <v>31</v>
      </c>
      <c r="X289" t="s">
        <v>32</v>
      </c>
      <c r="Y289" t="str">
        <f>IF(COUNTIF($A$2:$A$901,A289)&gt;1,
  IF(COUNTIF($A$2:A289,A289)=1,
    " ORIGINAL",
    "CONFLICTING DUPLICATE - REVIEW"),
"OK")</f>
        <v>OK</v>
      </c>
      <c r="Z289">
        <f t="shared" si="43"/>
        <v>0.1</v>
      </c>
      <c r="AA289">
        <f t="shared" si="44"/>
        <v>20913.88</v>
      </c>
      <c r="AB289">
        <f t="shared" si="45"/>
        <v>9229.2000000000007</v>
      </c>
      <c r="AC289">
        <f t="shared" si="46"/>
        <v>0.44130000000000003</v>
      </c>
      <c r="AD289">
        <f t="shared" si="47"/>
        <v>11</v>
      </c>
      <c r="AE289">
        <f t="shared" si="48"/>
        <v>2024</v>
      </c>
      <c r="AF289" t="str">
        <f t="shared" si="49"/>
        <v>CLEAN</v>
      </c>
    </row>
    <row r="290" spans="1:32">
      <c r="A290" t="s">
        <v>1645</v>
      </c>
      <c r="B290" s="10">
        <v>45563</v>
      </c>
      <c r="C290" s="10">
        <v>45569</v>
      </c>
      <c r="D290">
        <f t="shared" si="40"/>
        <v>6</v>
      </c>
      <c r="E290" t="str">
        <f t="shared" si="41"/>
        <v>OK</v>
      </c>
      <c r="F290" t="s">
        <v>1646</v>
      </c>
      <c r="G290" t="s">
        <v>263</v>
      </c>
      <c r="H290" t="s">
        <v>94</v>
      </c>
      <c r="I290" t="s">
        <v>24</v>
      </c>
      <c r="J290" t="s">
        <v>349</v>
      </c>
      <c r="K290" t="s">
        <v>350</v>
      </c>
      <c r="L290" t="s">
        <v>73</v>
      </c>
      <c r="M290" t="s">
        <v>79</v>
      </c>
      <c r="N290" t="s">
        <v>1647</v>
      </c>
      <c r="O290" t="s">
        <v>58</v>
      </c>
      <c r="P290">
        <v>1</v>
      </c>
      <c r="Q290">
        <v>2233.1799999999998</v>
      </c>
      <c r="R290">
        <v>0</v>
      </c>
      <c r="S290" t="str">
        <f t="shared" si="42"/>
        <v>OK</v>
      </c>
      <c r="T290">
        <v>2233.1799999999998</v>
      </c>
      <c r="U290">
        <v>1585.82</v>
      </c>
      <c r="V290">
        <v>647.36</v>
      </c>
      <c r="W290" t="s">
        <v>154</v>
      </c>
      <c r="X290" t="s">
        <v>102</v>
      </c>
      <c r="Y290" t="str">
        <f>IF(COUNTIF($A$2:$A$901,A290)&gt;1,
  IF(COUNTIF($A$2:A290,A290)=1,
    " ORIGINAL",
    "CONFLICTING DUPLICATE - REVIEW"),
"OK")</f>
        <v>OK</v>
      </c>
      <c r="Z290">
        <f t="shared" si="43"/>
        <v>0</v>
      </c>
      <c r="AA290">
        <f t="shared" si="44"/>
        <v>2233.1799999999998</v>
      </c>
      <c r="AB290">
        <f t="shared" si="45"/>
        <v>647.36</v>
      </c>
      <c r="AC290">
        <f t="shared" si="46"/>
        <v>0.28989999999999999</v>
      </c>
      <c r="AD290">
        <f t="shared" si="47"/>
        <v>9</v>
      </c>
      <c r="AE290">
        <f t="shared" si="48"/>
        <v>2024</v>
      </c>
      <c r="AF290" t="str">
        <f t="shared" si="49"/>
        <v>INVALID</v>
      </c>
    </row>
    <row r="291" spans="1:32">
      <c r="A291" t="s">
        <v>1657</v>
      </c>
      <c r="B291" s="10">
        <v>45489</v>
      </c>
      <c r="C291" s="10">
        <v>45496</v>
      </c>
      <c r="D291">
        <f t="shared" si="40"/>
        <v>7</v>
      </c>
      <c r="E291" t="str">
        <f t="shared" si="41"/>
        <v>OK</v>
      </c>
      <c r="F291" t="s">
        <v>1658</v>
      </c>
      <c r="G291" t="s">
        <v>127</v>
      </c>
      <c r="H291" t="s">
        <v>94</v>
      </c>
      <c r="I291" t="s">
        <v>53</v>
      </c>
      <c r="J291" t="s">
        <v>174</v>
      </c>
      <c r="K291" t="s">
        <v>175</v>
      </c>
      <c r="L291" t="s">
        <v>73</v>
      </c>
      <c r="M291" t="s">
        <v>273</v>
      </c>
      <c r="N291" t="s">
        <v>1659</v>
      </c>
      <c r="O291" t="s">
        <v>43</v>
      </c>
      <c r="P291">
        <v>1</v>
      </c>
      <c r="Q291">
        <v>1695.91</v>
      </c>
      <c r="R291">
        <v>0.05</v>
      </c>
      <c r="S291" t="str">
        <f t="shared" si="42"/>
        <v>OK</v>
      </c>
      <c r="T291">
        <v>1611.11</v>
      </c>
      <c r="U291">
        <v>895.15</v>
      </c>
      <c r="V291">
        <v>715.96</v>
      </c>
      <c r="W291" t="s">
        <v>31</v>
      </c>
      <c r="X291" t="s">
        <v>32</v>
      </c>
      <c r="Y291" t="str">
        <f>IF(COUNTIF($A$2:$A$901,A291)&gt;1,
  IF(COUNTIF($A$2:A291,A291)=1,
    " ORIGINAL",
    "CONFLICTING DUPLICATE - REVIEW"),
"OK")</f>
        <v>OK</v>
      </c>
      <c r="Z291">
        <f t="shared" si="43"/>
        <v>0.05</v>
      </c>
      <c r="AA291">
        <f t="shared" si="44"/>
        <v>1611.11</v>
      </c>
      <c r="AB291">
        <f t="shared" si="45"/>
        <v>715.96</v>
      </c>
      <c r="AC291">
        <f t="shared" si="46"/>
        <v>0.44440000000000002</v>
      </c>
      <c r="AD291">
        <f t="shared" si="47"/>
        <v>7</v>
      </c>
      <c r="AE291">
        <f t="shared" si="48"/>
        <v>2024</v>
      </c>
      <c r="AF291" t="str">
        <f t="shared" si="49"/>
        <v>CLEAN</v>
      </c>
    </row>
    <row r="292" spans="1:32">
      <c r="A292" t="s">
        <v>1666</v>
      </c>
      <c r="B292" s="10">
        <v>45326</v>
      </c>
      <c r="C292" s="10">
        <v>45385</v>
      </c>
      <c r="D292">
        <f t="shared" si="40"/>
        <v>59</v>
      </c>
      <c r="E292" t="str">
        <f t="shared" si="41"/>
        <v>OK</v>
      </c>
      <c r="F292" t="s">
        <v>1667</v>
      </c>
      <c r="G292" t="s">
        <v>263</v>
      </c>
      <c r="H292" t="s">
        <v>94</v>
      </c>
      <c r="I292" t="s">
        <v>62</v>
      </c>
      <c r="J292" t="s">
        <v>189</v>
      </c>
      <c r="K292" t="s">
        <v>190</v>
      </c>
      <c r="L292" t="s">
        <v>27</v>
      </c>
      <c r="M292" t="s">
        <v>28</v>
      </c>
      <c r="N292" t="s">
        <v>1668</v>
      </c>
      <c r="O292" t="s">
        <v>30</v>
      </c>
      <c r="P292">
        <v>2</v>
      </c>
      <c r="Q292">
        <v>2902.63</v>
      </c>
      <c r="R292">
        <v>0</v>
      </c>
      <c r="S292" t="str">
        <f t="shared" si="42"/>
        <v>OK</v>
      </c>
      <c r="T292">
        <v>5805.26</v>
      </c>
      <c r="U292">
        <v>4654.3599999999997</v>
      </c>
      <c r="V292">
        <v>1150.9000000000001</v>
      </c>
      <c r="W292" t="s">
        <v>31</v>
      </c>
      <c r="X292" t="s">
        <v>102</v>
      </c>
      <c r="Y292" t="str">
        <f>IF(COUNTIF($A$2:$A$901,A292)&gt;1,
  IF(COUNTIF($A$2:A292,A292)=1,
    " ORIGINAL",
    "CONFLICTING DUPLICATE - REVIEW"),
"OK")</f>
        <v>OK</v>
      </c>
      <c r="Z292">
        <f t="shared" si="43"/>
        <v>0</v>
      </c>
      <c r="AA292">
        <f t="shared" si="44"/>
        <v>5805.26</v>
      </c>
      <c r="AB292">
        <f t="shared" si="45"/>
        <v>1150.9000000000001</v>
      </c>
      <c r="AC292">
        <f t="shared" si="46"/>
        <v>0.1983</v>
      </c>
      <c r="AD292">
        <f t="shared" si="47"/>
        <v>2</v>
      </c>
      <c r="AE292">
        <f t="shared" si="48"/>
        <v>2024</v>
      </c>
      <c r="AF292" t="str">
        <f t="shared" si="49"/>
        <v>CLEAN</v>
      </c>
    </row>
    <row r="293" spans="1:32">
      <c r="A293" t="s">
        <v>1669</v>
      </c>
      <c r="B293" s="10">
        <v>45626</v>
      </c>
      <c r="C293" s="10">
        <v>45627</v>
      </c>
      <c r="D293">
        <f t="shared" si="40"/>
        <v>1</v>
      </c>
      <c r="E293" t="str">
        <f t="shared" si="41"/>
        <v>OK</v>
      </c>
      <c r="F293" t="s">
        <v>1670</v>
      </c>
      <c r="G293" t="s">
        <v>61</v>
      </c>
      <c r="H293" t="s">
        <v>89</v>
      </c>
      <c r="I293" t="s">
        <v>62</v>
      </c>
      <c r="J293" t="s">
        <v>179</v>
      </c>
      <c r="K293" t="s">
        <v>180</v>
      </c>
      <c r="L293" t="s">
        <v>40</v>
      </c>
      <c r="M293" t="s">
        <v>65</v>
      </c>
      <c r="N293" t="s">
        <v>1671</v>
      </c>
      <c r="O293" t="s">
        <v>49</v>
      </c>
      <c r="P293">
        <v>9</v>
      </c>
      <c r="Q293">
        <v>4207.3599999999997</v>
      </c>
      <c r="R293">
        <v>0.1</v>
      </c>
      <c r="S293" t="str">
        <f t="shared" si="42"/>
        <v>OK</v>
      </c>
      <c r="T293">
        <v>34079.620000000003</v>
      </c>
      <c r="U293">
        <v>21871.39</v>
      </c>
      <c r="V293">
        <v>12208.23</v>
      </c>
      <c r="W293" t="s">
        <v>31</v>
      </c>
      <c r="X293" t="s">
        <v>32</v>
      </c>
      <c r="Y293" t="str">
        <f>IF(COUNTIF($A$2:$A$901,A293)&gt;1,
  IF(COUNTIF($A$2:A293,A293)=1,
    " ORIGINAL",
    "CONFLICTING DUPLICATE - REVIEW"),
"OK")</f>
        <v>OK</v>
      </c>
      <c r="Z293">
        <f t="shared" si="43"/>
        <v>0.1</v>
      </c>
      <c r="AA293">
        <f t="shared" si="44"/>
        <v>34079.620000000003</v>
      </c>
      <c r="AB293">
        <f t="shared" si="45"/>
        <v>12208.23</v>
      </c>
      <c r="AC293">
        <f t="shared" si="46"/>
        <v>0.35820000000000002</v>
      </c>
      <c r="AD293">
        <f t="shared" si="47"/>
        <v>11</v>
      </c>
      <c r="AE293">
        <f t="shared" si="48"/>
        <v>2024</v>
      </c>
      <c r="AF293" t="str">
        <f t="shared" si="49"/>
        <v>CLEAN</v>
      </c>
    </row>
    <row r="294" spans="1:32">
      <c r="A294" t="s">
        <v>1672</v>
      </c>
      <c r="B294" s="10">
        <v>45582</v>
      </c>
      <c r="C294" s="10">
        <v>45582</v>
      </c>
      <c r="D294">
        <f t="shared" si="40"/>
        <v>0</v>
      </c>
      <c r="E294" t="str">
        <f t="shared" si="41"/>
        <v>OK</v>
      </c>
      <c r="F294" t="s">
        <v>1673</v>
      </c>
      <c r="G294" t="s">
        <v>113</v>
      </c>
      <c r="H294" t="s">
        <v>94</v>
      </c>
      <c r="I294" t="s">
        <v>37</v>
      </c>
      <c r="J294" t="s">
        <v>98</v>
      </c>
      <c r="K294" t="s">
        <v>99</v>
      </c>
      <c r="L294" t="s">
        <v>40</v>
      </c>
      <c r="M294" t="s">
        <v>65</v>
      </c>
      <c r="N294" t="s">
        <v>1674</v>
      </c>
      <c r="O294" t="s">
        <v>58</v>
      </c>
      <c r="P294">
        <v>5</v>
      </c>
      <c r="Q294">
        <v>2524.4</v>
      </c>
      <c r="R294">
        <v>0.1</v>
      </c>
      <c r="S294" t="str">
        <f t="shared" si="42"/>
        <v>OK</v>
      </c>
      <c r="T294">
        <v>11359.8</v>
      </c>
      <c r="U294">
        <v>7062.44</v>
      </c>
      <c r="V294">
        <v>4297.3599999999997</v>
      </c>
      <c r="W294" t="s">
        <v>31</v>
      </c>
      <c r="X294" t="s">
        <v>32</v>
      </c>
      <c r="Y294" t="str">
        <f>IF(COUNTIF($A$2:$A$901,A294)&gt;1,
  IF(COUNTIF($A$2:A294,A294)=1,
    " ORIGINAL",
    "CONFLICTING DUPLICATE - REVIEW"),
"OK")</f>
        <v>OK</v>
      </c>
      <c r="Z294">
        <f t="shared" si="43"/>
        <v>0.1</v>
      </c>
      <c r="AA294">
        <f t="shared" si="44"/>
        <v>11359.8</v>
      </c>
      <c r="AB294">
        <f t="shared" si="45"/>
        <v>4297.3599999999997</v>
      </c>
      <c r="AC294">
        <f t="shared" si="46"/>
        <v>0.37830000000000003</v>
      </c>
      <c r="AD294">
        <f t="shared" si="47"/>
        <v>10</v>
      </c>
      <c r="AE294">
        <f t="shared" si="48"/>
        <v>2024</v>
      </c>
      <c r="AF294" t="str">
        <f t="shared" si="49"/>
        <v>CLEAN</v>
      </c>
    </row>
    <row r="295" spans="1:32">
      <c r="A295" t="s">
        <v>1681</v>
      </c>
      <c r="B295" s="10">
        <v>45572</v>
      </c>
      <c r="C295" s="10">
        <v>45545</v>
      </c>
      <c r="D295">
        <f t="shared" si="40"/>
        <v>-27</v>
      </c>
      <c r="E295" t="str">
        <f t="shared" si="41"/>
        <v>INVALID</v>
      </c>
      <c r="F295" t="s">
        <v>1682</v>
      </c>
      <c r="G295" t="s">
        <v>161</v>
      </c>
      <c r="H295" t="s">
        <v>23</v>
      </c>
      <c r="I295" t="s">
        <v>53</v>
      </c>
      <c r="J295" t="s">
        <v>246</v>
      </c>
      <c r="K295" t="s">
        <v>247</v>
      </c>
      <c r="L295" t="s">
        <v>27</v>
      </c>
      <c r="M295" t="s">
        <v>152</v>
      </c>
      <c r="N295" t="s">
        <v>1683</v>
      </c>
      <c r="O295" t="s">
        <v>58</v>
      </c>
      <c r="P295">
        <v>9</v>
      </c>
      <c r="Q295">
        <v>3457.09</v>
      </c>
      <c r="R295">
        <v>0.05</v>
      </c>
      <c r="S295" t="str">
        <f t="shared" si="42"/>
        <v>OK</v>
      </c>
      <c r="T295">
        <v>29558.12</v>
      </c>
      <c r="U295">
        <v>21302.13</v>
      </c>
      <c r="V295">
        <v>8255.99</v>
      </c>
      <c r="W295" t="s">
        <v>110</v>
      </c>
      <c r="X295" t="s">
        <v>102</v>
      </c>
      <c r="Y295" t="str">
        <f>IF(COUNTIF($A$2:$A$901,A295)&gt;1,
  IF(COUNTIF($A$2:A295,A295)=1,
    " ORIGINAL",
    "CONFLICTING DUPLICATE - REVIEW"),
"OK")</f>
        <v>OK</v>
      </c>
      <c r="Z295">
        <f t="shared" si="43"/>
        <v>0.05</v>
      </c>
      <c r="AA295">
        <f t="shared" si="44"/>
        <v>29558.12</v>
      </c>
      <c r="AB295">
        <f t="shared" si="45"/>
        <v>8255.99</v>
      </c>
      <c r="AC295">
        <f t="shared" si="46"/>
        <v>0.27929999999999999</v>
      </c>
      <c r="AD295">
        <f t="shared" si="47"/>
        <v>10</v>
      </c>
      <c r="AE295">
        <f t="shared" si="48"/>
        <v>2024</v>
      </c>
      <c r="AF295" t="str">
        <f t="shared" si="49"/>
        <v>INVALID</v>
      </c>
    </row>
    <row r="296" spans="1:32">
      <c r="A296" t="s">
        <v>1684</v>
      </c>
      <c r="B296" s="10">
        <v>45328</v>
      </c>
      <c r="C296" s="10">
        <v>45330</v>
      </c>
      <c r="D296">
        <f t="shared" si="40"/>
        <v>2</v>
      </c>
      <c r="E296" t="str">
        <f t="shared" si="41"/>
        <v>OK</v>
      </c>
      <c r="F296" t="s">
        <v>728</v>
      </c>
      <c r="G296" t="s">
        <v>22</v>
      </c>
      <c r="H296" t="s">
        <v>23</v>
      </c>
      <c r="I296" t="s">
        <v>37</v>
      </c>
      <c r="J296" t="s">
        <v>227</v>
      </c>
      <c r="K296" t="s">
        <v>228</v>
      </c>
      <c r="L296" t="s">
        <v>40</v>
      </c>
      <c r="M296" t="s">
        <v>157</v>
      </c>
      <c r="N296" t="s">
        <v>1685</v>
      </c>
      <c r="O296" t="s">
        <v>30</v>
      </c>
      <c r="P296">
        <v>9</v>
      </c>
      <c r="Q296">
        <v>1822.25</v>
      </c>
      <c r="R296">
        <v>0</v>
      </c>
      <c r="S296" t="str">
        <f t="shared" si="42"/>
        <v>OK</v>
      </c>
      <c r="T296">
        <v>16400.25</v>
      </c>
      <c r="U296">
        <v>12146.96</v>
      </c>
      <c r="V296">
        <v>4253.29</v>
      </c>
      <c r="W296" t="s">
        <v>31</v>
      </c>
      <c r="X296" t="s">
        <v>32</v>
      </c>
      <c r="Y296" t="str">
        <f>IF(COUNTIF($A$2:$A$901,A296)&gt;1,
  IF(COUNTIF($A$2:A296,A296)=1,
    " ORIGINAL",
    "CONFLICTING DUPLICATE - REVIEW"),
"OK")</f>
        <v>OK</v>
      </c>
      <c r="Z296">
        <f t="shared" si="43"/>
        <v>0</v>
      </c>
      <c r="AA296">
        <f t="shared" si="44"/>
        <v>16400.25</v>
      </c>
      <c r="AB296">
        <f t="shared" si="45"/>
        <v>4253.29</v>
      </c>
      <c r="AC296">
        <f t="shared" si="46"/>
        <v>0.25929999999999997</v>
      </c>
      <c r="AD296">
        <f t="shared" si="47"/>
        <v>2</v>
      </c>
      <c r="AE296">
        <f t="shared" si="48"/>
        <v>2024</v>
      </c>
      <c r="AF296" t="str">
        <f t="shared" si="49"/>
        <v>CLEAN</v>
      </c>
    </row>
    <row r="297" spans="1:32">
      <c r="A297" t="s">
        <v>1689</v>
      </c>
      <c r="B297" s="10">
        <v>45505</v>
      </c>
      <c r="C297" s="10">
        <v>45512</v>
      </c>
      <c r="D297">
        <f t="shared" si="40"/>
        <v>7</v>
      </c>
      <c r="E297" t="str">
        <f t="shared" si="41"/>
        <v>OK</v>
      </c>
      <c r="F297" t="s">
        <v>1690</v>
      </c>
      <c r="G297" t="s">
        <v>161</v>
      </c>
      <c r="H297" t="s">
        <v>36</v>
      </c>
      <c r="I297" t="s">
        <v>62</v>
      </c>
      <c r="J297" t="s">
        <v>63</v>
      </c>
      <c r="K297" t="s">
        <v>64</v>
      </c>
      <c r="L297" t="s">
        <v>27</v>
      </c>
      <c r="M297" t="s">
        <v>123</v>
      </c>
      <c r="N297" t="s">
        <v>1691</v>
      </c>
      <c r="O297" t="s">
        <v>2762</v>
      </c>
      <c r="P297">
        <v>1</v>
      </c>
      <c r="Q297">
        <v>442.97</v>
      </c>
      <c r="R297">
        <v>0.1</v>
      </c>
      <c r="S297" t="str">
        <f t="shared" si="42"/>
        <v>OK</v>
      </c>
      <c r="T297">
        <v>398.67</v>
      </c>
      <c r="U297">
        <v>311.66000000000003</v>
      </c>
      <c r="V297">
        <v>87.01</v>
      </c>
      <c r="W297" t="s">
        <v>31</v>
      </c>
      <c r="X297" t="s">
        <v>32</v>
      </c>
      <c r="Y297" t="str">
        <f>IF(COUNTIF($A$2:$A$901,A297)&gt;1,
  IF(COUNTIF($A$2:A297,A297)=1,
    " ORIGINAL",
    "CONFLICTING DUPLICATE - REVIEW"),
"OK")</f>
        <v>OK</v>
      </c>
      <c r="Z297">
        <f t="shared" si="43"/>
        <v>0.1</v>
      </c>
      <c r="AA297">
        <f t="shared" si="44"/>
        <v>398.67</v>
      </c>
      <c r="AB297">
        <f t="shared" si="45"/>
        <v>87.01</v>
      </c>
      <c r="AC297">
        <f t="shared" si="46"/>
        <v>0.21829999999999999</v>
      </c>
      <c r="AD297">
        <f t="shared" si="47"/>
        <v>8</v>
      </c>
      <c r="AE297">
        <f t="shared" si="48"/>
        <v>2024</v>
      </c>
      <c r="AF297" t="str">
        <f t="shared" si="49"/>
        <v>WARNING</v>
      </c>
    </row>
    <row r="298" spans="1:32">
      <c r="A298" t="s">
        <v>1695</v>
      </c>
      <c r="B298" s="10">
        <v>45529</v>
      </c>
      <c r="C298" s="10">
        <v>45536</v>
      </c>
      <c r="D298">
        <f t="shared" si="40"/>
        <v>7</v>
      </c>
      <c r="E298" t="str">
        <f t="shared" si="41"/>
        <v>OK</v>
      </c>
      <c r="F298" t="s">
        <v>1696</v>
      </c>
      <c r="G298" t="s">
        <v>46</v>
      </c>
      <c r="H298" t="s">
        <v>94</v>
      </c>
      <c r="I298" t="s">
        <v>24</v>
      </c>
      <c r="J298" t="s">
        <v>25</v>
      </c>
      <c r="K298" t="s">
        <v>26</v>
      </c>
      <c r="L298" t="s">
        <v>40</v>
      </c>
      <c r="M298" t="s">
        <v>41</v>
      </c>
      <c r="N298" t="s">
        <v>1697</v>
      </c>
      <c r="O298" t="s">
        <v>43</v>
      </c>
      <c r="P298">
        <v>6</v>
      </c>
      <c r="Q298">
        <v>481.3</v>
      </c>
      <c r="R298">
        <v>0.25</v>
      </c>
      <c r="S298" t="str">
        <f t="shared" si="42"/>
        <v>OK</v>
      </c>
      <c r="T298">
        <v>2165.85</v>
      </c>
      <c r="U298">
        <v>2124.48</v>
      </c>
      <c r="V298">
        <v>430.45</v>
      </c>
      <c r="W298" t="s">
        <v>31</v>
      </c>
      <c r="X298" t="s">
        <v>32</v>
      </c>
      <c r="Y298" t="str">
        <f>IF(COUNTIF($A$2:$A$901,A298)&gt;1,
  IF(COUNTIF($A$2:A298,A298)=1,
    " ORIGINAL",
    "CONFLICTING DUPLICATE - REVIEW"),
"OK")</f>
        <v>OK</v>
      </c>
      <c r="Z298">
        <f t="shared" si="43"/>
        <v>0.25</v>
      </c>
      <c r="AA298">
        <f t="shared" si="44"/>
        <v>2165.85</v>
      </c>
      <c r="AB298">
        <f t="shared" si="45"/>
        <v>41.37</v>
      </c>
      <c r="AC298">
        <f t="shared" si="46"/>
        <v>1.9099999999999999E-2</v>
      </c>
      <c r="AD298">
        <f t="shared" si="47"/>
        <v>8</v>
      </c>
      <c r="AE298">
        <f t="shared" si="48"/>
        <v>2024</v>
      </c>
      <c r="AF298" t="str">
        <f t="shared" si="49"/>
        <v>CLEAN</v>
      </c>
    </row>
    <row r="299" spans="1:32">
      <c r="A299" t="s">
        <v>1701</v>
      </c>
      <c r="B299" s="10">
        <v>45431</v>
      </c>
      <c r="C299" s="10">
        <v>45433</v>
      </c>
      <c r="D299">
        <f t="shared" si="40"/>
        <v>2</v>
      </c>
      <c r="E299" t="str">
        <f t="shared" si="41"/>
        <v>OK</v>
      </c>
      <c r="F299" t="s">
        <v>1702</v>
      </c>
      <c r="G299" t="s">
        <v>161</v>
      </c>
      <c r="H299" t="s">
        <v>36</v>
      </c>
      <c r="I299" t="s">
        <v>62</v>
      </c>
      <c r="J299" t="s">
        <v>63</v>
      </c>
      <c r="K299" t="s">
        <v>64</v>
      </c>
      <c r="L299" t="s">
        <v>73</v>
      </c>
      <c r="M299" t="s">
        <v>79</v>
      </c>
      <c r="N299" t="s">
        <v>1703</v>
      </c>
      <c r="O299" t="s">
        <v>49</v>
      </c>
      <c r="P299">
        <v>3</v>
      </c>
      <c r="Q299">
        <v>4000.98</v>
      </c>
      <c r="R299">
        <v>0.2</v>
      </c>
      <c r="S299" t="str">
        <f t="shared" si="42"/>
        <v>OK</v>
      </c>
      <c r="T299">
        <v>9602.35</v>
      </c>
      <c r="U299">
        <v>7387.57</v>
      </c>
      <c r="V299">
        <v>2214.7800000000002</v>
      </c>
      <c r="W299" t="s">
        <v>31</v>
      </c>
      <c r="X299" t="s">
        <v>32</v>
      </c>
      <c r="Y299" t="str">
        <f>IF(COUNTIF($A$2:$A$901,A299)&gt;1,
  IF(COUNTIF($A$2:A299,A299)=1,
    " ORIGINAL",
    "CONFLICTING DUPLICATE - REVIEW"),
"OK")</f>
        <v>OK</v>
      </c>
      <c r="Z299">
        <f t="shared" si="43"/>
        <v>0.2</v>
      </c>
      <c r="AA299">
        <f t="shared" si="44"/>
        <v>9602.35</v>
      </c>
      <c r="AB299">
        <f t="shared" si="45"/>
        <v>2214.7800000000002</v>
      </c>
      <c r="AC299">
        <f t="shared" si="46"/>
        <v>0.2306</v>
      </c>
      <c r="AD299">
        <f t="shared" si="47"/>
        <v>5</v>
      </c>
      <c r="AE299">
        <f t="shared" si="48"/>
        <v>2024</v>
      </c>
      <c r="AF299" t="str">
        <f t="shared" si="49"/>
        <v>CLEAN</v>
      </c>
    </row>
    <row r="300" spans="1:32">
      <c r="A300" t="s">
        <v>1707</v>
      </c>
      <c r="B300" s="10">
        <v>45313</v>
      </c>
      <c r="C300" s="10">
        <v>45321</v>
      </c>
      <c r="D300">
        <f t="shared" si="40"/>
        <v>8</v>
      </c>
      <c r="E300" t="str">
        <f t="shared" si="41"/>
        <v>OK</v>
      </c>
      <c r="F300" t="s">
        <v>1708</v>
      </c>
      <c r="G300" t="s">
        <v>61</v>
      </c>
      <c r="H300" t="s">
        <v>36</v>
      </c>
      <c r="I300" t="s">
        <v>24</v>
      </c>
      <c r="J300" t="s">
        <v>235</v>
      </c>
      <c r="K300" t="s">
        <v>236</v>
      </c>
      <c r="L300" t="s">
        <v>27</v>
      </c>
      <c r="M300" t="s">
        <v>47</v>
      </c>
      <c r="N300" t="s">
        <v>1709</v>
      </c>
      <c r="O300" t="s">
        <v>43</v>
      </c>
      <c r="P300">
        <v>3</v>
      </c>
      <c r="Q300">
        <v>676.37</v>
      </c>
      <c r="R300">
        <v>0.05</v>
      </c>
      <c r="S300" t="str">
        <f t="shared" si="42"/>
        <v>OK</v>
      </c>
      <c r="T300">
        <v>1927.65</v>
      </c>
      <c r="U300">
        <v>1460.6</v>
      </c>
      <c r="V300">
        <v>467.05</v>
      </c>
      <c r="W300" t="s">
        <v>154</v>
      </c>
      <c r="X300" t="s">
        <v>67</v>
      </c>
      <c r="Y300" t="str">
        <f>IF(COUNTIF($A$2:$A$901,A300)&gt;1,
  IF(COUNTIF($A$2:A300,A300)=1,
    " ORIGINAL",
    "CONFLICTING DUPLICATE - REVIEW"),
"OK")</f>
        <v>OK</v>
      </c>
      <c r="Z300">
        <f t="shared" si="43"/>
        <v>0.05</v>
      </c>
      <c r="AA300">
        <f t="shared" si="44"/>
        <v>1927.65</v>
      </c>
      <c r="AB300">
        <f t="shared" si="45"/>
        <v>467.05</v>
      </c>
      <c r="AC300">
        <f t="shared" si="46"/>
        <v>0.24229999999999999</v>
      </c>
      <c r="AD300">
        <f t="shared" si="47"/>
        <v>1</v>
      </c>
      <c r="AE300">
        <f t="shared" si="48"/>
        <v>2024</v>
      </c>
      <c r="AF300" t="str">
        <f t="shared" si="49"/>
        <v>INVALID</v>
      </c>
    </row>
    <row r="301" spans="1:32">
      <c r="A301" t="s">
        <v>1710</v>
      </c>
      <c r="B301" s="10">
        <v>45560</v>
      </c>
      <c r="C301" s="10">
        <v>45301</v>
      </c>
      <c r="D301">
        <f t="shared" si="40"/>
        <v>-259</v>
      </c>
      <c r="E301" t="str">
        <f t="shared" si="41"/>
        <v>INVALID</v>
      </c>
      <c r="F301" t="s">
        <v>1711</v>
      </c>
      <c r="G301" t="s">
        <v>161</v>
      </c>
      <c r="H301" t="s">
        <v>36</v>
      </c>
      <c r="I301" t="s">
        <v>37</v>
      </c>
      <c r="J301" t="s">
        <v>227</v>
      </c>
      <c r="K301" t="s">
        <v>228</v>
      </c>
      <c r="L301" t="s">
        <v>40</v>
      </c>
      <c r="M301" t="s">
        <v>41</v>
      </c>
      <c r="N301" t="s">
        <v>1712</v>
      </c>
      <c r="O301" t="s">
        <v>30</v>
      </c>
      <c r="P301">
        <v>9</v>
      </c>
      <c r="Q301">
        <v>3908.6</v>
      </c>
      <c r="R301">
        <v>0.15</v>
      </c>
      <c r="S301" t="str">
        <f t="shared" si="42"/>
        <v>OK</v>
      </c>
      <c r="T301">
        <v>29900.79</v>
      </c>
      <c r="U301">
        <v>24650.67</v>
      </c>
      <c r="V301">
        <v>5250.12</v>
      </c>
      <c r="W301" t="s">
        <v>31</v>
      </c>
      <c r="X301" t="s">
        <v>32</v>
      </c>
      <c r="Y301" t="str">
        <f>IF(COUNTIF($A$2:$A$901,A301)&gt;1,
  IF(COUNTIF($A$2:A301,A301)=1,
    " ORIGINAL",
    "CONFLICTING DUPLICATE - REVIEW"),
"OK")</f>
        <v>OK</v>
      </c>
      <c r="Z301">
        <f t="shared" si="43"/>
        <v>0.15</v>
      </c>
      <c r="AA301">
        <f t="shared" si="44"/>
        <v>29900.79</v>
      </c>
      <c r="AB301">
        <f t="shared" si="45"/>
        <v>5250.12</v>
      </c>
      <c r="AC301">
        <f t="shared" si="46"/>
        <v>0.17560000000000001</v>
      </c>
      <c r="AD301">
        <f t="shared" si="47"/>
        <v>9</v>
      </c>
      <c r="AE301">
        <f t="shared" si="48"/>
        <v>2024</v>
      </c>
      <c r="AF301" t="str">
        <f t="shared" si="49"/>
        <v>INVALID</v>
      </c>
    </row>
    <row r="302" spans="1:32">
      <c r="A302" t="s">
        <v>1716</v>
      </c>
      <c r="B302" s="10">
        <v>45348</v>
      </c>
      <c r="C302" s="10">
        <v>45345</v>
      </c>
      <c r="D302">
        <f t="shared" si="40"/>
        <v>-3</v>
      </c>
      <c r="E302" t="str">
        <f t="shared" si="41"/>
        <v>INVALID</v>
      </c>
      <c r="F302" t="s">
        <v>1717</v>
      </c>
      <c r="G302" t="s">
        <v>263</v>
      </c>
      <c r="H302" t="s">
        <v>23</v>
      </c>
      <c r="I302" t="s">
        <v>62</v>
      </c>
      <c r="J302" t="s">
        <v>179</v>
      </c>
      <c r="K302" t="s">
        <v>180</v>
      </c>
      <c r="L302" t="s">
        <v>40</v>
      </c>
      <c r="M302" t="s">
        <v>56</v>
      </c>
      <c r="N302" t="s">
        <v>1718</v>
      </c>
      <c r="O302" t="s">
        <v>58</v>
      </c>
      <c r="P302">
        <v>7</v>
      </c>
      <c r="Q302">
        <v>3852.07</v>
      </c>
      <c r="R302">
        <v>0.2</v>
      </c>
      <c r="S302" t="str">
        <f t="shared" si="42"/>
        <v>OK</v>
      </c>
      <c r="T302">
        <v>21571.59</v>
      </c>
      <c r="U302">
        <v>17118.07</v>
      </c>
      <c r="V302">
        <v>4453.5200000000004</v>
      </c>
      <c r="W302" t="s">
        <v>31</v>
      </c>
      <c r="X302" t="s">
        <v>32</v>
      </c>
      <c r="Y302" t="str">
        <f>IF(COUNTIF($A$2:$A$901,A302)&gt;1,
  IF(COUNTIF($A$2:A302,A302)=1,
    " ORIGINAL",
    "CONFLICTING DUPLICATE - REVIEW"),
"OK")</f>
        <v>OK</v>
      </c>
      <c r="Z302">
        <f t="shared" si="43"/>
        <v>0.2</v>
      </c>
      <c r="AA302">
        <f t="shared" si="44"/>
        <v>21571.59</v>
      </c>
      <c r="AB302">
        <f t="shared" si="45"/>
        <v>4453.5200000000004</v>
      </c>
      <c r="AC302">
        <f t="shared" si="46"/>
        <v>0.20649999999999999</v>
      </c>
      <c r="AD302">
        <f t="shared" si="47"/>
        <v>2</v>
      </c>
      <c r="AE302">
        <f t="shared" si="48"/>
        <v>2024</v>
      </c>
      <c r="AF302" t="str">
        <f t="shared" si="49"/>
        <v>INVALID</v>
      </c>
    </row>
    <row r="303" spans="1:32">
      <c r="A303" t="s">
        <v>1722</v>
      </c>
      <c r="B303" s="10">
        <v>45552</v>
      </c>
      <c r="C303" s="10">
        <v>45558</v>
      </c>
      <c r="D303">
        <f t="shared" si="40"/>
        <v>6</v>
      </c>
      <c r="E303" t="str">
        <f t="shared" si="41"/>
        <v>OK</v>
      </c>
      <c r="F303" t="s">
        <v>1723</v>
      </c>
      <c r="G303" t="s">
        <v>117</v>
      </c>
      <c r="H303" t="s">
        <v>94</v>
      </c>
      <c r="I303" t="s">
        <v>53</v>
      </c>
      <c r="J303" t="s">
        <v>184</v>
      </c>
      <c r="K303" t="s">
        <v>185</v>
      </c>
      <c r="L303" t="s">
        <v>40</v>
      </c>
      <c r="M303" t="s">
        <v>157</v>
      </c>
      <c r="N303" t="s">
        <v>1724</v>
      </c>
      <c r="O303" t="s">
        <v>30</v>
      </c>
      <c r="P303">
        <v>3</v>
      </c>
      <c r="Q303">
        <v>4067.62</v>
      </c>
      <c r="R303">
        <v>0.2</v>
      </c>
      <c r="S303" t="str">
        <f t="shared" si="42"/>
        <v>OK</v>
      </c>
      <c r="T303">
        <v>9988.5300000000007</v>
      </c>
      <c r="U303">
        <v>8368.24</v>
      </c>
      <c r="V303">
        <v>1394.05</v>
      </c>
      <c r="W303" t="s">
        <v>31</v>
      </c>
      <c r="X303" t="s">
        <v>67</v>
      </c>
      <c r="Y303" t="str">
        <f>IF(COUNTIF($A$2:$A$901,A303)&gt;1,
  IF(COUNTIF($A$2:A303,A303)=1,
    " ORIGINAL",
    "CONFLICTING DUPLICATE - REVIEW"),
"OK")</f>
        <v>OK</v>
      </c>
      <c r="Z303">
        <f t="shared" si="43"/>
        <v>0.2</v>
      </c>
      <c r="AA303">
        <f t="shared" si="44"/>
        <v>9762.2900000000009</v>
      </c>
      <c r="AB303">
        <f t="shared" si="45"/>
        <v>1394.05</v>
      </c>
      <c r="AC303">
        <f t="shared" si="46"/>
        <v>0.14280000000000001</v>
      </c>
      <c r="AD303">
        <f t="shared" si="47"/>
        <v>9</v>
      </c>
      <c r="AE303">
        <f t="shared" si="48"/>
        <v>2024</v>
      </c>
      <c r="AF303" t="str">
        <f t="shared" si="49"/>
        <v>CLEAN</v>
      </c>
    </row>
    <row r="304" spans="1:32">
      <c r="A304" t="s">
        <v>1725</v>
      </c>
      <c r="B304" s="10">
        <v>45487</v>
      </c>
      <c r="C304" s="10">
        <v>45493</v>
      </c>
      <c r="D304">
        <f t="shared" si="40"/>
        <v>6</v>
      </c>
      <c r="E304" t="str">
        <f t="shared" si="41"/>
        <v>OK</v>
      </c>
      <c r="F304" t="s">
        <v>1726</v>
      </c>
      <c r="G304" t="s">
        <v>35</v>
      </c>
      <c r="H304" t="s">
        <v>23</v>
      </c>
      <c r="I304" t="s">
        <v>37</v>
      </c>
      <c r="J304" t="s">
        <v>144</v>
      </c>
      <c r="K304" t="s">
        <v>145</v>
      </c>
      <c r="L304" t="s">
        <v>73</v>
      </c>
      <c r="M304" t="s">
        <v>79</v>
      </c>
      <c r="N304" t="s">
        <v>1727</v>
      </c>
      <c r="O304" t="s">
        <v>43</v>
      </c>
      <c r="P304">
        <v>1</v>
      </c>
      <c r="Q304">
        <v>492.67</v>
      </c>
      <c r="R304">
        <v>0.15</v>
      </c>
      <c r="S304" t="str">
        <f t="shared" si="42"/>
        <v>OK</v>
      </c>
      <c r="T304">
        <v>418.77</v>
      </c>
      <c r="U304">
        <v>313.72000000000003</v>
      </c>
      <c r="V304">
        <v>105.05</v>
      </c>
      <c r="W304" t="s">
        <v>31</v>
      </c>
      <c r="X304" t="s">
        <v>32</v>
      </c>
      <c r="Y304" t="str">
        <f>IF(COUNTIF($A$2:$A$901,A304)&gt;1,
  IF(COUNTIF($A$2:A304,A304)=1,
    " ORIGINAL",
    "CONFLICTING DUPLICATE - REVIEW"),
"OK")</f>
        <v>OK</v>
      </c>
      <c r="Z304">
        <f t="shared" si="43"/>
        <v>0.15</v>
      </c>
      <c r="AA304">
        <f t="shared" si="44"/>
        <v>418.77</v>
      </c>
      <c r="AB304">
        <f t="shared" si="45"/>
        <v>105.05</v>
      </c>
      <c r="AC304">
        <f t="shared" si="46"/>
        <v>0.25090000000000001</v>
      </c>
      <c r="AD304">
        <f t="shared" si="47"/>
        <v>7</v>
      </c>
      <c r="AE304">
        <f t="shared" si="48"/>
        <v>2024</v>
      </c>
      <c r="AF304" t="str">
        <f t="shared" si="49"/>
        <v>CLEAN</v>
      </c>
    </row>
    <row r="305" spans="1:32">
      <c r="A305" t="s">
        <v>1731</v>
      </c>
      <c r="B305" s="10">
        <v>45439</v>
      </c>
      <c r="C305" s="10">
        <v>45442</v>
      </c>
      <c r="D305">
        <f t="shared" si="40"/>
        <v>3</v>
      </c>
      <c r="E305" t="str">
        <f t="shared" si="41"/>
        <v>OK</v>
      </c>
      <c r="F305" t="s">
        <v>1732</v>
      </c>
      <c r="G305" t="s">
        <v>263</v>
      </c>
      <c r="H305" t="s">
        <v>36</v>
      </c>
      <c r="I305" t="s">
        <v>37</v>
      </c>
      <c r="J305" t="s">
        <v>227</v>
      </c>
      <c r="K305" t="s">
        <v>228</v>
      </c>
      <c r="L305" t="s">
        <v>27</v>
      </c>
      <c r="M305" t="s">
        <v>123</v>
      </c>
      <c r="N305" t="s">
        <v>1733</v>
      </c>
      <c r="O305" t="s">
        <v>43</v>
      </c>
      <c r="P305">
        <v>7</v>
      </c>
      <c r="Q305">
        <v>2900.86</v>
      </c>
      <c r="R305">
        <v>0.15</v>
      </c>
      <c r="S305" t="str">
        <f t="shared" si="42"/>
        <v>OK</v>
      </c>
      <c r="T305">
        <v>17260.12</v>
      </c>
      <c r="U305">
        <v>13513.51</v>
      </c>
      <c r="V305">
        <v>3746.61</v>
      </c>
      <c r="W305" t="s">
        <v>31</v>
      </c>
      <c r="X305" t="s">
        <v>32</v>
      </c>
      <c r="Y305" t="str">
        <f>IF(COUNTIF($A$2:$A$901,A305)&gt;1,
  IF(COUNTIF($A$2:A305,A305)=1,
    " ORIGINAL",
    "CONFLICTING DUPLICATE - REVIEW"),
"OK")</f>
        <v>OK</v>
      </c>
      <c r="Z305">
        <f t="shared" si="43"/>
        <v>0.15</v>
      </c>
      <c r="AA305">
        <f t="shared" si="44"/>
        <v>17260.12</v>
      </c>
      <c r="AB305">
        <f t="shared" si="45"/>
        <v>3746.61</v>
      </c>
      <c r="AC305">
        <f t="shared" si="46"/>
        <v>0.21709999999999999</v>
      </c>
      <c r="AD305">
        <f t="shared" si="47"/>
        <v>5</v>
      </c>
      <c r="AE305">
        <f t="shared" si="48"/>
        <v>2024</v>
      </c>
      <c r="AF305" t="str">
        <f t="shared" si="49"/>
        <v>CLEAN</v>
      </c>
    </row>
    <row r="306" spans="1:32">
      <c r="A306" t="s">
        <v>1737</v>
      </c>
      <c r="B306" s="10">
        <v>45428</v>
      </c>
      <c r="C306" s="10">
        <v>45435</v>
      </c>
      <c r="D306">
        <f t="shared" si="40"/>
        <v>7</v>
      </c>
      <c r="E306" t="str">
        <f t="shared" si="41"/>
        <v>OK</v>
      </c>
      <c r="F306" t="s">
        <v>1738</v>
      </c>
      <c r="G306" t="s">
        <v>78</v>
      </c>
      <c r="H306" t="s">
        <v>36</v>
      </c>
      <c r="I306" t="s">
        <v>24</v>
      </c>
      <c r="J306" t="s">
        <v>135</v>
      </c>
      <c r="K306" t="s">
        <v>136</v>
      </c>
      <c r="L306" t="s">
        <v>73</v>
      </c>
      <c r="M306" t="s">
        <v>79</v>
      </c>
      <c r="N306" t="s">
        <v>1739</v>
      </c>
      <c r="O306" t="s">
        <v>58</v>
      </c>
      <c r="P306">
        <v>9</v>
      </c>
      <c r="Q306">
        <v>3722.09</v>
      </c>
      <c r="R306">
        <v>0.1</v>
      </c>
      <c r="S306" t="str">
        <f t="shared" si="42"/>
        <v>OK</v>
      </c>
      <c r="T306">
        <v>30148.93</v>
      </c>
      <c r="U306">
        <v>25155.07</v>
      </c>
      <c r="V306">
        <v>4993.8599999999997</v>
      </c>
      <c r="W306" t="s">
        <v>31</v>
      </c>
      <c r="X306" t="s">
        <v>32</v>
      </c>
      <c r="Y306" t="str">
        <f>IF(COUNTIF($A$2:$A$901,A306)&gt;1,
  IF(COUNTIF($A$2:A306,A306)=1,
    " ORIGINAL",
    "CONFLICTING DUPLICATE - REVIEW"),
"OK")</f>
        <v>OK</v>
      </c>
      <c r="Z306">
        <f t="shared" si="43"/>
        <v>0.1</v>
      </c>
      <c r="AA306">
        <f t="shared" si="44"/>
        <v>30148.93</v>
      </c>
      <c r="AB306">
        <f t="shared" si="45"/>
        <v>4993.8599999999997</v>
      </c>
      <c r="AC306">
        <f t="shared" si="46"/>
        <v>0.1656</v>
      </c>
      <c r="AD306">
        <f t="shared" si="47"/>
        <v>5</v>
      </c>
      <c r="AE306">
        <f t="shared" si="48"/>
        <v>2024</v>
      </c>
      <c r="AF306" t="str">
        <f t="shared" si="49"/>
        <v>CLEAN</v>
      </c>
    </row>
    <row r="307" spans="1:32">
      <c r="A307" t="s">
        <v>1740</v>
      </c>
      <c r="B307" s="10">
        <v>45441</v>
      </c>
      <c r="C307" s="10">
        <v>45441</v>
      </c>
      <c r="D307">
        <f t="shared" si="40"/>
        <v>0</v>
      </c>
      <c r="E307" t="str">
        <f t="shared" si="41"/>
        <v>OK</v>
      </c>
      <c r="F307" t="s">
        <v>1741</v>
      </c>
      <c r="G307" t="s">
        <v>140</v>
      </c>
      <c r="H307" t="s">
        <v>89</v>
      </c>
      <c r="I307" t="s">
        <v>37</v>
      </c>
      <c r="J307" t="s">
        <v>144</v>
      </c>
      <c r="K307" t="s">
        <v>145</v>
      </c>
      <c r="L307" t="s">
        <v>40</v>
      </c>
      <c r="M307" t="s">
        <v>157</v>
      </c>
      <c r="N307" t="s">
        <v>1742</v>
      </c>
      <c r="O307" t="s">
        <v>43</v>
      </c>
      <c r="P307">
        <v>1</v>
      </c>
      <c r="Q307">
        <v>1072.01</v>
      </c>
      <c r="R307">
        <v>0</v>
      </c>
      <c r="S307" t="str">
        <f t="shared" si="42"/>
        <v>OK</v>
      </c>
      <c r="T307">
        <v>1072.01</v>
      </c>
      <c r="U307">
        <v>852.62</v>
      </c>
      <c r="V307">
        <v>219.39</v>
      </c>
      <c r="W307" t="s">
        <v>110</v>
      </c>
      <c r="X307" t="s">
        <v>67</v>
      </c>
      <c r="Y307" t="str">
        <f>IF(COUNTIF($A$2:$A$901,A307)&gt;1,
  IF(COUNTIF($A$2:A307,A307)=1,
    " ORIGINAL",
    "CONFLICTING DUPLICATE - REVIEW"),
"OK")</f>
        <v>OK</v>
      </c>
      <c r="Z307">
        <f t="shared" si="43"/>
        <v>0</v>
      </c>
      <c r="AA307">
        <f t="shared" si="44"/>
        <v>1072.01</v>
      </c>
      <c r="AB307">
        <f t="shared" si="45"/>
        <v>219.39</v>
      </c>
      <c r="AC307">
        <f t="shared" si="46"/>
        <v>0.20469999999999999</v>
      </c>
      <c r="AD307">
        <f t="shared" si="47"/>
        <v>5</v>
      </c>
      <c r="AE307">
        <f t="shared" si="48"/>
        <v>2024</v>
      </c>
      <c r="AF307" t="str">
        <f t="shared" si="49"/>
        <v>CLEAN</v>
      </c>
    </row>
    <row r="308" spans="1:32">
      <c r="A308" t="s">
        <v>1746</v>
      </c>
      <c r="B308" s="10">
        <v>45330</v>
      </c>
      <c r="C308" s="10">
        <v>45514</v>
      </c>
      <c r="D308">
        <f t="shared" si="40"/>
        <v>184</v>
      </c>
      <c r="E308" t="str">
        <f t="shared" si="41"/>
        <v>OK</v>
      </c>
      <c r="F308" t="s">
        <v>1747</v>
      </c>
      <c r="G308" t="s">
        <v>35</v>
      </c>
      <c r="H308" t="s">
        <v>94</v>
      </c>
      <c r="I308" t="s">
        <v>37</v>
      </c>
      <c r="J308" t="s">
        <v>38</v>
      </c>
      <c r="K308" t="s">
        <v>39</v>
      </c>
      <c r="L308" t="s">
        <v>73</v>
      </c>
      <c r="M308" t="s">
        <v>74</v>
      </c>
      <c r="N308" t="s">
        <v>1748</v>
      </c>
      <c r="O308" t="s">
        <v>58</v>
      </c>
      <c r="P308">
        <v>6</v>
      </c>
      <c r="Q308">
        <v>2126.44</v>
      </c>
      <c r="R308">
        <v>0.2</v>
      </c>
      <c r="S308" t="str">
        <f t="shared" si="42"/>
        <v>OK</v>
      </c>
      <c r="T308">
        <v>10206.91</v>
      </c>
      <c r="U308">
        <v>6764.53</v>
      </c>
      <c r="V308">
        <v>3442.38</v>
      </c>
      <c r="W308" t="s">
        <v>31</v>
      </c>
      <c r="X308" t="s">
        <v>32</v>
      </c>
      <c r="Y308" t="str">
        <f>IF(COUNTIF($A$2:$A$901,A308)&gt;1,
  IF(COUNTIF($A$2:A308,A308)=1,
    " ORIGINAL",
    "CONFLICTING DUPLICATE - REVIEW"),
"OK")</f>
        <v>OK</v>
      </c>
      <c r="Z308">
        <f t="shared" si="43"/>
        <v>0.2</v>
      </c>
      <c r="AA308">
        <f t="shared" si="44"/>
        <v>10206.91</v>
      </c>
      <c r="AB308">
        <f t="shared" si="45"/>
        <v>3442.38</v>
      </c>
      <c r="AC308">
        <f t="shared" si="46"/>
        <v>0.33729999999999999</v>
      </c>
      <c r="AD308">
        <f t="shared" si="47"/>
        <v>2</v>
      </c>
      <c r="AE308">
        <f t="shared" si="48"/>
        <v>2024</v>
      </c>
      <c r="AF308" t="str">
        <f t="shared" si="49"/>
        <v>CLEAN</v>
      </c>
    </row>
    <row r="309" spans="1:32">
      <c r="A309" t="s">
        <v>1749</v>
      </c>
      <c r="B309" s="10">
        <v>45349</v>
      </c>
      <c r="C309" s="10">
        <v>45349</v>
      </c>
      <c r="D309">
        <f t="shared" si="40"/>
        <v>0</v>
      </c>
      <c r="E309" t="str">
        <f t="shared" si="41"/>
        <v>OK</v>
      </c>
      <c r="F309" t="s">
        <v>1750</v>
      </c>
      <c r="G309" t="s">
        <v>131</v>
      </c>
      <c r="H309" t="s">
        <v>23</v>
      </c>
      <c r="I309" t="s">
        <v>37</v>
      </c>
      <c r="J309" t="s">
        <v>227</v>
      </c>
      <c r="K309" t="s">
        <v>228</v>
      </c>
      <c r="L309" t="s">
        <v>40</v>
      </c>
      <c r="M309" t="s">
        <v>65</v>
      </c>
      <c r="N309" t="s">
        <v>1751</v>
      </c>
      <c r="O309" t="s">
        <v>30</v>
      </c>
      <c r="P309">
        <v>3</v>
      </c>
      <c r="Q309">
        <v>3148.09</v>
      </c>
      <c r="R309">
        <v>0.15</v>
      </c>
      <c r="S309" t="str">
        <f t="shared" si="42"/>
        <v>OK</v>
      </c>
      <c r="T309">
        <v>8027.63</v>
      </c>
      <c r="U309">
        <v>5496.09</v>
      </c>
      <c r="V309">
        <v>2531.54</v>
      </c>
      <c r="W309" t="s">
        <v>31</v>
      </c>
      <c r="X309" t="s">
        <v>32</v>
      </c>
      <c r="Y309" t="str">
        <f>IF(COUNTIF($A$2:$A$901,A309)&gt;1,
  IF(COUNTIF($A$2:A309,A309)=1,
    " ORIGINAL",
    "CONFLICTING DUPLICATE - REVIEW"),
"OK")</f>
        <v>OK</v>
      </c>
      <c r="Z309">
        <f t="shared" si="43"/>
        <v>0.15</v>
      </c>
      <c r="AA309">
        <f t="shared" si="44"/>
        <v>8027.63</v>
      </c>
      <c r="AB309">
        <f t="shared" si="45"/>
        <v>2531.54</v>
      </c>
      <c r="AC309">
        <f t="shared" si="46"/>
        <v>0.31540000000000001</v>
      </c>
      <c r="AD309">
        <f t="shared" si="47"/>
        <v>2</v>
      </c>
      <c r="AE309">
        <f t="shared" si="48"/>
        <v>2024</v>
      </c>
      <c r="AF309" t="str">
        <f t="shared" si="49"/>
        <v>CLEAN</v>
      </c>
    </row>
    <row r="310" spans="1:32">
      <c r="A310" t="s">
        <v>1758</v>
      </c>
      <c r="B310" s="10">
        <v>45577</v>
      </c>
      <c r="C310" s="10">
        <v>45582</v>
      </c>
      <c r="D310">
        <f t="shared" si="40"/>
        <v>5</v>
      </c>
      <c r="E310" t="str">
        <f t="shared" si="41"/>
        <v>OK</v>
      </c>
      <c r="F310" t="s">
        <v>1759</v>
      </c>
      <c r="G310" t="s">
        <v>52</v>
      </c>
      <c r="H310" t="s">
        <v>23</v>
      </c>
      <c r="I310" t="s">
        <v>2762</v>
      </c>
      <c r="J310" t="s">
        <v>227</v>
      </c>
      <c r="K310" t="s">
        <v>228</v>
      </c>
      <c r="L310" t="s">
        <v>40</v>
      </c>
      <c r="M310" t="s">
        <v>56</v>
      </c>
      <c r="N310" t="s">
        <v>1760</v>
      </c>
      <c r="O310" t="s">
        <v>58</v>
      </c>
      <c r="P310">
        <v>4</v>
      </c>
      <c r="Q310">
        <v>1071.22</v>
      </c>
      <c r="R310">
        <v>0.05</v>
      </c>
      <c r="S310" t="str">
        <f t="shared" si="42"/>
        <v>OK</v>
      </c>
      <c r="T310">
        <v>4070.64</v>
      </c>
      <c r="U310">
        <v>2831.62</v>
      </c>
      <c r="V310">
        <v>1239.02</v>
      </c>
      <c r="W310" t="s">
        <v>31</v>
      </c>
      <c r="X310" t="s">
        <v>32</v>
      </c>
      <c r="Y310" t="str">
        <f>IF(COUNTIF($A$2:$A$901,A310)&gt;1,
  IF(COUNTIF($A$2:A310,A310)=1,
    " ORIGINAL",
    "CONFLICTING DUPLICATE - REVIEW"),
"OK")</f>
        <v>OK</v>
      </c>
      <c r="Z310">
        <f t="shared" si="43"/>
        <v>0.05</v>
      </c>
      <c r="AA310">
        <f t="shared" si="44"/>
        <v>4070.64</v>
      </c>
      <c r="AB310">
        <f t="shared" si="45"/>
        <v>1239.02</v>
      </c>
      <c r="AC310">
        <f t="shared" si="46"/>
        <v>0.3044</v>
      </c>
      <c r="AD310">
        <f t="shared" si="47"/>
        <v>10</v>
      </c>
      <c r="AE310">
        <f t="shared" si="48"/>
        <v>2024</v>
      </c>
      <c r="AF310" t="str">
        <f t="shared" si="49"/>
        <v>WARNING</v>
      </c>
    </row>
    <row r="311" spans="1:32">
      <c r="A311" t="s">
        <v>1764</v>
      </c>
      <c r="B311" s="10">
        <v>45466</v>
      </c>
      <c r="C311" s="10">
        <v>45472</v>
      </c>
      <c r="D311">
        <f t="shared" si="40"/>
        <v>6</v>
      </c>
      <c r="E311" t="str">
        <f t="shared" si="41"/>
        <v>OK</v>
      </c>
      <c r="F311" t="s">
        <v>1765</v>
      </c>
      <c r="G311" t="s">
        <v>78</v>
      </c>
      <c r="H311" t="s">
        <v>23</v>
      </c>
      <c r="I311" t="s">
        <v>24</v>
      </c>
      <c r="J311" t="s">
        <v>235</v>
      </c>
      <c r="K311" t="s">
        <v>236</v>
      </c>
      <c r="L311" t="s">
        <v>40</v>
      </c>
      <c r="M311" t="s">
        <v>41</v>
      </c>
      <c r="N311" t="s">
        <v>1766</v>
      </c>
      <c r="O311" t="s">
        <v>49</v>
      </c>
      <c r="P311">
        <v>1</v>
      </c>
      <c r="Q311">
        <v>4426.66</v>
      </c>
      <c r="R311">
        <v>0</v>
      </c>
      <c r="S311" t="str">
        <f t="shared" si="42"/>
        <v>OK</v>
      </c>
      <c r="T311">
        <v>4426.66</v>
      </c>
      <c r="U311">
        <v>3035.2</v>
      </c>
      <c r="V311">
        <v>1816.23</v>
      </c>
      <c r="W311" t="s">
        <v>31</v>
      </c>
      <c r="X311" t="s">
        <v>102</v>
      </c>
      <c r="Y311" t="str">
        <f>IF(COUNTIF($A$2:$A$901,A311)&gt;1,
  IF(COUNTIF($A$2:A311,A311)=1,
    " ORIGINAL",
    "CONFLICTING DUPLICATE - REVIEW"),
"OK")</f>
        <v>OK</v>
      </c>
      <c r="Z311">
        <f t="shared" si="43"/>
        <v>0</v>
      </c>
      <c r="AA311">
        <f t="shared" si="44"/>
        <v>4426.66</v>
      </c>
      <c r="AB311">
        <f t="shared" si="45"/>
        <v>1391.46</v>
      </c>
      <c r="AC311">
        <f t="shared" si="46"/>
        <v>0.31430000000000002</v>
      </c>
      <c r="AD311">
        <f t="shared" si="47"/>
        <v>6</v>
      </c>
      <c r="AE311">
        <f t="shared" si="48"/>
        <v>2024</v>
      </c>
      <c r="AF311" t="str">
        <f t="shared" si="49"/>
        <v>CLEAN</v>
      </c>
    </row>
    <row r="312" spans="1:32">
      <c r="A312" t="s">
        <v>1767</v>
      </c>
      <c r="B312" s="10">
        <v>45420</v>
      </c>
      <c r="C312" s="10">
        <v>45426</v>
      </c>
      <c r="D312">
        <f t="shared" si="40"/>
        <v>6</v>
      </c>
      <c r="E312" t="str">
        <f t="shared" si="41"/>
        <v>OK</v>
      </c>
      <c r="F312" t="s">
        <v>1768</v>
      </c>
      <c r="G312" t="s">
        <v>70</v>
      </c>
      <c r="H312" t="s">
        <v>94</v>
      </c>
      <c r="I312" t="s">
        <v>24</v>
      </c>
      <c r="J312" t="s">
        <v>235</v>
      </c>
      <c r="K312" t="s">
        <v>236</v>
      </c>
      <c r="L312" t="s">
        <v>73</v>
      </c>
      <c r="M312" t="s">
        <v>170</v>
      </c>
      <c r="N312" t="s">
        <v>1769</v>
      </c>
      <c r="O312" t="s">
        <v>49</v>
      </c>
      <c r="P312">
        <v>9</v>
      </c>
      <c r="Q312">
        <v>3769.46</v>
      </c>
      <c r="R312">
        <v>0.05</v>
      </c>
      <c r="S312" t="str">
        <f t="shared" si="42"/>
        <v>OK</v>
      </c>
      <c r="T312">
        <v>32228.880000000001</v>
      </c>
      <c r="U312">
        <v>24971.360000000001</v>
      </c>
      <c r="V312">
        <v>7257.52</v>
      </c>
      <c r="W312" t="s">
        <v>31</v>
      </c>
      <c r="X312" t="s">
        <v>67</v>
      </c>
      <c r="Y312" t="str">
        <f>IF(COUNTIF($A$2:$A$901,A312)&gt;1,
  IF(COUNTIF($A$2:A312,A312)=1,
    " ORIGINAL",
    "CONFLICTING DUPLICATE - REVIEW"),
"OK")</f>
        <v>OK</v>
      </c>
      <c r="Z312">
        <f t="shared" si="43"/>
        <v>0.05</v>
      </c>
      <c r="AA312">
        <f t="shared" si="44"/>
        <v>32228.880000000001</v>
      </c>
      <c r="AB312">
        <f t="shared" si="45"/>
        <v>7257.52</v>
      </c>
      <c r="AC312">
        <f t="shared" si="46"/>
        <v>0.22520000000000001</v>
      </c>
      <c r="AD312">
        <f t="shared" si="47"/>
        <v>5</v>
      </c>
      <c r="AE312">
        <f t="shared" si="48"/>
        <v>2024</v>
      </c>
      <c r="AF312" t="str">
        <f t="shared" si="49"/>
        <v>CLEAN</v>
      </c>
    </row>
    <row r="313" spans="1:32">
      <c r="A313" t="s">
        <v>1776</v>
      </c>
      <c r="B313" s="10">
        <v>45307</v>
      </c>
      <c r="C313" s="10">
        <v>45313</v>
      </c>
      <c r="D313">
        <f t="shared" si="40"/>
        <v>6</v>
      </c>
      <c r="E313" t="str">
        <f t="shared" si="41"/>
        <v>OK</v>
      </c>
      <c r="F313" t="s">
        <v>1777</v>
      </c>
      <c r="G313" t="s">
        <v>52</v>
      </c>
      <c r="H313" t="s">
        <v>23</v>
      </c>
      <c r="I313" t="s">
        <v>62</v>
      </c>
      <c r="J313" t="s">
        <v>189</v>
      </c>
      <c r="K313" t="s">
        <v>190</v>
      </c>
      <c r="L313" t="s">
        <v>27</v>
      </c>
      <c r="M313" t="s">
        <v>123</v>
      </c>
      <c r="N313" t="s">
        <v>1778</v>
      </c>
      <c r="O313" t="s">
        <v>58</v>
      </c>
      <c r="P313">
        <v>4</v>
      </c>
      <c r="Q313">
        <v>282.52999999999997</v>
      </c>
      <c r="R313">
        <v>0</v>
      </c>
      <c r="S313" t="str">
        <f t="shared" si="42"/>
        <v>OK</v>
      </c>
      <c r="T313">
        <v>1130.1199999999999</v>
      </c>
      <c r="U313">
        <v>848.62</v>
      </c>
      <c r="V313">
        <v>281.5</v>
      </c>
      <c r="W313" t="s">
        <v>31</v>
      </c>
      <c r="X313" t="s">
        <v>67</v>
      </c>
      <c r="Y313" t="str">
        <f>IF(COUNTIF($A$2:$A$901,A313)&gt;1,
  IF(COUNTIF($A$2:A313,A313)=1,
    " ORIGINAL",
    "CONFLICTING DUPLICATE - REVIEW"),
"OK")</f>
        <v>OK</v>
      </c>
      <c r="Z313">
        <f t="shared" si="43"/>
        <v>0</v>
      </c>
      <c r="AA313">
        <f t="shared" si="44"/>
        <v>1130.1199999999999</v>
      </c>
      <c r="AB313">
        <f t="shared" si="45"/>
        <v>281.5</v>
      </c>
      <c r="AC313">
        <f t="shared" si="46"/>
        <v>0.24909999999999999</v>
      </c>
      <c r="AD313">
        <f t="shared" si="47"/>
        <v>1</v>
      </c>
      <c r="AE313">
        <f t="shared" si="48"/>
        <v>2024</v>
      </c>
      <c r="AF313" t="str">
        <f t="shared" si="49"/>
        <v>CLEAN</v>
      </c>
    </row>
    <row r="314" spans="1:32">
      <c r="A314" t="s">
        <v>1782</v>
      </c>
      <c r="B314" s="10">
        <v>45422</v>
      </c>
      <c r="C314" s="10">
        <v>45428</v>
      </c>
      <c r="D314">
        <f t="shared" si="40"/>
        <v>6</v>
      </c>
      <c r="E314" t="str">
        <f t="shared" si="41"/>
        <v>OK</v>
      </c>
      <c r="F314" t="s">
        <v>1783</v>
      </c>
      <c r="G314" t="s">
        <v>22</v>
      </c>
      <c r="H314" t="s">
        <v>23</v>
      </c>
      <c r="I314" t="s">
        <v>24</v>
      </c>
      <c r="J314" t="s">
        <v>121</v>
      </c>
      <c r="K314" t="s">
        <v>122</v>
      </c>
      <c r="L314" t="s">
        <v>27</v>
      </c>
      <c r="M314" t="s">
        <v>152</v>
      </c>
      <c r="N314" t="s">
        <v>1784</v>
      </c>
      <c r="O314" t="s">
        <v>43</v>
      </c>
      <c r="P314">
        <v>7</v>
      </c>
      <c r="Q314">
        <v>121.54</v>
      </c>
      <c r="R314">
        <v>0.2</v>
      </c>
      <c r="S314" t="str">
        <f t="shared" si="42"/>
        <v>OK</v>
      </c>
      <c r="T314">
        <v>680.62</v>
      </c>
      <c r="U314">
        <v>463.49</v>
      </c>
      <c r="V314">
        <v>217.13</v>
      </c>
      <c r="W314" t="s">
        <v>154</v>
      </c>
      <c r="X314" t="s">
        <v>102</v>
      </c>
      <c r="Y314" t="str">
        <f>IF(COUNTIF($A$2:$A$901,A314)&gt;1,
  IF(COUNTIF($A$2:A314,A314)=1,
    " ORIGINAL",
    "CONFLICTING DUPLICATE - REVIEW"),
"OK")</f>
        <v>OK</v>
      </c>
      <c r="Z314">
        <f t="shared" si="43"/>
        <v>0.2</v>
      </c>
      <c r="AA314">
        <f t="shared" si="44"/>
        <v>680.62</v>
      </c>
      <c r="AB314">
        <f t="shared" si="45"/>
        <v>217.13</v>
      </c>
      <c r="AC314">
        <f t="shared" si="46"/>
        <v>0.31900000000000001</v>
      </c>
      <c r="AD314">
        <f t="shared" si="47"/>
        <v>5</v>
      </c>
      <c r="AE314">
        <f t="shared" si="48"/>
        <v>2024</v>
      </c>
      <c r="AF314" t="str">
        <f t="shared" si="49"/>
        <v>INVALID</v>
      </c>
    </row>
    <row r="315" spans="1:32">
      <c r="A315" t="s">
        <v>1785</v>
      </c>
      <c r="B315" s="10">
        <v>45418</v>
      </c>
      <c r="C315" s="10">
        <v>45631</v>
      </c>
      <c r="D315">
        <f t="shared" si="40"/>
        <v>213</v>
      </c>
      <c r="E315" t="str">
        <f t="shared" si="41"/>
        <v>OK</v>
      </c>
      <c r="F315" t="s">
        <v>1786</v>
      </c>
      <c r="G315" t="s">
        <v>52</v>
      </c>
      <c r="H315" t="s">
        <v>89</v>
      </c>
      <c r="I315" t="s">
        <v>62</v>
      </c>
      <c r="J315" t="s">
        <v>189</v>
      </c>
      <c r="K315" t="s">
        <v>190</v>
      </c>
      <c r="L315" t="s">
        <v>40</v>
      </c>
      <c r="M315" t="s">
        <v>41</v>
      </c>
      <c r="N315" t="s">
        <v>1787</v>
      </c>
      <c r="O315" t="s">
        <v>58</v>
      </c>
      <c r="P315">
        <v>9</v>
      </c>
      <c r="Q315">
        <v>790.97</v>
      </c>
      <c r="R315">
        <v>0.2</v>
      </c>
      <c r="S315" t="str">
        <f t="shared" si="42"/>
        <v>OK</v>
      </c>
      <c r="T315">
        <v>5694.98</v>
      </c>
      <c r="U315">
        <v>4618.33</v>
      </c>
      <c r="V315">
        <v>1076.6500000000001</v>
      </c>
      <c r="W315" t="s">
        <v>110</v>
      </c>
      <c r="X315" t="s">
        <v>67</v>
      </c>
      <c r="Y315" t="str">
        <f>IF(COUNTIF($A$2:$A$901,A315)&gt;1,
  IF(COUNTIF($A$2:A315,A315)=1,
    " ORIGINAL",
    "CONFLICTING DUPLICATE - REVIEW"),
"OK")</f>
        <v>OK</v>
      </c>
      <c r="Z315">
        <f t="shared" si="43"/>
        <v>0.2</v>
      </c>
      <c r="AA315">
        <f t="shared" si="44"/>
        <v>5694.98</v>
      </c>
      <c r="AB315">
        <f t="shared" si="45"/>
        <v>1076.6500000000001</v>
      </c>
      <c r="AC315">
        <f t="shared" si="46"/>
        <v>0.18909999999999999</v>
      </c>
      <c r="AD315">
        <f t="shared" si="47"/>
        <v>5</v>
      </c>
      <c r="AE315">
        <f t="shared" si="48"/>
        <v>2024</v>
      </c>
      <c r="AF315" t="str">
        <f t="shared" si="49"/>
        <v>CLEAN</v>
      </c>
    </row>
    <row r="316" spans="1:32">
      <c r="A316" t="s">
        <v>1788</v>
      </c>
      <c r="B316" s="10">
        <v>45606</v>
      </c>
      <c r="C316" s="10">
        <v>45610</v>
      </c>
      <c r="D316">
        <f t="shared" si="40"/>
        <v>4</v>
      </c>
      <c r="E316" t="str">
        <f t="shared" si="41"/>
        <v>OK</v>
      </c>
      <c r="F316" t="s">
        <v>1789</v>
      </c>
      <c r="G316" t="s">
        <v>131</v>
      </c>
      <c r="H316" t="s">
        <v>89</v>
      </c>
      <c r="I316" t="s">
        <v>53</v>
      </c>
      <c r="J316" t="s">
        <v>83</v>
      </c>
      <c r="K316" t="s">
        <v>84</v>
      </c>
      <c r="L316" t="s">
        <v>40</v>
      </c>
      <c r="M316" t="s">
        <v>41</v>
      </c>
      <c r="N316" t="s">
        <v>1790</v>
      </c>
      <c r="O316" t="s">
        <v>49</v>
      </c>
      <c r="P316">
        <v>2</v>
      </c>
      <c r="Q316">
        <v>921.34</v>
      </c>
      <c r="R316">
        <v>0.2</v>
      </c>
      <c r="S316" t="str">
        <f t="shared" si="42"/>
        <v>OK</v>
      </c>
      <c r="T316">
        <v>1474.14</v>
      </c>
      <c r="U316">
        <v>968.46</v>
      </c>
      <c r="V316">
        <v>505.68</v>
      </c>
      <c r="W316" t="s">
        <v>31</v>
      </c>
      <c r="X316" t="s">
        <v>32</v>
      </c>
      <c r="Y316" t="str">
        <f>IF(COUNTIF($A$2:$A$901,A316)&gt;1,
  IF(COUNTIF($A$2:A316,A316)=1,
    " ORIGINAL",
    "CONFLICTING DUPLICATE - REVIEW"),
"OK")</f>
        <v>OK</v>
      </c>
      <c r="Z316">
        <f t="shared" si="43"/>
        <v>0.2</v>
      </c>
      <c r="AA316">
        <f t="shared" si="44"/>
        <v>1474.14</v>
      </c>
      <c r="AB316">
        <f t="shared" si="45"/>
        <v>505.68</v>
      </c>
      <c r="AC316">
        <f t="shared" si="46"/>
        <v>0.34300000000000003</v>
      </c>
      <c r="AD316">
        <f t="shared" si="47"/>
        <v>11</v>
      </c>
      <c r="AE316">
        <f t="shared" si="48"/>
        <v>2024</v>
      </c>
      <c r="AF316" t="str">
        <f t="shared" si="49"/>
        <v>CLEAN</v>
      </c>
    </row>
    <row r="317" spans="1:32">
      <c r="A317" t="s">
        <v>1794</v>
      </c>
      <c r="B317" s="10">
        <v>45515</v>
      </c>
      <c r="C317" s="10">
        <v>45523</v>
      </c>
      <c r="D317">
        <f t="shared" si="40"/>
        <v>8</v>
      </c>
      <c r="E317" t="str">
        <f t="shared" si="41"/>
        <v>OK</v>
      </c>
      <c r="F317" t="s">
        <v>1795</v>
      </c>
      <c r="G317" t="s">
        <v>131</v>
      </c>
      <c r="H317" t="s">
        <v>36</v>
      </c>
      <c r="I317" t="s">
        <v>62</v>
      </c>
      <c r="J317" t="s">
        <v>63</v>
      </c>
      <c r="K317" t="s">
        <v>64</v>
      </c>
      <c r="L317" t="s">
        <v>27</v>
      </c>
      <c r="M317" t="s">
        <v>28</v>
      </c>
      <c r="N317" t="s">
        <v>1796</v>
      </c>
      <c r="O317" t="s">
        <v>43</v>
      </c>
      <c r="P317">
        <v>2</v>
      </c>
      <c r="Q317">
        <v>2617.89</v>
      </c>
      <c r="R317">
        <v>0.1</v>
      </c>
      <c r="S317" t="str">
        <f t="shared" si="42"/>
        <v>OK</v>
      </c>
      <c r="T317">
        <v>4712.2</v>
      </c>
      <c r="U317">
        <v>3851.91</v>
      </c>
      <c r="V317">
        <v>860.29</v>
      </c>
      <c r="W317" t="s">
        <v>154</v>
      </c>
      <c r="X317" t="s">
        <v>102</v>
      </c>
      <c r="Y317" t="str">
        <f>IF(COUNTIF($A$2:$A$901,A317)&gt;1,
  IF(COUNTIF($A$2:A317,A317)=1,
    " ORIGINAL",
    "CONFLICTING DUPLICATE - REVIEW"),
"OK")</f>
        <v>OK</v>
      </c>
      <c r="Z317">
        <f t="shared" si="43"/>
        <v>0.1</v>
      </c>
      <c r="AA317">
        <f t="shared" si="44"/>
        <v>4712.2</v>
      </c>
      <c r="AB317">
        <f t="shared" si="45"/>
        <v>860.29</v>
      </c>
      <c r="AC317">
        <f t="shared" si="46"/>
        <v>0.18260000000000001</v>
      </c>
      <c r="AD317">
        <f t="shared" si="47"/>
        <v>8</v>
      </c>
      <c r="AE317">
        <f t="shared" si="48"/>
        <v>2024</v>
      </c>
      <c r="AF317" t="str">
        <f t="shared" si="49"/>
        <v>INVALID</v>
      </c>
    </row>
    <row r="318" spans="1:32">
      <c r="A318" t="s">
        <v>1797</v>
      </c>
      <c r="B318" s="10">
        <v>45328</v>
      </c>
      <c r="C318" s="10">
        <v>45567</v>
      </c>
      <c r="D318">
        <f t="shared" si="40"/>
        <v>239</v>
      </c>
      <c r="E318" t="str">
        <f t="shared" si="41"/>
        <v>OK</v>
      </c>
      <c r="F318" t="s">
        <v>1798</v>
      </c>
      <c r="G318" t="s">
        <v>52</v>
      </c>
      <c r="H318" t="s">
        <v>94</v>
      </c>
      <c r="I318" t="s">
        <v>24</v>
      </c>
      <c r="J318" t="s">
        <v>135</v>
      </c>
      <c r="K318" t="s">
        <v>136</v>
      </c>
      <c r="L318" t="s">
        <v>40</v>
      </c>
      <c r="M318" t="s">
        <v>56</v>
      </c>
      <c r="N318" t="s">
        <v>596</v>
      </c>
      <c r="O318" t="s">
        <v>43</v>
      </c>
      <c r="P318">
        <v>1</v>
      </c>
      <c r="Q318">
        <v>1374.06</v>
      </c>
      <c r="R318">
        <v>0.05</v>
      </c>
      <c r="S318" t="str">
        <f t="shared" si="42"/>
        <v>OK</v>
      </c>
      <c r="T318">
        <v>1305.3599999999999</v>
      </c>
      <c r="U318">
        <v>731.89</v>
      </c>
      <c r="V318">
        <v>573.47</v>
      </c>
      <c r="W318" t="s">
        <v>31</v>
      </c>
      <c r="X318" t="s">
        <v>32</v>
      </c>
      <c r="Y318" t="str">
        <f>IF(COUNTIF($A$2:$A$901,A318)&gt;1,
  IF(COUNTIF($A$2:A318,A318)=1,
    " ORIGINAL",
    "CONFLICTING DUPLICATE - REVIEW"),
"OK")</f>
        <v>OK</v>
      </c>
      <c r="Z318">
        <f t="shared" si="43"/>
        <v>0.05</v>
      </c>
      <c r="AA318">
        <f t="shared" si="44"/>
        <v>1305.3599999999999</v>
      </c>
      <c r="AB318">
        <f t="shared" si="45"/>
        <v>573.47</v>
      </c>
      <c r="AC318">
        <f t="shared" si="46"/>
        <v>0.43930000000000002</v>
      </c>
      <c r="AD318">
        <f t="shared" si="47"/>
        <v>2</v>
      </c>
      <c r="AE318">
        <f t="shared" si="48"/>
        <v>2024</v>
      </c>
      <c r="AF318" t="str">
        <f t="shared" si="49"/>
        <v>CLEAN</v>
      </c>
    </row>
    <row r="319" spans="1:32">
      <c r="A319" t="s">
        <v>1799</v>
      </c>
      <c r="B319" s="10">
        <v>45312</v>
      </c>
      <c r="C319" s="10">
        <v>45315</v>
      </c>
      <c r="D319">
        <f t="shared" si="40"/>
        <v>3</v>
      </c>
      <c r="E319" t="str">
        <f t="shared" si="41"/>
        <v>OK</v>
      </c>
      <c r="F319" t="s">
        <v>1800</v>
      </c>
      <c r="G319" t="s">
        <v>263</v>
      </c>
      <c r="H319" t="s">
        <v>89</v>
      </c>
      <c r="I319" t="s">
        <v>24</v>
      </c>
      <c r="J319" t="s">
        <v>121</v>
      </c>
      <c r="K319" t="s">
        <v>122</v>
      </c>
      <c r="L319" t="s">
        <v>73</v>
      </c>
      <c r="M319" t="s">
        <v>273</v>
      </c>
      <c r="N319" t="s">
        <v>1801</v>
      </c>
      <c r="O319" t="s">
        <v>43</v>
      </c>
      <c r="P319">
        <v>1</v>
      </c>
      <c r="Q319">
        <v>3806.3</v>
      </c>
      <c r="R319">
        <v>0.25</v>
      </c>
      <c r="S319" t="str">
        <f t="shared" si="42"/>
        <v>OK</v>
      </c>
      <c r="T319">
        <v>2854.73</v>
      </c>
      <c r="U319">
        <v>1968.12</v>
      </c>
      <c r="V319">
        <v>886.61</v>
      </c>
      <c r="W319" t="s">
        <v>31</v>
      </c>
      <c r="X319" t="s">
        <v>32</v>
      </c>
      <c r="Y319" t="str">
        <f>IF(COUNTIF($A$2:$A$901,A319)&gt;1,
  IF(COUNTIF($A$2:A319,A319)=1,
    " ORIGINAL",
    "CONFLICTING DUPLICATE - REVIEW"),
"OK")</f>
        <v>OK</v>
      </c>
      <c r="Z319">
        <f t="shared" si="43"/>
        <v>0.25</v>
      </c>
      <c r="AA319">
        <f t="shared" si="44"/>
        <v>2854.73</v>
      </c>
      <c r="AB319">
        <f t="shared" si="45"/>
        <v>886.61</v>
      </c>
      <c r="AC319">
        <f t="shared" si="46"/>
        <v>0.31059999999999999</v>
      </c>
      <c r="AD319">
        <f t="shared" si="47"/>
        <v>1</v>
      </c>
      <c r="AE319">
        <f t="shared" si="48"/>
        <v>2024</v>
      </c>
      <c r="AF319" t="str">
        <f t="shared" si="49"/>
        <v>CLEAN</v>
      </c>
    </row>
    <row r="320" spans="1:32">
      <c r="A320" t="s">
        <v>1811</v>
      </c>
      <c r="B320" s="10">
        <v>45293</v>
      </c>
      <c r="C320" s="10">
        <v>45536</v>
      </c>
      <c r="D320">
        <f t="shared" si="40"/>
        <v>243</v>
      </c>
      <c r="E320" t="str">
        <f t="shared" si="41"/>
        <v>OK</v>
      </c>
      <c r="F320" t="s">
        <v>1812</v>
      </c>
      <c r="G320" t="s">
        <v>161</v>
      </c>
      <c r="H320" t="s">
        <v>89</v>
      </c>
      <c r="I320" t="s">
        <v>24</v>
      </c>
      <c r="J320" t="s">
        <v>349</v>
      </c>
      <c r="K320" t="s">
        <v>350</v>
      </c>
      <c r="L320" t="s">
        <v>73</v>
      </c>
      <c r="M320" t="s">
        <v>170</v>
      </c>
      <c r="N320" t="s">
        <v>1813</v>
      </c>
      <c r="O320" t="s">
        <v>58</v>
      </c>
      <c r="P320">
        <v>3</v>
      </c>
      <c r="Q320">
        <v>739.56</v>
      </c>
      <c r="R320">
        <v>0.2</v>
      </c>
      <c r="S320" t="str">
        <f t="shared" si="42"/>
        <v>OK</v>
      </c>
      <c r="T320">
        <v>1774.94</v>
      </c>
      <c r="U320">
        <v>1007.4</v>
      </c>
      <c r="V320">
        <v>767.54</v>
      </c>
      <c r="W320" t="s">
        <v>31</v>
      </c>
      <c r="X320" t="s">
        <v>32</v>
      </c>
      <c r="Y320" t="str">
        <f>IF(COUNTIF($A$2:$A$901,A320)&gt;1,
  IF(COUNTIF($A$2:A320,A320)=1,
    " ORIGINAL",
    "CONFLICTING DUPLICATE - REVIEW"),
"OK")</f>
        <v>OK</v>
      </c>
      <c r="Z320">
        <f t="shared" si="43"/>
        <v>0.2</v>
      </c>
      <c r="AA320">
        <f t="shared" si="44"/>
        <v>1774.94</v>
      </c>
      <c r="AB320">
        <f t="shared" si="45"/>
        <v>767.54</v>
      </c>
      <c r="AC320">
        <f t="shared" si="46"/>
        <v>0.43240000000000001</v>
      </c>
      <c r="AD320">
        <f t="shared" si="47"/>
        <v>1</v>
      </c>
      <c r="AE320">
        <f t="shared" si="48"/>
        <v>2024</v>
      </c>
      <c r="AF320" t="str">
        <f t="shared" si="49"/>
        <v>CLEAN</v>
      </c>
    </row>
    <row r="321" spans="1:32">
      <c r="A321" t="s">
        <v>1817</v>
      </c>
      <c r="B321" s="10">
        <v>45342</v>
      </c>
      <c r="C321" s="10">
        <v>45347</v>
      </c>
      <c r="D321">
        <f t="shared" si="40"/>
        <v>5</v>
      </c>
      <c r="E321" t="str">
        <f t="shared" si="41"/>
        <v>OK</v>
      </c>
      <c r="F321" t="s">
        <v>801</v>
      </c>
      <c r="G321" t="s">
        <v>161</v>
      </c>
      <c r="H321" t="s">
        <v>94</v>
      </c>
      <c r="I321" t="s">
        <v>24</v>
      </c>
      <c r="J321" t="s">
        <v>121</v>
      </c>
      <c r="K321" t="s">
        <v>122</v>
      </c>
      <c r="L321" t="s">
        <v>73</v>
      </c>
      <c r="M321" t="s">
        <v>273</v>
      </c>
      <c r="N321" t="s">
        <v>1818</v>
      </c>
      <c r="O321" t="s">
        <v>58</v>
      </c>
      <c r="P321">
        <v>4</v>
      </c>
      <c r="Q321">
        <v>1355.8</v>
      </c>
      <c r="R321">
        <v>0</v>
      </c>
      <c r="S321" t="str">
        <f t="shared" si="42"/>
        <v>OK</v>
      </c>
      <c r="T321">
        <v>5423.2</v>
      </c>
      <c r="U321">
        <v>4072.44</v>
      </c>
      <c r="V321">
        <v>1350.76</v>
      </c>
      <c r="W321" t="s">
        <v>31</v>
      </c>
      <c r="X321" t="s">
        <v>32</v>
      </c>
      <c r="Y321" t="str">
        <f>IF(COUNTIF($A$2:$A$901,A321)&gt;1,
  IF(COUNTIF($A$2:A321,A321)=1,
    " ORIGINAL",
    "CONFLICTING DUPLICATE - REVIEW"),
"OK")</f>
        <v>OK</v>
      </c>
      <c r="Z321">
        <f t="shared" si="43"/>
        <v>0</v>
      </c>
      <c r="AA321">
        <f t="shared" si="44"/>
        <v>5423.2</v>
      </c>
      <c r="AB321">
        <f t="shared" si="45"/>
        <v>1350.76</v>
      </c>
      <c r="AC321">
        <f t="shared" si="46"/>
        <v>0.24909999999999999</v>
      </c>
      <c r="AD321">
        <f t="shared" si="47"/>
        <v>2</v>
      </c>
      <c r="AE321">
        <f t="shared" si="48"/>
        <v>2024</v>
      </c>
      <c r="AF321" t="str">
        <f t="shared" si="49"/>
        <v>CLEAN</v>
      </c>
    </row>
    <row r="322" spans="1:32">
      <c r="A322" t="s">
        <v>1822</v>
      </c>
      <c r="B322" s="10">
        <v>45339</v>
      </c>
      <c r="C322" s="10">
        <v>45345</v>
      </c>
      <c r="D322">
        <f t="shared" ref="D322:D385" si="50">C322-B322</f>
        <v>6</v>
      </c>
      <c r="E322" t="str">
        <f t="shared" ref="E322:E385" si="51">IF(D322&lt;0,"INVALID","OK")</f>
        <v>OK</v>
      </c>
      <c r="F322" t="s">
        <v>1823</v>
      </c>
      <c r="G322" t="s">
        <v>140</v>
      </c>
      <c r="H322" t="s">
        <v>94</v>
      </c>
      <c r="I322" t="s">
        <v>2762</v>
      </c>
      <c r="J322" t="s">
        <v>144</v>
      </c>
      <c r="K322" t="s">
        <v>145</v>
      </c>
      <c r="L322" t="s">
        <v>27</v>
      </c>
      <c r="M322" t="s">
        <v>152</v>
      </c>
      <c r="N322" t="s">
        <v>1824</v>
      </c>
      <c r="O322" t="s">
        <v>58</v>
      </c>
      <c r="P322">
        <v>9</v>
      </c>
      <c r="Q322">
        <v>2614.46</v>
      </c>
      <c r="R322">
        <v>0</v>
      </c>
      <c r="S322" t="str">
        <f t="shared" si="42"/>
        <v>OK</v>
      </c>
      <c r="T322">
        <v>23530.14</v>
      </c>
      <c r="U322">
        <v>19537.79</v>
      </c>
      <c r="V322">
        <v>3992.35</v>
      </c>
      <c r="W322" t="s">
        <v>101</v>
      </c>
      <c r="X322" t="s">
        <v>102</v>
      </c>
      <c r="Y322" t="str">
        <f>IF(COUNTIF($A$2:$A$901,A322)&gt;1,
  IF(COUNTIF($A$2:A322,A322)=1,
    " ORIGINAL",
    "CONFLICTING DUPLICATE - REVIEW"),
"OK")</f>
        <v>OK</v>
      </c>
      <c r="Z322">
        <f t="shared" si="43"/>
        <v>0</v>
      </c>
      <c r="AA322">
        <f t="shared" si="44"/>
        <v>23530.14</v>
      </c>
      <c r="AB322">
        <f t="shared" si="45"/>
        <v>3992.35</v>
      </c>
      <c r="AC322">
        <f t="shared" si="46"/>
        <v>0.16969999999999999</v>
      </c>
      <c r="AD322">
        <f t="shared" si="47"/>
        <v>2</v>
      </c>
      <c r="AE322">
        <f t="shared" si="48"/>
        <v>2024</v>
      </c>
      <c r="AF322" t="str">
        <f t="shared" si="49"/>
        <v>WARNING</v>
      </c>
    </row>
    <row r="323" spans="1:32">
      <c r="A323" t="s">
        <v>1828</v>
      </c>
      <c r="B323" s="10">
        <v>45343</v>
      </c>
      <c r="C323" s="10">
        <v>45345</v>
      </c>
      <c r="D323">
        <f t="shared" si="50"/>
        <v>2</v>
      </c>
      <c r="E323" t="str">
        <f t="shared" si="51"/>
        <v>OK</v>
      </c>
      <c r="F323" t="s">
        <v>294</v>
      </c>
      <c r="G323" t="s">
        <v>78</v>
      </c>
      <c r="H323" t="s">
        <v>36</v>
      </c>
      <c r="I323" t="s">
        <v>62</v>
      </c>
      <c r="J323" t="s">
        <v>179</v>
      </c>
      <c r="K323" t="s">
        <v>180</v>
      </c>
      <c r="L323" t="s">
        <v>73</v>
      </c>
      <c r="M323" t="s">
        <v>79</v>
      </c>
      <c r="N323" t="s">
        <v>1829</v>
      </c>
      <c r="O323" t="s">
        <v>49</v>
      </c>
      <c r="P323">
        <v>6</v>
      </c>
      <c r="Q323">
        <v>2633.65</v>
      </c>
      <c r="R323">
        <v>0.05</v>
      </c>
      <c r="S323" t="str">
        <f t="shared" ref="S323:S386" si="52">IF(R323&lt;0,"INVALID-NEGATIVE",IF(R323&gt;1,"INVALID-ABOVE","OK"))</f>
        <v>OK</v>
      </c>
      <c r="T323">
        <v>15011.81</v>
      </c>
      <c r="U323">
        <v>9660.36</v>
      </c>
      <c r="V323">
        <v>5351.45</v>
      </c>
      <c r="W323" t="s">
        <v>31</v>
      </c>
      <c r="X323" t="s">
        <v>32</v>
      </c>
      <c r="Y323" t="str">
        <f>IF(COUNTIF($A$2:$A$901,A323)&gt;1,
  IF(COUNTIF($A$2:A323,A323)=1,
    " ORIGINAL",
    "CONFLICTING DUPLICATE - REVIEW"),
"OK")</f>
        <v>OK</v>
      </c>
      <c r="Z323">
        <f t="shared" ref="Z323:Z386" si="53">IF(R323&lt;0, 0,
  IF(ISNUMBER(R323), R323,
    IFERROR(VALUE(SUBSTITUTE(R323,"%",""))/100, 0)))</f>
        <v>0.05</v>
      </c>
      <c r="AA323">
        <f t="shared" ref="AA323:AA386" si="54">ROUND(P323*Q323*(1-Z323),2)</f>
        <v>15011.81</v>
      </c>
      <c r="AB323">
        <f t="shared" ref="AB323:AB386" si="55">ROUND(AA323-U323,2)</f>
        <v>5351.45</v>
      </c>
      <c r="AC323">
        <f t="shared" ref="AC323:AC386" si="56">IFERROR(ROUND(AB323/AA323,4),0)</f>
        <v>0.35649999999999998</v>
      </c>
      <c r="AD323">
        <f t="shared" ref="AD323:AD386" si="57">IFERROR(MONTH(B323),"INVALID")</f>
        <v>2</v>
      </c>
      <c r="AE323">
        <f t="shared" ref="AE323:AE386" si="58">IFERROR(YEAR(B323),"INVALID")</f>
        <v>2024</v>
      </c>
      <c r="AF323" t="str">
        <f t="shared" ref="AF323:AF386" si="59">IF(OR(R323&lt;0,NOT(ISNUMBER(R323)),D323&lt;0,W323="Failed"),"INVALID",IF(OR(I323="Unknown",O323="Unknown",R323&gt;1,AA323&lt;0),"WARNING","CLEAN"))</f>
        <v>CLEAN</v>
      </c>
    </row>
    <row r="324" spans="1:32">
      <c r="A324" t="s">
        <v>1830</v>
      </c>
      <c r="B324" s="10">
        <v>45462</v>
      </c>
      <c r="C324" s="10">
        <v>45467</v>
      </c>
      <c r="D324">
        <f t="shared" si="50"/>
        <v>5</v>
      </c>
      <c r="E324" t="str">
        <f t="shared" si="51"/>
        <v>OK</v>
      </c>
      <c r="F324" t="s">
        <v>1831</v>
      </c>
      <c r="G324" t="s">
        <v>127</v>
      </c>
      <c r="H324" t="s">
        <v>36</v>
      </c>
      <c r="I324" t="s">
        <v>53</v>
      </c>
      <c r="J324" t="s">
        <v>246</v>
      </c>
      <c r="K324" t="s">
        <v>247</v>
      </c>
      <c r="L324" t="s">
        <v>27</v>
      </c>
      <c r="M324" t="s">
        <v>123</v>
      </c>
      <c r="N324" t="s">
        <v>1832</v>
      </c>
      <c r="O324" t="s">
        <v>43</v>
      </c>
      <c r="P324">
        <v>1</v>
      </c>
      <c r="Q324">
        <v>3202.41</v>
      </c>
      <c r="R324">
        <v>0</v>
      </c>
      <c r="S324" t="str">
        <f t="shared" si="52"/>
        <v>OK</v>
      </c>
      <c r="T324">
        <v>3202.41</v>
      </c>
      <c r="U324">
        <v>2608.44</v>
      </c>
      <c r="V324">
        <v>593.97</v>
      </c>
      <c r="W324" t="s">
        <v>31</v>
      </c>
      <c r="X324" t="s">
        <v>32</v>
      </c>
      <c r="Y324" t="str">
        <f>IF(COUNTIF($A$2:$A$901,A324)&gt;1,
  IF(COUNTIF($A$2:A324,A324)=1,
    " ORIGINAL",
    "CONFLICTING DUPLICATE - REVIEW"),
"OK")</f>
        <v>OK</v>
      </c>
      <c r="Z324">
        <f t="shared" si="53"/>
        <v>0</v>
      </c>
      <c r="AA324">
        <f t="shared" si="54"/>
        <v>3202.41</v>
      </c>
      <c r="AB324">
        <f t="shared" si="55"/>
        <v>593.97</v>
      </c>
      <c r="AC324">
        <f t="shared" si="56"/>
        <v>0.1855</v>
      </c>
      <c r="AD324">
        <f t="shared" si="57"/>
        <v>6</v>
      </c>
      <c r="AE324">
        <f t="shared" si="58"/>
        <v>2024</v>
      </c>
      <c r="AF324" t="str">
        <f t="shared" si="59"/>
        <v>CLEAN</v>
      </c>
    </row>
    <row r="325" spans="1:32">
      <c r="A325" t="s">
        <v>1839</v>
      </c>
      <c r="B325" s="10">
        <v>45580</v>
      </c>
      <c r="C325" s="10">
        <v>45585</v>
      </c>
      <c r="D325">
        <f t="shared" si="50"/>
        <v>5</v>
      </c>
      <c r="E325" t="str">
        <f t="shared" si="51"/>
        <v>OK</v>
      </c>
      <c r="F325" t="s">
        <v>1840</v>
      </c>
      <c r="G325" t="s">
        <v>61</v>
      </c>
      <c r="H325" t="s">
        <v>23</v>
      </c>
      <c r="I325" t="s">
        <v>37</v>
      </c>
      <c r="J325" t="s">
        <v>38</v>
      </c>
      <c r="K325" t="s">
        <v>39</v>
      </c>
      <c r="L325" t="s">
        <v>27</v>
      </c>
      <c r="M325" t="s">
        <v>47</v>
      </c>
      <c r="N325" t="s">
        <v>1841</v>
      </c>
      <c r="O325" t="s">
        <v>49</v>
      </c>
      <c r="P325">
        <v>5</v>
      </c>
      <c r="Q325">
        <v>671.24</v>
      </c>
      <c r="R325">
        <v>0</v>
      </c>
      <c r="S325" t="str">
        <f t="shared" si="52"/>
        <v>OK</v>
      </c>
      <c r="T325">
        <v>3356.2</v>
      </c>
      <c r="U325">
        <v>2205.7199999999998</v>
      </c>
      <c r="V325">
        <v>1150.48</v>
      </c>
      <c r="W325" t="s">
        <v>110</v>
      </c>
      <c r="X325" t="s">
        <v>102</v>
      </c>
      <c r="Y325" t="str">
        <f>IF(COUNTIF($A$2:$A$901,A325)&gt;1,
  IF(COUNTIF($A$2:A325,A325)=1,
    " ORIGINAL",
    "CONFLICTING DUPLICATE - REVIEW"),
"OK")</f>
        <v>OK</v>
      </c>
      <c r="Z325">
        <f t="shared" si="53"/>
        <v>0</v>
      </c>
      <c r="AA325">
        <f t="shared" si="54"/>
        <v>3356.2</v>
      </c>
      <c r="AB325">
        <f t="shared" si="55"/>
        <v>1150.48</v>
      </c>
      <c r="AC325">
        <f t="shared" si="56"/>
        <v>0.34279999999999999</v>
      </c>
      <c r="AD325">
        <f t="shared" si="57"/>
        <v>10</v>
      </c>
      <c r="AE325">
        <f t="shared" si="58"/>
        <v>2024</v>
      </c>
      <c r="AF325" t="str">
        <f t="shared" si="59"/>
        <v>CLEAN</v>
      </c>
    </row>
    <row r="326" spans="1:32">
      <c r="A326" t="s">
        <v>1842</v>
      </c>
      <c r="B326" s="10">
        <v>45350</v>
      </c>
      <c r="C326" s="10">
        <v>45350</v>
      </c>
      <c r="D326">
        <f t="shared" si="50"/>
        <v>0</v>
      </c>
      <c r="E326" t="str">
        <f t="shared" si="51"/>
        <v>OK</v>
      </c>
      <c r="F326" t="s">
        <v>1843</v>
      </c>
      <c r="G326" t="s">
        <v>140</v>
      </c>
      <c r="H326" t="s">
        <v>36</v>
      </c>
      <c r="I326" t="s">
        <v>37</v>
      </c>
      <c r="J326" t="s">
        <v>98</v>
      </c>
      <c r="K326" t="s">
        <v>99</v>
      </c>
      <c r="L326" t="s">
        <v>27</v>
      </c>
      <c r="M326" t="s">
        <v>123</v>
      </c>
      <c r="N326" t="s">
        <v>1844</v>
      </c>
      <c r="O326" t="s">
        <v>49</v>
      </c>
      <c r="P326">
        <v>1</v>
      </c>
      <c r="Q326">
        <v>2626.84</v>
      </c>
      <c r="R326">
        <v>0.2</v>
      </c>
      <c r="S326" t="str">
        <f t="shared" si="52"/>
        <v>OK</v>
      </c>
      <c r="T326">
        <v>2101.4699999999998</v>
      </c>
      <c r="U326">
        <v>1217.83</v>
      </c>
      <c r="V326">
        <v>883.64</v>
      </c>
      <c r="W326" t="s">
        <v>154</v>
      </c>
      <c r="X326" t="s">
        <v>102</v>
      </c>
      <c r="Y326" t="str">
        <f>IF(COUNTIF($A$2:$A$901,A326)&gt;1,
  IF(COUNTIF($A$2:A326,A326)=1,
    " ORIGINAL",
    "CONFLICTING DUPLICATE - REVIEW"),
"OK")</f>
        <v>OK</v>
      </c>
      <c r="Z326">
        <f t="shared" si="53"/>
        <v>0.2</v>
      </c>
      <c r="AA326">
        <f t="shared" si="54"/>
        <v>2101.4699999999998</v>
      </c>
      <c r="AB326">
        <f t="shared" si="55"/>
        <v>883.64</v>
      </c>
      <c r="AC326">
        <f t="shared" si="56"/>
        <v>0.42049999999999998</v>
      </c>
      <c r="AD326">
        <f t="shared" si="57"/>
        <v>2</v>
      </c>
      <c r="AE326">
        <f t="shared" si="58"/>
        <v>2024</v>
      </c>
      <c r="AF326" t="str">
        <f t="shared" si="59"/>
        <v>INVALID</v>
      </c>
    </row>
    <row r="327" spans="1:32">
      <c r="A327" t="s">
        <v>1845</v>
      </c>
      <c r="B327" s="10">
        <v>45508</v>
      </c>
      <c r="C327" s="10">
        <v>45573</v>
      </c>
      <c r="D327">
        <f t="shared" si="50"/>
        <v>65</v>
      </c>
      <c r="E327" t="str">
        <f t="shared" si="51"/>
        <v>OK</v>
      </c>
      <c r="F327" t="s">
        <v>1846</v>
      </c>
      <c r="G327" t="s">
        <v>70</v>
      </c>
      <c r="H327" t="s">
        <v>23</v>
      </c>
      <c r="I327" t="s">
        <v>37</v>
      </c>
      <c r="J327" t="s">
        <v>144</v>
      </c>
      <c r="K327" t="s">
        <v>145</v>
      </c>
      <c r="L327" t="s">
        <v>27</v>
      </c>
      <c r="M327" t="s">
        <v>47</v>
      </c>
      <c r="N327" t="s">
        <v>1847</v>
      </c>
      <c r="O327" t="s">
        <v>43</v>
      </c>
      <c r="P327">
        <v>1</v>
      </c>
      <c r="Q327">
        <v>984.93</v>
      </c>
      <c r="R327">
        <v>0.15</v>
      </c>
      <c r="S327" t="str">
        <f t="shared" si="52"/>
        <v>OK</v>
      </c>
      <c r="T327">
        <v>837.19</v>
      </c>
      <c r="U327">
        <v>583.79</v>
      </c>
      <c r="V327">
        <v>253.4</v>
      </c>
      <c r="W327" t="s">
        <v>110</v>
      </c>
      <c r="X327" t="s">
        <v>102</v>
      </c>
      <c r="Y327" t="str">
        <f>IF(COUNTIF($A$2:$A$901,A327)&gt;1,
  IF(COUNTIF($A$2:A327,A327)=1,
    " ORIGINAL",
    "CONFLICTING DUPLICATE - REVIEW"),
"OK")</f>
        <v>OK</v>
      </c>
      <c r="Z327">
        <f t="shared" si="53"/>
        <v>0.15</v>
      </c>
      <c r="AA327">
        <f t="shared" si="54"/>
        <v>837.19</v>
      </c>
      <c r="AB327">
        <f t="shared" si="55"/>
        <v>253.4</v>
      </c>
      <c r="AC327">
        <f t="shared" si="56"/>
        <v>0.30270000000000002</v>
      </c>
      <c r="AD327">
        <f t="shared" si="57"/>
        <v>8</v>
      </c>
      <c r="AE327">
        <f t="shared" si="58"/>
        <v>2024</v>
      </c>
      <c r="AF327" t="str">
        <f t="shared" si="59"/>
        <v>CLEAN</v>
      </c>
    </row>
    <row r="328" spans="1:32">
      <c r="A328" t="s">
        <v>1860</v>
      </c>
      <c r="B328" s="10">
        <v>45632</v>
      </c>
      <c r="C328" s="10">
        <v>45638</v>
      </c>
      <c r="D328">
        <f t="shared" si="50"/>
        <v>6</v>
      </c>
      <c r="E328" t="str">
        <f t="shared" si="51"/>
        <v>OK</v>
      </c>
      <c r="F328" t="s">
        <v>1861</v>
      </c>
      <c r="G328" t="s">
        <v>140</v>
      </c>
      <c r="H328" t="s">
        <v>89</v>
      </c>
      <c r="I328" t="s">
        <v>24</v>
      </c>
      <c r="J328" t="s">
        <v>135</v>
      </c>
      <c r="K328" t="s">
        <v>136</v>
      </c>
      <c r="L328" t="s">
        <v>73</v>
      </c>
      <c r="M328" t="s">
        <v>170</v>
      </c>
      <c r="N328" t="s">
        <v>1862</v>
      </c>
      <c r="O328" t="s">
        <v>49</v>
      </c>
      <c r="P328">
        <v>3</v>
      </c>
      <c r="Q328">
        <v>524.75</v>
      </c>
      <c r="R328">
        <v>0</v>
      </c>
      <c r="S328" t="str">
        <f t="shared" si="52"/>
        <v>OK</v>
      </c>
      <c r="T328">
        <v>1574.25</v>
      </c>
      <c r="U328">
        <v>1326.12</v>
      </c>
      <c r="V328">
        <v>248.13</v>
      </c>
      <c r="W328" t="s">
        <v>31</v>
      </c>
      <c r="X328" t="s">
        <v>32</v>
      </c>
      <c r="Y328" t="str">
        <f>IF(COUNTIF($A$2:$A$901,A328)&gt;1,
  IF(COUNTIF($A$2:A328,A328)=1,
    " ORIGINAL",
    "CONFLICTING DUPLICATE - REVIEW"),
"OK")</f>
        <v>OK</v>
      </c>
      <c r="Z328">
        <f t="shared" si="53"/>
        <v>0</v>
      </c>
      <c r="AA328">
        <f t="shared" si="54"/>
        <v>1574.25</v>
      </c>
      <c r="AB328">
        <f t="shared" si="55"/>
        <v>248.13</v>
      </c>
      <c r="AC328">
        <f t="shared" si="56"/>
        <v>0.15759999999999999</v>
      </c>
      <c r="AD328">
        <f t="shared" si="57"/>
        <v>12</v>
      </c>
      <c r="AE328">
        <f t="shared" si="58"/>
        <v>2024</v>
      </c>
      <c r="AF328" t="str">
        <f t="shared" si="59"/>
        <v>CLEAN</v>
      </c>
    </row>
    <row r="329" spans="1:32">
      <c r="A329" t="s">
        <v>1863</v>
      </c>
      <c r="B329" s="10">
        <v>45441</v>
      </c>
      <c r="C329" s="10">
        <v>45441</v>
      </c>
      <c r="D329">
        <f t="shared" si="50"/>
        <v>0</v>
      </c>
      <c r="E329" t="str">
        <f t="shared" si="51"/>
        <v>OK</v>
      </c>
      <c r="F329" t="s">
        <v>1864</v>
      </c>
      <c r="G329" t="s">
        <v>127</v>
      </c>
      <c r="H329" t="s">
        <v>94</v>
      </c>
      <c r="I329" t="s">
        <v>24</v>
      </c>
      <c r="J329" t="s">
        <v>349</v>
      </c>
      <c r="K329" t="s">
        <v>350</v>
      </c>
      <c r="L329" t="s">
        <v>40</v>
      </c>
      <c r="M329" t="s">
        <v>65</v>
      </c>
      <c r="N329" t="s">
        <v>1865</v>
      </c>
      <c r="O329" t="s">
        <v>43</v>
      </c>
      <c r="P329">
        <v>6</v>
      </c>
      <c r="Q329">
        <v>3430.35</v>
      </c>
      <c r="R329">
        <v>0</v>
      </c>
      <c r="S329" t="str">
        <f t="shared" si="52"/>
        <v>OK</v>
      </c>
      <c r="T329">
        <v>20582.099999999999</v>
      </c>
      <c r="U329">
        <v>15897.65</v>
      </c>
      <c r="V329">
        <v>4684.45</v>
      </c>
      <c r="W329" t="s">
        <v>110</v>
      </c>
      <c r="X329" t="s">
        <v>67</v>
      </c>
      <c r="Y329" t="str">
        <f>IF(COUNTIF($A$2:$A$901,A329)&gt;1,
  IF(COUNTIF($A$2:A329,A329)=1,
    " ORIGINAL",
    "CONFLICTING DUPLICATE - REVIEW"),
"OK")</f>
        <v>OK</v>
      </c>
      <c r="Z329">
        <f t="shared" si="53"/>
        <v>0</v>
      </c>
      <c r="AA329">
        <f t="shared" si="54"/>
        <v>20582.099999999999</v>
      </c>
      <c r="AB329">
        <f t="shared" si="55"/>
        <v>4684.45</v>
      </c>
      <c r="AC329">
        <f t="shared" si="56"/>
        <v>0.2276</v>
      </c>
      <c r="AD329">
        <f t="shared" si="57"/>
        <v>5</v>
      </c>
      <c r="AE329">
        <f t="shared" si="58"/>
        <v>2024</v>
      </c>
      <c r="AF329" t="str">
        <f t="shared" si="59"/>
        <v>CLEAN</v>
      </c>
    </row>
    <row r="330" spans="1:32">
      <c r="A330" t="s">
        <v>1866</v>
      </c>
      <c r="B330" s="10">
        <v>45344</v>
      </c>
      <c r="C330" s="10">
        <v>45346</v>
      </c>
      <c r="D330">
        <f t="shared" si="50"/>
        <v>2</v>
      </c>
      <c r="E330" t="str">
        <f t="shared" si="51"/>
        <v>OK</v>
      </c>
      <c r="F330" t="s">
        <v>1867</v>
      </c>
      <c r="G330" t="s">
        <v>131</v>
      </c>
      <c r="H330" t="s">
        <v>23</v>
      </c>
      <c r="I330" t="s">
        <v>53</v>
      </c>
      <c r="J330" t="s">
        <v>174</v>
      </c>
      <c r="K330" t="s">
        <v>175</v>
      </c>
      <c r="L330" t="s">
        <v>73</v>
      </c>
      <c r="M330" t="s">
        <v>79</v>
      </c>
      <c r="N330" t="s">
        <v>1868</v>
      </c>
      <c r="O330" t="s">
        <v>49</v>
      </c>
      <c r="P330">
        <v>3</v>
      </c>
      <c r="Q330">
        <v>3545.08</v>
      </c>
      <c r="R330">
        <v>0</v>
      </c>
      <c r="S330" t="str">
        <f t="shared" si="52"/>
        <v>OK</v>
      </c>
      <c r="T330">
        <v>10635.24</v>
      </c>
      <c r="U330">
        <v>6031.88</v>
      </c>
      <c r="V330">
        <v>4603.3599999999997</v>
      </c>
      <c r="W330" t="s">
        <v>154</v>
      </c>
      <c r="X330" t="s">
        <v>102</v>
      </c>
      <c r="Y330" t="str">
        <f>IF(COUNTIF($A$2:$A$901,A330)&gt;1,
  IF(COUNTIF($A$2:A330,A330)=1,
    " ORIGINAL",
    "CONFLICTING DUPLICATE - REVIEW"),
"OK")</f>
        <v>OK</v>
      </c>
      <c r="Z330">
        <f t="shared" si="53"/>
        <v>0</v>
      </c>
      <c r="AA330">
        <f t="shared" si="54"/>
        <v>10635.24</v>
      </c>
      <c r="AB330">
        <f t="shared" si="55"/>
        <v>4603.3599999999997</v>
      </c>
      <c r="AC330">
        <f t="shared" si="56"/>
        <v>0.43280000000000002</v>
      </c>
      <c r="AD330">
        <f t="shared" si="57"/>
        <v>2</v>
      </c>
      <c r="AE330">
        <f t="shared" si="58"/>
        <v>2024</v>
      </c>
      <c r="AF330" t="str">
        <f t="shared" si="59"/>
        <v>INVALID</v>
      </c>
    </row>
    <row r="331" spans="1:32">
      <c r="A331" t="s">
        <v>1869</v>
      </c>
      <c r="B331" s="10">
        <v>45385</v>
      </c>
      <c r="C331" s="10">
        <v>45360</v>
      </c>
      <c r="D331">
        <f t="shared" si="50"/>
        <v>-25</v>
      </c>
      <c r="E331" t="str">
        <f t="shared" si="51"/>
        <v>INVALID</v>
      </c>
      <c r="F331" t="s">
        <v>1870</v>
      </c>
      <c r="G331" t="s">
        <v>35</v>
      </c>
      <c r="H331" t="s">
        <v>23</v>
      </c>
      <c r="I331" t="s">
        <v>37</v>
      </c>
      <c r="J331" t="s">
        <v>98</v>
      </c>
      <c r="K331" t="s">
        <v>99</v>
      </c>
      <c r="L331" t="s">
        <v>73</v>
      </c>
      <c r="M331" t="s">
        <v>74</v>
      </c>
      <c r="N331" t="s">
        <v>1871</v>
      </c>
      <c r="O331" t="s">
        <v>43</v>
      </c>
      <c r="P331">
        <v>8</v>
      </c>
      <c r="Q331">
        <v>4401.41</v>
      </c>
      <c r="R331">
        <v>0.15</v>
      </c>
      <c r="S331" t="str">
        <f t="shared" si="52"/>
        <v>OK</v>
      </c>
      <c r="T331">
        <v>29929.59</v>
      </c>
      <c r="U331">
        <v>22436.03</v>
      </c>
      <c r="V331">
        <v>7493.56</v>
      </c>
      <c r="W331" t="s">
        <v>31</v>
      </c>
      <c r="X331" t="s">
        <v>32</v>
      </c>
      <c r="Y331" t="str">
        <f>IF(COUNTIF($A$2:$A$901,A331)&gt;1,
  IF(COUNTIF($A$2:A331,A331)=1,
    " ORIGINAL",
    "CONFLICTING DUPLICATE - REVIEW"),
"OK")</f>
        <v>OK</v>
      </c>
      <c r="Z331">
        <f t="shared" si="53"/>
        <v>0.15</v>
      </c>
      <c r="AA331">
        <f t="shared" si="54"/>
        <v>29929.59</v>
      </c>
      <c r="AB331">
        <f t="shared" si="55"/>
        <v>7493.56</v>
      </c>
      <c r="AC331">
        <f t="shared" si="56"/>
        <v>0.25040000000000001</v>
      </c>
      <c r="AD331">
        <f t="shared" si="57"/>
        <v>4</v>
      </c>
      <c r="AE331">
        <f t="shared" si="58"/>
        <v>2024</v>
      </c>
      <c r="AF331" t="str">
        <f t="shared" si="59"/>
        <v>INVALID</v>
      </c>
    </row>
    <row r="332" spans="1:32">
      <c r="A332" t="s">
        <v>1874</v>
      </c>
      <c r="B332" s="10">
        <v>45554</v>
      </c>
      <c r="C332" s="10">
        <v>45556</v>
      </c>
      <c r="D332">
        <f t="shared" si="50"/>
        <v>2</v>
      </c>
      <c r="E332" t="str">
        <f t="shared" si="51"/>
        <v>OK</v>
      </c>
      <c r="F332" t="s">
        <v>1875</v>
      </c>
      <c r="G332" t="s">
        <v>22</v>
      </c>
      <c r="H332" t="s">
        <v>36</v>
      </c>
      <c r="I332" t="s">
        <v>37</v>
      </c>
      <c r="J332" t="s">
        <v>98</v>
      </c>
      <c r="K332" t="s">
        <v>99</v>
      </c>
      <c r="L332" t="s">
        <v>40</v>
      </c>
      <c r="M332" t="s">
        <v>65</v>
      </c>
      <c r="N332" t="s">
        <v>1876</v>
      </c>
      <c r="O332" t="s">
        <v>49</v>
      </c>
      <c r="P332">
        <v>3</v>
      </c>
      <c r="Q332">
        <v>3981.76</v>
      </c>
      <c r="R332">
        <v>0</v>
      </c>
      <c r="S332" t="str">
        <f t="shared" si="52"/>
        <v>OK</v>
      </c>
      <c r="T332">
        <v>11945.28</v>
      </c>
      <c r="U332">
        <v>9700.31</v>
      </c>
      <c r="V332">
        <v>2244.9699999999998</v>
      </c>
      <c r="W332" t="s">
        <v>31</v>
      </c>
      <c r="X332" t="s">
        <v>32</v>
      </c>
      <c r="Y332" t="str">
        <f>IF(COUNTIF($A$2:$A$901,A332)&gt;1,
  IF(COUNTIF($A$2:A332,A332)=1,
    " ORIGINAL",
    "CONFLICTING DUPLICATE - REVIEW"),
"OK")</f>
        <v>OK</v>
      </c>
      <c r="Z332">
        <f t="shared" si="53"/>
        <v>0</v>
      </c>
      <c r="AA332">
        <f t="shared" si="54"/>
        <v>11945.28</v>
      </c>
      <c r="AB332">
        <f t="shared" si="55"/>
        <v>2244.9699999999998</v>
      </c>
      <c r="AC332">
        <f t="shared" si="56"/>
        <v>0.18790000000000001</v>
      </c>
      <c r="AD332">
        <f t="shared" si="57"/>
        <v>9</v>
      </c>
      <c r="AE332">
        <f t="shared" si="58"/>
        <v>2024</v>
      </c>
      <c r="AF332" t="str">
        <f t="shared" si="59"/>
        <v>CLEAN</v>
      </c>
    </row>
    <row r="333" spans="1:32">
      <c r="A333" t="s">
        <v>1880</v>
      </c>
      <c r="B333" s="10">
        <v>45392</v>
      </c>
      <c r="C333" s="10">
        <v>45398</v>
      </c>
      <c r="D333">
        <f t="shared" si="50"/>
        <v>6</v>
      </c>
      <c r="E333" t="str">
        <f t="shared" si="51"/>
        <v>OK</v>
      </c>
      <c r="F333" t="s">
        <v>1881</v>
      </c>
      <c r="G333" t="s">
        <v>88</v>
      </c>
      <c r="H333" t="s">
        <v>23</v>
      </c>
      <c r="I333" t="s">
        <v>53</v>
      </c>
      <c r="J333" t="s">
        <v>184</v>
      </c>
      <c r="K333" t="s">
        <v>185</v>
      </c>
      <c r="L333" t="s">
        <v>40</v>
      </c>
      <c r="M333" t="s">
        <v>65</v>
      </c>
      <c r="N333" t="s">
        <v>1882</v>
      </c>
      <c r="O333" t="s">
        <v>30</v>
      </c>
      <c r="P333">
        <v>9</v>
      </c>
      <c r="Q333">
        <v>2723.26</v>
      </c>
      <c r="R333">
        <v>0.25</v>
      </c>
      <c r="S333" t="str">
        <f t="shared" si="52"/>
        <v>OK</v>
      </c>
      <c r="T333">
        <v>18382.009999999998</v>
      </c>
      <c r="U333">
        <v>13108.2</v>
      </c>
      <c r="V333">
        <v>5273.81</v>
      </c>
      <c r="W333" t="s">
        <v>31</v>
      </c>
      <c r="X333" t="s">
        <v>32</v>
      </c>
      <c r="Y333" t="str">
        <f>IF(COUNTIF($A$2:$A$901,A333)&gt;1,
  IF(COUNTIF($A$2:A333,A333)=1,
    " ORIGINAL",
    "CONFLICTING DUPLICATE - REVIEW"),
"OK")</f>
        <v>OK</v>
      </c>
      <c r="Z333">
        <f t="shared" si="53"/>
        <v>0.25</v>
      </c>
      <c r="AA333">
        <f t="shared" si="54"/>
        <v>18382.009999999998</v>
      </c>
      <c r="AB333">
        <f t="shared" si="55"/>
        <v>5273.81</v>
      </c>
      <c r="AC333">
        <f t="shared" si="56"/>
        <v>0.28689999999999999</v>
      </c>
      <c r="AD333">
        <f t="shared" si="57"/>
        <v>4</v>
      </c>
      <c r="AE333">
        <f t="shared" si="58"/>
        <v>2024</v>
      </c>
      <c r="AF333" t="str">
        <f t="shared" si="59"/>
        <v>CLEAN</v>
      </c>
    </row>
    <row r="334" spans="1:32">
      <c r="A334" t="s">
        <v>1886</v>
      </c>
      <c r="B334" s="10">
        <v>45521</v>
      </c>
      <c r="C334" s="10">
        <v>45528</v>
      </c>
      <c r="D334">
        <f t="shared" si="50"/>
        <v>7</v>
      </c>
      <c r="E334" t="str">
        <f t="shared" si="51"/>
        <v>OK</v>
      </c>
      <c r="F334" t="s">
        <v>1887</v>
      </c>
      <c r="G334" t="s">
        <v>61</v>
      </c>
      <c r="H334" t="s">
        <v>89</v>
      </c>
      <c r="I334" t="s">
        <v>37</v>
      </c>
      <c r="J334" t="s">
        <v>98</v>
      </c>
      <c r="K334" t="s">
        <v>99</v>
      </c>
      <c r="L334" t="s">
        <v>73</v>
      </c>
      <c r="M334" t="s">
        <v>79</v>
      </c>
      <c r="N334" t="s">
        <v>1888</v>
      </c>
      <c r="O334" t="s">
        <v>43</v>
      </c>
      <c r="P334">
        <v>3</v>
      </c>
      <c r="Q334">
        <v>1490.69</v>
      </c>
      <c r="R334">
        <v>0.25</v>
      </c>
      <c r="S334" t="str">
        <f t="shared" si="52"/>
        <v>OK</v>
      </c>
      <c r="T334">
        <v>3354.05</v>
      </c>
      <c r="U334">
        <v>2672.67</v>
      </c>
      <c r="V334">
        <v>681.38</v>
      </c>
      <c r="W334" t="s">
        <v>31</v>
      </c>
      <c r="X334" t="s">
        <v>32</v>
      </c>
      <c r="Y334" t="str">
        <f>IF(COUNTIF($A$2:$A$901,A334)&gt;1,
  IF(COUNTIF($A$2:A334,A334)=1,
    " ORIGINAL",
    "CONFLICTING DUPLICATE - REVIEW"),
"OK")</f>
        <v>OK</v>
      </c>
      <c r="Z334">
        <f t="shared" si="53"/>
        <v>0.25</v>
      </c>
      <c r="AA334">
        <f t="shared" si="54"/>
        <v>3354.05</v>
      </c>
      <c r="AB334">
        <f t="shared" si="55"/>
        <v>681.38</v>
      </c>
      <c r="AC334">
        <f t="shared" si="56"/>
        <v>0.20319999999999999</v>
      </c>
      <c r="AD334">
        <f t="shared" si="57"/>
        <v>8</v>
      </c>
      <c r="AE334">
        <f t="shared" si="58"/>
        <v>2024</v>
      </c>
      <c r="AF334" t="str">
        <f t="shared" si="59"/>
        <v>CLEAN</v>
      </c>
    </row>
    <row r="335" spans="1:32">
      <c r="A335" t="s">
        <v>1889</v>
      </c>
      <c r="B335" s="10">
        <v>45523</v>
      </c>
      <c r="C335" s="10">
        <v>45525</v>
      </c>
      <c r="D335">
        <f t="shared" si="50"/>
        <v>2</v>
      </c>
      <c r="E335" t="str">
        <f t="shared" si="51"/>
        <v>OK</v>
      </c>
      <c r="F335" t="s">
        <v>1890</v>
      </c>
      <c r="G335" t="s">
        <v>52</v>
      </c>
      <c r="H335" t="s">
        <v>23</v>
      </c>
      <c r="I335" t="s">
        <v>24</v>
      </c>
      <c r="J335" t="s">
        <v>121</v>
      </c>
      <c r="K335" t="s">
        <v>122</v>
      </c>
      <c r="L335" t="s">
        <v>73</v>
      </c>
      <c r="M335" t="s">
        <v>170</v>
      </c>
      <c r="N335" t="s">
        <v>1891</v>
      </c>
      <c r="O335" t="s">
        <v>49</v>
      </c>
      <c r="P335">
        <v>3</v>
      </c>
      <c r="Q335">
        <v>1103.54</v>
      </c>
      <c r="R335">
        <v>0.25</v>
      </c>
      <c r="S335" t="str">
        <f t="shared" si="52"/>
        <v>OK</v>
      </c>
      <c r="T335">
        <v>2482.9699999999998</v>
      </c>
      <c r="U335">
        <v>1621.72</v>
      </c>
      <c r="V335">
        <v>861.25</v>
      </c>
      <c r="W335" t="s">
        <v>31</v>
      </c>
      <c r="X335" t="s">
        <v>32</v>
      </c>
      <c r="Y335" t="str">
        <f>IF(COUNTIF($A$2:$A$901,A335)&gt;1,
  IF(COUNTIF($A$2:A335,A335)=1,
    " ORIGINAL",
    "CONFLICTING DUPLICATE - REVIEW"),
"OK")</f>
        <v>OK</v>
      </c>
      <c r="Z335">
        <f t="shared" si="53"/>
        <v>0.25</v>
      </c>
      <c r="AA335">
        <f t="shared" si="54"/>
        <v>2482.9699999999998</v>
      </c>
      <c r="AB335">
        <f t="shared" si="55"/>
        <v>861.25</v>
      </c>
      <c r="AC335">
        <f t="shared" si="56"/>
        <v>0.34689999999999999</v>
      </c>
      <c r="AD335">
        <f t="shared" si="57"/>
        <v>8</v>
      </c>
      <c r="AE335">
        <f t="shared" si="58"/>
        <v>2024</v>
      </c>
      <c r="AF335" t="str">
        <f t="shared" si="59"/>
        <v>CLEAN</v>
      </c>
    </row>
    <row r="336" spans="1:32">
      <c r="A336" t="s">
        <v>1895</v>
      </c>
      <c r="B336" s="10">
        <v>45317</v>
      </c>
      <c r="C336" s="10">
        <v>45322</v>
      </c>
      <c r="D336">
        <f t="shared" si="50"/>
        <v>5</v>
      </c>
      <c r="E336" t="str">
        <f t="shared" si="51"/>
        <v>OK</v>
      </c>
      <c r="F336" t="s">
        <v>1896</v>
      </c>
      <c r="G336" t="s">
        <v>61</v>
      </c>
      <c r="H336" t="s">
        <v>94</v>
      </c>
      <c r="I336" t="s">
        <v>37</v>
      </c>
      <c r="J336" t="s">
        <v>98</v>
      </c>
      <c r="K336" t="s">
        <v>99</v>
      </c>
      <c r="L336" t="s">
        <v>27</v>
      </c>
      <c r="M336" t="s">
        <v>28</v>
      </c>
      <c r="N336" t="s">
        <v>1897</v>
      </c>
      <c r="O336" t="s">
        <v>30</v>
      </c>
      <c r="P336">
        <v>5</v>
      </c>
      <c r="Q336">
        <v>1615.03</v>
      </c>
      <c r="R336">
        <v>0.2</v>
      </c>
      <c r="S336" t="str">
        <f t="shared" si="52"/>
        <v>OK</v>
      </c>
      <c r="T336">
        <v>6460.12</v>
      </c>
      <c r="U336">
        <v>3604.03</v>
      </c>
      <c r="V336">
        <v>2856.09</v>
      </c>
      <c r="W336" t="s">
        <v>31</v>
      </c>
      <c r="X336" t="s">
        <v>32</v>
      </c>
      <c r="Y336" t="str">
        <f>IF(COUNTIF($A$2:$A$901,A336)&gt;1,
  IF(COUNTIF($A$2:A336,A336)=1,
    " ORIGINAL",
    "CONFLICTING DUPLICATE - REVIEW"),
"OK")</f>
        <v>OK</v>
      </c>
      <c r="Z336">
        <f t="shared" si="53"/>
        <v>0.2</v>
      </c>
      <c r="AA336">
        <f t="shared" si="54"/>
        <v>6460.12</v>
      </c>
      <c r="AB336">
        <f t="shared" si="55"/>
        <v>2856.09</v>
      </c>
      <c r="AC336">
        <f t="shared" si="56"/>
        <v>0.44209999999999999</v>
      </c>
      <c r="AD336">
        <f t="shared" si="57"/>
        <v>1</v>
      </c>
      <c r="AE336">
        <f t="shared" si="58"/>
        <v>2024</v>
      </c>
      <c r="AF336" t="str">
        <f t="shared" si="59"/>
        <v>CLEAN</v>
      </c>
    </row>
    <row r="337" spans="1:32">
      <c r="A337" t="s">
        <v>1898</v>
      </c>
      <c r="B337" s="10">
        <v>45588</v>
      </c>
      <c r="C337" s="10">
        <v>45595</v>
      </c>
      <c r="D337">
        <f t="shared" si="50"/>
        <v>7</v>
      </c>
      <c r="E337" t="str">
        <f t="shared" si="51"/>
        <v>OK</v>
      </c>
      <c r="F337" t="s">
        <v>1899</v>
      </c>
      <c r="G337" t="s">
        <v>127</v>
      </c>
      <c r="H337" t="s">
        <v>23</v>
      </c>
      <c r="I337" t="s">
        <v>37</v>
      </c>
      <c r="J337" t="s">
        <v>227</v>
      </c>
      <c r="K337" t="s">
        <v>228</v>
      </c>
      <c r="L337" t="s">
        <v>73</v>
      </c>
      <c r="M337" t="s">
        <v>79</v>
      </c>
      <c r="N337" t="s">
        <v>1900</v>
      </c>
      <c r="O337" t="s">
        <v>30</v>
      </c>
      <c r="P337">
        <v>9</v>
      </c>
      <c r="Q337">
        <v>3423.82</v>
      </c>
      <c r="R337">
        <v>0.15</v>
      </c>
      <c r="S337" t="str">
        <f t="shared" si="52"/>
        <v>OK</v>
      </c>
      <c r="T337">
        <v>26192.22</v>
      </c>
      <c r="U337">
        <v>20795.55</v>
      </c>
      <c r="V337">
        <v>5396.67</v>
      </c>
      <c r="W337" t="s">
        <v>31</v>
      </c>
      <c r="X337" t="s">
        <v>32</v>
      </c>
      <c r="Y337" t="str">
        <f>IF(COUNTIF($A$2:$A$901,A337)&gt;1,
  IF(COUNTIF($A$2:A337,A337)=1,
    " ORIGINAL",
    "CONFLICTING DUPLICATE - REVIEW"),
"OK")</f>
        <v>OK</v>
      </c>
      <c r="Z337">
        <f t="shared" si="53"/>
        <v>0.15</v>
      </c>
      <c r="AA337">
        <f t="shared" si="54"/>
        <v>26192.22</v>
      </c>
      <c r="AB337">
        <f t="shared" si="55"/>
        <v>5396.67</v>
      </c>
      <c r="AC337">
        <f t="shared" si="56"/>
        <v>0.20599999999999999</v>
      </c>
      <c r="AD337">
        <f t="shared" si="57"/>
        <v>10</v>
      </c>
      <c r="AE337">
        <f t="shared" si="58"/>
        <v>2024</v>
      </c>
      <c r="AF337" t="str">
        <f t="shared" si="59"/>
        <v>CLEAN</v>
      </c>
    </row>
    <row r="338" spans="1:32">
      <c r="A338" t="s">
        <v>1915</v>
      </c>
      <c r="B338" s="10">
        <v>45464</v>
      </c>
      <c r="C338" s="10">
        <v>45466</v>
      </c>
      <c r="D338">
        <f t="shared" si="50"/>
        <v>2</v>
      </c>
      <c r="E338" t="str">
        <f t="shared" si="51"/>
        <v>OK</v>
      </c>
      <c r="F338" t="s">
        <v>1693</v>
      </c>
      <c r="G338" t="s">
        <v>22</v>
      </c>
      <c r="H338" t="s">
        <v>94</v>
      </c>
      <c r="I338" t="s">
        <v>62</v>
      </c>
      <c r="J338" t="s">
        <v>189</v>
      </c>
      <c r="K338" t="s">
        <v>190</v>
      </c>
      <c r="L338" t="s">
        <v>40</v>
      </c>
      <c r="M338" t="s">
        <v>56</v>
      </c>
      <c r="N338" t="s">
        <v>1916</v>
      </c>
      <c r="O338" t="s">
        <v>30</v>
      </c>
      <c r="P338">
        <v>9</v>
      </c>
      <c r="Q338">
        <v>2153.75</v>
      </c>
      <c r="R338">
        <v>0</v>
      </c>
      <c r="S338" t="str">
        <f t="shared" si="52"/>
        <v>OK</v>
      </c>
      <c r="T338">
        <v>19383.75</v>
      </c>
      <c r="U338">
        <v>11667.43</v>
      </c>
      <c r="V338">
        <v>7716.32</v>
      </c>
      <c r="W338" t="s">
        <v>31</v>
      </c>
      <c r="X338" t="s">
        <v>32</v>
      </c>
      <c r="Y338" t="str">
        <f>IF(COUNTIF($A$2:$A$901,A338)&gt;1,
  IF(COUNTIF($A$2:A338,A338)=1,
    " ORIGINAL",
    "CONFLICTING DUPLICATE - REVIEW"),
"OK")</f>
        <v>OK</v>
      </c>
      <c r="Z338">
        <f t="shared" si="53"/>
        <v>0</v>
      </c>
      <c r="AA338">
        <f t="shared" si="54"/>
        <v>19383.75</v>
      </c>
      <c r="AB338">
        <f t="shared" si="55"/>
        <v>7716.32</v>
      </c>
      <c r="AC338">
        <f t="shared" si="56"/>
        <v>0.39810000000000001</v>
      </c>
      <c r="AD338">
        <f t="shared" si="57"/>
        <v>6</v>
      </c>
      <c r="AE338">
        <f t="shared" si="58"/>
        <v>2024</v>
      </c>
      <c r="AF338" t="str">
        <f t="shared" si="59"/>
        <v>CLEAN</v>
      </c>
    </row>
    <row r="339" spans="1:32">
      <c r="A339" t="s">
        <v>1920</v>
      </c>
      <c r="B339" s="10">
        <v>45432</v>
      </c>
      <c r="C339" s="10">
        <v>45432</v>
      </c>
      <c r="D339">
        <f t="shared" si="50"/>
        <v>0</v>
      </c>
      <c r="E339" t="str">
        <f t="shared" si="51"/>
        <v>OK</v>
      </c>
      <c r="F339" t="s">
        <v>1365</v>
      </c>
      <c r="G339" t="s">
        <v>22</v>
      </c>
      <c r="H339" t="s">
        <v>94</v>
      </c>
      <c r="I339" t="s">
        <v>62</v>
      </c>
      <c r="J339" t="s">
        <v>71</v>
      </c>
      <c r="K339" t="s">
        <v>72</v>
      </c>
      <c r="L339" t="s">
        <v>40</v>
      </c>
      <c r="M339" t="s">
        <v>65</v>
      </c>
      <c r="N339" t="s">
        <v>1921</v>
      </c>
      <c r="O339" t="s">
        <v>58</v>
      </c>
      <c r="P339">
        <v>1</v>
      </c>
      <c r="Q339">
        <v>3032.95</v>
      </c>
      <c r="R339">
        <v>0.1</v>
      </c>
      <c r="S339" t="str">
        <f t="shared" si="52"/>
        <v>OK</v>
      </c>
      <c r="T339">
        <v>2729.65</v>
      </c>
      <c r="U339">
        <v>1715.36</v>
      </c>
      <c r="V339">
        <v>1014.29</v>
      </c>
      <c r="W339" t="s">
        <v>31</v>
      </c>
      <c r="X339" t="s">
        <v>32</v>
      </c>
      <c r="Y339" t="str">
        <f>IF(COUNTIF($A$2:$A$901,A339)&gt;1,
  IF(COUNTIF($A$2:A339,A339)=1,
    " ORIGINAL",
    "CONFLICTING DUPLICATE - REVIEW"),
"OK")</f>
        <v>OK</v>
      </c>
      <c r="Z339">
        <f t="shared" si="53"/>
        <v>0.1</v>
      </c>
      <c r="AA339">
        <f t="shared" si="54"/>
        <v>2729.66</v>
      </c>
      <c r="AB339">
        <f t="shared" si="55"/>
        <v>1014.3</v>
      </c>
      <c r="AC339">
        <f t="shared" si="56"/>
        <v>0.37159999999999999</v>
      </c>
      <c r="AD339">
        <f t="shared" si="57"/>
        <v>5</v>
      </c>
      <c r="AE339">
        <f t="shared" si="58"/>
        <v>2024</v>
      </c>
      <c r="AF339" t="str">
        <f t="shared" si="59"/>
        <v>CLEAN</v>
      </c>
    </row>
    <row r="340" spans="1:32">
      <c r="A340" t="s">
        <v>1928</v>
      </c>
      <c r="B340" s="10">
        <v>45570</v>
      </c>
      <c r="C340" s="10">
        <v>45575</v>
      </c>
      <c r="D340">
        <f t="shared" si="50"/>
        <v>5</v>
      </c>
      <c r="E340" t="str">
        <f t="shared" si="51"/>
        <v>OK</v>
      </c>
      <c r="F340" t="s">
        <v>1929</v>
      </c>
      <c r="G340" t="s">
        <v>161</v>
      </c>
      <c r="H340" t="s">
        <v>94</v>
      </c>
      <c r="I340" t="s">
        <v>62</v>
      </c>
      <c r="J340" t="s">
        <v>179</v>
      </c>
      <c r="K340" t="s">
        <v>180</v>
      </c>
      <c r="L340" t="s">
        <v>73</v>
      </c>
      <c r="M340" t="s">
        <v>273</v>
      </c>
      <c r="N340" t="s">
        <v>1930</v>
      </c>
      <c r="O340" t="s">
        <v>43</v>
      </c>
      <c r="P340">
        <v>9</v>
      </c>
      <c r="Q340">
        <v>3361.3</v>
      </c>
      <c r="R340">
        <v>0.25</v>
      </c>
      <c r="S340" t="str">
        <f t="shared" si="52"/>
        <v>OK</v>
      </c>
      <c r="T340">
        <v>22688.78</v>
      </c>
      <c r="U340">
        <v>14672.41</v>
      </c>
      <c r="V340">
        <v>8016.37</v>
      </c>
      <c r="W340" t="s">
        <v>31</v>
      </c>
      <c r="X340" t="s">
        <v>32</v>
      </c>
      <c r="Y340" t="str">
        <f>IF(COUNTIF($A$2:$A$901,A340)&gt;1,
  IF(COUNTIF($A$2:A340,A340)=1,
    " ORIGINAL",
    "CONFLICTING DUPLICATE - REVIEW"),
"OK")</f>
        <v>OK</v>
      </c>
      <c r="Z340">
        <f t="shared" si="53"/>
        <v>0.25</v>
      </c>
      <c r="AA340">
        <f t="shared" si="54"/>
        <v>22688.78</v>
      </c>
      <c r="AB340">
        <f t="shared" si="55"/>
        <v>8016.37</v>
      </c>
      <c r="AC340">
        <f t="shared" si="56"/>
        <v>0.3533</v>
      </c>
      <c r="AD340">
        <f t="shared" si="57"/>
        <v>10</v>
      </c>
      <c r="AE340">
        <f t="shared" si="58"/>
        <v>2024</v>
      </c>
      <c r="AF340" t="str">
        <f t="shared" si="59"/>
        <v>CLEAN</v>
      </c>
    </row>
    <row r="341" spans="1:32">
      <c r="A341" t="s">
        <v>1931</v>
      </c>
      <c r="B341" s="10">
        <v>45598</v>
      </c>
      <c r="C341" s="10">
        <v>45341</v>
      </c>
      <c r="D341">
        <f t="shared" si="50"/>
        <v>-257</v>
      </c>
      <c r="E341" t="str">
        <f t="shared" si="51"/>
        <v>INVALID</v>
      </c>
      <c r="F341" t="s">
        <v>1932</v>
      </c>
      <c r="G341" t="s">
        <v>61</v>
      </c>
      <c r="H341" t="s">
        <v>94</v>
      </c>
      <c r="I341" t="s">
        <v>53</v>
      </c>
      <c r="J341" t="s">
        <v>54</v>
      </c>
      <c r="K341" t="s">
        <v>55</v>
      </c>
      <c r="L341" t="s">
        <v>40</v>
      </c>
      <c r="M341" t="s">
        <v>65</v>
      </c>
      <c r="N341" t="s">
        <v>1933</v>
      </c>
      <c r="O341" t="s">
        <v>58</v>
      </c>
      <c r="P341">
        <v>8</v>
      </c>
      <c r="Q341">
        <v>3398.32</v>
      </c>
      <c r="R341">
        <v>0.25</v>
      </c>
      <c r="S341" t="str">
        <f t="shared" si="52"/>
        <v>OK</v>
      </c>
      <c r="T341">
        <v>20389.919999999998</v>
      </c>
      <c r="U341">
        <v>16661.080000000002</v>
      </c>
      <c r="V341">
        <v>3728.84</v>
      </c>
      <c r="W341" t="s">
        <v>101</v>
      </c>
      <c r="X341" t="s">
        <v>67</v>
      </c>
      <c r="Y341" t="str">
        <f>IF(COUNTIF($A$2:$A$901,A341)&gt;1,
  IF(COUNTIF($A$2:A341,A341)=1,
    " ORIGINAL",
    "CONFLICTING DUPLICATE - REVIEW"),
"OK")</f>
        <v>OK</v>
      </c>
      <c r="Z341">
        <f t="shared" si="53"/>
        <v>0.25</v>
      </c>
      <c r="AA341">
        <f t="shared" si="54"/>
        <v>20389.919999999998</v>
      </c>
      <c r="AB341">
        <f t="shared" si="55"/>
        <v>3728.84</v>
      </c>
      <c r="AC341">
        <f t="shared" si="56"/>
        <v>0.18290000000000001</v>
      </c>
      <c r="AD341">
        <f t="shared" si="57"/>
        <v>11</v>
      </c>
      <c r="AE341">
        <f t="shared" si="58"/>
        <v>2024</v>
      </c>
      <c r="AF341" t="str">
        <f t="shared" si="59"/>
        <v>INVALID</v>
      </c>
    </row>
    <row r="342" spans="1:32">
      <c r="A342" t="s">
        <v>1934</v>
      </c>
      <c r="B342" s="10">
        <v>45569</v>
      </c>
      <c r="C342" s="10">
        <v>45572</v>
      </c>
      <c r="D342">
        <f t="shared" si="50"/>
        <v>3</v>
      </c>
      <c r="E342" t="str">
        <f t="shared" si="51"/>
        <v>OK</v>
      </c>
      <c r="F342" t="s">
        <v>1935</v>
      </c>
      <c r="G342" t="s">
        <v>117</v>
      </c>
      <c r="H342" t="s">
        <v>89</v>
      </c>
      <c r="I342" t="s">
        <v>53</v>
      </c>
      <c r="J342" t="s">
        <v>184</v>
      </c>
      <c r="K342" t="s">
        <v>185</v>
      </c>
      <c r="L342" t="s">
        <v>27</v>
      </c>
      <c r="M342" t="s">
        <v>47</v>
      </c>
      <c r="N342" t="s">
        <v>1936</v>
      </c>
      <c r="O342" t="s">
        <v>30</v>
      </c>
      <c r="P342">
        <v>2</v>
      </c>
      <c r="Q342">
        <v>3144.38</v>
      </c>
      <c r="R342">
        <v>0.1</v>
      </c>
      <c r="S342" t="str">
        <f t="shared" si="52"/>
        <v>OK</v>
      </c>
      <c r="T342">
        <v>5904.57</v>
      </c>
      <c r="U342">
        <v>4337.79</v>
      </c>
      <c r="V342">
        <v>1322.09</v>
      </c>
      <c r="W342" t="s">
        <v>31</v>
      </c>
      <c r="X342" t="s">
        <v>32</v>
      </c>
      <c r="Y342" t="str">
        <f>IF(COUNTIF($A$2:$A$901,A342)&gt;1,
  IF(COUNTIF($A$2:A342,A342)=1,
    " ORIGINAL",
    "CONFLICTING DUPLICATE - REVIEW"),
"OK")</f>
        <v>OK</v>
      </c>
      <c r="Z342">
        <f t="shared" si="53"/>
        <v>0.1</v>
      </c>
      <c r="AA342">
        <f t="shared" si="54"/>
        <v>5659.88</v>
      </c>
      <c r="AB342">
        <f t="shared" si="55"/>
        <v>1322.09</v>
      </c>
      <c r="AC342">
        <f t="shared" si="56"/>
        <v>0.2336</v>
      </c>
      <c r="AD342">
        <f t="shared" si="57"/>
        <v>10</v>
      </c>
      <c r="AE342">
        <f t="shared" si="58"/>
        <v>2024</v>
      </c>
      <c r="AF342" t="str">
        <f t="shared" si="59"/>
        <v>CLEAN</v>
      </c>
    </row>
    <row r="343" spans="1:32">
      <c r="A343" t="s">
        <v>1937</v>
      </c>
      <c r="B343" s="10">
        <v>45520</v>
      </c>
      <c r="C343" s="10">
        <v>45523</v>
      </c>
      <c r="D343">
        <f t="shared" si="50"/>
        <v>3</v>
      </c>
      <c r="E343" t="str">
        <f t="shared" si="51"/>
        <v>OK</v>
      </c>
      <c r="F343" t="s">
        <v>1938</v>
      </c>
      <c r="G343" t="s">
        <v>263</v>
      </c>
      <c r="H343" t="s">
        <v>23</v>
      </c>
      <c r="I343" t="s">
        <v>53</v>
      </c>
      <c r="J343" t="s">
        <v>54</v>
      </c>
      <c r="K343" t="s">
        <v>55</v>
      </c>
      <c r="L343" t="s">
        <v>27</v>
      </c>
      <c r="M343" t="s">
        <v>28</v>
      </c>
      <c r="N343" t="s">
        <v>1939</v>
      </c>
      <c r="O343" t="s">
        <v>58</v>
      </c>
      <c r="P343">
        <v>6</v>
      </c>
      <c r="Q343">
        <v>3925.55</v>
      </c>
      <c r="R343">
        <v>0.2</v>
      </c>
      <c r="S343" t="str">
        <f t="shared" si="52"/>
        <v>OK</v>
      </c>
      <c r="T343">
        <v>18842.64</v>
      </c>
      <c r="U343">
        <v>11840.58</v>
      </c>
      <c r="V343">
        <v>7002.06</v>
      </c>
      <c r="W343" t="s">
        <v>31</v>
      </c>
      <c r="X343" t="s">
        <v>32</v>
      </c>
      <c r="Y343" t="str">
        <f>IF(COUNTIF($A$2:$A$901,A343)&gt;1,
  IF(COUNTIF($A$2:A343,A343)=1,
    " ORIGINAL",
    "CONFLICTING DUPLICATE - REVIEW"),
"OK")</f>
        <v>OK</v>
      </c>
      <c r="Z343">
        <f t="shared" si="53"/>
        <v>0.2</v>
      </c>
      <c r="AA343">
        <f t="shared" si="54"/>
        <v>18842.64</v>
      </c>
      <c r="AB343">
        <f t="shared" si="55"/>
        <v>7002.06</v>
      </c>
      <c r="AC343">
        <f t="shared" si="56"/>
        <v>0.37159999999999999</v>
      </c>
      <c r="AD343">
        <f t="shared" si="57"/>
        <v>8</v>
      </c>
      <c r="AE343">
        <f t="shared" si="58"/>
        <v>2024</v>
      </c>
      <c r="AF343" t="str">
        <f t="shared" si="59"/>
        <v>CLEAN</v>
      </c>
    </row>
    <row r="344" spans="1:32">
      <c r="A344" t="s">
        <v>1940</v>
      </c>
      <c r="B344" s="10">
        <v>45564</v>
      </c>
      <c r="C344" s="10">
        <v>45565</v>
      </c>
      <c r="D344">
        <f t="shared" si="50"/>
        <v>1</v>
      </c>
      <c r="E344" t="str">
        <f t="shared" si="51"/>
        <v>OK</v>
      </c>
      <c r="F344" t="s">
        <v>1941</v>
      </c>
      <c r="G344" t="s">
        <v>35</v>
      </c>
      <c r="H344" t="s">
        <v>94</v>
      </c>
      <c r="I344" t="s">
        <v>53</v>
      </c>
      <c r="J344" t="s">
        <v>54</v>
      </c>
      <c r="K344" t="s">
        <v>55</v>
      </c>
      <c r="L344" t="s">
        <v>73</v>
      </c>
      <c r="M344" t="s">
        <v>170</v>
      </c>
      <c r="N344" t="s">
        <v>1942</v>
      </c>
      <c r="O344" t="s">
        <v>58</v>
      </c>
      <c r="P344">
        <v>9</v>
      </c>
      <c r="Q344">
        <v>2741.91</v>
      </c>
      <c r="R344">
        <v>0</v>
      </c>
      <c r="S344" t="str">
        <f t="shared" si="52"/>
        <v>OK</v>
      </c>
      <c r="T344">
        <v>24677.19</v>
      </c>
      <c r="U344">
        <v>20350.849999999999</v>
      </c>
      <c r="V344">
        <v>4326.34</v>
      </c>
      <c r="W344" t="s">
        <v>31</v>
      </c>
      <c r="X344" t="s">
        <v>32</v>
      </c>
      <c r="Y344" t="str">
        <f>IF(COUNTIF($A$2:$A$901,A344)&gt;1,
  IF(COUNTIF($A$2:A344,A344)=1,
    " ORIGINAL",
    "CONFLICTING DUPLICATE - REVIEW"),
"OK")</f>
        <v>OK</v>
      </c>
      <c r="Z344">
        <f t="shared" si="53"/>
        <v>0</v>
      </c>
      <c r="AA344">
        <f t="shared" si="54"/>
        <v>24677.19</v>
      </c>
      <c r="AB344">
        <f t="shared" si="55"/>
        <v>4326.34</v>
      </c>
      <c r="AC344">
        <f t="shared" si="56"/>
        <v>0.17530000000000001</v>
      </c>
      <c r="AD344">
        <f t="shared" si="57"/>
        <v>9</v>
      </c>
      <c r="AE344">
        <f t="shared" si="58"/>
        <v>2024</v>
      </c>
      <c r="AF344" t="str">
        <f t="shared" si="59"/>
        <v>CLEAN</v>
      </c>
    </row>
    <row r="345" spans="1:32">
      <c r="A345" t="s">
        <v>1943</v>
      </c>
      <c r="B345" s="10">
        <v>45496</v>
      </c>
      <c r="C345" s="10">
        <v>45503</v>
      </c>
      <c r="D345">
        <f t="shared" si="50"/>
        <v>7</v>
      </c>
      <c r="E345" t="str">
        <f t="shared" si="51"/>
        <v>OK</v>
      </c>
      <c r="F345" t="s">
        <v>1944</v>
      </c>
      <c r="G345" t="s">
        <v>263</v>
      </c>
      <c r="H345" t="s">
        <v>89</v>
      </c>
      <c r="I345" t="s">
        <v>24</v>
      </c>
      <c r="J345" t="s">
        <v>25</v>
      </c>
      <c r="K345" t="s">
        <v>26</v>
      </c>
      <c r="L345" t="s">
        <v>40</v>
      </c>
      <c r="M345" t="s">
        <v>41</v>
      </c>
      <c r="N345" t="s">
        <v>1945</v>
      </c>
      <c r="O345" t="s">
        <v>43</v>
      </c>
      <c r="P345">
        <v>9</v>
      </c>
      <c r="Q345">
        <v>1870.11</v>
      </c>
      <c r="R345">
        <v>0.25</v>
      </c>
      <c r="S345" t="str">
        <f t="shared" si="52"/>
        <v>OK</v>
      </c>
      <c r="T345">
        <v>12623.24</v>
      </c>
      <c r="U345">
        <v>10540.8</v>
      </c>
      <c r="V345">
        <v>2082.44</v>
      </c>
      <c r="W345" t="s">
        <v>154</v>
      </c>
      <c r="X345" t="s">
        <v>67</v>
      </c>
      <c r="Y345" t="str">
        <f>IF(COUNTIF($A$2:$A$901,A345)&gt;1,
  IF(COUNTIF($A$2:A345,A345)=1,
    " ORIGINAL",
    "CONFLICTING DUPLICATE - REVIEW"),
"OK")</f>
        <v>OK</v>
      </c>
      <c r="Z345">
        <f t="shared" si="53"/>
        <v>0.25</v>
      </c>
      <c r="AA345">
        <f t="shared" si="54"/>
        <v>12623.24</v>
      </c>
      <c r="AB345">
        <f t="shared" si="55"/>
        <v>2082.44</v>
      </c>
      <c r="AC345">
        <f t="shared" si="56"/>
        <v>0.16500000000000001</v>
      </c>
      <c r="AD345">
        <f t="shared" si="57"/>
        <v>7</v>
      </c>
      <c r="AE345">
        <f t="shared" si="58"/>
        <v>2024</v>
      </c>
      <c r="AF345" t="str">
        <f t="shared" si="59"/>
        <v>INVALID</v>
      </c>
    </row>
    <row r="346" spans="1:32">
      <c r="A346" t="s">
        <v>1946</v>
      </c>
      <c r="B346" s="10">
        <v>45618</v>
      </c>
      <c r="C346" s="10">
        <v>45623</v>
      </c>
      <c r="D346">
        <f t="shared" si="50"/>
        <v>5</v>
      </c>
      <c r="E346" t="str">
        <f t="shared" si="51"/>
        <v>OK</v>
      </c>
      <c r="F346" t="s">
        <v>1947</v>
      </c>
      <c r="G346" t="s">
        <v>113</v>
      </c>
      <c r="H346" t="s">
        <v>89</v>
      </c>
      <c r="I346" t="s">
        <v>53</v>
      </c>
      <c r="J346" t="s">
        <v>246</v>
      </c>
      <c r="K346" t="s">
        <v>247</v>
      </c>
      <c r="L346" t="s">
        <v>27</v>
      </c>
      <c r="M346" t="s">
        <v>152</v>
      </c>
      <c r="N346" t="s">
        <v>1948</v>
      </c>
      <c r="O346" t="s">
        <v>49</v>
      </c>
      <c r="P346">
        <v>1</v>
      </c>
      <c r="Q346">
        <v>4251.26</v>
      </c>
      <c r="R346">
        <v>0.2</v>
      </c>
      <c r="S346" t="str">
        <f t="shared" si="52"/>
        <v>OK</v>
      </c>
      <c r="T346">
        <v>3401.01</v>
      </c>
      <c r="U346">
        <v>2917.54</v>
      </c>
      <c r="V346">
        <v>483.47</v>
      </c>
      <c r="W346" t="s">
        <v>101</v>
      </c>
      <c r="X346" t="s">
        <v>102</v>
      </c>
      <c r="Y346" t="str">
        <f>IF(COUNTIF($A$2:$A$901,A346)&gt;1,
  IF(COUNTIF($A$2:A346,A346)=1,
    " ORIGINAL",
    "CONFLICTING DUPLICATE - REVIEW"),
"OK")</f>
        <v>OK</v>
      </c>
      <c r="Z346">
        <f t="shared" si="53"/>
        <v>0.2</v>
      </c>
      <c r="AA346">
        <f t="shared" si="54"/>
        <v>3401.01</v>
      </c>
      <c r="AB346">
        <f t="shared" si="55"/>
        <v>483.47</v>
      </c>
      <c r="AC346">
        <f t="shared" si="56"/>
        <v>0.14219999999999999</v>
      </c>
      <c r="AD346">
        <f t="shared" si="57"/>
        <v>11</v>
      </c>
      <c r="AE346">
        <f t="shared" si="58"/>
        <v>2024</v>
      </c>
      <c r="AF346" t="str">
        <f t="shared" si="59"/>
        <v>CLEAN</v>
      </c>
    </row>
    <row r="347" spans="1:32">
      <c r="A347" t="s">
        <v>1949</v>
      </c>
      <c r="B347" s="10">
        <v>45522</v>
      </c>
      <c r="C347" s="10">
        <v>45525</v>
      </c>
      <c r="D347">
        <f t="shared" si="50"/>
        <v>3</v>
      </c>
      <c r="E347" t="str">
        <f t="shared" si="51"/>
        <v>OK</v>
      </c>
      <c r="F347" t="s">
        <v>1950</v>
      </c>
      <c r="G347" t="s">
        <v>70</v>
      </c>
      <c r="H347" t="s">
        <v>23</v>
      </c>
      <c r="I347" t="s">
        <v>24</v>
      </c>
      <c r="J347" t="s">
        <v>135</v>
      </c>
      <c r="K347" t="s">
        <v>136</v>
      </c>
      <c r="L347" t="s">
        <v>73</v>
      </c>
      <c r="M347" t="s">
        <v>273</v>
      </c>
      <c r="N347" t="s">
        <v>1951</v>
      </c>
      <c r="O347" t="s">
        <v>58</v>
      </c>
      <c r="P347">
        <v>9</v>
      </c>
      <c r="Q347">
        <v>734.34</v>
      </c>
      <c r="R347">
        <v>0</v>
      </c>
      <c r="S347" t="str">
        <f t="shared" si="52"/>
        <v>OK</v>
      </c>
      <c r="T347">
        <v>6609.06</v>
      </c>
      <c r="U347">
        <v>4946.78</v>
      </c>
      <c r="V347">
        <v>1662.28</v>
      </c>
      <c r="W347" t="s">
        <v>31</v>
      </c>
      <c r="X347" t="s">
        <v>32</v>
      </c>
      <c r="Y347" t="str">
        <f>IF(COUNTIF($A$2:$A$901,A347)&gt;1,
  IF(COUNTIF($A$2:A347,A347)=1,
    " ORIGINAL",
    "CONFLICTING DUPLICATE - REVIEW"),
"OK")</f>
        <v>OK</v>
      </c>
      <c r="Z347">
        <f t="shared" si="53"/>
        <v>0</v>
      </c>
      <c r="AA347">
        <f t="shared" si="54"/>
        <v>6609.06</v>
      </c>
      <c r="AB347">
        <f t="shared" si="55"/>
        <v>1662.28</v>
      </c>
      <c r="AC347">
        <f t="shared" si="56"/>
        <v>0.2515</v>
      </c>
      <c r="AD347">
        <f t="shared" si="57"/>
        <v>8</v>
      </c>
      <c r="AE347">
        <f t="shared" si="58"/>
        <v>2024</v>
      </c>
      <c r="AF347" t="str">
        <f t="shared" si="59"/>
        <v>CLEAN</v>
      </c>
    </row>
    <row r="348" spans="1:32">
      <c r="A348" t="s">
        <v>1952</v>
      </c>
      <c r="B348" s="10">
        <v>45624</v>
      </c>
      <c r="C348" s="10">
        <v>45455</v>
      </c>
      <c r="D348">
        <f t="shared" si="50"/>
        <v>-169</v>
      </c>
      <c r="E348" t="str">
        <f t="shared" si="51"/>
        <v>INVALID</v>
      </c>
      <c r="F348" t="s">
        <v>1953</v>
      </c>
      <c r="G348" t="s">
        <v>88</v>
      </c>
      <c r="H348" t="s">
        <v>23</v>
      </c>
      <c r="I348" t="s">
        <v>62</v>
      </c>
      <c r="J348" t="s">
        <v>63</v>
      </c>
      <c r="K348" t="s">
        <v>64</v>
      </c>
      <c r="L348" t="s">
        <v>40</v>
      </c>
      <c r="M348" t="s">
        <v>65</v>
      </c>
      <c r="N348" t="s">
        <v>1954</v>
      </c>
      <c r="O348" t="s">
        <v>43</v>
      </c>
      <c r="P348">
        <v>5</v>
      </c>
      <c r="Q348">
        <v>1092.8399999999999</v>
      </c>
      <c r="R348">
        <v>0</v>
      </c>
      <c r="S348" t="str">
        <f t="shared" si="52"/>
        <v>OK</v>
      </c>
      <c r="T348">
        <v>5464.2</v>
      </c>
      <c r="U348">
        <v>3318.09</v>
      </c>
      <c r="V348">
        <v>2146.11</v>
      </c>
      <c r="W348" t="s">
        <v>31</v>
      </c>
      <c r="X348" t="s">
        <v>32</v>
      </c>
      <c r="Y348" t="str">
        <f>IF(COUNTIF($A$2:$A$901,A348)&gt;1,
  IF(COUNTIF($A$2:A348,A348)=1,
    " ORIGINAL",
    "CONFLICTING DUPLICATE - REVIEW"),
"OK")</f>
        <v>OK</v>
      </c>
      <c r="Z348">
        <f t="shared" si="53"/>
        <v>0</v>
      </c>
      <c r="AA348">
        <f t="shared" si="54"/>
        <v>5464.2</v>
      </c>
      <c r="AB348">
        <f t="shared" si="55"/>
        <v>2146.11</v>
      </c>
      <c r="AC348">
        <f t="shared" si="56"/>
        <v>0.39279999999999998</v>
      </c>
      <c r="AD348">
        <f t="shared" si="57"/>
        <v>11</v>
      </c>
      <c r="AE348">
        <f t="shared" si="58"/>
        <v>2024</v>
      </c>
      <c r="AF348" t="str">
        <f t="shared" si="59"/>
        <v>INVALID</v>
      </c>
    </row>
    <row r="349" spans="1:32">
      <c r="A349" t="s">
        <v>1958</v>
      </c>
      <c r="B349" s="10">
        <v>45512</v>
      </c>
      <c r="C349" s="10">
        <v>45518</v>
      </c>
      <c r="D349">
        <f t="shared" si="50"/>
        <v>6</v>
      </c>
      <c r="E349" t="str">
        <f t="shared" si="51"/>
        <v>OK</v>
      </c>
      <c r="F349" t="s">
        <v>1959</v>
      </c>
      <c r="G349" t="s">
        <v>70</v>
      </c>
      <c r="H349" t="s">
        <v>94</v>
      </c>
      <c r="I349" t="s">
        <v>24</v>
      </c>
      <c r="J349" t="s">
        <v>121</v>
      </c>
      <c r="K349" t="s">
        <v>122</v>
      </c>
      <c r="L349" t="s">
        <v>27</v>
      </c>
      <c r="M349" t="s">
        <v>123</v>
      </c>
      <c r="N349" t="s">
        <v>1960</v>
      </c>
      <c r="O349" t="s">
        <v>30</v>
      </c>
      <c r="P349">
        <v>8</v>
      </c>
      <c r="Q349">
        <v>1359.19</v>
      </c>
      <c r="R349">
        <v>0.05</v>
      </c>
      <c r="S349" t="str">
        <f t="shared" si="52"/>
        <v>OK</v>
      </c>
      <c r="T349">
        <v>10329.84</v>
      </c>
      <c r="U349">
        <v>7512.22</v>
      </c>
      <c r="V349">
        <v>2817.62</v>
      </c>
      <c r="W349" t="s">
        <v>31</v>
      </c>
      <c r="X349" t="s">
        <v>32</v>
      </c>
      <c r="Y349" t="str">
        <f>IF(COUNTIF($A$2:$A$901,A349)&gt;1,
  IF(COUNTIF($A$2:A349,A349)=1,
    " ORIGINAL",
    "CONFLICTING DUPLICATE - REVIEW"),
"OK")</f>
        <v>OK</v>
      </c>
      <c r="Z349">
        <f t="shared" si="53"/>
        <v>0.05</v>
      </c>
      <c r="AA349">
        <f t="shared" si="54"/>
        <v>10329.84</v>
      </c>
      <c r="AB349">
        <f t="shared" si="55"/>
        <v>2817.62</v>
      </c>
      <c r="AC349">
        <f t="shared" si="56"/>
        <v>0.27279999999999999</v>
      </c>
      <c r="AD349">
        <f t="shared" si="57"/>
        <v>8</v>
      </c>
      <c r="AE349">
        <f t="shared" si="58"/>
        <v>2024</v>
      </c>
      <c r="AF349" t="str">
        <f t="shared" si="59"/>
        <v>CLEAN</v>
      </c>
    </row>
    <row r="350" spans="1:32">
      <c r="A350" t="s">
        <v>1961</v>
      </c>
      <c r="B350" s="10">
        <v>45321</v>
      </c>
      <c r="C350" s="10">
        <v>45323</v>
      </c>
      <c r="D350">
        <f t="shared" si="50"/>
        <v>2</v>
      </c>
      <c r="E350" t="str">
        <f t="shared" si="51"/>
        <v>OK</v>
      </c>
      <c r="F350" t="s">
        <v>1962</v>
      </c>
      <c r="G350" t="s">
        <v>78</v>
      </c>
      <c r="H350" t="s">
        <v>94</v>
      </c>
      <c r="I350" t="s">
        <v>37</v>
      </c>
      <c r="J350" t="s">
        <v>165</v>
      </c>
      <c r="K350" t="s">
        <v>166</v>
      </c>
      <c r="L350" t="s">
        <v>40</v>
      </c>
      <c r="M350" t="s">
        <v>65</v>
      </c>
      <c r="N350" t="s">
        <v>1963</v>
      </c>
      <c r="O350" t="s">
        <v>49</v>
      </c>
      <c r="P350">
        <v>2</v>
      </c>
      <c r="Q350">
        <v>4451.03</v>
      </c>
      <c r="R350">
        <v>0.05</v>
      </c>
      <c r="S350" t="str">
        <f t="shared" si="52"/>
        <v>OK</v>
      </c>
      <c r="T350">
        <v>8456.9599999999991</v>
      </c>
      <c r="U350">
        <v>5462.85</v>
      </c>
      <c r="V350">
        <v>2994.11</v>
      </c>
      <c r="W350" t="s">
        <v>31</v>
      </c>
      <c r="X350" t="s">
        <v>32</v>
      </c>
      <c r="Y350" t="str">
        <f>IF(COUNTIF($A$2:$A$901,A350)&gt;1,
  IF(COUNTIF($A$2:A350,A350)=1,
    " ORIGINAL",
    "CONFLICTING DUPLICATE - REVIEW"),
"OK")</f>
        <v>OK</v>
      </c>
      <c r="Z350">
        <f t="shared" si="53"/>
        <v>0.05</v>
      </c>
      <c r="AA350">
        <f t="shared" si="54"/>
        <v>8456.9599999999991</v>
      </c>
      <c r="AB350">
        <f t="shared" si="55"/>
        <v>2994.11</v>
      </c>
      <c r="AC350">
        <f t="shared" si="56"/>
        <v>0.35399999999999998</v>
      </c>
      <c r="AD350">
        <f t="shared" si="57"/>
        <v>1</v>
      </c>
      <c r="AE350">
        <f t="shared" si="58"/>
        <v>2024</v>
      </c>
      <c r="AF350" t="str">
        <f t="shared" si="59"/>
        <v>CLEAN</v>
      </c>
    </row>
    <row r="351" spans="1:32">
      <c r="A351" t="s">
        <v>1964</v>
      </c>
      <c r="B351" s="10">
        <v>45641</v>
      </c>
      <c r="C351" s="10">
        <v>45647</v>
      </c>
      <c r="D351">
        <f t="shared" si="50"/>
        <v>6</v>
      </c>
      <c r="E351" t="str">
        <f t="shared" si="51"/>
        <v>OK</v>
      </c>
      <c r="F351" t="s">
        <v>1965</v>
      </c>
      <c r="G351" t="s">
        <v>161</v>
      </c>
      <c r="H351" t="s">
        <v>89</v>
      </c>
      <c r="I351" t="s">
        <v>62</v>
      </c>
      <c r="J351" t="s">
        <v>25</v>
      </c>
      <c r="K351" t="s">
        <v>108</v>
      </c>
      <c r="L351" t="s">
        <v>40</v>
      </c>
      <c r="M351" t="s">
        <v>65</v>
      </c>
      <c r="N351" t="s">
        <v>1966</v>
      </c>
      <c r="O351" t="s">
        <v>43</v>
      </c>
      <c r="P351">
        <v>3</v>
      </c>
      <c r="Q351">
        <v>527.66999999999996</v>
      </c>
      <c r="R351">
        <v>0.2</v>
      </c>
      <c r="S351" t="str">
        <f t="shared" si="52"/>
        <v>OK</v>
      </c>
      <c r="T351">
        <v>1266.4100000000001</v>
      </c>
      <c r="U351">
        <v>983.92</v>
      </c>
      <c r="V351">
        <v>282.49</v>
      </c>
      <c r="W351" t="s">
        <v>31</v>
      </c>
      <c r="X351" t="s">
        <v>32</v>
      </c>
      <c r="Y351" t="str">
        <f>IF(COUNTIF($A$2:$A$901,A351)&gt;1,
  IF(COUNTIF($A$2:A351,A351)=1,
    " ORIGINAL",
    "CONFLICTING DUPLICATE - REVIEW"),
"OK")</f>
        <v>OK</v>
      </c>
      <c r="Z351">
        <f t="shared" si="53"/>
        <v>0.2</v>
      </c>
      <c r="AA351">
        <f t="shared" si="54"/>
        <v>1266.4100000000001</v>
      </c>
      <c r="AB351">
        <f t="shared" si="55"/>
        <v>282.49</v>
      </c>
      <c r="AC351">
        <f t="shared" si="56"/>
        <v>0.22309999999999999</v>
      </c>
      <c r="AD351">
        <f t="shared" si="57"/>
        <v>12</v>
      </c>
      <c r="AE351">
        <f t="shared" si="58"/>
        <v>2024</v>
      </c>
      <c r="AF351" t="str">
        <f t="shared" si="59"/>
        <v>CLEAN</v>
      </c>
    </row>
    <row r="352" spans="1:32">
      <c r="A352" t="s">
        <v>1979</v>
      </c>
      <c r="B352" s="10">
        <v>45391</v>
      </c>
      <c r="C352" s="10">
        <v>45392</v>
      </c>
      <c r="D352">
        <f t="shared" si="50"/>
        <v>1</v>
      </c>
      <c r="E352" t="str">
        <f t="shared" si="51"/>
        <v>OK</v>
      </c>
      <c r="F352" t="s">
        <v>1980</v>
      </c>
      <c r="G352" t="s">
        <v>113</v>
      </c>
      <c r="H352" t="s">
        <v>89</v>
      </c>
      <c r="I352" t="s">
        <v>37</v>
      </c>
      <c r="J352" t="s">
        <v>165</v>
      </c>
      <c r="K352" t="s">
        <v>166</v>
      </c>
      <c r="L352" t="s">
        <v>27</v>
      </c>
      <c r="M352" t="s">
        <v>28</v>
      </c>
      <c r="N352" t="s">
        <v>1981</v>
      </c>
      <c r="O352" t="s">
        <v>58</v>
      </c>
      <c r="P352">
        <v>4</v>
      </c>
      <c r="Q352">
        <v>3047.05</v>
      </c>
      <c r="R352">
        <v>0.1</v>
      </c>
      <c r="S352" t="str">
        <f t="shared" si="52"/>
        <v>OK</v>
      </c>
      <c r="T352">
        <v>10969.38</v>
      </c>
      <c r="U352">
        <v>9254.4599999999991</v>
      </c>
      <c r="V352">
        <v>1714.92</v>
      </c>
      <c r="W352" t="s">
        <v>31</v>
      </c>
      <c r="X352" t="s">
        <v>32</v>
      </c>
      <c r="Y352" t="str">
        <f>IF(COUNTIF($A$2:$A$901,A352)&gt;1,
  IF(COUNTIF($A$2:A352,A352)=1,
    " ORIGINAL",
    "CONFLICTING DUPLICATE - REVIEW"),
"OK")</f>
        <v>OK</v>
      </c>
      <c r="Z352">
        <f t="shared" si="53"/>
        <v>0.1</v>
      </c>
      <c r="AA352">
        <f t="shared" si="54"/>
        <v>10969.38</v>
      </c>
      <c r="AB352">
        <f t="shared" si="55"/>
        <v>1714.92</v>
      </c>
      <c r="AC352">
        <f t="shared" si="56"/>
        <v>0.15629999999999999</v>
      </c>
      <c r="AD352">
        <f t="shared" si="57"/>
        <v>4</v>
      </c>
      <c r="AE352">
        <f t="shared" si="58"/>
        <v>2024</v>
      </c>
      <c r="AF352" t="str">
        <f t="shared" si="59"/>
        <v>CLEAN</v>
      </c>
    </row>
    <row r="353" spans="1:32">
      <c r="A353" t="s">
        <v>1982</v>
      </c>
      <c r="B353" s="10">
        <v>45392</v>
      </c>
      <c r="C353" s="10">
        <v>45397</v>
      </c>
      <c r="D353">
        <f t="shared" si="50"/>
        <v>5</v>
      </c>
      <c r="E353" t="str">
        <f t="shared" si="51"/>
        <v>OK</v>
      </c>
      <c r="F353" t="s">
        <v>1983</v>
      </c>
      <c r="G353" t="s">
        <v>127</v>
      </c>
      <c r="H353" t="s">
        <v>94</v>
      </c>
      <c r="I353" t="s">
        <v>62</v>
      </c>
      <c r="J353" t="s">
        <v>25</v>
      </c>
      <c r="K353" t="s">
        <v>108</v>
      </c>
      <c r="L353" t="s">
        <v>40</v>
      </c>
      <c r="M353" t="s">
        <v>65</v>
      </c>
      <c r="N353" t="s">
        <v>1984</v>
      </c>
      <c r="O353" t="s">
        <v>58</v>
      </c>
      <c r="P353">
        <v>8</v>
      </c>
      <c r="Q353">
        <v>4362.4799999999996</v>
      </c>
      <c r="R353">
        <v>0.1</v>
      </c>
      <c r="S353" t="str">
        <f t="shared" si="52"/>
        <v>OK</v>
      </c>
      <c r="T353">
        <v>31409.86</v>
      </c>
      <c r="U353">
        <v>22523.54</v>
      </c>
      <c r="V353">
        <v>8886.32</v>
      </c>
      <c r="W353" t="s">
        <v>31</v>
      </c>
      <c r="X353" t="s">
        <v>32</v>
      </c>
      <c r="Y353" t="str">
        <f>IF(COUNTIF($A$2:$A$901,A353)&gt;1,
  IF(COUNTIF($A$2:A353,A353)=1,
    " ORIGINAL",
    "CONFLICTING DUPLICATE - REVIEW"),
"OK")</f>
        <v>OK</v>
      </c>
      <c r="Z353">
        <f t="shared" si="53"/>
        <v>0.1</v>
      </c>
      <c r="AA353">
        <f t="shared" si="54"/>
        <v>31409.86</v>
      </c>
      <c r="AB353">
        <f t="shared" si="55"/>
        <v>8886.32</v>
      </c>
      <c r="AC353">
        <f t="shared" si="56"/>
        <v>0.28289999999999998</v>
      </c>
      <c r="AD353">
        <f t="shared" si="57"/>
        <v>4</v>
      </c>
      <c r="AE353">
        <f t="shared" si="58"/>
        <v>2024</v>
      </c>
      <c r="AF353" t="str">
        <f t="shared" si="59"/>
        <v>CLEAN</v>
      </c>
    </row>
    <row r="354" spans="1:32">
      <c r="A354" t="s">
        <v>1994</v>
      </c>
      <c r="B354" s="10">
        <v>45432</v>
      </c>
      <c r="C354" s="10">
        <v>45437</v>
      </c>
      <c r="D354">
        <f t="shared" si="50"/>
        <v>5</v>
      </c>
      <c r="E354" t="str">
        <f t="shared" si="51"/>
        <v>OK</v>
      </c>
      <c r="F354" t="s">
        <v>1995</v>
      </c>
      <c r="G354" t="s">
        <v>35</v>
      </c>
      <c r="H354" t="s">
        <v>89</v>
      </c>
      <c r="I354" t="s">
        <v>53</v>
      </c>
      <c r="J354" t="s">
        <v>83</v>
      </c>
      <c r="K354" t="s">
        <v>84</v>
      </c>
      <c r="L354" t="s">
        <v>40</v>
      </c>
      <c r="M354" t="s">
        <v>65</v>
      </c>
      <c r="N354" t="s">
        <v>1996</v>
      </c>
      <c r="O354" t="s">
        <v>43</v>
      </c>
      <c r="P354">
        <v>7</v>
      </c>
      <c r="Q354">
        <v>3122.85</v>
      </c>
      <c r="R354">
        <v>0.25</v>
      </c>
      <c r="S354" t="str">
        <f t="shared" si="52"/>
        <v>OK</v>
      </c>
      <c r="T354">
        <v>16394.96</v>
      </c>
      <c r="U354">
        <v>10404.17</v>
      </c>
      <c r="V354">
        <v>5990.79</v>
      </c>
      <c r="W354" t="s">
        <v>31</v>
      </c>
      <c r="X354" t="s">
        <v>32</v>
      </c>
      <c r="Y354" t="str">
        <f>IF(COUNTIF($A$2:$A$901,A354)&gt;1,
  IF(COUNTIF($A$2:A354,A354)=1,
    " ORIGINAL",
    "CONFLICTING DUPLICATE - REVIEW"),
"OK")</f>
        <v>OK</v>
      </c>
      <c r="Z354">
        <f t="shared" si="53"/>
        <v>0.25</v>
      </c>
      <c r="AA354">
        <f t="shared" si="54"/>
        <v>16394.96</v>
      </c>
      <c r="AB354">
        <f t="shared" si="55"/>
        <v>5990.79</v>
      </c>
      <c r="AC354">
        <f t="shared" si="56"/>
        <v>0.3654</v>
      </c>
      <c r="AD354">
        <f t="shared" si="57"/>
        <v>5</v>
      </c>
      <c r="AE354">
        <f t="shared" si="58"/>
        <v>2024</v>
      </c>
      <c r="AF354" t="str">
        <f t="shared" si="59"/>
        <v>CLEAN</v>
      </c>
    </row>
    <row r="355" spans="1:32">
      <c r="A355" t="s">
        <v>1997</v>
      </c>
      <c r="B355" s="10">
        <v>45567</v>
      </c>
      <c r="C355" s="10">
        <v>45574</v>
      </c>
      <c r="D355">
        <f t="shared" si="50"/>
        <v>7</v>
      </c>
      <c r="E355" t="str">
        <f t="shared" si="51"/>
        <v>OK</v>
      </c>
      <c r="F355" t="s">
        <v>1998</v>
      </c>
      <c r="G355" t="s">
        <v>61</v>
      </c>
      <c r="H355" t="s">
        <v>23</v>
      </c>
      <c r="I355" t="s">
        <v>53</v>
      </c>
      <c r="J355" t="s">
        <v>246</v>
      </c>
      <c r="K355" t="s">
        <v>247</v>
      </c>
      <c r="L355" t="s">
        <v>27</v>
      </c>
      <c r="M355" t="s">
        <v>28</v>
      </c>
      <c r="N355" t="s">
        <v>1999</v>
      </c>
      <c r="O355" t="s">
        <v>58</v>
      </c>
      <c r="P355">
        <v>8</v>
      </c>
      <c r="Q355">
        <v>1910.31</v>
      </c>
      <c r="R355">
        <v>0.15</v>
      </c>
      <c r="S355" t="str">
        <f t="shared" si="52"/>
        <v>OK</v>
      </c>
      <c r="T355">
        <v>12990.11</v>
      </c>
      <c r="U355">
        <v>10200.799999999999</v>
      </c>
      <c r="V355">
        <v>2789.31</v>
      </c>
      <c r="W355" t="s">
        <v>31</v>
      </c>
      <c r="X355" t="s">
        <v>32</v>
      </c>
      <c r="Y355" t="str">
        <f>IF(COUNTIF($A$2:$A$901,A355)&gt;1,
  IF(COUNTIF($A$2:A355,A355)=1,
    " ORIGINAL",
    "CONFLICTING DUPLICATE - REVIEW"),
"OK")</f>
        <v>OK</v>
      </c>
      <c r="Z355">
        <f t="shared" si="53"/>
        <v>0.15</v>
      </c>
      <c r="AA355">
        <f t="shared" si="54"/>
        <v>12990.11</v>
      </c>
      <c r="AB355">
        <f t="shared" si="55"/>
        <v>2789.31</v>
      </c>
      <c r="AC355">
        <f t="shared" si="56"/>
        <v>0.2147</v>
      </c>
      <c r="AD355">
        <f t="shared" si="57"/>
        <v>10</v>
      </c>
      <c r="AE355">
        <f t="shared" si="58"/>
        <v>2024</v>
      </c>
      <c r="AF355" t="str">
        <f t="shared" si="59"/>
        <v>CLEAN</v>
      </c>
    </row>
    <row r="356" spans="1:32">
      <c r="A356" t="s">
        <v>2000</v>
      </c>
      <c r="B356" s="10">
        <v>45438</v>
      </c>
      <c r="C356" s="10">
        <v>45438</v>
      </c>
      <c r="D356">
        <f t="shared" si="50"/>
        <v>0</v>
      </c>
      <c r="E356" t="str">
        <f t="shared" si="51"/>
        <v>OK</v>
      </c>
      <c r="F356" t="s">
        <v>2001</v>
      </c>
      <c r="G356" t="s">
        <v>117</v>
      </c>
      <c r="H356" t="s">
        <v>36</v>
      </c>
      <c r="I356" t="s">
        <v>62</v>
      </c>
      <c r="J356" t="s">
        <v>189</v>
      </c>
      <c r="K356" t="s">
        <v>190</v>
      </c>
      <c r="L356" t="s">
        <v>73</v>
      </c>
      <c r="M356" t="s">
        <v>79</v>
      </c>
      <c r="N356" t="s">
        <v>2002</v>
      </c>
      <c r="O356" t="s">
        <v>49</v>
      </c>
      <c r="P356">
        <v>2</v>
      </c>
      <c r="Q356">
        <v>3192.47</v>
      </c>
      <c r="R356">
        <v>0.2</v>
      </c>
      <c r="S356" t="str">
        <f t="shared" si="52"/>
        <v>OK</v>
      </c>
      <c r="T356">
        <v>5107.95</v>
      </c>
      <c r="U356">
        <v>3133.08</v>
      </c>
      <c r="V356">
        <v>1974.87</v>
      </c>
      <c r="W356" t="s">
        <v>31</v>
      </c>
      <c r="X356" t="s">
        <v>32</v>
      </c>
      <c r="Y356" t="str">
        <f>IF(COUNTIF($A$2:$A$901,A356)&gt;1,
  IF(COUNTIF($A$2:A356,A356)=1,
    " ORIGINAL",
    "CONFLICTING DUPLICATE - REVIEW"),
"OK")</f>
        <v>OK</v>
      </c>
      <c r="Z356">
        <f t="shared" si="53"/>
        <v>0.2</v>
      </c>
      <c r="AA356">
        <f t="shared" si="54"/>
        <v>5107.95</v>
      </c>
      <c r="AB356">
        <f t="shared" si="55"/>
        <v>1974.87</v>
      </c>
      <c r="AC356">
        <f t="shared" si="56"/>
        <v>0.3866</v>
      </c>
      <c r="AD356">
        <f t="shared" si="57"/>
        <v>5</v>
      </c>
      <c r="AE356">
        <f t="shared" si="58"/>
        <v>2024</v>
      </c>
      <c r="AF356" t="str">
        <f t="shared" si="59"/>
        <v>CLEAN</v>
      </c>
    </row>
    <row r="357" spans="1:32">
      <c r="A357" t="s">
        <v>2003</v>
      </c>
      <c r="B357" s="10">
        <v>45317</v>
      </c>
      <c r="C357" s="10">
        <v>45322</v>
      </c>
      <c r="D357">
        <f t="shared" si="50"/>
        <v>5</v>
      </c>
      <c r="E357" t="str">
        <f t="shared" si="51"/>
        <v>OK</v>
      </c>
      <c r="F357" t="s">
        <v>2004</v>
      </c>
      <c r="G357" t="s">
        <v>22</v>
      </c>
      <c r="H357" t="s">
        <v>89</v>
      </c>
      <c r="I357" t="s">
        <v>53</v>
      </c>
      <c r="J357" t="s">
        <v>184</v>
      </c>
      <c r="K357" t="s">
        <v>185</v>
      </c>
      <c r="L357" t="s">
        <v>27</v>
      </c>
      <c r="M357" t="s">
        <v>123</v>
      </c>
      <c r="N357" t="s">
        <v>2005</v>
      </c>
      <c r="O357" t="s">
        <v>30</v>
      </c>
      <c r="P357">
        <v>3</v>
      </c>
      <c r="Q357">
        <v>3224.32</v>
      </c>
      <c r="R357">
        <v>0.2</v>
      </c>
      <c r="S357" t="str">
        <f t="shared" si="52"/>
        <v>OK</v>
      </c>
      <c r="T357">
        <v>7738.37</v>
      </c>
      <c r="U357">
        <v>4626.8500000000004</v>
      </c>
      <c r="V357">
        <v>3111.52</v>
      </c>
      <c r="W357" t="s">
        <v>154</v>
      </c>
      <c r="X357" t="s">
        <v>102</v>
      </c>
      <c r="Y357" t="str">
        <f>IF(COUNTIF($A$2:$A$901,A357)&gt;1,
  IF(COUNTIF($A$2:A357,A357)=1,
    " ORIGINAL",
    "CONFLICTING DUPLICATE - REVIEW"),
"OK")</f>
        <v>OK</v>
      </c>
      <c r="Z357">
        <f t="shared" si="53"/>
        <v>0.2</v>
      </c>
      <c r="AA357">
        <f t="shared" si="54"/>
        <v>7738.37</v>
      </c>
      <c r="AB357">
        <f t="shared" si="55"/>
        <v>3111.52</v>
      </c>
      <c r="AC357">
        <f t="shared" si="56"/>
        <v>0.40210000000000001</v>
      </c>
      <c r="AD357">
        <f t="shared" si="57"/>
        <v>1</v>
      </c>
      <c r="AE357">
        <f t="shared" si="58"/>
        <v>2024</v>
      </c>
      <c r="AF357" t="str">
        <f t="shared" si="59"/>
        <v>INVALID</v>
      </c>
    </row>
    <row r="358" spans="1:32">
      <c r="A358" t="s">
        <v>2006</v>
      </c>
      <c r="B358" s="10">
        <v>45653</v>
      </c>
      <c r="C358" s="10">
        <v>45657</v>
      </c>
      <c r="D358">
        <f t="shared" si="50"/>
        <v>4</v>
      </c>
      <c r="E358" t="str">
        <f t="shared" si="51"/>
        <v>OK</v>
      </c>
      <c r="F358" t="s">
        <v>2007</v>
      </c>
      <c r="G358" t="s">
        <v>46</v>
      </c>
      <c r="H358" t="s">
        <v>36</v>
      </c>
      <c r="I358" t="s">
        <v>37</v>
      </c>
      <c r="J358" t="s">
        <v>38</v>
      </c>
      <c r="K358" t="s">
        <v>39</v>
      </c>
      <c r="L358" t="s">
        <v>40</v>
      </c>
      <c r="M358" t="s">
        <v>65</v>
      </c>
      <c r="N358" t="s">
        <v>2008</v>
      </c>
      <c r="O358" t="s">
        <v>30</v>
      </c>
      <c r="P358">
        <v>1</v>
      </c>
      <c r="Q358">
        <v>1594.7</v>
      </c>
      <c r="R358">
        <v>0.05</v>
      </c>
      <c r="S358" t="str">
        <f t="shared" si="52"/>
        <v>OK</v>
      </c>
      <c r="T358">
        <v>1514.96</v>
      </c>
      <c r="U358">
        <v>1046.17</v>
      </c>
      <c r="V358">
        <v>468.79</v>
      </c>
      <c r="W358" t="s">
        <v>31</v>
      </c>
      <c r="X358" t="s">
        <v>32</v>
      </c>
      <c r="Y358" t="str">
        <f>IF(COUNTIF($A$2:$A$901,A358)&gt;1,
  IF(COUNTIF($A$2:A358,A358)=1,
    " ORIGINAL",
    "CONFLICTING DUPLICATE - REVIEW"),
"OK")</f>
        <v>OK</v>
      </c>
      <c r="Z358">
        <f t="shared" si="53"/>
        <v>0.05</v>
      </c>
      <c r="AA358">
        <f t="shared" si="54"/>
        <v>1514.97</v>
      </c>
      <c r="AB358">
        <f t="shared" si="55"/>
        <v>468.8</v>
      </c>
      <c r="AC358">
        <f t="shared" si="56"/>
        <v>0.30940000000000001</v>
      </c>
      <c r="AD358">
        <f t="shared" si="57"/>
        <v>12</v>
      </c>
      <c r="AE358">
        <f t="shared" si="58"/>
        <v>2024</v>
      </c>
      <c r="AF358" t="str">
        <f t="shared" si="59"/>
        <v>CLEAN</v>
      </c>
    </row>
    <row r="359" spans="1:32">
      <c r="A359" t="s">
        <v>2015</v>
      </c>
      <c r="B359" s="10">
        <v>45533</v>
      </c>
      <c r="C359" s="10">
        <v>45535</v>
      </c>
      <c r="D359">
        <f t="shared" si="50"/>
        <v>2</v>
      </c>
      <c r="E359" t="str">
        <f t="shared" si="51"/>
        <v>OK</v>
      </c>
      <c r="F359" t="s">
        <v>2016</v>
      </c>
      <c r="G359" t="s">
        <v>46</v>
      </c>
      <c r="H359" t="s">
        <v>94</v>
      </c>
      <c r="I359" t="s">
        <v>37</v>
      </c>
      <c r="J359" t="s">
        <v>165</v>
      </c>
      <c r="K359" t="s">
        <v>166</v>
      </c>
      <c r="L359" t="s">
        <v>27</v>
      </c>
      <c r="M359" t="s">
        <v>152</v>
      </c>
      <c r="N359" t="s">
        <v>2017</v>
      </c>
      <c r="O359" t="s">
        <v>30</v>
      </c>
      <c r="P359">
        <v>9</v>
      </c>
      <c r="Q359">
        <v>1275.21</v>
      </c>
      <c r="R359">
        <v>0.25</v>
      </c>
      <c r="S359" t="str">
        <f t="shared" si="52"/>
        <v>OK</v>
      </c>
      <c r="T359">
        <v>8607.67</v>
      </c>
      <c r="U359">
        <v>5337.64</v>
      </c>
      <c r="V359">
        <v>3270.03</v>
      </c>
      <c r="W359" t="s">
        <v>154</v>
      </c>
      <c r="X359" t="s">
        <v>102</v>
      </c>
      <c r="Y359" t="str">
        <f>IF(COUNTIF($A$2:$A$901,A359)&gt;1,
  IF(COUNTIF($A$2:A359,A359)=1,
    " ORIGINAL",
    "CONFLICTING DUPLICATE - REVIEW"),
"OK")</f>
        <v>OK</v>
      </c>
      <c r="Z359">
        <f t="shared" si="53"/>
        <v>0.25</v>
      </c>
      <c r="AA359">
        <f t="shared" si="54"/>
        <v>8607.67</v>
      </c>
      <c r="AB359">
        <f t="shared" si="55"/>
        <v>3270.03</v>
      </c>
      <c r="AC359">
        <f t="shared" si="56"/>
        <v>0.37990000000000002</v>
      </c>
      <c r="AD359">
        <f t="shared" si="57"/>
        <v>8</v>
      </c>
      <c r="AE359">
        <f t="shared" si="58"/>
        <v>2024</v>
      </c>
      <c r="AF359" t="str">
        <f t="shared" si="59"/>
        <v>INVALID</v>
      </c>
    </row>
    <row r="360" spans="1:32">
      <c r="A360" t="s">
        <v>2018</v>
      </c>
      <c r="B360" s="10">
        <v>45414</v>
      </c>
      <c r="C360" s="10">
        <v>45335</v>
      </c>
      <c r="D360">
        <f t="shared" si="50"/>
        <v>-79</v>
      </c>
      <c r="E360" t="str">
        <f t="shared" si="51"/>
        <v>INVALID</v>
      </c>
      <c r="F360" t="s">
        <v>719</v>
      </c>
      <c r="G360" t="s">
        <v>127</v>
      </c>
      <c r="H360" t="s">
        <v>94</v>
      </c>
      <c r="I360" t="s">
        <v>24</v>
      </c>
      <c r="J360" t="s">
        <v>135</v>
      </c>
      <c r="K360" t="s">
        <v>136</v>
      </c>
      <c r="L360" t="s">
        <v>27</v>
      </c>
      <c r="M360" t="s">
        <v>90</v>
      </c>
      <c r="N360" t="s">
        <v>2019</v>
      </c>
      <c r="O360" t="s">
        <v>58</v>
      </c>
      <c r="P360">
        <v>8</v>
      </c>
      <c r="Q360">
        <v>3871.18</v>
      </c>
      <c r="R360">
        <v>0.15</v>
      </c>
      <c r="S360" t="str">
        <f t="shared" si="52"/>
        <v>OK</v>
      </c>
      <c r="T360">
        <v>26324.02</v>
      </c>
      <c r="U360">
        <v>16277.96</v>
      </c>
      <c r="V360">
        <v>10046.06</v>
      </c>
      <c r="W360" t="s">
        <v>154</v>
      </c>
      <c r="X360" t="s">
        <v>102</v>
      </c>
      <c r="Y360" t="str">
        <f>IF(COUNTIF($A$2:$A$901,A360)&gt;1,
  IF(COUNTIF($A$2:A360,A360)=1,
    " ORIGINAL",
    "CONFLICTING DUPLICATE - REVIEW"),
"OK")</f>
        <v>OK</v>
      </c>
      <c r="Z360">
        <f t="shared" si="53"/>
        <v>0.15</v>
      </c>
      <c r="AA360">
        <f t="shared" si="54"/>
        <v>26324.02</v>
      </c>
      <c r="AB360">
        <f t="shared" si="55"/>
        <v>10046.06</v>
      </c>
      <c r="AC360">
        <f t="shared" si="56"/>
        <v>0.38159999999999999</v>
      </c>
      <c r="AD360">
        <f t="shared" si="57"/>
        <v>5</v>
      </c>
      <c r="AE360">
        <f t="shared" si="58"/>
        <v>2024</v>
      </c>
      <c r="AF360" t="str">
        <f t="shared" si="59"/>
        <v>INVALID</v>
      </c>
    </row>
    <row r="361" spans="1:32">
      <c r="A361" t="s">
        <v>2023</v>
      </c>
      <c r="B361" s="10">
        <v>45295</v>
      </c>
      <c r="C361" s="10">
        <v>45536</v>
      </c>
      <c r="D361">
        <f t="shared" si="50"/>
        <v>241</v>
      </c>
      <c r="E361" t="str">
        <f t="shared" si="51"/>
        <v>OK</v>
      </c>
      <c r="F361" t="s">
        <v>2024</v>
      </c>
      <c r="G361" t="s">
        <v>263</v>
      </c>
      <c r="H361" t="s">
        <v>23</v>
      </c>
      <c r="I361" t="s">
        <v>37</v>
      </c>
      <c r="J361" t="s">
        <v>144</v>
      </c>
      <c r="K361" t="s">
        <v>145</v>
      </c>
      <c r="L361" t="s">
        <v>40</v>
      </c>
      <c r="M361" t="s">
        <v>65</v>
      </c>
      <c r="N361" t="s">
        <v>2025</v>
      </c>
      <c r="O361" t="s">
        <v>30</v>
      </c>
      <c r="P361">
        <v>6</v>
      </c>
      <c r="Q361">
        <v>2423.61</v>
      </c>
      <c r="R361">
        <v>0.1</v>
      </c>
      <c r="S361" t="str">
        <f t="shared" si="52"/>
        <v>OK</v>
      </c>
      <c r="T361">
        <v>13087.49</v>
      </c>
      <c r="U361">
        <v>7608.89</v>
      </c>
      <c r="V361">
        <v>5133.22</v>
      </c>
      <c r="W361" t="s">
        <v>31</v>
      </c>
      <c r="X361" t="s">
        <v>32</v>
      </c>
      <c r="Y361" t="str">
        <f>IF(COUNTIF($A$2:$A$901,A361)&gt;1,
  IF(COUNTIF($A$2:A361,A361)=1,
    " ORIGINAL",
    "CONFLICTING DUPLICATE - REVIEW"),
"OK")</f>
        <v>OK</v>
      </c>
      <c r="Z361">
        <f t="shared" si="53"/>
        <v>0.1</v>
      </c>
      <c r="AA361">
        <f t="shared" si="54"/>
        <v>13087.49</v>
      </c>
      <c r="AB361">
        <f t="shared" si="55"/>
        <v>5478.6</v>
      </c>
      <c r="AC361">
        <f t="shared" si="56"/>
        <v>0.41860000000000003</v>
      </c>
      <c r="AD361">
        <f t="shared" si="57"/>
        <v>1</v>
      </c>
      <c r="AE361">
        <f t="shared" si="58"/>
        <v>2024</v>
      </c>
      <c r="AF361" t="str">
        <f t="shared" si="59"/>
        <v>CLEAN</v>
      </c>
    </row>
    <row r="362" spans="1:32">
      <c r="A362" t="s">
        <v>2026</v>
      </c>
      <c r="B362" s="10">
        <v>45553</v>
      </c>
      <c r="C362" s="10">
        <v>45559</v>
      </c>
      <c r="D362">
        <f t="shared" si="50"/>
        <v>6</v>
      </c>
      <c r="E362" t="str">
        <f t="shared" si="51"/>
        <v>OK</v>
      </c>
      <c r="F362" t="s">
        <v>2027</v>
      </c>
      <c r="G362" t="s">
        <v>70</v>
      </c>
      <c r="H362" t="s">
        <v>36</v>
      </c>
      <c r="I362" t="s">
        <v>37</v>
      </c>
      <c r="J362" t="s">
        <v>227</v>
      </c>
      <c r="K362" t="s">
        <v>228</v>
      </c>
      <c r="L362" t="s">
        <v>73</v>
      </c>
      <c r="M362" t="s">
        <v>273</v>
      </c>
      <c r="N362" t="s">
        <v>2028</v>
      </c>
      <c r="O362" t="s">
        <v>49</v>
      </c>
      <c r="P362">
        <v>3</v>
      </c>
      <c r="Q362">
        <v>729.14</v>
      </c>
      <c r="R362">
        <v>0.25</v>
      </c>
      <c r="S362" t="str">
        <f t="shared" si="52"/>
        <v>OK</v>
      </c>
      <c r="T362">
        <v>1640.57</v>
      </c>
      <c r="U362">
        <v>1136.98</v>
      </c>
      <c r="V362">
        <v>503.59</v>
      </c>
      <c r="W362" t="s">
        <v>31</v>
      </c>
      <c r="X362" t="s">
        <v>32</v>
      </c>
      <c r="Y362" t="str">
        <f>IF(COUNTIF($A$2:$A$901,A362)&gt;1,
  IF(COUNTIF($A$2:A362,A362)=1,
    " ORIGINAL",
    "CONFLICTING DUPLICATE - REVIEW"),
"OK")</f>
        <v>OK</v>
      </c>
      <c r="Z362">
        <f t="shared" si="53"/>
        <v>0.25</v>
      </c>
      <c r="AA362">
        <f t="shared" si="54"/>
        <v>1640.57</v>
      </c>
      <c r="AB362">
        <f t="shared" si="55"/>
        <v>503.59</v>
      </c>
      <c r="AC362">
        <f t="shared" si="56"/>
        <v>0.307</v>
      </c>
      <c r="AD362">
        <f t="shared" si="57"/>
        <v>9</v>
      </c>
      <c r="AE362">
        <f t="shared" si="58"/>
        <v>2024</v>
      </c>
      <c r="AF362" t="str">
        <f t="shared" si="59"/>
        <v>CLEAN</v>
      </c>
    </row>
    <row r="363" spans="1:32">
      <c r="A363" t="s">
        <v>2032</v>
      </c>
      <c r="B363" s="10">
        <v>45403</v>
      </c>
      <c r="C363" s="10">
        <v>45406</v>
      </c>
      <c r="D363">
        <f t="shared" si="50"/>
        <v>3</v>
      </c>
      <c r="E363" t="str">
        <f t="shared" si="51"/>
        <v>OK</v>
      </c>
      <c r="F363" t="s">
        <v>2033</v>
      </c>
      <c r="G363" t="s">
        <v>78</v>
      </c>
      <c r="H363" t="s">
        <v>36</v>
      </c>
      <c r="I363" t="s">
        <v>53</v>
      </c>
      <c r="J363" t="s">
        <v>83</v>
      </c>
      <c r="K363" t="s">
        <v>84</v>
      </c>
      <c r="L363" t="s">
        <v>27</v>
      </c>
      <c r="M363" t="s">
        <v>47</v>
      </c>
      <c r="N363" t="s">
        <v>2034</v>
      </c>
      <c r="O363" t="s">
        <v>43</v>
      </c>
      <c r="P363">
        <v>9</v>
      </c>
      <c r="Q363">
        <v>703.59</v>
      </c>
      <c r="R363">
        <v>0.2</v>
      </c>
      <c r="S363" t="str">
        <f t="shared" si="52"/>
        <v>OK</v>
      </c>
      <c r="T363">
        <v>5065.8500000000004</v>
      </c>
      <c r="U363">
        <v>3517.23</v>
      </c>
      <c r="V363">
        <v>1548.62</v>
      </c>
      <c r="W363" t="s">
        <v>154</v>
      </c>
      <c r="X363" t="s">
        <v>102</v>
      </c>
      <c r="Y363" t="str">
        <f>IF(COUNTIF($A$2:$A$901,A363)&gt;1,
  IF(COUNTIF($A$2:A363,A363)=1,
    " ORIGINAL",
    "CONFLICTING DUPLICATE - REVIEW"),
"OK")</f>
        <v>OK</v>
      </c>
      <c r="Z363">
        <f t="shared" si="53"/>
        <v>0.2</v>
      </c>
      <c r="AA363">
        <f t="shared" si="54"/>
        <v>5065.8500000000004</v>
      </c>
      <c r="AB363">
        <f t="shared" si="55"/>
        <v>1548.62</v>
      </c>
      <c r="AC363">
        <f t="shared" si="56"/>
        <v>0.30570000000000003</v>
      </c>
      <c r="AD363">
        <f t="shared" si="57"/>
        <v>4</v>
      </c>
      <c r="AE363">
        <f t="shared" si="58"/>
        <v>2024</v>
      </c>
      <c r="AF363" t="str">
        <f t="shared" si="59"/>
        <v>INVALID</v>
      </c>
    </row>
    <row r="364" spans="1:32">
      <c r="A364" t="s">
        <v>2038</v>
      </c>
      <c r="B364" s="10">
        <v>45395</v>
      </c>
      <c r="C364" s="10">
        <v>45403</v>
      </c>
      <c r="D364">
        <f t="shared" si="50"/>
        <v>8</v>
      </c>
      <c r="E364" t="str">
        <f t="shared" si="51"/>
        <v>OK</v>
      </c>
      <c r="F364" t="s">
        <v>377</v>
      </c>
      <c r="G364" t="s">
        <v>127</v>
      </c>
      <c r="H364" t="s">
        <v>94</v>
      </c>
      <c r="I364" t="s">
        <v>37</v>
      </c>
      <c r="J364" t="s">
        <v>144</v>
      </c>
      <c r="K364" t="s">
        <v>145</v>
      </c>
      <c r="L364" t="s">
        <v>73</v>
      </c>
      <c r="M364" t="s">
        <v>74</v>
      </c>
      <c r="N364" t="s">
        <v>2039</v>
      </c>
      <c r="O364" t="s">
        <v>43</v>
      </c>
      <c r="P364">
        <v>7</v>
      </c>
      <c r="Q364">
        <v>2648.76</v>
      </c>
      <c r="R364">
        <v>0.15</v>
      </c>
      <c r="S364" t="str">
        <f t="shared" si="52"/>
        <v>OK</v>
      </c>
      <c r="T364">
        <v>15760.12</v>
      </c>
      <c r="U364">
        <v>9931.5300000000007</v>
      </c>
      <c r="V364">
        <v>5828.59</v>
      </c>
      <c r="W364" t="s">
        <v>154</v>
      </c>
      <c r="X364" t="s">
        <v>102</v>
      </c>
      <c r="Y364" t="str">
        <f>IF(COUNTIF($A$2:$A$901,A364)&gt;1,
  IF(COUNTIF($A$2:A364,A364)=1,
    " ORIGINAL",
    "CONFLICTING DUPLICATE - REVIEW"),
"OK")</f>
        <v>OK</v>
      </c>
      <c r="Z364">
        <f t="shared" si="53"/>
        <v>0.15</v>
      </c>
      <c r="AA364">
        <f t="shared" si="54"/>
        <v>15760.12</v>
      </c>
      <c r="AB364">
        <f t="shared" si="55"/>
        <v>5828.59</v>
      </c>
      <c r="AC364">
        <f t="shared" si="56"/>
        <v>0.36980000000000002</v>
      </c>
      <c r="AD364">
        <f t="shared" si="57"/>
        <v>4</v>
      </c>
      <c r="AE364">
        <f t="shared" si="58"/>
        <v>2024</v>
      </c>
      <c r="AF364" t="str">
        <f t="shared" si="59"/>
        <v>INVALID</v>
      </c>
    </row>
    <row r="365" spans="1:32">
      <c r="A365" t="s">
        <v>2053</v>
      </c>
      <c r="B365" s="10">
        <v>45478</v>
      </c>
      <c r="C365" s="10">
        <v>45426</v>
      </c>
      <c r="D365">
        <f t="shared" si="50"/>
        <v>-52</v>
      </c>
      <c r="E365" t="str">
        <f t="shared" si="51"/>
        <v>INVALID</v>
      </c>
      <c r="F365" t="s">
        <v>2054</v>
      </c>
      <c r="G365" t="s">
        <v>78</v>
      </c>
      <c r="H365" t="s">
        <v>36</v>
      </c>
      <c r="I365" t="s">
        <v>24</v>
      </c>
      <c r="J365" t="s">
        <v>235</v>
      </c>
      <c r="K365" t="s">
        <v>236</v>
      </c>
      <c r="L365" t="s">
        <v>73</v>
      </c>
      <c r="M365" t="s">
        <v>273</v>
      </c>
      <c r="N365" t="s">
        <v>2055</v>
      </c>
      <c r="O365" t="s">
        <v>43</v>
      </c>
      <c r="P365">
        <v>4</v>
      </c>
      <c r="Q365">
        <v>2751.1</v>
      </c>
      <c r="R365">
        <v>-0.05</v>
      </c>
      <c r="S365" t="str">
        <f t="shared" si="52"/>
        <v>INVALID-NEGATIVE</v>
      </c>
      <c r="T365">
        <v>9903.9599999999991</v>
      </c>
      <c r="U365">
        <v>7696.28</v>
      </c>
      <c r="V365">
        <v>2207.6799999999998</v>
      </c>
      <c r="W365" t="s">
        <v>31</v>
      </c>
      <c r="X365" t="s">
        <v>32</v>
      </c>
      <c r="Y365" t="str">
        <f>IF(COUNTIF($A$2:$A$901,A365)&gt;1,
  IF(COUNTIF($A$2:A365,A365)=1,
    " ORIGINAL",
    "CONFLICTING DUPLICATE - REVIEW"),
"OK")</f>
        <v>OK</v>
      </c>
      <c r="Z365">
        <f t="shared" si="53"/>
        <v>0</v>
      </c>
      <c r="AA365">
        <f t="shared" si="54"/>
        <v>11004.4</v>
      </c>
      <c r="AB365">
        <f t="shared" si="55"/>
        <v>3308.12</v>
      </c>
      <c r="AC365">
        <f t="shared" si="56"/>
        <v>0.30059999999999998</v>
      </c>
      <c r="AD365">
        <f t="shared" si="57"/>
        <v>7</v>
      </c>
      <c r="AE365">
        <f t="shared" si="58"/>
        <v>2024</v>
      </c>
      <c r="AF365" t="str">
        <f t="shared" si="59"/>
        <v>INVALID</v>
      </c>
    </row>
    <row r="366" spans="1:32">
      <c r="A366" t="s">
        <v>2068</v>
      </c>
      <c r="B366" s="10">
        <v>45429</v>
      </c>
      <c r="C366" s="10">
        <v>45434</v>
      </c>
      <c r="D366">
        <f t="shared" si="50"/>
        <v>5</v>
      </c>
      <c r="E366" t="str">
        <f t="shared" si="51"/>
        <v>OK</v>
      </c>
      <c r="F366" t="s">
        <v>2069</v>
      </c>
      <c r="G366" t="s">
        <v>131</v>
      </c>
      <c r="H366" t="s">
        <v>23</v>
      </c>
      <c r="I366" t="s">
        <v>53</v>
      </c>
      <c r="J366" t="s">
        <v>83</v>
      </c>
      <c r="K366" t="s">
        <v>84</v>
      </c>
      <c r="L366" t="s">
        <v>73</v>
      </c>
      <c r="M366" t="s">
        <v>273</v>
      </c>
      <c r="N366" t="s">
        <v>2070</v>
      </c>
      <c r="O366" t="s">
        <v>30</v>
      </c>
      <c r="P366">
        <v>7</v>
      </c>
      <c r="Q366">
        <v>232.5</v>
      </c>
      <c r="R366">
        <v>0</v>
      </c>
      <c r="S366" t="str">
        <f t="shared" si="52"/>
        <v>OK</v>
      </c>
      <c r="T366">
        <v>1627.5</v>
      </c>
      <c r="U366">
        <v>939.9</v>
      </c>
      <c r="V366">
        <v>687.6</v>
      </c>
      <c r="W366" t="s">
        <v>31</v>
      </c>
      <c r="X366" t="s">
        <v>32</v>
      </c>
      <c r="Y366" t="str">
        <f>IF(COUNTIF($A$2:$A$901,A366)&gt;1,
  IF(COUNTIF($A$2:A366,A366)=1,
    " ORIGINAL",
    "CONFLICTING DUPLICATE - REVIEW"),
"OK")</f>
        <v>OK</v>
      </c>
      <c r="Z366">
        <f t="shared" si="53"/>
        <v>0</v>
      </c>
      <c r="AA366">
        <f t="shared" si="54"/>
        <v>1627.5</v>
      </c>
      <c r="AB366">
        <f t="shared" si="55"/>
        <v>687.6</v>
      </c>
      <c r="AC366">
        <f t="shared" si="56"/>
        <v>0.42249999999999999</v>
      </c>
      <c r="AD366">
        <f t="shared" si="57"/>
        <v>5</v>
      </c>
      <c r="AE366">
        <f t="shared" si="58"/>
        <v>2024</v>
      </c>
      <c r="AF366" t="str">
        <f t="shared" si="59"/>
        <v>CLEAN</v>
      </c>
    </row>
    <row r="367" spans="1:32">
      <c r="A367" t="s">
        <v>2071</v>
      </c>
      <c r="B367" s="10">
        <v>45305</v>
      </c>
      <c r="C367" s="10">
        <v>45309</v>
      </c>
      <c r="D367">
        <f t="shared" si="50"/>
        <v>4</v>
      </c>
      <c r="E367" t="str">
        <f t="shared" si="51"/>
        <v>OK</v>
      </c>
      <c r="F367" t="s">
        <v>2072</v>
      </c>
      <c r="G367" t="s">
        <v>35</v>
      </c>
      <c r="H367" t="s">
        <v>94</v>
      </c>
      <c r="I367" t="s">
        <v>62</v>
      </c>
      <c r="J367" t="s">
        <v>25</v>
      </c>
      <c r="K367" t="s">
        <v>108</v>
      </c>
      <c r="L367" t="s">
        <v>73</v>
      </c>
      <c r="M367" t="s">
        <v>273</v>
      </c>
      <c r="N367" t="s">
        <v>2073</v>
      </c>
      <c r="O367" t="s">
        <v>43</v>
      </c>
      <c r="P367">
        <v>6</v>
      </c>
      <c r="Q367">
        <v>1784.8</v>
      </c>
      <c r="R367">
        <v>0.1</v>
      </c>
      <c r="S367" t="str">
        <f t="shared" si="52"/>
        <v>OK</v>
      </c>
      <c r="T367">
        <v>9637.92</v>
      </c>
      <c r="U367">
        <v>7329.29</v>
      </c>
      <c r="V367">
        <v>2308.63</v>
      </c>
      <c r="W367" t="s">
        <v>31</v>
      </c>
      <c r="X367" t="s">
        <v>32</v>
      </c>
      <c r="Y367" t="str">
        <f>IF(COUNTIF($A$2:$A$901,A367)&gt;1,
  IF(COUNTIF($A$2:A367,A367)=1,
    " ORIGINAL",
    "CONFLICTING DUPLICATE - REVIEW"),
"OK")</f>
        <v>OK</v>
      </c>
      <c r="Z367">
        <f t="shared" si="53"/>
        <v>0.1</v>
      </c>
      <c r="AA367">
        <f t="shared" si="54"/>
        <v>9637.92</v>
      </c>
      <c r="AB367">
        <f t="shared" si="55"/>
        <v>2308.63</v>
      </c>
      <c r="AC367">
        <f t="shared" si="56"/>
        <v>0.23949999999999999</v>
      </c>
      <c r="AD367">
        <f t="shared" si="57"/>
        <v>1</v>
      </c>
      <c r="AE367">
        <f t="shared" si="58"/>
        <v>2024</v>
      </c>
      <c r="AF367" t="str">
        <f t="shared" si="59"/>
        <v>CLEAN</v>
      </c>
    </row>
    <row r="368" spans="1:32">
      <c r="A368" t="s">
        <v>2074</v>
      </c>
      <c r="B368" s="10">
        <v>45414</v>
      </c>
      <c r="C368" s="10">
        <v>45420</v>
      </c>
      <c r="D368">
        <f t="shared" si="50"/>
        <v>6</v>
      </c>
      <c r="E368" t="str">
        <f t="shared" si="51"/>
        <v>OK</v>
      </c>
      <c r="F368" t="s">
        <v>2075</v>
      </c>
      <c r="G368" t="s">
        <v>117</v>
      </c>
      <c r="H368" t="s">
        <v>94</v>
      </c>
      <c r="I368" t="s">
        <v>37</v>
      </c>
      <c r="J368" t="s">
        <v>227</v>
      </c>
      <c r="K368" t="s">
        <v>228</v>
      </c>
      <c r="L368" t="s">
        <v>73</v>
      </c>
      <c r="M368" t="s">
        <v>79</v>
      </c>
      <c r="N368" t="s">
        <v>2076</v>
      </c>
      <c r="O368" t="s">
        <v>30</v>
      </c>
      <c r="P368">
        <v>2</v>
      </c>
      <c r="Q368">
        <v>3185.01</v>
      </c>
      <c r="R368">
        <v>-0.24</v>
      </c>
      <c r="S368" t="str">
        <f t="shared" si="52"/>
        <v>INVALID-NEGATIVE</v>
      </c>
      <c r="T368">
        <v>4777.5200000000004</v>
      </c>
      <c r="U368">
        <v>3152.98</v>
      </c>
      <c r="V368">
        <v>1624.54</v>
      </c>
      <c r="W368" t="s">
        <v>31</v>
      </c>
      <c r="X368" t="s">
        <v>32</v>
      </c>
      <c r="Y368" t="str">
        <f>IF(COUNTIF($A$2:$A$901,A368)&gt;1,
  IF(COUNTIF($A$2:A368,A368)=1,
    " ORIGINAL",
    "CONFLICTING DUPLICATE - REVIEW"),
"OK")</f>
        <v>OK</v>
      </c>
      <c r="Z368">
        <f t="shared" si="53"/>
        <v>0</v>
      </c>
      <c r="AA368">
        <f t="shared" si="54"/>
        <v>6370.02</v>
      </c>
      <c r="AB368">
        <f t="shared" si="55"/>
        <v>3217.04</v>
      </c>
      <c r="AC368">
        <f t="shared" si="56"/>
        <v>0.505</v>
      </c>
      <c r="AD368">
        <f t="shared" si="57"/>
        <v>5</v>
      </c>
      <c r="AE368">
        <f t="shared" si="58"/>
        <v>2024</v>
      </c>
      <c r="AF368" t="str">
        <f t="shared" si="59"/>
        <v>INVALID</v>
      </c>
    </row>
    <row r="369" spans="1:32">
      <c r="A369" t="s">
        <v>2077</v>
      </c>
      <c r="B369" s="10">
        <v>45633</v>
      </c>
      <c r="C369" s="10">
        <v>45636</v>
      </c>
      <c r="D369">
        <f t="shared" si="50"/>
        <v>3</v>
      </c>
      <c r="E369" t="str">
        <f t="shared" si="51"/>
        <v>OK</v>
      </c>
      <c r="F369" t="s">
        <v>2078</v>
      </c>
      <c r="G369" t="s">
        <v>35</v>
      </c>
      <c r="H369" t="s">
        <v>94</v>
      </c>
      <c r="I369" t="s">
        <v>53</v>
      </c>
      <c r="J369" t="s">
        <v>54</v>
      </c>
      <c r="K369" t="s">
        <v>55</v>
      </c>
      <c r="L369" t="s">
        <v>73</v>
      </c>
      <c r="M369" t="s">
        <v>74</v>
      </c>
      <c r="N369" t="s">
        <v>2079</v>
      </c>
      <c r="O369" t="s">
        <v>58</v>
      </c>
      <c r="P369">
        <v>1</v>
      </c>
      <c r="Q369">
        <v>1908.83</v>
      </c>
      <c r="R369">
        <v>0.2</v>
      </c>
      <c r="S369" t="str">
        <f t="shared" si="52"/>
        <v>OK</v>
      </c>
      <c r="T369">
        <v>1527.06</v>
      </c>
      <c r="U369">
        <v>1055.8900000000001</v>
      </c>
      <c r="V369">
        <v>471.17</v>
      </c>
      <c r="W369" t="s">
        <v>31</v>
      </c>
      <c r="X369" t="s">
        <v>32</v>
      </c>
      <c r="Y369" t="str">
        <f>IF(COUNTIF($A$2:$A$901,A369)&gt;1,
  IF(COUNTIF($A$2:A369,A369)=1,
    " ORIGINAL",
    "CONFLICTING DUPLICATE - REVIEW"),
"OK")</f>
        <v>OK</v>
      </c>
      <c r="Z369">
        <f t="shared" si="53"/>
        <v>0.2</v>
      </c>
      <c r="AA369">
        <f t="shared" si="54"/>
        <v>1527.06</v>
      </c>
      <c r="AB369">
        <f t="shared" si="55"/>
        <v>471.17</v>
      </c>
      <c r="AC369">
        <f t="shared" si="56"/>
        <v>0.3085</v>
      </c>
      <c r="AD369">
        <f t="shared" si="57"/>
        <v>12</v>
      </c>
      <c r="AE369">
        <f t="shared" si="58"/>
        <v>2024</v>
      </c>
      <c r="AF369" t="str">
        <f t="shared" si="59"/>
        <v>CLEAN</v>
      </c>
    </row>
    <row r="370" spans="1:32">
      <c r="A370" t="s">
        <v>2083</v>
      </c>
      <c r="B370" s="10">
        <v>45464</v>
      </c>
      <c r="C370" s="10">
        <v>45469</v>
      </c>
      <c r="D370">
        <f t="shared" si="50"/>
        <v>5</v>
      </c>
      <c r="E370" t="str">
        <f t="shared" si="51"/>
        <v>OK</v>
      </c>
      <c r="F370" t="s">
        <v>2084</v>
      </c>
      <c r="G370" t="s">
        <v>140</v>
      </c>
      <c r="H370" t="s">
        <v>36</v>
      </c>
      <c r="I370" t="s">
        <v>24</v>
      </c>
      <c r="J370" t="s">
        <v>121</v>
      </c>
      <c r="K370" t="s">
        <v>122</v>
      </c>
      <c r="L370" t="s">
        <v>73</v>
      </c>
      <c r="M370" t="s">
        <v>79</v>
      </c>
      <c r="N370" t="s">
        <v>2085</v>
      </c>
      <c r="O370" t="s">
        <v>43</v>
      </c>
      <c r="P370">
        <v>1</v>
      </c>
      <c r="Q370">
        <v>279.83</v>
      </c>
      <c r="R370">
        <v>0.05</v>
      </c>
      <c r="S370" t="str">
        <f t="shared" si="52"/>
        <v>OK</v>
      </c>
      <c r="T370">
        <v>265.83999999999997</v>
      </c>
      <c r="U370">
        <v>223.49</v>
      </c>
      <c r="V370">
        <v>42.35</v>
      </c>
      <c r="W370" t="s">
        <v>31</v>
      </c>
      <c r="X370" t="s">
        <v>32</v>
      </c>
      <c r="Y370" t="str">
        <f>IF(COUNTIF($A$2:$A$901,A370)&gt;1,
  IF(COUNTIF($A$2:A370,A370)=1,
    " ORIGINAL",
    "CONFLICTING DUPLICATE - REVIEW"),
"OK")</f>
        <v>OK</v>
      </c>
      <c r="Z370">
        <f t="shared" si="53"/>
        <v>0.05</v>
      </c>
      <c r="AA370">
        <f t="shared" si="54"/>
        <v>265.83999999999997</v>
      </c>
      <c r="AB370">
        <f t="shared" si="55"/>
        <v>42.35</v>
      </c>
      <c r="AC370">
        <f t="shared" si="56"/>
        <v>0.1593</v>
      </c>
      <c r="AD370">
        <f t="shared" si="57"/>
        <v>6</v>
      </c>
      <c r="AE370">
        <f t="shared" si="58"/>
        <v>2024</v>
      </c>
      <c r="AF370" t="str">
        <f t="shared" si="59"/>
        <v>CLEAN</v>
      </c>
    </row>
    <row r="371" spans="1:32">
      <c r="A371" t="s">
        <v>2089</v>
      </c>
      <c r="B371" s="10">
        <v>45617</v>
      </c>
      <c r="C371" s="10">
        <v>45619</v>
      </c>
      <c r="D371">
        <f t="shared" si="50"/>
        <v>2</v>
      </c>
      <c r="E371" t="str">
        <f t="shared" si="51"/>
        <v>OK</v>
      </c>
      <c r="F371" t="s">
        <v>2090</v>
      </c>
      <c r="G371" t="s">
        <v>35</v>
      </c>
      <c r="H371" t="s">
        <v>89</v>
      </c>
      <c r="I371" t="s">
        <v>62</v>
      </c>
      <c r="J371" t="s">
        <v>179</v>
      </c>
      <c r="K371" t="s">
        <v>180</v>
      </c>
      <c r="L371" t="s">
        <v>27</v>
      </c>
      <c r="M371" t="s">
        <v>28</v>
      </c>
      <c r="N371" t="s">
        <v>2091</v>
      </c>
      <c r="O371" t="s">
        <v>30</v>
      </c>
      <c r="P371">
        <v>5</v>
      </c>
      <c r="Q371">
        <v>600.46</v>
      </c>
      <c r="R371">
        <v>0.2</v>
      </c>
      <c r="S371" t="str">
        <f t="shared" si="52"/>
        <v>OK</v>
      </c>
      <c r="T371">
        <v>2401.84</v>
      </c>
      <c r="U371">
        <v>1873.11</v>
      </c>
      <c r="V371">
        <v>528.73</v>
      </c>
      <c r="W371" t="s">
        <v>31</v>
      </c>
      <c r="X371" t="s">
        <v>32</v>
      </c>
      <c r="Y371" t="str">
        <f>IF(COUNTIF($A$2:$A$901,A371)&gt;1,
  IF(COUNTIF($A$2:A371,A371)=1,
    " ORIGINAL",
    "CONFLICTING DUPLICATE - REVIEW"),
"OK")</f>
        <v>OK</v>
      </c>
      <c r="Z371">
        <f t="shared" si="53"/>
        <v>0.2</v>
      </c>
      <c r="AA371">
        <f t="shared" si="54"/>
        <v>2401.84</v>
      </c>
      <c r="AB371">
        <f t="shared" si="55"/>
        <v>528.73</v>
      </c>
      <c r="AC371">
        <f t="shared" si="56"/>
        <v>0.22009999999999999</v>
      </c>
      <c r="AD371">
        <f t="shared" si="57"/>
        <v>11</v>
      </c>
      <c r="AE371">
        <f t="shared" si="58"/>
        <v>2024</v>
      </c>
      <c r="AF371" t="str">
        <f t="shared" si="59"/>
        <v>CLEAN</v>
      </c>
    </row>
    <row r="372" spans="1:32">
      <c r="A372" t="s">
        <v>2092</v>
      </c>
      <c r="B372" s="10">
        <v>45375</v>
      </c>
      <c r="C372" s="10">
        <v>45383</v>
      </c>
      <c r="D372">
        <f t="shared" si="50"/>
        <v>8</v>
      </c>
      <c r="E372" t="str">
        <f t="shared" si="51"/>
        <v>OK</v>
      </c>
      <c r="F372" t="s">
        <v>2093</v>
      </c>
      <c r="G372" t="s">
        <v>61</v>
      </c>
      <c r="H372" t="s">
        <v>94</v>
      </c>
      <c r="I372" t="s">
        <v>62</v>
      </c>
      <c r="J372" t="s">
        <v>63</v>
      </c>
      <c r="K372" t="s">
        <v>64</v>
      </c>
      <c r="L372" t="s">
        <v>40</v>
      </c>
      <c r="M372" t="s">
        <v>41</v>
      </c>
      <c r="N372" t="s">
        <v>2094</v>
      </c>
      <c r="O372" t="s">
        <v>30</v>
      </c>
      <c r="P372">
        <v>4</v>
      </c>
      <c r="Q372">
        <v>1700.72</v>
      </c>
      <c r="R372">
        <v>0.25</v>
      </c>
      <c r="S372" t="str">
        <f t="shared" si="52"/>
        <v>OK</v>
      </c>
      <c r="T372">
        <v>5102.16</v>
      </c>
      <c r="U372">
        <v>3226.45</v>
      </c>
      <c r="V372">
        <v>1875.71</v>
      </c>
      <c r="W372" t="s">
        <v>31</v>
      </c>
      <c r="X372" t="s">
        <v>32</v>
      </c>
      <c r="Y372" t="str">
        <f>IF(COUNTIF($A$2:$A$901,A372)&gt;1,
  IF(COUNTIF($A$2:A372,A372)=1,
    " ORIGINAL",
    "CONFLICTING DUPLICATE - REVIEW"),
"OK")</f>
        <v>OK</v>
      </c>
      <c r="Z372">
        <f t="shared" si="53"/>
        <v>0.25</v>
      </c>
      <c r="AA372">
        <f t="shared" si="54"/>
        <v>5102.16</v>
      </c>
      <c r="AB372">
        <f t="shared" si="55"/>
        <v>1875.71</v>
      </c>
      <c r="AC372">
        <f t="shared" si="56"/>
        <v>0.36759999999999998</v>
      </c>
      <c r="AD372">
        <f t="shared" si="57"/>
        <v>3</v>
      </c>
      <c r="AE372">
        <f t="shared" si="58"/>
        <v>2024</v>
      </c>
      <c r="AF372" t="str">
        <f t="shared" si="59"/>
        <v>CLEAN</v>
      </c>
    </row>
    <row r="373" spans="1:32">
      <c r="A373" t="s">
        <v>2097</v>
      </c>
      <c r="B373" s="10">
        <v>45373</v>
      </c>
      <c r="C373" s="10">
        <v>45378</v>
      </c>
      <c r="D373">
        <f t="shared" si="50"/>
        <v>5</v>
      </c>
      <c r="E373" t="str">
        <f t="shared" si="51"/>
        <v>OK</v>
      </c>
      <c r="F373" t="s">
        <v>2098</v>
      </c>
      <c r="G373" t="s">
        <v>88</v>
      </c>
      <c r="H373" t="s">
        <v>94</v>
      </c>
      <c r="I373" t="s">
        <v>62</v>
      </c>
      <c r="J373" t="s">
        <v>189</v>
      </c>
      <c r="K373" t="s">
        <v>190</v>
      </c>
      <c r="L373" t="s">
        <v>73</v>
      </c>
      <c r="M373" t="s">
        <v>79</v>
      </c>
      <c r="N373" t="s">
        <v>2099</v>
      </c>
      <c r="O373" t="s">
        <v>30</v>
      </c>
      <c r="P373">
        <v>9</v>
      </c>
      <c r="Q373">
        <v>3649.51</v>
      </c>
      <c r="R373">
        <v>0.05</v>
      </c>
      <c r="S373" t="str">
        <f t="shared" si="52"/>
        <v>OK</v>
      </c>
      <c r="T373">
        <v>31203.31</v>
      </c>
      <c r="U373">
        <v>17738.13</v>
      </c>
      <c r="V373">
        <v>13465.18</v>
      </c>
      <c r="W373" t="s">
        <v>31</v>
      </c>
      <c r="X373" t="s">
        <v>32</v>
      </c>
      <c r="Y373" t="str">
        <f>IF(COUNTIF($A$2:$A$901,A373)&gt;1,
  IF(COUNTIF($A$2:A373,A373)=1,
    " ORIGINAL",
    "CONFLICTING DUPLICATE - REVIEW"),
"OK")</f>
        <v>OK</v>
      </c>
      <c r="Z373">
        <f t="shared" si="53"/>
        <v>0.05</v>
      </c>
      <c r="AA373">
        <f t="shared" si="54"/>
        <v>31203.31</v>
      </c>
      <c r="AB373">
        <f t="shared" si="55"/>
        <v>13465.18</v>
      </c>
      <c r="AC373">
        <f t="shared" si="56"/>
        <v>0.43149999999999999</v>
      </c>
      <c r="AD373">
        <f t="shared" si="57"/>
        <v>3</v>
      </c>
      <c r="AE373">
        <f t="shared" si="58"/>
        <v>2024</v>
      </c>
      <c r="AF373" t="str">
        <f t="shared" si="59"/>
        <v>CLEAN</v>
      </c>
    </row>
    <row r="374" spans="1:32">
      <c r="A374" t="s">
        <v>2100</v>
      </c>
      <c r="B374" s="10">
        <v>45539</v>
      </c>
      <c r="C374" s="10">
        <v>45540</v>
      </c>
      <c r="D374">
        <f t="shared" si="50"/>
        <v>1</v>
      </c>
      <c r="E374" t="str">
        <f t="shared" si="51"/>
        <v>OK</v>
      </c>
      <c r="F374" t="s">
        <v>2101</v>
      </c>
      <c r="G374" t="s">
        <v>88</v>
      </c>
      <c r="H374" t="s">
        <v>89</v>
      </c>
      <c r="I374" t="s">
        <v>62</v>
      </c>
      <c r="J374" t="s">
        <v>71</v>
      </c>
      <c r="K374" t="s">
        <v>72</v>
      </c>
      <c r="L374" t="s">
        <v>40</v>
      </c>
      <c r="M374" t="s">
        <v>65</v>
      </c>
      <c r="N374" t="s">
        <v>2102</v>
      </c>
      <c r="O374" t="s">
        <v>58</v>
      </c>
      <c r="P374">
        <v>5</v>
      </c>
      <c r="Q374">
        <v>2528.5300000000002</v>
      </c>
      <c r="R374">
        <v>0.05</v>
      </c>
      <c r="S374" t="str">
        <f t="shared" si="52"/>
        <v>OK</v>
      </c>
      <c r="T374">
        <v>12010.52</v>
      </c>
      <c r="U374">
        <v>7864.61</v>
      </c>
      <c r="V374">
        <v>4145.91</v>
      </c>
      <c r="W374" t="s">
        <v>31</v>
      </c>
      <c r="X374" t="s">
        <v>102</v>
      </c>
      <c r="Y374" t="str">
        <f>IF(COUNTIF($A$2:$A$901,A374)&gt;1,
  IF(COUNTIF($A$2:A374,A374)=1,
    " ORIGINAL",
    "CONFLICTING DUPLICATE - REVIEW"),
"OK")</f>
        <v>OK</v>
      </c>
      <c r="Z374">
        <f t="shared" si="53"/>
        <v>0.05</v>
      </c>
      <c r="AA374">
        <f t="shared" si="54"/>
        <v>12010.52</v>
      </c>
      <c r="AB374">
        <f t="shared" si="55"/>
        <v>4145.91</v>
      </c>
      <c r="AC374">
        <f t="shared" si="56"/>
        <v>0.34520000000000001</v>
      </c>
      <c r="AD374">
        <f t="shared" si="57"/>
        <v>9</v>
      </c>
      <c r="AE374">
        <f t="shared" si="58"/>
        <v>2024</v>
      </c>
      <c r="AF374" t="str">
        <f t="shared" si="59"/>
        <v>CLEAN</v>
      </c>
    </row>
    <row r="375" spans="1:32">
      <c r="A375" t="s">
        <v>2106</v>
      </c>
      <c r="B375" s="10">
        <v>45430</v>
      </c>
      <c r="C375" s="10">
        <v>45433</v>
      </c>
      <c r="D375">
        <f t="shared" si="50"/>
        <v>3</v>
      </c>
      <c r="E375" t="str">
        <f t="shared" si="51"/>
        <v>OK</v>
      </c>
      <c r="F375" t="s">
        <v>2107</v>
      </c>
      <c r="G375" t="s">
        <v>70</v>
      </c>
      <c r="H375" t="s">
        <v>89</v>
      </c>
      <c r="I375" t="s">
        <v>37</v>
      </c>
      <c r="J375" t="s">
        <v>227</v>
      </c>
      <c r="K375" t="s">
        <v>228</v>
      </c>
      <c r="L375" t="s">
        <v>73</v>
      </c>
      <c r="M375" t="s">
        <v>74</v>
      </c>
      <c r="N375" t="s">
        <v>2108</v>
      </c>
      <c r="O375" t="s">
        <v>30</v>
      </c>
      <c r="P375">
        <v>1</v>
      </c>
      <c r="Q375">
        <v>1033.71</v>
      </c>
      <c r="R375">
        <v>0</v>
      </c>
      <c r="S375" t="str">
        <f t="shared" si="52"/>
        <v>OK</v>
      </c>
      <c r="T375">
        <v>1033.71</v>
      </c>
      <c r="U375">
        <v>630.82000000000005</v>
      </c>
      <c r="V375">
        <v>402.89</v>
      </c>
      <c r="W375" t="s">
        <v>110</v>
      </c>
      <c r="X375" t="s">
        <v>102</v>
      </c>
      <c r="Y375" t="str">
        <f>IF(COUNTIF($A$2:$A$901,A375)&gt;1,
  IF(COUNTIF($A$2:A375,A375)=1,
    " ORIGINAL",
    "CONFLICTING DUPLICATE - REVIEW"),
"OK")</f>
        <v>OK</v>
      </c>
      <c r="Z375">
        <f t="shared" si="53"/>
        <v>0</v>
      </c>
      <c r="AA375">
        <f t="shared" si="54"/>
        <v>1033.71</v>
      </c>
      <c r="AB375">
        <f t="shared" si="55"/>
        <v>402.89</v>
      </c>
      <c r="AC375">
        <f t="shared" si="56"/>
        <v>0.38979999999999998</v>
      </c>
      <c r="AD375">
        <f t="shared" si="57"/>
        <v>5</v>
      </c>
      <c r="AE375">
        <f t="shared" si="58"/>
        <v>2024</v>
      </c>
      <c r="AF375" t="str">
        <f t="shared" si="59"/>
        <v>CLEAN</v>
      </c>
    </row>
    <row r="376" spans="1:32">
      <c r="A376" t="s">
        <v>2114</v>
      </c>
      <c r="B376" s="10">
        <v>45465</v>
      </c>
      <c r="C376" s="10">
        <v>45470</v>
      </c>
      <c r="D376">
        <f t="shared" si="50"/>
        <v>5</v>
      </c>
      <c r="E376" t="str">
        <f t="shared" si="51"/>
        <v>OK</v>
      </c>
      <c r="F376" t="s">
        <v>21</v>
      </c>
      <c r="G376" t="s">
        <v>46</v>
      </c>
      <c r="H376" t="s">
        <v>94</v>
      </c>
      <c r="I376" t="s">
        <v>53</v>
      </c>
      <c r="J376" t="s">
        <v>174</v>
      </c>
      <c r="K376" t="s">
        <v>175</v>
      </c>
      <c r="L376" t="s">
        <v>40</v>
      </c>
      <c r="M376" t="s">
        <v>65</v>
      </c>
      <c r="N376" t="s">
        <v>2115</v>
      </c>
      <c r="O376" t="s">
        <v>43</v>
      </c>
      <c r="P376">
        <v>7</v>
      </c>
      <c r="Q376">
        <v>2623.48</v>
      </c>
      <c r="R376">
        <v>0</v>
      </c>
      <c r="S376" t="str">
        <f t="shared" si="52"/>
        <v>OK</v>
      </c>
      <c r="T376">
        <v>18364.36</v>
      </c>
      <c r="U376">
        <v>15445.81</v>
      </c>
      <c r="V376">
        <v>2918.55</v>
      </c>
      <c r="W376" t="s">
        <v>31</v>
      </c>
      <c r="X376" t="s">
        <v>32</v>
      </c>
      <c r="Y376" t="str">
        <f>IF(COUNTIF($A$2:$A$901,A376)&gt;1,
  IF(COUNTIF($A$2:A376,A376)=1,
    " ORIGINAL",
    "CONFLICTING DUPLICATE - REVIEW"),
"OK")</f>
        <v>OK</v>
      </c>
      <c r="Z376">
        <f t="shared" si="53"/>
        <v>0</v>
      </c>
      <c r="AA376">
        <f t="shared" si="54"/>
        <v>18364.36</v>
      </c>
      <c r="AB376">
        <f t="shared" si="55"/>
        <v>2918.55</v>
      </c>
      <c r="AC376">
        <f t="shared" si="56"/>
        <v>0.15890000000000001</v>
      </c>
      <c r="AD376">
        <f t="shared" si="57"/>
        <v>6</v>
      </c>
      <c r="AE376">
        <f t="shared" si="58"/>
        <v>2024</v>
      </c>
      <c r="AF376" t="str">
        <f t="shared" si="59"/>
        <v>CLEAN</v>
      </c>
    </row>
    <row r="377" spans="1:32">
      <c r="A377" t="s">
        <v>2116</v>
      </c>
      <c r="B377" s="10">
        <v>45620</v>
      </c>
      <c r="C377" s="10">
        <v>45627</v>
      </c>
      <c r="D377">
        <f t="shared" si="50"/>
        <v>7</v>
      </c>
      <c r="E377" t="str">
        <f t="shared" si="51"/>
        <v>OK</v>
      </c>
      <c r="F377" t="s">
        <v>2117</v>
      </c>
      <c r="G377" t="s">
        <v>263</v>
      </c>
      <c r="H377" t="s">
        <v>89</v>
      </c>
      <c r="I377" t="s">
        <v>53</v>
      </c>
      <c r="J377" t="s">
        <v>174</v>
      </c>
      <c r="K377" t="s">
        <v>175</v>
      </c>
      <c r="L377" t="s">
        <v>40</v>
      </c>
      <c r="M377" t="s">
        <v>41</v>
      </c>
      <c r="N377" t="s">
        <v>2118</v>
      </c>
      <c r="O377" t="s">
        <v>30</v>
      </c>
      <c r="P377">
        <v>9</v>
      </c>
      <c r="Q377">
        <v>2763.61</v>
      </c>
      <c r="R377">
        <v>0.15</v>
      </c>
      <c r="S377" t="str">
        <f t="shared" si="52"/>
        <v>OK</v>
      </c>
      <c r="T377">
        <v>21141.62</v>
      </c>
      <c r="U377">
        <v>11676.33</v>
      </c>
      <c r="V377">
        <v>9465.2900000000009</v>
      </c>
      <c r="W377" t="s">
        <v>31</v>
      </c>
      <c r="X377" t="s">
        <v>32</v>
      </c>
      <c r="Y377" t="str">
        <f>IF(COUNTIF($A$2:$A$901,A377)&gt;1,
  IF(COUNTIF($A$2:A377,A377)=1,
    " ORIGINAL",
    "CONFLICTING DUPLICATE - REVIEW"),
"OK")</f>
        <v>OK</v>
      </c>
      <c r="Z377">
        <f t="shared" si="53"/>
        <v>0.15</v>
      </c>
      <c r="AA377">
        <f t="shared" si="54"/>
        <v>21141.62</v>
      </c>
      <c r="AB377">
        <f t="shared" si="55"/>
        <v>9465.2900000000009</v>
      </c>
      <c r="AC377">
        <f t="shared" si="56"/>
        <v>0.44769999999999999</v>
      </c>
      <c r="AD377">
        <f t="shared" si="57"/>
        <v>11</v>
      </c>
      <c r="AE377">
        <f t="shared" si="58"/>
        <v>2024</v>
      </c>
      <c r="AF377" t="str">
        <f t="shared" si="59"/>
        <v>CLEAN</v>
      </c>
    </row>
    <row r="378" spans="1:32">
      <c r="A378" t="s">
        <v>2122</v>
      </c>
      <c r="B378" s="10">
        <v>45441</v>
      </c>
      <c r="C378" s="10">
        <v>45448</v>
      </c>
      <c r="D378">
        <f t="shared" si="50"/>
        <v>7</v>
      </c>
      <c r="E378" t="str">
        <f t="shared" si="51"/>
        <v>OK</v>
      </c>
      <c r="F378" t="s">
        <v>2123</v>
      </c>
      <c r="G378" t="s">
        <v>263</v>
      </c>
      <c r="H378" t="s">
        <v>89</v>
      </c>
      <c r="I378" t="s">
        <v>53</v>
      </c>
      <c r="J378" t="s">
        <v>246</v>
      </c>
      <c r="K378" t="s">
        <v>247</v>
      </c>
      <c r="L378" t="s">
        <v>73</v>
      </c>
      <c r="M378" t="s">
        <v>74</v>
      </c>
      <c r="N378" t="s">
        <v>2124</v>
      </c>
      <c r="O378" t="s">
        <v>49</v>
      </c>
      <c r="P378">
        <v>4</v>
      </c>
      <c r="Q378">
        <v>3700.24</v>
      </c>
      <c r="R378">
        <v>0</v>
      </c>
      <c r="S378" t="str">
        <f t="shared" si="52"/>
        <v>OK</v>
      </c>
      <c r="T378">
        <v>14800.96</v>
      </c>
      <c r="U378">
        <v>12048.39</v>
      </c>
      <c r="V378">
        <v>2752.57</v>
      </c>
      <c r="W378" t="s">
        <v>31</v>
      </c>
      <c r="X378" t="s">
        <v>32</v>
      </c>
      <c r="Y378" t="str">
        <f>IF(COUNTIF($A$2:$A$901,A378)&gt;1,
  IF(COUNTIF($A$2:A378,A378)=1,
    " ORIGINAL",
    "CONFLICTING DUPLICATE - REVIEW"),
"OK")</f>
        <v>OK</v>
      </c>
      <c r="Z378">
        <f t="shared" si="53"/>
        <v>0</v>
      </c>
      <c r="AA378">
        <f t="shared" si="54"/>
        <v>14800.96</v>
      </c>
      <c r="AB378">
        <f t="shared" si="55"/>
        <v>2752.57</v>
      </c>
      <c r="AC378">
        <f t="shared" si="56"/>
        <v>0.186</v>
      </c>
      <c r="AD378">
        <f t="shared" si="57"/>
        <v>5</v>
      </c>
      <c r="AE378">
        <f t="shared" si="58"/>
        <v>2024</v>
      </c>
      <c r="AF378" t="str">
        <f t="shared" si="59"/>
        <v>CLEAN</v>
      </c>
    </row>
    <row r="379" spans="1:32">
      <c r="A379" t="s">
        <v>2125</v>
      </c>
      <c r="B379" s="10">
        <v>45477</v>
      </c>
      <c r="C379" s="10">
        <v>45483</v>
      </c>
      <c r="D379">
        <f t="shared" si="50"/>
        <v>6</v>
      </c>
      <c r="E379" t="str">
        <f t="shared" si="51"/>
        <v>OK</v>
      </c>
      <c r="F379" t="s">
        <v>2126</v>
      </c>
      <c r="G379" t="s">
        <v>70</v>
      </c>
      <c r="H379" t="s">
        <v>89</v>
      </c>
      <c r="I379" t="s">
        <v>24</v>
      </c>
      <c r="J379" t="s">
        <v>349</v>
      </c>
      <c r="K379" t="s">
        <v>350</v>
      </c>
      <c r="L379" t="s">
        <v>40</v>
      </c>
      <c r="M379" t="s">
        <v>41</v>
      </c>
      <c r="N379" t="s">
        <v>2127</v>
      </c>
      <c r="O379" t="s">
        <v>30</v>
      </c>
      <c r="P379">
        <v>5</v>
      </c>
      <c r="Q379">
        <v>1200.27</v>
      </c>
      <c r="R379">
        <v>0</v>
      </c>
      <c r="S379" t="str">
        <f t="shared" si="52"/>
        <v>OK</v>
      </c>
      <c r="T379">
        <v>6001.35</v>
      </c>
      <c r="U379">
        <v>4182.99</v>
      </c>
      <c r="V379">
        <v>1818.36</v>
      </c>
      <c r="W379" t="s">
        <v>31</v>
      </c>
      <c r="X379" t="s">
        <v>67</v>
      </c>
      <c r="Y379" t="str">
        <f>IF(COUNTIF($A$2:$A$901,A379)&gt;1,
  IF(COUNTIF($A$2:A379,A379)=1,
    " ORIGINAL",
    "CONFLICTING DUPLICATE - REVIEW"),
"OK")</f>
        <v>OK</v>
      </c>
      <c r="Z379">
        <f t="shared" si="53"/>
        <v>0</v>
      </c>
      <c r="AA379">
        <f t="shared" si="54"/>
        <v>6001.35</v>
      </c>
      <c r="AB379">
        <f t="shared" si="55"/>
        <v>1818.36</v>
      </c>
      <c r="AC379">
        <f t="shared" si="56"/>
        <v>0.30299999999999999</v>
      </c>
      <c r="AD379">
        <f t="shared" si="57"/>
        <v>7</v>
      </c>
      <c r="AE379">
        <f t="shared" si="58"/>
        <v>2024</v>
      </c>
      <c r="AF379" t="str">
        <f t="shared" si="59"/>
        <v>CLEAN</v>
      </c>
    </row>
    <row r="380" spans="1:32">
      <c r="A380" t="s">
        <v>2139</v>
      </c>
      <c r="B380" s="10">
        <v>45376</v>
      </c>
      <c r="C380" s="10">
        <v>45384</v>
      </c>
      <c r="D380">
        <f t="shared" si="50"/>
        <v>8</v>
      </c>
      <c r="E380" t="str">
        <f t="shared" si="51"/>
        <v>OK</v>
      </c>
      <c r="F380" t="s">
        <v>2140</v>
      </c>
      <c r="G380" t="s">
        <v>131</v>
      </c>
      <c r="H380" t="s">
        <v>94</v>
      </c>
      <c r="I380" t="s">
        <v>53</v>
      </c>
      <c r="J380" t="s">
        <v>246</v>
      </c>
      <c r="K380" t="s">
        <v>247</v>
      </c>
      <c r="L380" t="s">
        <v>73</v>
      </c>
      <c r="M380" t="s">
        <v>79</v>
      </c>
      <c r="N380" t="s">
        <v>2141</v>
      </c>
      <c r="O380" t="s">
        <v>58</v>
      </c>
      <c r="P380">
        <v>2</v>
      </c>
      <c r="Q380">
        <v>2349.13</v>
      </c>
      <c r="R380">
        <v>0</v>
      </c>
      <c r="S380" t="str">
        <f t="shared" si="52"/>
        <v>OK</v>
      </c>
      <c r="T380">
        <v>4698.26</v>
      </c>
      <c r="U380">
        <v>2654.92</v>
      </c>
      <c r="V380">
        <v>2043.34</v>
      </c>
      <c r="W380" t="s">
        <v>31</v>
      </c>
      <c r="X380" t="s">
        <v>32</v>
      </c>
      <c r="Y380" t="str">
        <f>IF(COUNTIF($A$2:$A$901,A380)&gt;1,
  IF(COUNTIF($A$2:A380,A380)=1,
    " ORIGINAL",
    "CONFLICTING DUPLICATE - REVIEW"),
"OK")</f>
        <v>OK</v>
      </c>
      <c r="Z380">
        <f t="shared" si="53"/>
        <v>0</v>
      </c>
      <c r="AA380">
        <f t="shared" si="54"/>
        <v>4698.26</v>
      </c>
      <c r="AB380">
        <f t="shared" si="55"/>
        <v>2043.34</v>
      </c>
      <c r="AC380">
        <f t="shared" si="56"/>
        <v>0.43490000000000001</v>
      </c>
      <c r="AD380">
        <f t="shared" si="57"/>
        <v>3</v>
      </c>
      <c r="AE380">
        <f t="shared" si="58"/>
        <v>2024</v>
      </c>
      <c r="AF380" t="str">
        <f t="shared" si="59"/>
        <v>CLEAN</v>
      </c>
    </row>
    <row r="381" spans="1:32">
      <c r="A381" t="s">
        <v>2148</v>
      </c>
      <c r="B381" s="10">
        <v>45422</v>
      </c>
      <c r="C381" s="10">
        <v>45571</v>
      </c>
      <c r="D381">
        <f t="shared" si="50"/>
        <v>149</v>
      </c>
      <c r="E381" t="str">
        <f t="shared" si="51"/>
        <v>OK</v>
      </c>
      <c r="F381" t="s">
        <v>2149</v>
      </c>
      <c r="G381" t="s">
        <v>140</v>
      </c>
      <c r="H381" t="s">
        <v>36</v>
      </c>
      <c r="I381" t="s">
        <v>24</v>
      </c>
      <c r="J381" t="s">
        <v>121</v>
      </c>
      <c r="K381" t="s">
        <v>122</v>
      </c>
      <c r="L381" t="s">
        <v>40</v>
      </c>
      <c r="M381" t="s">
        <v>41</v>
      </c>
      <c r="N381" t="s">
        <v>2150</v>
      </c>
      <c r="O381" t="s">
        <v>58</v>
      </c>
      <c r="P381">
        <v>9</v>
      </c>
      <c r="Q381">
        <v>489.58</v>
      </c>
      <c r="R381">
        <v>0.15</v>
      </c>
      <c r="S381" t="str">
        <f t="shared" si="52"/>
        <v>OK</v>
      </c>
      <c r="T381">
        <v>3745.29</v>
      </c>
      <c r="U381">
        <v>2302.65</v>
      </c>
      <c r="V381">
        <v>1442.64</v>
      </c>
      <c r="W381" t="s">
        <v>154</v>
      </c>
      <c r="X381" t="s">
        <v>67</v>
      </c>
      <c r="Y381" t="str">
        <f>IF(COUNTIF($A$2:$A$901,A381)&gt;1,
  IF(COUNTIF($A$2:A381,A381)=1,
    " ORIGINAL",
    "CONFLICTING DUPLICATE - REVIEW"),
"OK")</f>
        <v>OK</v>
      </c>
      <c r="Z381">
        <f t="shared" si="53"/>
        <v>0.15</v>
      </c>
      <c r="AA381">
        <f t="shared" si="54"/>
        <v>3745.29</v>
      </c>
      <c r="AB381">
        <f t="shared" si="55"/>
        <v>1442.64</v>
      </c>
      <c r="AC381">
        <f t="shared" si="56"/>
        <v>0.38519999999999999</v>
      </c>
      <c r="AD381">
        <f t="shared" si="57"/>
        <v>5</v>
      </c>
      <c r="AE381">
        <f t="shared" si="58"/>
        <v>2024</v>
      </c>
      <c r="AF381" t="str">
        <f t="shared" si="59"/>
        <v>INVALID</v>
      </c>
    </row>
    <row r="382" spans="1:32">
      <c r="A382" t="s">
        <v>2151</v>
      </c>
      <c r="B382" s="10">
        <v>45546</v>
      </c>
      <c r="C382" s="10">
        <v>45550</v>
      </c>
      <c r="D382">
        <f t="shared" si="50"/>
        <v>4</v>
      </c>
      <c r="E382" t="str">
        <f t="shared" si="51"/>
        <v>OK</v>
      </c>
      <c r="F382" t="s">
        <v>2152</v>
      </c>
      <c r="G382" t="s">
        <v>131</v>
      </c>
      <c r="H382" t="s">
        <v>89</v>
      </c>
      <c r="I382" t="s">
        <v>53</v>
      </c>
      <c r="J382" t="s">
        <v>246</v>
      </c>
      <c r="K382" t="s">
        <v>247</v>
      </c>
      <c r="L382" t="s">
        <v>27</v>
      </c>
      <c r="M382" t="s">
        <v>47</v>
      </c>
      <c r="N382" t="s">
        <v>2153</v>
      </c>
      <c r="O382" t="s">
        <v>58</v>
      </c>
      <c r="P382">
        <v>4</v>
      </c>
      <c r="Q382">
        <v>865.63</v>
      </c>
      <c r="R382">
        <v>0</v>
      </c>
      <c r="S382" t="str">
        <f t="shared" si="52"/>
        <v>OK</v>
      </c>
      <c r="T382">
        <v>3462.52</v>
      </c>
      <c r="U382">
        <v>2797.29</v>
      </c>
      <c r="V382">
        <v>665.23</v>
      </c>
      <c r="W382" t="s">
        <v>154</v>
      </c>
      <c r="X382" t="s">
        <v>102</v>
      </c>
      <c r="Y382" t="str">
        <f>IF(COUNTIF($A$2:$A$901,A382)&gt;1,
  IF(COUNTIF($A$2:A382,A382)=1,
    " ORIGINAL",
    "CONFLICTING DUPLICATE - REVIEW"),
"OK")</f>
        <v>OK</v>
      </c>
      <c r="Z382">
        <f t="shared" si="53"/>
        <v>0</v>
      </c>
      <c r="AA382">
        <f t="shared" si="54"/>
        <v>3462.52</v>
      </c>
      <c r="AB382">
        <f t="shared" si="55"/>
        <v>665.23</v>
      </c>
      <c r="AC382">
        <f t="shared" si="56"/>
        <v>0.19209999999999999</v>
      </c>
      <c r="AD382">
        <f t="shared" si="57"/>
        <v>9</v>
      </c>
      <c r="AE382">
        <f t="shared" si="58"/>
        <v>2024</v>
      </c>
      <c r="AF382" t="str">
        <f t="shared" si="59"/>
        <v>INVALID</v>
      </c>
    </row>
    <row r="383" spans="1:32">
      <c r="A383" t="s">
        <v>2154</v>
      </c>
      <c r="B383" s="10">
        <v>45641</v>
      </c>
      <c r="C383" s="10">
        <v>45642</v>
      </c>
      <c r="D383">
        <f t="shared" si="50"/>
        <v>1</v>
      </c>
      <c r="E383" t="str">
        <f t="shared" si="51"/>
        <v>OK</v>
      </c>
      <c r="F383" t="s">
        <v>2155</v>
      </c>
      <c r="G383" t="s">
        <v>140</v>
      </c>
      <c r="H383" t="s">
        <v>23</v>
      </c>
      <c r="I383" t="s">
        <v>37</v>
      </c>
      <c r="J383" t="s">
        <v>38</v>
      </c>
      <c r="K383" t="s">
        <v>39</v>
      </c>
      <c r="L383" t="s">
        <v>73</v>
      </c>
      <c r="M383" t="s">
        <v>79</v>
      </c>
      <c r="N383" t="s">
        <v>2156</v>
      </c>
      <c r="O383" t="s">
        <v>30</v>
      </c>
      <c r="P383">
        <v>6</v>
      </c>
      <c r="Q383">
        <v>1538.1</v>
      </c>
      <c r="R383">
        <v>0.05</v>
      </c>
      <c r="S383" t="str">
        <f t="shared" si="52"/>
        <v>OK</v>
      </c>
      <c r="T383">
        <v>8767.17</v>
      </c>
      <c r="U383">
        <v>5098.2</v>
      </c>
      <c r="V383">
        <v>3668.97</v>
      </c>
      <c r="W383" t="s">
        <v>31</v>
      </c>
      <c r="X383" t="s">
        <v>32</v>
      </c>
      <c r="Y383" t="str">
        <f>IF(COUNTIF($A$2:$A$901,A383)&gt;1,
  IF(COUNTIF($A$2:A383,A383)=1,
    " ORIGINAL",
    "CONFLICTING DUPLICATE - REVIEW"),
"OK")</f>
        <v>OK</v>
      </c>
      <c r="Z383">
        <f t="shared" si="53"/>
        <v>0.05</v>
      </c>
      <c r="AA383">
        <f t="shared" si="54"/>
        <v>8767.17</v>
      </c>
      <c r="AB383">
        <f t="shared" si="55"/>
        <v>3668.97</v>
      </c>
      <c r="AC383">
        <f t="shared" si="56"/>
        <v>0.41849999999999998</v>
      </c>
      <c r="AD383">
        <f t="shared" si="57"/>
        <v>12</v>
      </c>
      <c r="AE383">
        <f t="shared" si="58"/>
        <v>2024</v>
      </c>
      <c r="AF383" t="str">
        <f t="shared" si="59"/>
        <v>CLEAN</v>
      </c>
    </row>
    <row r="384" spans="1:32">
      <c r="A384" t="s">
        <v>2165</v>
      </c>
      <c r="B384" s="10">
        <v>45474</v>
      </c>
      <c r="C384" s="10">
        <v>45298</v>
      </c>
      <c r="D384">
        <f t="shared" si="50"/>
        <v>-176</v>
      </c>
      <c r="E384" t="str">
        <f t="shared" si="51"/>
        <v>INVALID</v>
      </c>
      <c r="F384" t="s">
        <v>2166</v>
      </c>
      <c r="G384" t="s">
        <v>127</v>
      </c>
      <c r="H384" t="s">
        <v>23</v>
      </c>
      <c r="I384" t="s">
        <v>62</v>
      </c>
      <c r="J384" t="s">
        <v>71</v>
      </c>
      <c r="K384" t="s">
        <v>72</v>
      </c>
      <c r="L384" t="s">
        <v>73</v>
      </c>
      <c r="M384" t="s">
        <v>273</v>
      </c>
      <c r="N384" t="s">
        <v>2167</v>
      </c>
      <c r="O384" t="s">
        <v>58</v>
      </c>
      <c r="P384">
        <v>4</v>
      </c>
      <c r="Q384">
        <v>257.39</v>
      </c>
      <c r="R384">
        <v>0</v>
      </c>
      <c r="S384" t="str">
        <f t="shared" si="52"/>
        <v>OK</v>
      </c>
      <c r="T384">
        <v>1029.56</v>
      </c>
      <c r="U384">
        <v>626.33000000000004</v>
      </c>
      <c r="V384">
        <v>403.23</v>
      </c>
      <c r="W384" t="s">
        <v>31</v>
      </c>
      <c r="X384" t="s">
        <v>32</v>
      </c>
      <c r="Y384" t="str">
        <f>IF(COUNTIF($A$2:$A$901,A384)&gt;1,
  IF(COUNTIF($A$2:A384,A384)=1,
    " ORIGINAL",
    "CONFLICTING DUPLICATE - REVIEW"),
"OK")</f>
        <v>OK</v>
      </c>
      <c r="Z384">
        <f t="shared" si="53"/>
        <v>0</v>
      </c>
      <c r="AA384">
        <f t="shared" si="54"/>
        <v>1029.56</v>
      </c>
      <c r="AB384">
        <f t="shared" si="55"/>
        <v>403.23</v>
      </c>
      <c r="AC384">
        <f t="shared" si="56"/>
        <v>0.39169999999999999</v>
      </c>
      <c r="AD384">
        <f t="shared" si="57"/>
        <v>7</v>
      </c>
      <c r="AE384">
        <f t="shared" si="58"/>
        <v>2024</v>
      </c>
      <c r="AF384" t="str">
        <f t="shared" si="59"/>
        <v>INVALID</v>
      </c>
    </row>
    <row r="385" spans="1:32">
      <c r="A385" t="s">
        <v>2174</v>
      </c>
      <c r="B385" s="10">
        <v>45549</v>
      </c>
      <c r="C385" s="10">
        <v>45549</v>
      </c>
      <c r="D385">
        <f t="shared" si="50"/>
        <v>0</v>
      </c>
      <c r="E385" t="str">
        <f t="shared" si="51"/>
        <v>OK</v>
      </c>
      <c r="F385" t="s">
        <v>2175</v>
      </c>
      <c r="G385" t="s">
        <v>35</v>
      </c>
      <c r="H385" t="s">
        <v>89</v>
      </c>
      <c r="I385" t="s">
        <v>24</v>
      </c>
      <c r="J385" t="s">
        <v>25</v>
      </c>
      <c r="K385" t="s">
        <v>26</v>
      </c>
      <c r="L385" t="s">
        <v>73</v>
      </c>
      <c r="M385" t="s">
        <v>273</v>
      </c>
      <c r="N385" t="s">
        <v>2176</v>
      </c>
      <c r="O385" t="s">
        <v>58</v>
      </c>
      <c r="P385">
        <v>8</v>
      </c>
      <c r="Q385">
        <v>4081.66</v>
      </c>
      <c r="R385">
        <v>0.15</v>
      </c>
      <c r="S385" t="str">
        <f t="shared" si="52"/>
        <v>OK</v>
      </c>
      <c r="T385">
        <v>28208.1</v>
      </c>
      <c r="U385">
        <v>23751.91</v>
      </c>
      <c r="V385">
        <v>4003.38</v>
      </c>
      <c r="W385" t="s">
        <v>31</v>
      </c>
      <c r="X385" t="s">
        <v>102</v>
      </c>
      <c r="Y385" t="str">
        <f>IF(COUNTIF($A$2:$A$901,A385)&gt;1,
  IF(COUNTIF($A$2:A385,A385)=1,
    " ORIGINAL",
    "CONFLICTING DUPLICATE - REVIEW"),
"OK")</f>
        <v>OK</v>
      </c>
      <c r="Z385">
        <f t="shared" si="53"/>
        <v>0.15</v>
      </c>
      <c r="AA385">
        <f t="shared" si="54"/>
        <v>27755.29</v>
      </c>
      <c r="AB385">
        <f t="shared" si="55"/>
        <v>4003.38</v>
      </c>
      <c r="AC385">
        <f t="shared" si="56"/>
        <v>0.14419999999999999</v>
      </c>
      <c r="AD385">
        <f t="shared" si="57"/>
        <v>9</v>
      </c>
      <c r="AE385">
        <f t="shared" si="58"/>
        <v>2024</v>
      </c>
      <c r="AF385" t="str">
        <f t="shared" si="59"/>
        <v>CLEAN</v>
      </c>
    </row>
    <row r="386" spans="1:32">
      <c r="A386" t="s">
        <v>2177</v>
      </c>
      <c r="B386" s="10">
        <v>45454</v>
      </c>
      <c r="C386" s="10">
        <v>45454</v>
      </c>
      <c r="D386">
        <f t="shared" ref="D386:D449" si="60">C386-B386</f>
        <v>0</v>
      </c>
      <c r="E386" t="str">
        <f t="shared" ref="E386:E449" si="61">IF(D386&lt;0,"INVALID","OK")</f>
        <v>OK</v>
      </c>
      <c r="F386" t="s">
        <v>2178</v>
      </c>
      <c r="G386" t="s">
        <v>52</v>
      </c>
      <c r="H386" t="s">
        <v>36</v>
      </c>
      <c r="I386" t="s">
        <v>53</v>
      </c>
      <c r="J386" t="s">
        <v>174</v>
      </c>
      <c r="K386" t="s">
        <v>175</v>
      </c>
      <c r="L386" t="s">
        <v>40</v>
      </c>
      <c r="M386" t="s">
        <v>157</v>
      </c>
      <c r="N386" t="s">
        <v>2179</v>
      </c>
      <c r="O386" t="s">
        <v>58</v>
      </c>
      <c r="P386">
        <v>9</v>
      </c>
      <c r="Q386">
        <v>1400.11</v>
      </c>
      <c r="R386">
        <v>0.25</v>
      </c>
      <c r="S386" t="str">
        <f t="shared" si="52"/>
        <v>OK</v>
      </c>
      <c r="T386">
        <v>9450.74</v>
      </c>
      <c r="U386">
        <v>7798.56</v>
      </c>
      <c r="V386">
        <v>1652.18</v>
      </c>
      <c r="W386" t="s">
        <v>31</v>
      </c>
      <c r="X386" t="s">
        <v>32</v>
      </c>
      <c r="Y386" t="str">
        <f>IF(COUNTIF($A$2:$A$901,A386)&gt;1,
  IF(COUNTIF($A$2:A386,A386)=1,
    " ORIGINAL",
    "CONFLICTING DUPLICATE - REVIEW"),
"OK")</f>
        <v>OK</v>
      </c>
      <c r="Z386">
        <f t="shared" si="53"/>
        <v>0.25</v>
      </c>
      <c r="AA386">
        <f t="shared" si="54"/>
        <v>9450.74</v>
      </c>
      <c r="AB386">
        <f t="shared" si="55"/>
        <v>1652.18</v>
      </c>
      <c r="AC386">
        <f t="shared" si="56"/>
        <v>0.17480000000000001</v>
      </c>
      <c r="AD386">
        <f t="shared" si="57"/>
        <v>6</v>
      </c>
      <c r="AE386">
        <f t="shared" si="58"/>
        <v>2024</v>
      </c>
      <c r="AF386" t="str">
        <f t="shared" si="59"/>
        <v>CLEAN</v>
      </c>
    </row>
    <row r="387" spans="1:32">
      <c r="A387" t="s">
        <v>2180</v>
      </c>
      <c r="B387" s="10">
        <v>45553</v>
      </c>
      <c r="C387" s="10">
        <v>45556</v>
      </c>
      <c r="D387">
        <f t="shared" si="60"/>
        <v>3</v>
      </c>
      <c r="E387" t="str">
        <f t="shared" si="61"/>
        <v>OK</v>
      </c>
      <c r="F387" t="s">
        <v>2181</v>
      </c>
      <c r="G387" t="s">
        <v>78</v>
      </c>
      <c r="H387" t="s">
        <v>89</v>
      </c>
      <c r="I387" t="s">
        <v>37</v>
      </c>
      <c r="J387" t="s">
        <v>98</v>
      </c>
      <c r="K387" t="s">
        <v>99</v>
      </c>
      <c r="L387" t="s">
        <v>73</v>
      </c>
      <c r="M387" t="s">
        <v>273</v>
      </c>
      <c r="N387" t="s">
        <v>2182</v>
      </c>
      <c r="O387" t="s">
        <v>58</v>
      </c>
      <c r="P387">
        <v>3</v>
      </c>
      <c r="Q387">
        <v>3055.9</v>
      </c>
      <c r="R387">
        <v>0.15</v>
      </c>
      <c r="S387" t="str">
        <f t="shared" ref="S387:S450" si="62">IF(R387&lt;0,"INVALID-NEGATIVE",IF(R387&gt;1,"INVALID-ABOVE","OK"))</f>
        <v>OK</v>
      </c>
      <c r="T387">
        <v>7792.55</v>
      </c>
      <c r="U387">
        <v>4691.7299999999996</v>
      </c>
      <c r="V387">
        <v>3100.82</v>
      </c>
      <c r="W387" t="s">
        <v>31</v>
      </c>
      <c r="X387" t="s">
        <v>32</v>
      </c>
      <c r="Y387" t="str">
        <f>IF(COUNTIF($A$2:$A$901,A387)&gt;1,
  IF(COUNTIF($A$2:A387,A387)=1,
    " ORIGINAL",
    "CONFLICTING DUPLICATE - REVIEW"),
"OK")</f>
        <v>OK</v>
      </c>
      <c r="Z387">
        <f t="shared" ref="Z387:Z450" si="63">IF(R387&lt;0, 0,
  IF(ISNUMBER(R387), R387,
    IFERROR(VALUE(SUBSTITUTE(R387,"%",""))/100, 0)))</f>
        <v>0.15</v>
      </c>
      <c r="AA387">
        <f t="shared" ref="AA387:AA450" si="64">ROUND(P387*Q387*(1-Z387),2)</f>
        <v>7792.55</v>
      </c>
      <c r="AB387">
        <f t="shared" ref="AB387:AB450" si="65">ROUND(AA387-U387,2)</f>
        <v>3100.82</v>
      </c>
      <c r="AC387">
        <f t="shared" ref="AC387:AC450" si="66">IFERROR(ROUND(AB387/AA387,4),0)</f>
        <v>0.39789999999999998</v>
      </c>
      <c r="AD387">
        <f t="shared" ref="AD387:AD450" si="67">IFERROR(MONTH(B387),"INVALID")</f>
        <v>9</v>
      </c>
      <c r="AE387">
        <f t="shared" ref="AE387:AE450" si="68">IFERROR(YEAR(B387),"INVALID")</f>
        <v>2024</v>
      </c>
      <c r="AF387" t="str">
        <f t="shared" ref="AF387:AF450" si="69">IF(OR(R387&lt;0,NOT(ISNUMBER(R387)),D387&lt;0,W387="Failed"),"INVALID",IF(OR(I387="Unknown",O387="Unknown",R387&gt;1,AA387&lt;0),"WARNING","CLEAN"))</f>
        <v>CLEAN</v>
      </c>
    </row>
    <row r="388" spans="1:32">
      <c r="A388" t="s">
        <v>2183</v>
      </c>
      <c r="B388" s="10">
        <v>45412</v>
      </c>
      <c r="C388" s="10">
        <v>45416</v>
      </c>
      <c r="D388">
        <f t="shared" si="60"/>
        <v>4</v>
      </c>
      <c r="E388" t="str">
        <f t="shared" si="61"/>
        <v>OK</v>
      </c>
      <c r="F388" t="s">
        <v>2184</v>
      </c>
      <c r="G388" t="s">
        <v>140</v>
      </c>
      <c r="H388" t="s">
        <v>36</v>
      </c>
      <c r="I388" t="s">
        <v>62</v>
      </c>
      <c r="J388" t="s">
        <v>179</v>
      </c>
      <c r="K388" t="s">
        <v>180</v>
      </c>
      <c r="L388" t="s">
        <v>27</v>
      </c>
      <c r="M388" t="s">
        <v>47</v>
      </c>
      <c r="N388" t="s">
        <v>2185</v>
      </c>
      <c r="O388" t="s">
        <v>43</v>
      </c>
      <c r="P388">
        <v>7</v>
      </c>
      <c r="Q388">
        <v>1224.94</v>
      </c>
      <c r="R388">
        <v>0</v>
      </c>
      <c r="S388" t="str">
        <f t="shared" si="62"/>
        <v>OK</v>
      </c>
      <c r="T388">
        <v>8574.58</v>
      </c>
      <c r="U388">
        <v>6685.81</v>
      </c>
      <c r="V388">
        <v>1888.77</v>
      </c>
      <c r="W388" t="s">
        <v>31</v>
      </c>
      <c r="X388" t="s">
        <v>102</v>
      </c>
      <c r="Y388" t="str">
        <f>IF(COUNTIF($A$2:$A$901,A388)&gt;1,
  IF(COUNTIF($A$2:A388,A388)=1,
    " ORIGINAL",
    "CONFLICTING DUPLICATE - REVIEW"),
"OK")</f>
        <v>OK</v>
      </c>
      <c r="Z388">
        <f t="shared" si="63"/>
        <v>0</v>
      </c>
      <c r="AA388">
        <f t="shared" si="64"/>
        <v>8574.58</v>
      </c>
      <c r="AB388">
        <f t="shared" si="65"/>
        <v>1888.77</v>
      </c>
      <c r="AC388">
        <f t="shared" si="66"/>
        <v>0.2203</v>
      </c>
      <c r="AD388">
        <f t="shared" si="67"/>
        <v>4</v>
      </c>
      <c r="AE388">
        <f t="shared" si="68"/>
        <v>2024</v>
      </c>
      <c r="AF388" t="str">
        <f t="shared" si="69"/>
        <v>CLEAN</v>
      </c>
    </row>
    <row r="389" spans="1:32">
      <c r="A389" t="s">
        <v>2189</v>
      </c>
      <c r="B389" s="10">
        <v>45584</v>
      </c>
      <c r="C389" s="10">
        <v>45585</v>
      </c>
      <c r="D389">
        <f t="shared" si="60"/>
        <v>1</v>
      </c>
      <c r="E389" t="str">
        <f t="shared" si="61"/>
        <v>OK</v>
      </c>
      <c r="F389" t="s">
        <v>2190</v>
      </c>
      <c r="G389" t="s">
        <v>88</v>
      </c>
      <c r="H389" t="s">
        <v>89</v>
      </c>
      <c r="I389" t="s">
        <v>24</v>
      </c>
      <c r="J389" t="s">
        <v>25</v>
      </c>
      <c r="K389" t="s">
        <v>26</v>
      </c>
      <c r="L389" t="s">
        <v>40</v>
      </c>
      <c r="M389" t="s">
        <v>41</v>
      </c>
      <c r="N389" t="s">
        <v>2191</v>
      </c>
      <c r="O389" t="s">
        <v>49</v>
      </c>
      <c r="P389">
        <v>1</v>
      </c>
      <c r="Q389">
        <v>1150.03</v>
      </c>
      <c r="R389">
        <v>0.1</v>
      </c>
      <c r="S389" t="str">
        <f t="shared" si="62"/>
        <v>OK</v>
      </c>
      <c r="T389">
        <v>1035.03</v>
      </c>
      <c r="U389">
        <v>854.35</v>
      </c>
      <c r="V389">
        <v>180.68</v>
      </c>
      <c r="W389" t="s">
        <v>31</v>
      </c>
      <c r="X389" t="s">
        <v>32</v>
      </c>
      <c r="Y389" t="str">
        <f>IF(COUNTIF($A$2:$A$901,A389)&gt;1,
  IF(COUNTIF($A$2:A389,A389)=1,
    " ORIGINAL",
    "CONFLICTING DUPLICATE - REVIEW"),
"OK")</f>
        <v>OK</v>
      </c>
      <c r="Z389">
        <f t="shared" si="63"/>
        <v>0.1</v>
      </c>
      <c r="AA389">
        <f t="shared" si="64"/>
        <v>1035.03</v>
      </c>
      <c r="AB389">
        <f t="shared" si="65"/>
        <v>180.68</v>
      </c>
      <c r="AC389">
        <f t="shared" si="66"/>
        <v>0.17460000000000001</v>
      </c>
      <c r="AD389">
        <f t="shared" si="67"/>
        <v>10</v>
      </c>
      <c r="AE389">
        <f t="shared" si="68"/>
        <v>2024</v>
      </c>
      <c r="AF389" t="str">
        <f t="shared" si="69"/>
        <v>CLEAN</v>
      </c>
    </row>
    <row r="390" spans="1:32">
      <c r="A390" t="s">
        <v>2192</v>
      </c>
      <c r="B390" s="10">
        <v>45364</v>
      </c>
      <c r="C390" s="10">
        <v>45371</v>
      </c>
      <c r="D390">
        <f t="shared" si="60"/>
        <v>7</v>
      </c>
      <c r="E390" t="str">
        <f t="shared" si="61"/>
        <v>OK</v>
      </c>
      <c r="F390" t="s">
        <v>2193</v>
      </c>
      <c r="G390" t="s">
        <v>113</v>
      </c>
      <c r="H390" t="s">
        <v>94</v>
      </c>
      <c r="I390" t="s">
        <v>53</v>
      </c>
      <c r="J390" t="s">
        <v>246</v>
      </c>
      <c r="K390" t="s">
        <v>247</v>
      </c>
      <c r="L390" t="s">
        <v>40</v>
      </c>
      <c r="M390" t="s">
        <v>157</v>
      </c>
      <c r="N390" t="s">
        <v>2194</v>
      </c>
      <c r="O390" t="s">
        <v>2762</v>
      </c>
      <c r="P390">
        <v>1</v>
      </c>
      <c r="Q390">
        <v>2825.63</v>
      </c>
      <c r="R390">
        <v>0.15</v>
      </c>
      <c r="S390" t="str">
        <f t="shared" si="62"/>
        <v>OK</v>
      </c>
      <c r="T390">
        <v>2401.79</v>
      </c>
      <c r="U390">
        <v>1820.34</v>
      </c>
      <c r="V390">
        <v>581.45000000000005</v>
      </c>
      <c r="W390" t="s">
        <v>31</v>
      </c>
      <c r="X390" t="s">
        <v>32</v>
      </c>
      <c r="Y390" t="str">
        <f>IF(COUNTIF($A$2:$A$901,A390)&gt;1,
  IF(COUNTIF($A$2:A390,A390)=1,
    " ORIGINAL",
    "CONFLICTING DUPLICATE - REVIEW"),
"OK")</f>
        <v>OK</v>
      </c>
      <c r="Z390">
        <f t="shared" si="63"/>
        <v>0.15</v>
      </c>
      <c r="AA390">
        <f t="shared" si="64"/>
        <v>2401.79</v>
      </c>
      <c r="AB390">
        <f t="shared" si="65"/>
        <v>581.45000000000005</v>
      </c>
      <c r="AC390">
        <f t="shared" si="66"/>
        <v>0.24210000000000001</v>
      </c>
      <c r="AD390">
        <f t="shared" si="67"/>
        <v>3</v>
      </c>
      <c r="AE390">
        <f t="shared" si="68"/>
        <v>2024</v>
      </c>
      <c r="AF390" t="str">
        <f t="shared" si="69"/>
        <v>WARNING</v>
      </c>
    </row>
    <row r="391" spans="1:32">
      <c r="A391" t="s">
        <v>2195</v>
      </c>
      <c r="B391" s="10">
        <v>45543</v>
      </c>
      <c r="C391" s="10">
        <v>45549</v>
      </c>
      <c r="D391">
        <f t="shared" si="60"/>
        <v>6</v>
      </c>
      <c r="E391" t="str">
        <f t="shared" si="61"/>
        <v>OK</v>
      </c>
      <c r="F391" t="s">
        <v>2196</v>
      </c>
      <c r="G391" t="s">
        <v>140</v>
      </c>
      <c r="H391" t="s">
        <v>23</v>
      </c>
      <c r="I391" t="s">
        <v>24</v>
      </c>
      <c r="J391" t="s">
        <v>25</v>
      </c>
      <c r="K391" t="s">
        <v>26</v>
      </c>
      <c r="L391" t="s">
        <v>27</v>
      </c>
      <c r="M391" t="s">
        <v>152</v>
      </c>
      <c r="N391" t="s">
        <v>2197</v>
      </c>
      <c r="O391" t="s">
        <v>58</v>
      </c>
      <c r="P391">
        <v>5</v>
      </c>
      <c r="Q391">
        <v>3371.75</v>
      </c>
      <c r="R391">
        <v>0.05</v>
      </c>
      <c r="S391" t="str">
        <f t="shared" si="62"/>
        <v>OK</v>
      </c>
      <c r="T391">
        <v>16015.81</v>
      </c>
      <c r="U391">
        <v>11352.38</v>
      </c>
      <c r="V391">
        <v>4663.43</v>
      </c>
      <c r="W391" t="s">
        <v>31</v>
      </c>
      <c r="X391" t="s">
        <v>32</v>
      </c>
      <c r="Y391" t="str">
        <f>IF(COUNTIF($A$2:$A$901,A391)&gt;1,
  IF(COUNTIF($A$2:A391,A391)=1,
    " ORIGINAL",
    "CONFLICTING DUPLICATE - REVIEW"),
"OK")</f>
        <v>OK</v>
      </c>
      <c r="Z391">
        <f t="shared" si="63"/>
        <v>0.05</v>
      </c>
      <c r="AA391">
        <f t="shared" si="64"/>
        <v>16015.81</v>
      </c>
      <c r="AB391">
        <f t="shared" si="65"/>
        <v>4663.43</v>
      </c>
      <c r="AC391">
        <f t="shared" si="66"/>
        <v>0.29120000000000001</v>
      </c>
      <c r="AD391">
        <f t="shared" si="67"/>
        <v>9</v>
      </c>
      <c r="AE391">
        <f t="shared" si="68"/>
        <v>2024</v>
      </c>
      <c r="AF391" t="str">
        <f t="shared" si="69"/>
        <v>CLEAN</v>
      </c>
    </row>
    <row r="392" spans="1:32">
      <c r="A392" t="s">
        <v>2198</v>
      </c>
      <c r="B392" s="10">
        <v>45467</v>
      </c>
      <c r="C392" s="10">
        <v>45471</v>
      </c>
      <c r="D392">
        <f t="shared" si="60"/>
        <v>4</v>
      </c>
      <c r="E392" t="str">
        <f t="shared" si="61"/>
        <v>OK</v>
      </c>
      <c r="F392" t="s">
        <v>2199</v>
      </c>
      <c r="G392" t="s">
        <v>46</v>
      </c>
      <c r="H392" t="s">
        <v>36</v>
      </c>
      <c r="I392" t="s">
        <v>37</v>
      </c>
      <c r="J392" t="s">
        <v>38</v>
      </c>
      <c r="K392" t="s">
        <v>39</v>
      </c>
      <c r="L392" t="s">
        <v>27</v>
      </c>
      <c r="M392" t="s">
        <v>28</v>
      </c>
      <c r="N392" t="s">
        <v>2200</v>
      </c>
      <c r="O392" t="s">
        <v>43</v>
      </c>
      <c r="P392">
        <v>1</v>
      </c>
      <c r="Q392">
        <v>2112.75</v>
      </c>
      <c r="R392">
        <v>0.1</v>
      </c>
      <c r="S392" t="str">
        <f t="shared" si="62"/>
        <v>OK</v>
      </c>
      <c r="T392">
        <v>1901.48</v>
      </c>
      <c r="U392">
        <v>1354.28</v>
      </c>
      <c r="V392">
        <v>547.20000000000005</v>
      </c>
      <c r="W392" t="s">
        <v>31</v>
      </c>
      <c r="X392" t="s">
        <v>32</v>
      </c>
      <c r="Y392" t="str">
        <f>IF(COUNTIF($A$2:$A$901,A392)&gt;1,
  IF(COUNTIF($A$2:A392,A392)=1,
    " ORIGINAL",
    "CONFLICTING DUPLICATE - REVIEW"),
"OK")</f>
        <v>OK</v>
      </c>
      <c r="Z392">
        <f t="shared" si="63"/>
        <v>0.1</v>
      </c>
      <c r="AA392">
        <f t="shared" si="64"/>
        <v>1901.48</v>
      </c>
      <c r="AB392">
        <f t="shared" si="65"/>
        <v>547.20000000000005</v>
      </c>
      <c r="AC392">
        <f t="shared" si="66"/>
        <v>0.2878</v>
      </c>
      <c r="AD392">
        <f t="shared" si="67"/>
        <v>6</v>
      </c>
      <c r="AE392">
        <f t="shared" si="68"/>
        <v>2024</v>
      </c>
      <c r="AF392" t="str">
        <f t="shared" si="69"/>
        <v>CLEAN</v>
      </c>
    </row>
    <row r="393" spans="1:32">
      <c r="A393" t="s">
        <v>2210</v>
      </c>
      <c r="B393" s="10">
        <v>45485</v>
      </c>
      <c r="C393" s="10">
        <v>45492</v>
      </c>
      <c r="D393">
        <f t="shared" si="60"/>
        <v>7</v>
      </c>
      <c r="E393" t="str">
        <f t="shared" si="61"/>
        <v>OK</v>
      </c>
      <c r="F393" t="s">
        <v>2211</v>
      </c>
      <c r="G393" t="s">
        <v>70</v>
      </c>
      <c r="H393" t="s">
        <v>89</v>
      </c>
      <c r="I393" t="s">
        <v>24</v>
      </c>
      <c r="J393" t="s">
        <v>121</v>
      </c>
      <c r="K393" t="s">
        <v>122</v>
      </c>
      <c r="L393" t="s">
        <v>27</v>
      </c>
      <c r="M393" t="s">
        <v>47</v>
      </c>
      <c r="N393" t="s">
        <v>2212</v>
      </c>
      <c r="O393" t="s">
        <v>30</v>
      </c>
      <c r="P393">
        <v>5</v>
      </c>
      <c r="Q393">
        <v>1559.16</v>
      </c>
      <c r="R393">
        <v>0.05</v>
      </c>
      <c r="S393" t="str">
        <f t="shared" si="62"/>
        <v>OK</v>
      </c>
      <c r="T393">
        <v>7406.01</v>
      </c>
      <c r="U393">
        <v>5941.74</v>
      </c>
      <c r="V393">
        <v>1464.27</v>
      </c>
      <c r="W393" t="s">
        <v>31</v>
      </c>
      <c r="X393" t="s">
        <v>32</v>
      </c>
      <c r="Y393" t="str">
        <f>IF(COUNTIF($A$2:$A$901,A393)&gt;1,
  IF(COUNTIF($A$2:A393,A393)=1,
    " ORIGINAL",
    "CONFLICTING DUPLICATE - REVIEW"),
"OK")</f>
        <v>OK</v>
      </c>
      <c r="Z393">
        <f t="shared" si="63"/>
        <v>0.05</v>
      </c>
      <c r="AA393">
        <f t="shared" si="64"/>
        <v>7406.01</v>
      </c>
      <c r="AB393">
        <f t="shared" si="65"/>
        <v>1464.27</v>
      </c>
      <c r="AC393">
        <f t="shared" si="66"/>
        <v>0.19769999999999999</v>
      </c>
      <c r="AD393">
        <f t="shared" si="67"/>
        <v>7</v>
      </c>
      <c r="AE393">
        <f t="shared" si="68"/>
        <v>2024</v>
      </c>
      <c r="AF393" t="str">
        <f t="shared" si="69"/>
        <v>CLEAN</v>
      </c>
    </row>
    <row r="394" spans="1:32">
      <c r="A394" t="s">
        <v>2216</v>
      </c>
      <c r="B394" s="10">
        <v>45332</v>
      </c>
      <c r="C394" s="10">
        <v>45340</v>
      </c>
      <c r="D394">
        <f t="shared" si="60"/>
        <v>8</v>
      </c>
      <c r="E394" t="str">
        <f t="shared" si="61"/>
        <v>OK</v>
      </c>
      <c r="F394" t="s">
        <v>2217</v>
      </c>
      <c r="G394" t="s">
        <v>46</v>
      </c>
      <c r="H394" t="s">
        <v>94</v>
      </c>
      <c r="I394" t="s">
        <v>62</v>
      </c>
      <c r="J394" t="s">
        <v>71</v>
      </c>
      <c r="K394" t="s">
        <v>72</v>
      </c>
      <c r="L394" t="s">
        <v>40</v>
      </c>
      <c r="M394" t="s">
        <v>65</v>
      </c>
      <c r="N394" t="s">
        <v>2218</v>
      </c>
      <c r="O394" t="s">
        <v>49</v>
      </c>
      <c r="P394">
        <v>7</v>
      </c>
      <c r="Q394">
        <v>1382.86</v>
      </c>
      <c r="R394">
        <v>0</v>
      </c>
      <c r="S394" t="str">
        <f t="shared" si="62"/>
        <v>OK</v>
      </c>
      <c r="T394">
        <v>9680.02</v>
      </c>
      <c r="U394">
        <v>6876.66</v>
      </c>
      <c r="V394">
        <v>2803.36</v>
      </c>
      <c r="W394" t="s">
        <v>31</v>
      </c>
      <c r="X394" t="s">
        <v>32</v>
      </c>
      <c r="Y394" t="str">
        <f>IF(COUNTIF($A$2:$A$901,A394)&gt;1,
  IF(COUNTIF($A$2:A394,A394)=1,
    " ORIGINAL",
    "CONFLICTING DUPLICATE - REVIEW"),
"OK")</f>
        <v>OK</v>
      </c>
      <c r="Z394">
        <f t="shared" si="63"/>
        <v>0</v>
      </c>
      <c r="AA394">
        <f t="shared" si="64"/>
        <v>9680.02</v>
      </c>
      <c r="AB394">
        <f t="shared" si="65"/>
        <v>2803.36</v>
      </c>
      <c r="AC394">
        <f t="shared" si="66"/>
        <v>0.28960000000000002</v>
      </c>
      <c r="AD394">
        <f t="shared" si="67"/>
        <v>2</v>
      </c>
      <c r="AE394">
        <f t="shared" si="68"/>
        <v>2024</v>
      </c>
      <c r="AF394" t="str">
        <f t="shared" si="69"/>
        <v>CLEAN</v>
      </c>
    </row>
    <row r="395" spans="1:32">
      <c r="A395" t="s">
        <v>2233</v>
      </c>
      <c r="B395" s="10">
        <v>45541</v>
      </c>
      <c r="C395" s="10">
        <v>45544</v>
      </c>
      <c r="D395">
        <f t="shared" si="60"/>
        <v>3</v>
      </c>
      <c r="E395" t="str">
        <f t="shared" si="61"/>
        <v>OK</v>
      </c>
      <c r="F395" t="s">
        <v>2234</v>
      </c>
      <c r="G395" t="s">
        <v>35</v>
      </c>
      <c r="H395" t="s">
        <v>23</v>
      </c>
      <c r="I395" t="s">
        <v>62</v>
      </c>
      <c r="J395" t="s">
        <v>63</v>
      </c>
      <c r="K395" t="s">
        <v>64</v>
      </c>
      <c r="L395" t="s">
        <v>27</v>
      </c>
      <c r="M395" t="s">
        <v>47</v>
      </c>
      <c r="N395" t="s">
        <v>2235</v>
      </c>
      <c r="O395" t="s">
        <v>43</v>
      </c>
      <c r="P395">
        <v>3</v>
      </c>
      <c r="Q395">
        <v>1972.27</v>
      </c>
      <c r="R395">
        <v>0.2</v>
      </c>
      <c r="S395" t="str">
        <f t="shared" si="62"/>
        <v>OK</v>
      </c>
      <c r="T395">
        <v>4733.45</v>
      </c>
      <c r="U395">
        <v>3672.32</v>
      </c>
      <c r="V395">
        <v>1061.1300000000001</v>
      </c>
      <c r="W395" t="s">
        <v>31</v>
      </c>
      <c r="X395" t="s">
        <v>32</v>
      </c>
      <c r="Y395" t="str">
        <f>IF(COUNTIF($A$2:$A$901,A395)&gt;1,
  IF(COUNTIF($A$2:A395,A395)=1,
    " ORIGINAL",
    "CONFLICTING DUPLICATE - REVIEW"),
"OK")</f>
        <v>OK</v>
      </c>
      <c r="Z395">
        <f t="shared" si="63"/>
        <v>0.2</v>
      </c>
      <c r="AA395">
        <f t="shared" si="64"/>
        <v>4733.45</v>
      </c>
      <c r="AB395">
        <f t="shared" si="65"/>
        <v>1061.1300000000001</v>
      </c>
      <c r="AC395">
        <f t="shared" si="66"/>
        <v>0.22420000000000001</v>
      </c>
      <c r="AD395">
        <f t="shared" si="67"/>
        <v>9</v>
      </c>
      <c r="AE395">
        <f t="shared" si="68"/>
        <v>2024</v>
      </c>
      <c r="AF395" t="str">
        <f t="shared" si="69"/>
        <v>CLEAN</v>
      </c>
    </row>
    <row r="396" spans="1:32">
      <c r="A396" t="s">
        <v>2238</v>
      </c>
      <c r="B396" s="10">
        <v>45489</v>
      </c>
      <c r="C396" s="10">
        <v>45489</v>
      </c>
      <c r="D396">
        <f t="shared" si="60"/>
        <v>0</v>
      </c>
      <c r="E396" t="str">
        <f t="shared" si="61"/>
        <v>OK</v>
      </c>
      <c r="F396" t="s">
        <v>2239</v>
      </c>
      <c r="G396" t="s">
        <v>88</v>
      </c>
      <c r="H396" t="s">
        <v>94</v>
      </c>
      <c r="I396" t="s">
        <v>62</v>
      </c>
      <c r="J396" t="s">
        <v>71</v>
      </c>
      <c r="K396" t="s">
        <v>72</v>
      </c>
      <c r="L396" t="s">
        <v>73</v>
      </c>
      <c r="M396" t="s">
        <v>79</v>
      </c>
      <c r="N396" t="s">
        <v>2240</v>
      </c>
      <c r="O396" t="s">
        <v>43</v>
      </c>
      <c r="P396">
        <v>4</v>
      </c>
      <c r="Q396">
        <v>4479.92</v>
      </c>
      <c r="R396">
        <v>0.15</v>
      </c>
      <c r="S396" t="str">
        <f t="shared" si="62"/>
        <v>OK</v>
      </c>
      <c r="T396">
        <v>15231.73</v>
      </c>
      <c r="U396">
        <v>12451.46</v>
      </c>
      <c r="V396">
        <v>2780.27</v>
      </c>
      <c r="W396" t="s">
        <v>31</v>
      </c>
      <c r="X396" t="s">
        <v>32</v>
      </c>
      <c r="Y396" t="str">
        <f>IF(COUNTIF($A$2:$A$901,A396)&gt;1,
  IF(COUNTIF($A$2:A396,A396)=1,
    " ORIGINAL",
    "CONFLICTING DUPLICATE - REVIEW"),
"OK")</f>
        <v>OK</v>
      </c>
      <c r="Z396">
        <f t="shared" si="63"/>
        <v>0.15</v>
      </c>
      <c r="AA396">
        <f t="shared" si="64"/>
        <v>15231.73</v>
      </c>
      <c r="AB396">
        <f t="shared" si="65"/>
        <v>2780.27</v>
      </c>
      <c r="AC396">
        <f t="shared" si="66"/>
        <v>0.1825</v>
      </c>
      <c r="AD396">
        <f t="shared" si="67"/>
        <v>7</v>
      </c>
      <c r="AE396">
        <f t="shared" si="68"/>
        <v>2024</v>
      </c>
      <c r="AF396" t="str">
        <f t="shared" si="69"/>
        <v>CLEAN</v>
      </c>
    </row>
    <row r="397" spans="1:32">
      <c r="A397" t="s">
        <v>2244</v>
      </c>
      <c r="B397" s="10">
        <v>45572</v>
      </c>
      <c r="C397" s="10">
        <v>45575</v>
      </c>
      <c r="D397">
        <f t="shared" si="60"/>
        <v>3</v>
      </c>
      <c r="E397" t="str">
        <f t="shared" si="61"/>
        <v>OK</v>
      </c>
      <c r="F397" t="s">
        <v>2245</v>
      </c>
      <c r="G397" t="s">
        <v>70</v>
      </c>
      <c r="H397" t="s">
        <v>23</v>
      </c>
      <c r="I397" t="s">
        <v>37</v>
      </c>
      <c r="J397" t="s">
        <v>98</v>
      </c>
      <c r="K397" t="s">
        <v>99</v>
      </c>
      <c r="L397" t="s">
        <v>40</v>
      </c>
      <c r="M397" t="s">
        <v>65</v>
      </c>
      <c r="N397" t="s">
        <v>2246</v>
      </c>
      <c r="O397" t="s">
        <v>30</v>
      </c>
      <c r="P397">
        <v>9</v>
      </c>
      <c r="Q397">
        <v>481.51</v>
      </c>
      <c r="R397">
        <v>0</v>
      </c>
      <c r="S397" t="str">
        <f t="shared" si="62"/>
        <v>OK</v>
      </c>
      <c r="T397">
        <v>4333.59</v>
      </c>
      <c r="U397">
        <v>2533.59</v>
      </c>
      <c r="V397">
        <v>1800</v>
      </c>
      <c r="W397" t="s">
        <v>101</v>
      </c>
      <c r="X397" t="s">
        <v>67</v>
      </c>
      <c r="Y397" t="str">
        <f>IF(COUNTIF($A$2:$A$901,A397)&gt;1,
  IF(COUNTIF($A$2:A397,A397)=1,
    " ORIGINAL",
    "CONFLICTING DUPLICATE - REVIEW"),
"OK")</f>
        <v>OK</v>
      </c>
      <c r="Z397">
        <f t="shared" si="63"/>
        <v>0</v>
      </c>
      <c r="AA397">
        <f t="shared" si="64"/>
        <v>4333.59</v>
      </c>
      <c r="AB397">
        <f t="shared" si="65"/>
        <v>1800</v>
      </c>
      <c r="AC397">
        <f t="shared" si="66"/>
        <v>0.41539999999999999</v>
      </c>
      <c r="AD397">
        <f t="shared" si="67"/>
        <v>10</v>
      </c>
      <c r="AE397">
        <f t="shared" si="68"/>
        <v>2024</v>
      </c>
      <c r="AF397" t="str">
        <f t="shared" si="69"/>
        <v>CLEAN</v>
      </c>
    </row>
    <row r="398" spans="1:32">
      <c r="A398" t="s">
        <v>2250</v>
      </c>
      <c r="B398" s="10">
        <v>45332</v>
      </c>
      <c r="C398" s="10">
        <v>45338</v>
      </c>
      <c r="D398">
        <f t="shared" si="60"/>
        <v>6</v>
      </c>
      <c r="E398" t="str">
        <f t="shared" si="61"/>
        <v>OK</v>
      </c>
      <c r="F398" t="s">
        <v>2251</v>
      </c>
      <c r="G398" t="s">
        <v>22</v>
      </c>
      <c r="H398" t="s">
        <v>23</v>
      </c>
      <c r="I398" t="s">
        <v>62</v>
      </c>
      <c r="J398" t="s">
        <v>189</v>
      </c>
      <c r="K398" t="s">
        <v>190</v>
      </c>
      <c r="L398" t="s">
        <v>40</v>
      </c>
      <c r="M398" t="s">
        <v>56</v>
      </c>
      <c r="N398" t="s">
        <v>2252</v>
      </c>
      <c r="O398" t="s">
        <v>30</v>
      </c>
      <c r="P398">
        <v>3</v>
      </c>
      <c r="Q398">
        <v>253.43</v>
      </c>
      <c r="R398">
        <v>0</v>
      </c>
      <c r="S398" t="str">
        <f t="shared" si="62"/>
        <v>OK</v>
      </c>
      <c r="T398">
        <v>760.29</v>
      </c>
      <c r="U398">
        <v>497.77</v>
      </c>
      <c r="V398">
        <v>262.52</v>
      </c>
      <c r="W398" t="s">
        <v>31</v>
      </c>
      <c r="X398" t="s">
        <v>32</v>
      </c>
      <c r="Y398" t="str">
        <f>IF(COUNTIF($A$2:$A$901,A398)&gt;1,
  IF(COUNTIF($A$2:A398,A398)=1,
    " ORIGINAL",
    "CONFLICTING DUPLICATE - REVIEW"),
"OK")</f>
        <v>OK</v>
      </c>
      <c r="Z398">
        <f t="shared" si="63"/>
        <v>0</v>
      </c>
      <c r="AA398">
        <f t="shared" si="64"/>
        <v>760.29</v>
      </c>
      <c r="AB398">
        <f t="shared" si="65"/>
        <v>262.52</v>
      </c>
      <c r="AC398">
        <f t="shared" si="66"/>
        <v>0.3453</v>
      </c>
      <c r="AD398">
        <f t="shared" si="67"/>
        <v>2</v>
      </c>
      <c r="AE398">
        <f t="shared" si="68"/>
        <v>2024</v>
      </c>
      <c r="AF398" t="str">
        <f t="shared" si="69"/>
        <v>CLEAN</v>
      </c>
    </row>
    <row r="399" spans="1:32">
      <c r="A399" t="s">
        <v>2256</v>
      </c>
      <c r="B399" s="10">
        <v>45308</v>
      </c>
      <c r="C399" s="10">
        <v>45314</v>
      </c>
      <c r="D399">
        <f t="shared" si="60"/>
        <v>6</v>
      </c>
      <c r="E399" t="str">
        <f t="shared" si="61"/>
        <v>OK</v>
      </c>
      <c r="F399" t="s">
        <v>2257</v>
      </c>
      <c r="G399" t="s">
        <v>263</v>
      </c>
      <c r="H399" t="s">
        <v>94</v>
      </c>
      <c r="I399" t="s">
        <v>62</v>
      </c>
      <c r="J399" t="s">
        <v>179</v>
      </c>
      <c r="K399" t="s">
        <v>180</v>
      </c>
      <c r="L399" t="s">
        <v>73</v>
      </c>
      <c r="M399" t="s">
        <v>170</v>
      </c>
      <c r="N399" t="s">
        <v>2258</v>
      </c>
      <c r="O399" t="s">
        <v>58</v>
      </c>
      <c r="P399">
        <v>5</v>
      </c>
      <c r="Q399">
        <v>2018</v>
      </c>
      <c r="R399">
        <v>0.2</v>
      </c>
      <c r="S399" t="str">
        <f t="shared" si="62"/>
        <v>OK</v>
      </c>
      <c r="T399">
        <v>8072</v>
      </c>
      <c r="U399">
        <v>5379.22</v>
      </c>
      <c r="V399">
        <v>2692.78</v>
      </c>
      <c r="W399" t="s">
        <v>110</v>
      </c>
      <c r="X399" t="s">
        <v>102</v>
      </c>
      <c r="Y399" t="str">
        <f>IF(COUNTIF($A$2:$A$901,A399)&gt;1,
  IF(COUNTIF($A$2:A399,A399)=1,
    " ORIGINAL",
    "CONFLICTING DUPLICATE - REVIEW"),
"OK")</f>
        <v>OK</v>
      </c>
      <c r="Z399">
        <f t="shared" si="63"/>
        <v>0.2</v>
      </c>
      <c r="AA399">
        <f t="shared" si="64"/>
        <v>8072</v>
      </c>
      <c r="AB399">
        <f t="shared" si="65"/>
        <v>2692.78</v>
      </c>
      <c r="AC399">
        <f t="shared" si="66"/>
        <v>0.33360000000000001</v>
      </c>
      <c r="AD399">
        <f t="shared" si="67"/>
        <v>1</v>
      </c>
      <c r="AE399">
        <f t="shared" si="68"/>
        <v>2024</v>
      </c>
      <c r="AF399" t="str">
        <f t="shared" si="69"/>
        <v>CLEAN</v>
      </c>
    </row>
    <row r="400" spans="1:32">
      <c r="A400" t="s">
        <v>2259</v>
      </c>
      <c r="B400" s="10">
        <v>45578</v>
      </c>
      <c r="C400" s="10">
        <v>45578</v>
      </c>
      <c r="D400">
        <f t="shared" si="60"/>
        <v>0</v>
      </c>
      <c r="E400" t="str">
        <f t="shared" si="61"/>
        <v>OK</v>
      </c>
      <c r="F400" t="s">
        <v>2260</v>
      </c>
      <c r="G400" t="s">
        <v>127</v>
      </c>
      <c r="H400" t="s">
        <v>36</v>
      </c>
      <c r="I400" t="s">
        <v>37</v>
      </c>
      <c r="J400" t="s">
        <v>165</v>
      </c>
      <c r="K400" t="s">
        <v>166</v>
      </c>
      <c r="L400" t="s">
        <v>73</v>
      </c>
      <c r="M400" t="s">
        <v>74</v>
      </c>
      <c r="N400" t="s">
        <v>2261</v>
      </c>
      <c r="O400" t="s">
        <v>30</v>
      </c>
      <c r="P400">
        <v>8</v>
      </c>
      <c r="Q400">
        <v>3730.66</v>
      </c>
      <c r="R400">
        <v>0.05</v>
      </c>
      <c r="S400" t="str">
        <f t="shared" si="62"/>
        <v>OK</v>
      </c>
      <c r="T400">
        <v>28353.02</v>
      </c>
      <c r="U400">
        <v>19257.849999999999</v>
      </c>
      <c r="V400">
        <v>9095.17</v>
      </c>
      <c r="W400" t="s">
        <v>31</v>
      </c>
      <c r="X400" t="s">
        <v>32</v>
      </c>
      <c r="Y400" t="str">
        <f>IF(COUNTIF($A$2:$A$901,A400)&gt;1,
  IF(COUNTIF($A$2:A400,A400)=1,
    " ORIGINAL",
    "CONFLICTING DUPLICATE - REVIEW"),
"OK")</f>
        <v>OK</v>
      </c>
      <c r="Z400">
        <f t="shared" si="63"/>
        <v>0.05</v>
      </c>
      <c r="AA400">
        <f t="shared" si="64"/>
        <v>28353.02</v>
      </c>
      <c r="AB400">
        <f t="shared" si="65"/>
        <v>9095.17</v>
      </c>
      <c r="AC400">
        <f t="shared" si="66"/>
        <v>0.32079999999999997</v>
      </c>
      <c r="AD400">
        <f t="shared" si="67"/>
        <v>10</v>
      </c>
      <c r="AE400">
        <f t="shared" si="68"/>
        <v>2024</v>
      </c>
      <c r="AF400" t="str">
        <f t="shared" si="69"/>
        <v>CLEAN</v>
      </c>
    </row>
    <row r="401" spans="1:32">
      <c r="A401" t="s">
        <v>2262</v>
      </c>
      <c r="B401" s="10">
        <v>45295</v>
      </c>
      <c r="C401" s="10">
        <v>45474</v>
      </c>
      <c r="D401">
        <f t="shared" si="60"/>
        <v>179</v>
      </c>
      <c r="E401" t="str">
        <f t="shared" si="61"/>
        <v>OK</v>
      </c>
      <c r="F401" t="s">
        <v>2263</v>
      </c>
      <c r="G401" t="s">
        <v>131</v>
      </c>
      <c r="H401" t="s">
        <v>36</v>
      </c>
      <c r="I401" t="s">
        <v>53</v>
      </c>
      <c r="J401" t="s">
        <v>174</v>
      </c>
      <c r="K401" t="s">
        <v>175</v>
      </c>
      <c r="L401" t="s">
        <v>73</v>
      </c>
      <c r="M401" t="s">
        <v>273</v>
      </c>
      <c r="N401" t="s">
        <v>2264</v>
      </c>
      <c r="O401" t="s">
        <v>49</v>
      </c>
      <c r="P401">
        <v>1</v>
      </c>
      <c r="Q401">
        <v>2363.02</v>
      </c>
      <c r="R401">
        <v>0.15</v>
      </c>
      <c r="S401" t="str">
        <f t="shared" si="62"/>
        <v>OK</v>
      </c>
      <c r="T401">
        <v>2008.57</v>
      </c>
      <c r="U401">
        <v>1194.83</v>
      </c>
      <c r="V401">
        <v>813.74</v>
      </c>
      <c r="W401" t="s">
        <v>31</v>
      </c>
      <c r="X401" t="s">
        <v>32</v>
      </c>
      <c r="Y401" t="str">
        <f>IF(COUNTIF($A$2:$A$901,A401)&gt;1,
  IF(COUNTIF($A$2:A401,A401)=1,
    " ORIGINAL",
    "CONFLICTING DUPLICATE - REVIEW"),
"OK")</f>
        <v>OK</v>
      </c>
      <c r="Z401">
        <f t="shared" si="63"/>
        <v>0.15</v>
      </c>
      <c r="AA401">
        <f t="shared" si="64"/>
        <v>2008.57</v>
      </c>
      <c r="AB401">
        <f t="shared" si="65"/>
        <v>813.74</v>
      </c>
      <c r="AC401">
        <f t="shared" si="66"/>
        <v>0.40510000000000002</v>
      </c>
      <c r="AD401">
        <f t="shared" si="67"/>
        <v>1</v>
      </c>
      <c r="AE401">
        <f t="shared" si="68"/>
        <v>2024</v>
      </c>
      <c r="AF401" t="str">
        <f t="shared" si="69"/>
        <v>CLEAN</v>
      </c>
    </row>
    <row r="402" spans="1:32">
      <c r="A402" t="s">
        <v>2271</v>
      </c>
      <c r="B402" s="10">
        <v>45368</v>
      </c>
      <c r="C402" s="10">
        <v>45370</v>
      </c>
      <c r="D402">
        <f t="shared" si="60"/>
        <v>2</v>
      </c>
      <c r="E402" t="str">
        <f t="shared" si="61"/>
        <v>OK</v>
      </c>
      <c r="F402" t="s">
        <v>2272</v>
      </c>
      <c r="G402" t="s">
        <v>61</v>
      </c>
      <c r="H402" t="s">
        <v>89</v>
      </c>
      <c r="I402" t="s">
        <v>37</v>
      </c>
      <c r="J402" t="s">
        <v>38</v>
      </c>
      <c r="K402" t="s">
        <v>39</v>
      </c>
      <c r="L402" t="s">
        <v>27</v>
      </c>
      <c r="M402" t="s">
        <v>152</v>
      </c>
      <c r="N402" t="s">
        <v>2273</v>
      </c>
      <c r="O402" t="s">
        <v>49</v>
      </c>
      <c r="P402">
        <v>4</v>
      </c>
      <c r="Q402">
        <v>4376.68</v>
      </c>
      <c r="R402">
        <v>0.1</v>
      </c>
      <c r="S402" t="str">
        <f t="shared" si="62"/>
        <v>OK</v>
      </c>
      <c r="T402">
        <v>15756.05</v>
      </c>
      <c r="U402">
        <v>10245.44</v>
      </c>
      <c r="V402">
        <v>5510.61</v>
      </c>
      <c r="W402" t="s">
        <v>31</v>
      </c>
      <c r="X402" t="s">
        <v>32</v>
      </c>
      <c r="Y402" t="str">
        <f>IF(COUNTIF($A$2:$A$901,A402)&gt;1,
  IF(COUNTIF($A$2:A402,A402)=1,
    " ORIGINAL",
    "CONFLICTING DUPLICATE - REVIEW"),
"OK")</f>
        <v>OK</v>
      </c>
      <c r="Z402">
        <f t="shared" si="63"/>
        <v>0.1</v>
      </c>
      <c r="AA402">
        <f t="shared" si="64"/>
        <v>15756.05</v>
      </c>
      <c r="AB402">
        <f t="shared" si="65"/>
        <v>5510.61</v>
      </c>
      <c r="AC402">
        <f t="shared" si="66"/>
        <v>0.34970000000000001</v>
      </c>
      <c r="AD402">
        <f t="shared" si="67"/>
        <v>3</v>
      </c>
      <c r="AE402">
        <f t="shared" si="68"/>
        <v>2024</v>
      </c>
      <c r="AF402" t="str">
        <f t="shared" si="69"/>
        <v>CLEAN</v>
      </c>
    </row>
    <row r="403" spans="1:32">
      <c r="A403" t="s">
        <v>2274</v>
      </c>
      <c r="B403" s="10">
        <v>45624</v>
      </c>
      <c r="C403" s="10">
        <v>45632</v>
      </c>
      <c r="D403">
        <f t="shared" si="60"/>
        <v>8</v>
      </c>
      <c r="E403" t="str">
        <f t="shared" si="61"/>
        <v>OK</v>
      </c>
      <c r="F403" t="s">
        <v>2275</v>
      </c>
      <c r="G403" t="s">
        <v>52</v>
      </c>
      <c r="H403" t="s">
        <v>36</v>
      </c>
      <c r="I403" t="s">
        <v>24</v>
      </c>
      <c r="J403" t="s">
        <v>121</v>
      </c>
      <c r="K403" t="s">
        <v>122</v>
      </c>
      <c r="L403" t="s">
        <v>73</v>
      </c>
      <c r="M403" t="s">
        <v>170</v>
      </c>
      <c r="N403" t="s">
        <v>2276</v>
      </c>
      <c r="O403" t="s">
        <v>58</v>
      </c>
      <c r="P403">
        <v>6</v>
      </c>
      <c r="Q403">
        <v>2464.63</v>
      </c>
      <c r="R403">
        <v>0</v>
      </c>
      <c r="S403" t="str">
        <f t="shared" si="62"/>
        <v>OK</v>
      </c>
      <c r="T403">
        <v>14787.78</v>
      </c>
      <c r="U403">
        <v>8596.65</v>
      </c>
      <c r="V403">
        <v>6191.13</v>
      </c>
      <c r="W403" t="s">
        <v>31</v>
      </c>
      <c r="X403" t="s">
        <v>32</v>
      </c>
      <c r="Y403" t="str">
        <f>IF(COUNTIF($A$2:$A$901,A403)&gt;1,
  IF(COUNTIF($A$2:A403,A403)=1,
    " ORIGINAL",
    "CONFLICTING DUPLICATE - REVIEW"),
"OK")</f>
        <v>OK</v>
      </c>
      <c r="Z403">
        <f t="shared" si="63"/>
        <v>0</v>
      </c>
      <c r="AA403">
        <f t="shared" si="64"/>
        <v>14787.78</v>
      </c>
      <c r="AB403">
        <f t="shared" si="65"/>
        <v>6191.13</v>
      </c>
      <c r="AC403">
        <f t="shared" si="66"/>
        <v>0.41870000000000002</v>
      </c>
      <c r="AD403">
        <f t="shared" si="67"/>
        <v>11</v>
      </c>
      <c r="AE403">
        <f t="shared" si="68"/>
        <v>2024</v>
      </c>
      <c r="AF403" t="str">
        <f t="shared" si="69"/>
        <v>CLEAN</v>
      </c>
    </row>
    <row r="404" spans="1:32">
      <c r="A404" t="s">
        <v>2277</v>
      </c>
      <c r="B404" s="10">
        <v>45464</v>
      </c>
      <c r="C404" s="10">
        <v>45471</v>
      </c>
      <c r="D404">
        <f t="shared" si="60"/>
        <v>7</v>
      </c>
      <c r="E404" t="str">
        <f t="shared" si="61"/>
        <v>OK</v>
      </c>
      <c r="F404" t="s">
        <v>2278</v>
      </c>
      <c r="G404" t="s">
        <v>127</v>
      </c>
      <c r="H404" t="s">
        <v>94</v>
      </c>
      <c r="I404" t="s">
        <v>24</v>
      </c>
      <c r="J404" t="s">
        <v>25</v>
      </c>
      <c r="K404" t="s">
        <v>26</v>
      </c>
      <c r="L404" t="s">
        <v>40</v>
      </c>
      <c r="M404" t="s">
        <v>56</v>
      </c>
      <c r="N404" t="s">
        <v>2279</v>
      </c>
      <c r="O404" t="s">
        <v>49</v>
      </c>
      <c r="P404">
        <v>9</v>
      </c>
      <c r="Q404">
        <v>2797.96</v>
      </c>
      <c r="R404">
        <v>0</v>
      </c>
      <c r="S404" t="str">
        <f t="shared" si="62"/>
        <v>OK</v>
      </c>
      <c r="T404">
        <v>25181.64</v>
      </c>
      <c r="U404">
        <v>15337.9</v>
      </c>
      <c r="V404">
        <v>9843.74</v>
      </c>
      <c r="W404" t="s">
        <v>31</v>
      </c>
      <c r="X404" t="s">
        <v>32</v>
      </c>
      <c r="Y404" t="str">
        <f>IF(COUNTIF($A$2:$A$901,A404)&gt;1,
  IF(COUNTIF($A$2:A404,A404)=1,
    " ORIGINAL",
    "CONFLICTING DUPLICATE - REVIEW"),
"OK")</f>
        <v>OK</v>
      </c>
      <c r="Z404">
        <f t="shared" si="63"/>
        <v>0</v>
      </c>
      <c r="AA404">
        <f t="shared" si="64"/>
        <v>25181.64</v>
      </c>
      <c r="AB404">
        <f t="shared" si="65"/>
        <v>9843.74</v>
      </c>
      <c r="AC404">
        <f t="shared" si="66"/>
        <v>0.39090000000000003</v>
      </c>
      <c r="AD404">
        <f t="shared" si="67"/>
        <v>6</v>
      </c>
      <c r="AE404">
        <f t="shared" si="68"/>
        <v>2024</v>
      </c>
      <c r="AF404" t="str">
        <f t="shared" si="69"/>
        <v>CLEAN</v>
      </c>
    </row>
    <row r="405" spans="1:32">
      <c r="A405" t="s">
        <v>2280</v>
      </c>
      <c r="B405" s="10">
        <v>45528</v>
      </c>
      <c r="C405" s="10">
        <v>45528</v>
      </c>
      <c r="D405">
        <f t="shared" si="60"/>
        <v>0</v>
      </c>
      <c r="E405" t="str">
        <f t="shared" si="61"/>
        <v>OK</v>
      </c>
      <c r="F405" t="s">
        <v>2281</v>
      </c>
      <c r="G405" t="s">
        <v>61</v>
      </c>
      <c r="H405" t="s">
        <v>36</v>
      </c>
      <c r="I405" t="s">
        <v>24</v>
      </c>
      <c r="J405" t="s">
        <v>25</v>
      </c>
      <c r="K405" t="s">
        <v>26</v>
      </c>
      <c r="L405" t="s">
        <v>73</v>
      </c>
      <c r="M405" t="s">
        <v>74</v>
      </c>
      <c r="N405" t="s">
        <v>2282</v>
      </c>
      <c r="O405" t="s">
        <v>49</v>
      </c>
      <c r="P405">
        <v>4</v>
      </c>
      <c r="Q405">
        <v>2761.86</v>
      </c>
      <c r="R405">
        <v>0.2</v>
      </c>
      <c r="S405" t="str">
        <f t="shared" si="62"/>
        <v>OK</v>
      </c>
      <c r="T405">
        <v>8837.9500000000007</v>
      </c>
      <c r="U405">
        <v>6157.27</v>
      </c>
      <c r="V405">
        <v>2680.68</v>
      </c>
      <c r="W405" t="s">
        <v>31</v>
      </c>
      <c r="X405" t="s">
        <v>32</v>
      </c>
      <c r="Y405" t="str">
        <f>IF(COUNTIF($A$2:$A$901,A405)&gt;1,
  IF(COUNTIF($A$2:A405,A405)=1,
    " ORIGINAL",
    "CONFLICTING DUPLICATE - REVIEW"),
"OK")</f>
        <v>OK</v>
      </c>
      <c r="Z405">
        <f t="shared" si="63"/>
        <v>0.2</v>
      </c>
      <c r="AA405">
        <f t="shared" si="64"/>
        <v>8837.9500000000007</v>
      </c>
      <c r="AB405">
        <f t="shared" si="65"/>
        <v>2680.68</v>
      </c>
      <c r="AC405">
        <f t="shared" si="66"/>
        <v>0.30330000000000001</v>
      </c>
      <c r="AD405">
        <f t="shared" si="67"/>
        <v>8</v>
      </c>
      <c r="AE405">
        <f t="shared" si="68"/>
        <v>2024</v>
      </c>
      <c r="AF405" t="str">
        <f t="shared" si="69"/>
        <v>CLEAN</v>
      </c>
    </row>
    <row r="406" spans="1:32">
      <c r="A406" t="s">
        <v>2283</v>
      </c>
      <c r="B406" s="10">
        <v>45515</v>
      </c>
      <c r="C406" s="10">
        <v>45523</v>
      </c>
      <c r="D406">
        <f t="shared" si="60"/>
        <v>8</v>
      </c>
      <c r="E406" t="str">
        <f t="shared" si="61"/>
        <v>OK</v>
      </c>
      <c r="F406" t="s">
        <v>2284</v>
      </c>
      <c r="G406" t="s">
        <v>35</v>
      </c>
      <c r="H406" t="s">
        <v>23</v>
      </c>
      <c r="I406" t="s">
        <v>62</v>
      </c>
      <c r="J406" t="s">
        <v>63</v>
      </c>
      <c r="K406" t="s">
        <v>64</v>
      </c>
      <c r="L406" t="s">
        <v>40</v>
      </c>
      <c r="M406" t="s">
        <v>41</v>
      </c>
      <c r="N406" t="s">
        <v>2285</v>
      </c>
      <c r="O406" t="s">
        <v>58</v>
      </c>
      <c r="P406">
        <v>6</v>
      </c>
      <c r="Q406">
        <v>1515.79</v>
      </c>
      <c r="R406">
        <v>0.2</v>
      </c>
      <c r="S406" t="str">
        <f t="shared" si="62"/>
        <v>OK</v>
      </c>
      <c r="T406">
        <v>7275.79</v>
      </c>
      <c r="U406">
        <v>6152.87</v>
      </c>
      <c r="V406">
        <v>1122.92</v>
      </c>
      <c r="W406" t="s">
        <v>31</v>
      </c>
      <c r="X406" t="s">
        <v>32</v>
      </c>
      <c r="Y406" t="str">
        <f>IF(COUNTIF($A$2:$A$901,A406)&gt;1,
  IF(COUNTIF($A$2:A406,A406)=1,
    " ORIGINAL",
    "CONFLICTING DUPLICATE - REVIEW"),
"OK")</f>
        <v>OK</v>
      </c>
      <c r="Z406">
        <f t="shared" si="63"/>
        <v>0.2</v>
      </c>
      <c r="AA406">
        <f t="shared" si="64"/>
        <v>7275.79</v>
      </c>
      <c r="AB406">
        <f t="shared" si="65"/>
        <v>1122.92</v>
      </c>
      <c r="AC406">
        <f t="shared" si="66"/>
        <v>0.15429999999999999</v>
      </c>
      <c r="AD406">
        <f t="shared" si="67"/>
        <v>8</v>
      </c>
      <c r="AE406">
        <f t="shared" si="68"/>
        <v>2024</v>
      </c>
      <c r="AF406" t="str">
        <f t="shared" si="69"/>
        <v>CLEAN</v>
      </c>
    </row>
    <row r="407" spans="1:32">
      <c r="A407" t="s">
        <v>2286</v>
      </c>
      <c r="B407" s="10">
        <v>45632</v>
      </c>
      <c r="C407" s="10">
        <v>45547</v>
      </c>
      <c r="D407">
        <f t="shared" si="60"/>
        <v>-85</v>
      </c>
      <c r="E407" t="str">
        <f t="shared" si="61"/>
        <v>INVALID</v>
      </c>
      <c r="F407" t="s">
        <v>2287</v>
      </c>
      <c r="G407" t="s">
        <v>88</v>
      </c>
      <c r="H407" t="s">
        <v>23</v>
      </c>
      <c r="I407" t="s">
        <v>62</v>
      </c>
      <c r="J407" t="s">
        <v>63</v>
      </c>
      <c r="K407" t="s">
        <v>64</v>
      </c>
      <c r="L407" t="s">
        <v>40</v>
      </c>
      <c r="M407" t="s">
        <v>65</v>
      </c>
      <c r="N407" t="s">
        <v>2288</v>
      </c>
      <c r="O407" t="s">
        <v>30</v>
      </c>
      <c r="P407">
        <v>9</v>
      </c>
      <c r="Q407">
        <v>290.75</v>
      </c>
      <c r="R407">
        <v>0.1</v>
      </c>
      <c r="S407" t="str">
        <f t="shared" si="62"/>
        <v>OK</v>
      </c>
      <c r="T407">
        <v>2355.08</v>
      </c>
      <c r="U407">
        <v>1350.03</v>
      </c>
      <c r="V407">
        <v>1005.05</v>
      </c>
      <c r="W407" t="s">
        <v>31</v>
      </c>
      <c r="X407" t="s">
        <v>32</v>
      </c>
      <c r="Y407" t="str">
        <f>IF(COUNTIF($A$2:$A$901,A407)&gt;1,
  IF(COUNTIF($A$2:A407,A407)=1,
    " ORIGINAL",
    "CONFLICTING DUPLICATE - REVIEW"),
"OK")</f>
        <v>OK</v>
      </c>
      <c r="Z407">
        <f t="shared" si="63"/>
        <v>0.1</v>
      </c>
      <c r="AA407">
        <f t="shared" si="64"/>
        <v>2355.08</v>
      </c>
      <c r="AB407">
        <f t="shared" si="65"/>
        <v>1005.05</v>
      </c>
      <c r="AC407">
        <f t="shared" si="66"/>
        <v>0.42680000000000001</v>
      </c>
      <c r="AD407">
        <f t="shared" si="67"/>
        <v>12</v>
      </c>
      <c r="AE407">
        <f t="shared" si="68"/>
        <v>2024</v>
      </c>
      <c r="AF407" t="str">
        <f t="shared" si="69"/>
        <v>INVALID</v>
      </c>
    </row>
    <row r="408" spans="1:32">
      <c r="A408" t="s">
        <v>2289</v>
      </c>
      <c r="B408" s="10">
        <v>45332</v>
      </c>
      <c r="C408" s="10">
        <v>45332</v>
      </c>
      <c r="D408">
        <f t="shared" si="60"/>
        <v>0</v>
      </c>
      <c r="E408" t="str">
        <f t="shared" si="61"/>
        <v>OK</v>
      </c>
      <c r="F408" t="s">
        <v>2290</v>
      </c>
      <c r="G408" t="s">
        <v>46</v>
      </c>
      <c r="H408" t="s">
        <v>94</v>
      </c>
      <c r="I408" t="s">
        <v>62</v>
      </c>
      <c r="J408" t="s">
        <v>63</v>
      </c>
      <c r="K408" t="s">
        <v>64</v>
      </c>
      <c r="L408" t="s">
        <v>40</v>
      </c>
      <c r="M408" t="s">
        <v>65</v>
      </c>
      <c r="N408" t="s">
        <v>2291</v>
      </c>
      <c r="O408" t="s">
        <v>43</v>
      </c>
      <c r="P408">
        <v>6</v>
      </c>
      <c r="Q408">
        <v>601.52</v>
      </c>
      <c r="R408">
        <v>0</v>
      </c>
      <c r="S408" t="str">
        <f t="shared" si="62"/>
        <v>OK</v>
      </c>
      <c r="T408">
        <v>3609.12</v>
      </c>
      <c r="U408">
        <v>2645.5</v>
      </c>
      <c r="V408">
        <v>963.62</v>
      </c>
      <c r="W408" t="s">
        <v>31</v>
      </c>
      <c r="X408" t="s">
        <v>32</v>
      </c>
      <c r="Y408" t="str">
        <f>IF(COUNTIF($A$2:$A$901,A408)&gt;1,
  IF(COUNTIF($A$2:A408,A408)=1,
    " ORIGINAL",
    "CONFLICTING DUPLICATE - REVIEW"),
"OK")</f>
        <v>OK</v>
      </c>
      <c r="Z408">
        <f t="shared" si="63"/>
        <v>0</v>
      </c>
      <c r="AA408">
        <f t="shared" si="64"/>
        <v>3609.12</v>
      </c>
      <c r="AB408">
        <f t="shared" si="65"/>
        <v>963.62</v>
      </c>
      <c r="AC408">
        <f t="shared" si="66"/>
        <v>0.26700000000000002</v>
      </c>
      <c r="AD408">
        <f t="shared" si="67"/>
        <v>2</v>
      </c>
      <c r="AE408">
        <f t="shared" si="68"/>
        <v>2024</v>
      </c>
      <c r="AF408" t="str">
        <f t="shared" si="69"/>
        <v>CLEAN</v>
      </c>
    </row>
    <row r="409" spans="1:32">
      <c r="A409" t="s">
        <v>2295</v>
      </c>
      <c r="B409" s="10">
        <v>45629</v>
      </c>
      <c r="C409" s="10">
        <v>45636</v>
      </c>
      <c r="D409">
        <f t="shared" si="60"/>
        <v>7</v>
      </c>
      <c r="E409" t="str">
        <f t="shared" si="61"/>
        <v>OK</v>
      </c>
      <c r="F409" t="s">
        <v>2296</v>
      </c>
      <c r="G409" t="s">
        <v>78</v>
      </c>
      <c r="H409" t="s">
        <v>89</v>
      </c>
      <c r="I409" t="s">
        <v>24</v>
      </c>
      <c r="J409" t="s">
        <v>25</v>
      </c>
      <c r="K409" t="s">
        <v>26</v>
      </c>
      <c r="L409" t="s">
        <v>73</v>
      </c>
      <c r="M409" t="s">
        <v>170</v>
      </c>
      <c r="N409" t="s">
        <v>2297</v>
      </c>
      <c r="O409" t="s">
        <v>58</v>
      </c>
      <c r="P409">
        <v>5</v>
      </c>
      <c r="Q409">
        <v>2393.86</v>
      </c>
      <c r="R409">
        <v>0.05</v>
      </c>
      <c r="S409" t="str">
        <f t="shared" si="62"/>
        <v>OK</v>
      </c>
      <c r="T409">
        <v>11370.84</v>
      </c>
      <c r="U409">
        <v>7469.58</v>
      </c>
      <c r="V409">
        <v>3901.26</v>
      </c>
      <c r="W409" t="s">
        <v>31</v>
      </c>
      <c r="X409" t="s">
        <v>32</v>
      </c>
      <c r="Y409" t="str">
        <f>IF(COUNTIF($A$2:$A$901,A409)&gt;1,
  IF(COUNTIF($A$2:A409,A409)=1,
    " ORIGINAL",
    "CONFLICTING DUPLICATE - REVIEW"),
"OK")</f>
        <v>OK</v>
      </c>
      <c r="Z409">
        <f t="shared" si="63"/>
        <v>0.05</v>
      </c>
      <c r="AA409">
        <f t="shared" si="64"/>
        <v>11370.84</v>
      </c>
      <c r="AB409">
        <f t="shared" si="65"/>
        <v>3901.26</v>
      </c>
      <c r="AC409">
        <f t="shared" si="66"/>
        <v>0.34310000000000002</v>
      </c>
      <c r="AD409">
        <f t="shared" si="67"/>
        <v>12</v>
      </c>
      <c r="AE409">
        <f t="shared" si="68"/>
        <v>2024</v>
      </c>
      <c r="AF409" t="str">
        <f t="shared" si="69"/>
        <v>CLEAN</v>
      </c>
    </row>
    <row r="410" spans="1:32">
      <c r="A410" t="s">
        <v>2298</v>
      </c>
      <c r="B410" s="10">
        <v>45384</v>
      </c>
      <c r="C410" s="10">
        <v>45384</v>
      </c>
      <c r="D410">
        <f t="shared" si="60"/>
        <v>0</v>
      </c>
      <c r="E410" t="str">
        <f t="shared" si="61"/>
        <v>OK</v>
      </c>
      <c r="F410" t="s">
        <v>521</v>
      </c>
      <c r="G410" t="s">
        <v>131</v>
      </c>
      <c r="H410" t="s">
        <v>36</v>
      </c>
      <c r="I410" t="s">
        <v>62</v>
      </c>
      <c r="J410" t="s">
        <v>63</v>
      </c>
      <c r="K410" t="s">
        <v>64</v>
      </c>
      <c r="L410" t="s">
        <v>40</v>
      </c>
      <c r="M410" t="s">
        <v>65</v>
      </c>
      <c r="N410" t="s">
        <v>2299</v>
      </c>
      <c r="O410" t="s">
        <v>49</v>
      </c>
      <c r="P410">
        <v>4</v>
      </c>
      <c r="Q410">
        <v>2583</v>
      </c>
      <c r="R410">
        <v>0.1</v>
      </c>
      <c r="S410" t="str">
        <f t="shared" si="62"/>
        <v>OK</v>
      </c>
      <c r="T410">
        <v>9298.7999999999993</v>
      </c>
      <c r="U410">
        <v>6548.5</v>
      </c>
      <c r="V410">
        <v>2750.3</v>
      </c>
      <c r="W410" t="s">
        <v>31</v>
      </c>
      <c r="X410" t="s">
        <v>32</v>
      </c>
      <c r="Y410" t="str">
        <f>IF(COUNTIF($A$2:$A$901,A410)&gt;1,
  IF(COUNTIF($A$2:A410,A410)=1,
    " ORIGINAL",
    "CONFLICTING DUPLICATE - REVIEW"),
"OK")</f>
        <v>OK</v>
      </c>
      <c r="Z410">
        <f t="shared" si="63"/>
        <v>0.1</v>
      </c>
      <c r="AA410">
        <f t="shared" si="64"/>
        <v>9298.7999999999993</v>
      </c>
      <c r="AB410">
        <f t="shared" si="65"/>
        <v>2750.3</v>
      </c>
      <c r="AC410">
        <f t="shared" si="66"/>
        <v>0.29580000000000001</v>
      </c>
      <c r="AD410">
        <f t="shared" si="67"/>
        <v>4</v>
      </c>
      <c r="AE410">
        <f t="shared" si="68"/>
        <v>2024</v>
      </c>
      <c r="AF410" t="str">
        <f t="shared" si="69"/>
        <v>CLEAN</v>
      </c>
    </row>
    <row r="411" spans="1:32">
      <c r="A411" t="s">
        <v>2303</v>
      </c>
      <c r="B411" s="10">
        <v>45580</v>
      </c>
      <c r="C411" s="10">
        <v>45587</v>
      </c>
      <c r="D411">
        <f t="shared" si="60"/>
        <v>7</v>
      </c>
      <c r="E411" t="str">
        <f t="shared" si="61"/>
        <v>OK</v>
      </c>
      <c r="F411" t="s">
        <v>2304</v>
      </c>
      <c r="G411" t="s">
        <v>22</v>
      </c>
      <c r="H411" t="s">
        <v>89</v>
      </c>
      <c r="I411" t="s">
        <v>37</v>
      </c>
      <c r="J411" t="s">
        <v>38</v>
      </c>
      <c r="K411" t="s">
        <v>39</v>
      </c>
      <c r="L411" t="s">
        <v>27</v>
      </c>
      <c r="M411" t="s">
        <v>28</v>
      </c>
      <c r="N411" t="s">
        <v>2305</v>
      </c>
      <c r="O411" t="s">
        <v>58</v>
      </c>
      <c r="P411">
        <v>4</v>
      </c>
      <c r="Q411">
        <v>2260.9499999999998</v>
      </c>
      <c r="R411">
        <v>0</v>
      </c>
      <c r="S411" t="str">
        <f t="shared" si="62"/>
        <v>OK</v>
      </c>
      <c r="T411">
        <v>9043.7999999999993</v>
      </c>
      <c r="U411">
        <v>5913.38</v>
      </c>
      <c r="V411">
        <v>3130.42</v>
      </c>
      <c r="W411" t="s">
        <v>31</v>
      </c>
      <c r="X411" t="s">
        <v>32</v>
      </c>
      <c r="Y411" t="str">
        <f>IF(COUNTIF($A$2:$A$901,A411)&gt;1,
  IF(COUNTIF($A$2:A411,A411)=1,
    " ORIGINAL",
    "CONFLICTING DUPLICATE - REVIEW"),
"OK")</f>
        <v>OK</v>
      </c>
      <c r="Z411">
        <f t="shared" si="63"/>
        <v>0</v>
      </c>
      <c r="AA411">
        <f t="shared" si="64"/>
        <v>9043.7999999999993</v>
      </c>
      <c r="AB411">
        <f t="shared" si="65"/>
        <v>3130.42</v>
      </c>
      <c r="AC411">
        <f t="shared" si="66"/>
        <v>0.34610000000000002</v>
      </c>
      <c r="AD411">
        <f t="shared" si="67"/>
        <v>10</v>
      </c>
      <c r="AE411">
        <f t="shared" si="68"/>
        <v>2024</v>
      </c>
      <c r="AF411" t="str">
        <f t="shared" si="69"/>
        <v>CLEAN</v>
      </c>
    </row>
    <row r="412" spans="1:32">
      <c r="A412" t="s">
        <v>2312</v>
      </c>
      <c r="B412" s="10">
        <v>45589</v>
      </c>
      <c r="C412" s="10">
        <v>45593</v>
      </c>
      <c r="D412">
        <f t="shared" si="60"/>
        <v>4</v>
      </c>
      <c r="E412" t="str">
        <f t="shared" si="61"/>
        <v>OK</v>
      </c>
      <c r="F412" t="s">
        <v>2313</v>
      </c>
      <c r="G412" t="s">
        <v>35</v>
      </c>
      <c r="H412" t="s">
        <v>36</v>
      </c>
      <c r="I412" t="s">
        <v>37</v>
      </c>
      <c r="J412" t="s">
        <v>165</v>
      </c>
      <c r="K412" t="s">
        <v>166</v>
      </c>
      <c r="L412" t="s">
        <v>73</v>
      </c>
      <c r="M412" t="s">
        <v>79</v>
      </c>
      <c r="N412" t="s">
        <v>2314</v>
      </c>
      <c r="O412" t="s">
        <v>58</v>
      </c>
      <c r="P412">
        <v>3</v>
      </c>
      <c r="Q412">
        <v>723.59</v>
      </c>
      <c r="R412">
        <v>0.2</v>
      </c>
      <c r="S412" t="str">
        <f t="shared" si="62"/>
        <v>OK</v>
      </c>
      <c r="T412">
        <v>1736.62</v>
      </c>
      <c r="U412">
        <v>1059.52</v>
      </c>
      <c r="V412">
        <v>677.1</v>
      </c>
      <c r="W412" t="s">
        <v>31</v>
      </c>
      <c r="X412" t="s">
        <v>32</v>
      </c>
      <c r="Y412" t="str">
        <f>IF(COUNTIF($A$2:$A$901,A412)&gt;1,
  IF(COUNTIF($A$2:A412,A412)=1,
    " ORIGINAL",
    "CONFLICTING DUPLICATE - REVIEW"),
"OK")</f>
        <v>OK</v>
      </c>
      <c r="Z412">
        <f t="shared" si="63"/>
        <v>0.2</v>
      </c>
      <c r="AA412">
        <f t="shared" si="64"/>
        <v>1736.62</v>
      </c>
      <c r="AB412">
        <f t="shared" si="65"/>
        <v>677.1</v>
      </c>
      <c r="AC412">
        <f t="shared" si="66"/>
        <v>0.38990000000000002</v>
      </c>
      <c r="AD412">
        <f t="shared" si="67"/>
        <v>10</v>
      </c>
      <c r="AE412">
        <f t="shared" si="68"/>
        <v>2024</v>
      </c>
      <c r="AF412" t="str">
        <f t="shared" si="69"/>
        <v>CLEAN</v>
      </c>
    </row>
    <row r="413" spans="1:32">
      <c r="A413" t="s">
        <v>2317</v>
      </c>
      <c r="B413" s="10">
        <v>45413</v>
      </c>
      <c r="C413" s="10">
        <v>45419</v>
      </c>
      <c r="D413">
        <f t="shared" si="60"/>
        <v>6</v>
      </c>
      <c r="E413" t="str">
        <f t="shared" si="61"/>
        <v>OK</v>
      </c>
      <c r="F413" t="s">
        <v>2318</v>
      </c>
      <c r="G413" t="s">
        <v>46</v>
      </c>
      <c r="H413" t="s">
        <v>94</v>
      </c>
      <c r="I413" t="s">
        <v>37</v>
      </c>
      <c r="J413" t="s">
        <v>38</v>
      </c>
      <c r="K413" t="s">
        <v>39</v>
      </c>
      <c r="L413" t="s">
        <v>27</v>
      </c>
      <c r="M413" t="s">
        <v>28</v>
      </c>
      <c r="N413" t="s">
        <v>2319</v>
      </c>
      <c r="O413" t="s">
        <v>43</v>
      </c>
      <c r="P413">
        <v>8</v>
      </c>
      <c r="Q413">
        <v>1473.83</v>
      </c>
      <c r="R413">
        <v>0.15</v>
      </c>
      <c r="S413" t="str">
        <f t="shared" si="62"/>
        <v>OK</v>
      </c>
      <c r="T413">
        <v>10022.040000000001</v>
      </c>
      <c r="U413">
        <v>5576.98</v>
      </c>
      <c r="V413">
        <v>4445.0600000000004</v>
      </c>
      <c r="W413" t="s">
        <v>31</v>
      </c>
      <c r="X413" t="s">
        <v>32</v>
      </c>
      <c r="Y413" t="str">
        <f>IF(COUNTIF($A$2:$A$901,A413)&gt;1,
  IF(COUNTIF($A$2:A413,A413)=1,
    " ORIGINAL",
    "CONFLICTING DUPLICATE - REVIEW"),
"OK")</f>
        <v>OK</v>
      </c>
      <c r="Z413">
        <f t="shared" si="63"/>
        <v>0.15</v>
      </c>
      <c r="AA413">
        <f t="shared" si="64"/>
        <v>10022.040000000001</v>
      </c>
      <c r="AB413">
        <f t="shared" si="65"/>
        <v>4445.0600000000004</v>
      </c>
      <c r="AC413">
        <f t="shared" si="66"/>
        <v>0.44350000000000001</v>
      </c>
      <c r="AD413">
        <f t="shared" si="67"/>
        <v>5</v>
      </c>
      <c r="AE413">
        <f t="shared" si="68"/>
        <v>2024</v>
      </c>
      <c r="AF413" t="str">
        <f t="shared" si="69"/>
        <v>CLEAN</v>
      </c>
    </row>
    <row r="414" spans="1:32">
      <c r="A414" t="s">
        <v>2320</v>
      </c>
      <c r="B414" s="10">
        <v>45442</v>
      </c>
      <c r="C414" s="10">
        <v>45442</v>
      </c>
      <c r="D414">
        <f t="shared" si="60"/>
        <v>0</v>
      </c>
      <c r="E414" t="str">
        <f t="shared" si="61"/>
        <v>OK</v>
      </c>
      <c r="F414" t="s">
        <v>2321</v>
      </c>
      <c r="G414" t="s">
        <v>161</v>
      </c>
      <c r="H414" t="s">
        <v>94</v>
      </c>
      <c r="I414" t="s">
        <v>24</v>
      </c>
      <c r="J414" t="s">
        <v>235</v>
      </c>
      <c r="K414" t="s">
        <v>236</v>
      </c>
      <c r="L414" t="s">
        <v>73</v>
      </c>
      <c r="M414" t="s">
        <v>170</v>
      </c>
      <c r="N414" t="s">
        <v>2322</v>
      </c>
      <c r="O414" t="s">
        <v>30</v>
      </c>
      <c r="P414">
        <v>1</v>
      </c>
      <c r="Q414">
        <v>3848.04</v>
      </c>
      <c r="R414">
        <v>0.25</v>
      </c>
      <c r="S414" t="str">
        <f t="shared" si="62"/>
        <v>OK</v>
      </c>
      <c r="T414">
        <v>2886.03</v>
      </c>
      <c r="U414">
        <v>2064.83</v>
      </c>
      <c r="V414">
        <v>821.2</v>
      </c>
      <c r="W414" t="s">
        <v>31</v>
      </c>
      <c r="X414" t="s">
        <v>32</v>
      </c>
      <c r="Y414" t="str">
        <f>IF(COUNTIF($A$2:$A$901,A414)&gt;1,
  IF(COUNTIF($A$2:A414,A414)=1,
    " ORIGINAL",
    "CONFLICTING DUPLICATE - REVIEW"),
"OK")</f>
        <v>OK</v>
      </c>
      <c r="Z414">
        <f t="shared" si="63"/>
        <v>0.25</v>
      </c>
      <c r="AA414">
        <f t="shared" si="64"/>
        <v>2886.03</v>
      </c>
      <c r="AB414">
        <f t="shared" si="65"/>
        <v>821.2</v>
      </c>
      <c r="AC414">
        <f t="shared" si="66"/>
        <v>0.28449999999999998</v>
      </c>
      <c r="AD414">
        <f t="shared" si="67"/>
        <v>5</v>
      </c>
      <c r="AE414">
        <f t="shared" si="68"/>
        <v>2024</v>
      </c>
      <c r="AF414" t="str">
        <f t="shared" si="69"/>
        <v>CLEAN</v>
      </c>
    </row>
    <row r="415" spans="1:32">
      <c r="A415" t="s">
        <v>2323</v>
      </c>
      <c r="B415" s="10">
        <v>45372</v>
      </c>
      <c r="C415" s="10">
        <v>45376</v>
      </c>
      <c r="D415">
        <f t="shared" si="60"/>
        <v>4</v>
      </c>
      <c r="E415" t="str">
        <f t="shared" si="61"/>
        <v>OK</v>
      </c>
      <c r="F415" t="s">
        <v>2324</v>
      </c>
      <c r="G415" t="s">
        <v>88</v>
      </c>
      <c r="H415" t="s">
        <v>94</v>
      </c>
      <c r="I415" t="s">
        <v>37</v>
      </c>
      <c r="J415" t="s">
        <v>165</v>
      </c>
      <c r="K415" t="s">
        <v>166</v>
      </c>
      <c r="L415" t="s">
        <v>73</v>
      </c>
      <c r="M415" t="s">
        <v>273</v>
      </c>
      <c r="N415" t="s">
        <v>2325</v>
      </c>
      <c r="O415" t="s">
        <v>58</v>
      </c>
      <c r="P415">
        <v>1</v>
      </c>
      <c r="Q415">
        <v>1716.7</v>
      </c>
      <c r="R415">
        <v>0.15</v>
      </c>
      <c r="S415" t="str">
        <f t="shared" si="62"/>
        <v>OK</v>
      </c>
      <c r="T415">
        <v>1459.19</v>
      </c>
      <c r="U415">
        <v>1055.79</v>
      </c>
      <c r="V415">
        <v>403.4</v>
      </c>
      <c r="W415" t="s">
        <v>31</v>
      </c>
      <c r="X415" t="s">
        <v>32</v>
      </c>
      <c r="Y415" t="str">
        <f>IF(COUNTIF($A$2:$A$901,A415)&gt;1,
  IF(COUNTIF($A$2:A415,A415)=1,
    " ORIGINAL",
    "CONFLICTING DUPLICATE - REVIEW"),
"OK")</f>
        <v>OK</v>
      </c>
      <c r="Z415">
        <f t="shared" si="63"/>
        <v>0.15</v>
      </c>
      <c r="AA415">
        <f t="shared" si="64"/>
        <v>1459.2</v>
      </c>
      <c r="AB415">
        <f t="shared" si="65"/>
        <v>403.41</v>
      </c>
      <c r="AC415">
        <f t="shared" si="66"/>
        <v>0.27650000000000002</v>
      </c>
      <c r="AD415">
        <f t="shared" si="67"/>
        <v>3</v>
      </c>
      <c r="AE415">
        <f t="shared" si="68"/>
        <v>2024</v>
      </c>
      <c r="AF415" t="str">
        <f t="shared" si="69"/>
        <v>CLEAN</v>
      </c>
    </row>
    <row r="416" spans="1:32">
      <c r="A416" t="s">
        <v>2332</v>
      </c>
      <c r="B416" s="10">
        <v>45375</v>
      </c>
      <c r="C416" s="10">
        <v>45378</v>
      </c>
      <c r="D416">
        <f t="shared" si="60"/>
        <v>3</v>
      </c>
      <c r="E416" t="str">
        <f t="shared" si="61"/>
        <v>OK</v>
      </c>
      <c r="F416" t="s">
        <v>2333</v>
      </c>
      <c r="G416" t="s">
        <v>88</v>
      </c>
      <c r="H416" t="s">
        <v>89</v>
      </c>
      <c r="I416" t="s">
        <v>62</v>
      </c>
      <c r="J416" t="s">
        <v>179</v>
      </c>
      <c r="K416" t="s">
        <v>180</v>
      </c>
      <c r="L416" t="s">
        <v>27</v>
      </c>
      <c r="M416" t="s">
        <v>123</v>
      </c>
      <c r="N416" t="s">
        <v>2334</v>
      </c>
      <c r="O416" t="s">
        <v>49</v>
      </c>
      <c r="P416">
        <v>5</v>
      </c>
      <c r="Q416">
        <v>2465.2199999999998</v>
      </c>
      <c r="R416">
        <v>0.05</v>
      </c>
      <c r="S416" t="str">
        <f t="shared" si="62"/>
        <v>OK</v>
      </c>
      <c r="T416">
        <v>11709.79</v>
      </c>
      <c r="U416">
        <v>8372.2900000000009</v>
      </c>
      <c r="V416">
        <v>3337.5</v>
      </c>
      <c r="W416" t="s">
        <v>31</v>
      </c>
      <c r="X416" t="s">
        <v>32</v>
      </c>
      <c r="Y416" t="str">
        <f>IF(COUNTIF($A$2:$A$901,A416)&gt;1,
  IF(COUNTIF($A$2:A416,A416)=1,
    " ORIGINAL",
    "CONFLICTING DUPLICATE - REVIEW"),
"OK")</f>
        <v>OK</v>
      </c>
      <c r="Z416">
        <f t="shared" si="63"/>
        <v>0.05</v>
      </c>
      <c r="AA416">
        <f t="shared" si="64"/>
        <v>11709.8</v>
      </c>
      <c r="AB416">
        <f t="shared" si="65"/>
        <v>3337.51</v>
      </c>
      <c r="AC416">
        <f t="shared" si="66"/>
        <v>0.28499999999999998</v>
      </c>
      <c r="AD416">
        <f t="shared" si="67"/>
        <v>3</v>
      </c>
      <c r="AE416">
        <f t="shared" si="68"/>
        <v>2024</v>
      </c>
      <c r="AF416" t="str">
        <f t="shared" si="69"/>
        <v>CLEAN</v>
      </c>
    </row>
    <row r="417" spans="1:32">
      <c r="A417" t="s">
        <v>2335</v>
      </c>
      <c r="B417" s="10">
        <v>45515</v>
      </c>
      <c r="C417" s="10">
        <v>45573</v>
      </c>
      <c r="D417">
        <f t="shared" si="60"/>
        <v>58</v>
      </c>
      <c r="E417" t="str">
        <f t="shared" si="61"/>
        <v>OK</v>
      </c>
      <c r="F417" t="s">
        <v>2336</v>
      </c>
      <c r="G417" t="s">
        <v>88</v>
      </c>
      <c r="H417" t="s">
        <v>89</v>
      </c>
      <c r="I417" t="s">
        <v>24</v>
      </c>
      <c r="J417" t="s">
        <v>349</v>
      </c>
      <c r="K417" t="s">
        <v>350</v>
      </c>
      <c r="L417" t="s">
        <v>40</v>
      </c>
      <c r="M417" t="s">
        <v>56</v>
      </c>
      <c r="N417" t="s">
        <v>2337</v>
      </c>
      <c r="O417" t="s">
        <v>30</v>
      </c>
      <c r="P417">
        <v>3</v>
      </c>
      <c r="Q417">
        <v>1017.22</v>
      </c>
      <c r="R417">
        <v>0.15</v>
      </c>
      <c r="S417" t="str">
        <f t="shared" si="62"/>
        <v>OK</v>
      </c>
      <c r="T417">
        <v>2593.91</v>
      </c>
      <c r="U417">
        <v>1848.48</v>
      </c>
      <c r="V417">
        <v>745.43</v>
      </c>
      <c r="W417" t="s">
        <v>154</v>
      </c>
      <c r="X417" t="s">
        <v>102</v>
      </c>
      <c r="Y417" t="str">
        <f>IF(COUNTIF($A$2:$A$901,A417)&gt;1,
  IF(COUNTIF($A$2:A417,A417)=1,
    " ORIGINAL",
    "CONFLICTING DUPLICATE - REVIEW"),
"OK")</f>
        <v>OK</v>
      </c>
      <c r="Z417">
        <f t="shared" si="63"/>
        <v>0.15</v>
      </c>
      <c r="AA417">
        <f t="shared" si="64"/>
        <v>2593.91</v>
      </c>
      <c r="AB417">
        <f t="shared" si="65"/>
        <v>745.43</v>
      </c>
      <c r="AC417">
        <f t="shared" si="66"/>
        <v>0.28739999999999999</v>
      </c>
      <c r="AD417">
        <f t="shared" si="67"/>
        <v>8</v>
      </c>
      <c r="AE417">
        <f t="shared" si="68"/>
        <v>2024</v>
      </c>
      <c r="AF417" t="str">
        <f t="shared" si="69"/>
        <v>INVALID</v>
      </c>
    </row>
    <row r="418" spans="1:32">
      <c r="A418" t="s">
        <v>2344</v>
      </c>
      <c r="B418" s="10">
        <v>45592</v>
      </c>
      <c r="C418" s="10">
        <v>45597</v>
      </c>
      <c r="D418">
        <f t="shared" si="60"/>
        <v>5</v>
      </c>
      <c r="E418" t="str">
        <f t="shared" si="61"/>
        <v>OK</v>
      </c>
      <c r="F418" t="s">
        <v>2345</v>
      </c>
      <c r="G418" t="s">
        <v>140</v>
      </c>
      <c r="H418" t="s">
        <v>23</v>
      </c>
      <c r="I418" t="s">
        <v>24</v>
      </c>
      <c r="J418" t="s">
        <v>25</v>
      </c>
      <c r="K418" t="s">
        <v>26</v>
      </c>
      <c r="L418" t="s">
        <v>73</v>
      </c>
      <c r="M418" t="s">
        <v>74</v>
      </c>
      <c r="N418" t="s">
        <v>2346</v>
      </c>
      <c r="O418" t="s">
        <v>43</v>
      </c>
      <c r="P418">
        <v>7</v>
      </c>
      <c r="Q418">
        <v>2177.1</v>
      </c>
      <c r="R418">
        <v>0.2</v>
      </c>
      <c r="S418" t="str">
        <f t="shared" si="62"/>
        <v>OK</v>
      </c>
      <c r="T418">
        <v>12191.76</v>
      </c>
      <c r="U418">
        <v>10457.49</v>
      </c>
      <c r="V418">
        <v>1734.27</v>
      </c>
      <c r="W418" t="s">
        <v>31</v>
      </c>
      <c r="X418" t="s">
        <v>102</v>
      </c>
      <c r="Y418" t="str">
        <f>IF(COUNTIF($A$2:$A$901,A418)&gt;1,
  IF(COUNTIF($A$2:A418,A418)=1,
    " ORIGINAL",
    "CONFLICTING DUPLICATE - REVIEW"),
"OK")</f>
        <v>OK</v>
      </c>
      <c r="Z418">
        <f t="shared" si="63"/>
        <v>0.2</v>
      </c>
      <c r="AA418">
        <f t="shared" si="64"/>
        <v>12191.76</v>
      </c>
      <c r="AB418">
        <f t="shared" si="65"/>
        <v>1734.27</v>
      </c>
      <c r="AC418">
        <f t="shared" si="66"/>
        <v>0.14219999999999999</v>
      </c>
      <c r="AD418">
        <f t="shared" si="67"/>
        <v>10</v>
      </c>
      <c r="AE418">
        <f t="shared" si="68"/>
        <v>2024</v>
      </c>
      <c r="AF418" t="str">
        <f t="shared" si="69"/>
        <v>CLEAN</v>
      </c>
    </row>
    <row r="419" spans="1:32">
      <c r="A419" t="s">
        <v>2350</v>
      </c>
      <c r="B419" s="10">
        <v>45414</v>
      </c>
      <c r="C419" s="10">
        <v>45422</v>
      </c>
      <c r="D419">
        <f t="shared" si="60"/>
        <v>8</v>
      </c>
      <c r="E419" t="str">
        <f t="shared" si="61"/>
        <v>OK</v>
      </c>
      <c r="F419" t="s">
        <v>2351</v>
      </c>
      <c r="G419" t="s">
        <v>127</v>
      </c>
      <c r="H419" t="s">
        <v>36</v>
      </c>
      <c r="I419" t="s">
        <v>53</v>
      </c>
      <c r="J419" t="s">
        <v>174</v>
      </c>
      <c r="K419" t="s">
        <v>175</v>
      </c>
      <c r="L419" t="s">
        <v>40</v>
      </c>
      <c r="M419" t="s">
        <v>65</v>
      </c>
      <c r="N419" t="s">
        <v>2352</v>
      </c>
      <c r="O419" t="s">
        <v>58</v>
      </c>
      <c r="P419">
        <v>1</v>
      </c>
      <c r="Q419">
        <v>4166.91</v>
      </c>
      <c r="R419">
        <v>0</v>
      </c>
      <c r="S419" t="str">
        <f t="shared" si="62"/>
        <v>OK</v>
      </c>
      <c r="T419">
        <v>4166.91</v>
      </c>
      <c r="U419">
        <v>3412.63</v>
      </c>
      <c r="V419">
        <v>754.28</v>
      </c>
      <c r="W419" t="s">
        <v>31</v>
      </c>
      <c r="X419" t="s">
        <v>32</v>
      </c>
      <c r="Y419" t="str">
        <f>IF(COUNTIF($A$2:$A$901,A419)&gt;1,
  IF(COUNTIF($A$2:A419,A419)=1,
    " ORIGINAL",
    "CONFLICTING DUPLICATE - REVIEW"),
"OK")</f>
        <v>OK</v>
      </c>
      <c r="Z419">
        <f t="shared" si="63"/>
        <v>0</v>
      </c>
      <c r="AA419">
        <f t="shared" si="64"/>
        <v>4166.91</v>
      </c>
      <c r="AB419">
        <f t="shared" si="65"/>
        <v>754.28</v>
      </c>
      <c r="AC419">
        <f t="shared" si="66"/>
        <v>0.18099999999999999</v>
      </c>
      <c r="AD419">
        <f t="shared" si="67"/>
        <v>5</v>
      </c>
      <c r="AE419">
        <f t="shared" si="68"/>
        <v>2024</v>
      </c>
      <c r="AF419" t="str">
        <f t="shared" si="69"/>
        <v>CLEAN</v>
      </c>
    </row>
    <row r="420" spans="1:32">
      <c r="A420" t="s">
        <v>2353</v>
      </c>
      <c r="B420" s="10">
        <v>45492</v>
      </c>
      <c r="C420" s="10">
        <v>45499</v>
      </c>
      <c r="D420">
        <f t="shared" si="60"/>
        <v>7</v>
      </c>
      <c r="E420" t="str">
        <f t="shared" si="61"/>
        <v>OK</v>
      </c>
      <c r="F420" t="s">
        <v>2354</v>
      </c>
      <c r="G420" t="s">
        <v>52</v>
      </c>
      <c r="H420" t="s">
        <v>94</v>
      </c>
      <c r="I420" t="s">
        <v>53</v>
      </c>
      <c r="J420" t="s">
        <v>174</v>
      </c>
      <c r="K420" t="s">
        <v>175</v>
      </c>
      <c r="L420" t="s">
        <v>40</v>
      </c>
      <c r="M420" t="s">
        <v>41</v>
      </c>
      <c r="N420" t="s">
        <v>2355</v>
      </c>
      <c r="O420" t="s">
        <v>30</v>
      </c>
      <c r="P420">
        <v>5</v>
      </c>
      <c r="Q420">
        <v>3986.01</v>
      </c>
      <c r="R420">
        <v>0.25</v>
      </c>
      <c r="S420" t="str">
        <f t="shared" si="62"/>
        <v>OK</v>
      </c>
      <c r="T420">
        <v>14947.54</v>
      </c>
      <c r="U420">
        <v>9438.4599999999991</v>
      </c>
      <c r="V420">
        <v>5509.08</v>
      </c>
      <c r="W420" t="s">
        <v>31</v>
      </c>
      <c r="X420" t="s">
        <v>32</v>
      </c>
      <c r="Y420" t="str">
        <f>IF(COUNTIF($A$2:$A$901,A420)&gt;1,
  IF(COUNTIF($A$2:A420,A420)=1,
    " ORIGINAL",
    "CONFLICTING DUPLICATE - REVIEW"),
"OK")</f>
        <v>OK</v>
      </c>
      <c r="Z420">
        <f t="shared" si="63"/>
        <v>0.25</v>
      </c>
      <c r="AA420">
        <f t="shared" si="64"/>
        <v>14947.54</v>
      </c>
      <c r="AB420">
        <f t="shared" si="65"/>
        <v>5509.08</v>
      </c>
      <c r="AC420">
        <f t="shared" si="66"/>
        <v>0.36859999999999998</v>
      </c>
      <c r="AD420">
        <f t="shared" si="67"/>
        <v>7</v>
      </c>
      <c r="AE420">
        <f t="shared" si="68"/>
        <v>2024</v>
      </c>
      <c r="AF420" t="str">
        <f t="shared" si="69"/>
        <v>CLEAN</v>
      </c>
    </row>
    <row r="421" spans="1:32">
      <c r="A421" t="s">
        <v>2356</v>
      </c>
      <c r="B421" s="10">
        <v>45532</v>
      </c>
      <c r="C421" s="10">
        <v>45537</v>
      </c>
      <c r="D421">
        <f t="shared" si="60"/>
        <v>5</v>
      </c>
      <c r="E421" t="str">
        <f t="shared" si="61"/>
        <v>OK</v>
      </c>
      <c r="F421" t="s">
        <v>2357</v>
      </c>
      <c r="G421" t="s">
        <v>88</v>
      </c>
      <c r="H421" t="s">
        <v>94</v>
      </c>
      <c r="I421" t="s">
        <v>37</v>
      </c>
      <c r="J421" t="s">
        <v>165</v>
      </c>
      <c r="K421" t="s">
        <v>166</v>
      </c>
      <c r="L421" t="s">
        <v>27</v>
      </c>
      <c r="M421" t="s">
        <v>47</v>
      </c>
      <c r="N421" t="s">
        <v>2358</v>
      </c>
      <c r="O421" t="s">
        <v>30</v>
      </c>
      <c r="P421">
        <v>4</v>
      </c>
      <c r="Q421">
        <v>3365.53</v>
      </c>
      <c r="R421">
        <v>0</v>
      </c>
      <c r="S421" t="str">
        <f t="shared" si="62"/>
        <v>OK</v>
      </c>
      <c r="T421">
        <v>13462.12</v>
      </c>
      <c r="U421">
        <v>7600.63</v>
      </c>
      <c r="V421">
        <v>5861.49</v>
      </c>
      <c r="W421" t="s">
        <v>110</v>
      </c>
      <c r="X421" t="s">
        <v>102</v>
      </c>
      <c r="Y421" t="str">
        <f>IF(COUNTIF($A$2:$A$901,A421)&gt;1,
  IF(COUNTIF($A$2:A421,A421)=1,
    " ORIGINAL",
    "CONFLICTING DUPLICATE - REVIEW"),
"OK")</f>
        <v>OK</v>
      </c>
      <c r="Z421">
        <f t="shared" si="63"/>
        <v>0</v>
      </c>
      <c r="AA421">
        <f t="shared" si="64"/>
        <v>13462.12</v>
      </c>
      <c r="AB421">
        <f t="shared" si="65"/>
        <v>5861.49</v>
      </c>
      <c r="AC421">
        <f t="shared" si="66"/>
        <v>0.43540000000000001</v>
      </c>
      <c r="AD421">
        <f t="shared" si="67"/>
        <v>8</v>
      </c>
      <c r="AE421">
        <f t="shared" si="68"/>
        <v>2024</v>
      </c>
      <c r="AF421" t="str">
        <f t="shared" si="69"/>
        <v>CLEAN</v>
      </c>
    </row>
    <row r="422" spans="1:32">
      <c r="A422" t="s">
        <v>2362</v>
      </c>
      <c r="B422" s="10">
        <v>45292</v>
      </c>
      <c r="C422" s="10">
        <v>45296</v>
      </c>
      <c r="D422">
        <f t="shared" si="60"/>
        <v>4</v>
      </c>
      <c r="E422" t="str">
        <f t="shared" si="61"/>
        <v>OK</v>
      </c>
      <c r="F422" t="s">
        <v>2363</v>
      </c>
      <c r="G422" t="s">
        <v>161</v>
      </c>
      <c r="H422" t="s">
        <v>89</v>
      </c>
      <c r="I422" t="s">
        <v>62</v>
      </c>
      <c r="J422" t="s">
        <v>71</v>
      </c>
      <c r="K422" t="s">
        <v>72</v>
      </c>
      <c r="L422" t="s">
        <v>73</v>
      </c>
      <c r="M422" t="s">
        <v>273</v>
      </c>
      <c r="N422" t="s">
        <v>2364</v>
      </c>
      <c r="O422" t="s">
        <v>30</v>
      </c>
      <c r="P422">
        <v>2</v>
      </c>
      <c r="Q422">
        <v>3694.12</v>
      </c>
      <c r="R422">
        <v>0.2</v>
      </c>
      <c r="S422" t="str">
        <f t="shared" si="62"/>
        <v>OK</v>
      </c>
      <c r="T422">
        <v>5910.59</v>
      </c>
      <c r="U422">
        <v>4775.4399999999996</v>
      </c>
      <c r="V422">
        <v>1135.1500000000001</v>
      </c>
      <c r="W422" t="s">
        <v>101</v>
      </c>
      <c r="X422" t="s">
        <v>102</v>
      </c>
      <c r="Y422" t="str">
        <f>IF(COUNTIF($A$2:$A$901,A422)&gt;1,
  IF(COUNTIF($A$2:A422,A422)=1,
    " ORIGINAL",
    "CONFLICTING DUPLICATE - REVIEW"),
"OK")</f>
        <v>OK</v>
      </c>
      <c r="Z422">
        <f t="shared" si="63"/>
        <v>0.2</v>
      </c>
      <c r="AA422">
        <f t="shared" si="64"/>
        <v>5910.59</v>
      </c>
      <c r="AB422">
        <f t="shared" si="65"/>
        <v>1135.1500000000001</v>
      </c>
      <c r="AC422">
        <f t="shared" si="66"/>
        <v>0.19209999999999999</v>
      </c>
      <c r="AD422">
        <f t="shared" si="67"/>
        <v>1</v>
      </c>
      <c r="AE422">
        <f t="shared" si="68"/>
        <v>2024</v>
      </c>
      <c r="AF422" t="str">
        <f t="shared" si="69"/>
        <v>CLEAN</v>
      </c>
    </row>
    <row r="423" spans="1:32">
      <c r="A423" t="s">
        <v>2373</v>
      </c>
      <c r="B423" s="10">
        <v>45552</v>
      </c>
      <c r="C423" s="10">
        <v>45559</v>
      </c>
      <c r="D423">
        <f t="shared" si="60"/>
        <v>7</v>
      </c>
      <c r="E423" t="str">
        <f t="shared" si="61"/>
        <v>OK</v>
      </c>
      <c r="F423" t="s">
        <v>2374</v>
      </c>
      <c r="G423" t="s">
        <v>35</v>
      </c>
      <c r="H423" t="s">
        <v>89</v>
      </c>
      <c r="I423" t="s">
        <v>62</v>
      </c>
      <c r="J423" t="s">
        <v>179</v>
      </c>
      <c r="K423" t="s">
        <v>180</v>
      </c>
      <c r="L423" t="s">
        <v>27</v>
      </c>
      <c r="M423" t="s">
        <v>47</v>
      </c>
      <c r="N423" t="s">
        <v>2375</v>
      </c>
      <c r="O423" t="s">
        <v>30</v>
      </c>
      <c r="P423">
        <v>9</v>
      </c>
      <c r="Q423">
        <v>2307.96</v>
      </c>
      <c r="R423">
        <v>0.2</v>
      </c>
      <c r="S423" t="str">
        <f t="shared" si="62"/>
        <v>OK</v>
      </c>
      <c r="T423">
        <v>16617.310000000001</v>
      </c>
      <c r="U423">
        <v>9195.73</v>
      </c>
      <c r="V423">
        <v>7421.58</v>
      </c>
      <c r="W423" t="s">
        <v>31</v>
      </c>
      <c r="X423" t="s">
        <v>67</v>
      </c>
      <c r="Y423" t="str">
        <f>IF(COUNTIF($A$2:$A$901,A423)&gt;1,
  IF(COUNTIF($A$2:A423,A423)=1,
    " ORIGINAL",
    "CONFLICTING DUPLICATE - REVIEW"),
"OK")</f>
        <v>OK</v>
      </c>
      <c r="Z423">
        <f t="shared" si="63"/>
        <v>0.2</v>
      </c>
      <c r="AA423">
        <f t="shared" si="64"/>
        <v>16617.310000000001</v>
      </c>
      <c r="AB423">
        <f t="shared" si="65"/>
        <v>7421.58</v>
      </c>
      <c r="AC423">
        <f t="shared" si="66"/>
        <v>0.4466</v>
      </c>
      <c r="AD423">
        <f t="shared" si="67"/>
        <v>9</v>
      </c>
      <c r="AE423">
        <f t="shared" si="68"/>
        <v>2024</v>
      </c>
      <c r="AF423" t="str">
        <f t="shared" si="69"/>
        <v>CLEAN</v>
      </c>
    </row>
    <row r="424" spans="1:32">
      <c r="A424" t="s">
        <v>2376</v>
      </c>
      <c r="B424" s="10">
        <v>45415</v>
      </c>
      <c r="C424" s="10">
        <v>45418</v>
      </c>
      <c r="D424">
        <f t="shared" si="60"/>
        <v>3</v>
      </c>
      <c r="E424" t="str">
        <f t="shared" si="61"/>
        <v>OK</v>
      </c>
      <c r="F424" t="s">
        <v>2377</v>
      </c>
      <c r="G424" t="s">
        <v>61</v>
      </c>
      <c r="H424" t="s">
        <v>94</v>
      </c>
      <c r="I424" t="s">
        <v>24</v>
      </c>
      <c r="J424" t="s">
        <v>135</v>
      </c>
      <c r="K424" t="s">
        <v>136</v>
      </c>
      <c r="L424" t="s">
        <v>27</v>
      </c>
      <c r="M424" t="s">
        <v>152</v>
      </c>
      <c r="N424" t="s">
        <v>2378</v>
      </c>
      <c r="O424" t="s">
        <v>58</v>
      </c>
      <c r="P424">
        <v>1</v>
      </c>
      <c r="Q424">
        <v>1244.58</v>
      </c>
      <c r="R424">
        <v>0.25</v>
      </c>
      <c r="S424" t="str">
        <f t="shared" si="62"/>
        <v>OK</v>
      </c>
      <c r="T424">
        <v>933.43</v>
      </c>
      <c r="U424">
        <v>583.09</v>
      </c>
      <c r="V424">
        <v>350.34</v>
      </c>
      <c r="W424" t="s">
        <v>31</v>
      </c>
      <c r="X424" t="s">
        <v>32</v>
      </c>
      <c r="Y424" t="str">
        <f>IF(COUNTIF($A$2:$A$901,A424)&gt;1,
  IF(COUNTIF($A$2:A424,A424)=1,
    " ORIGINAL",
    "CONFLICTING DUPLICATE - REVIEW"),
"OK")</f>
        <v>OK</v>
      </c>
      <c r="Z424">
        <f t="shared" si="63"/>
        <v>0.25</v>
      </c>
      <c r="AA424">
        <f t="shared" si="64"/>
        <v>933.44</v>
      </c>
      <c r="AB424">
        <f t="shared" si="65"/>
        <v>350.35</v>
      </c>
      <c r="AC424">
        <f t="shared" si="66"/>
        <v>0.37530000000000002</v>
      </c>
      <c r="AD424">
        <f t="shared" si="67"/>
        <v>5</v>
      </c>
      <c r="AE424">
        <f t="shared" si="68"/>
        <v>2024</v>
      </c>
      <c r="AF424" t="str">
        <f t="shared" si="69"/>
        <v>CLEAN</v>
      </c>
    </row>
    <row r="425" spans="1:32">
      <c r="A425" t="s">
        <v>2382</v>
      </c>
      <c r="B425" s="10">
        <v>45423</v>
      </c>
      <c r="C425" s="10">
        <v>45425</v>
      </c>
      <c r="D425">
        <f t="shared" si="60"/>
        <v>2</v>
      </c>
      <c r="E425" t="str">
        <f t="shared" si="61"/>
        <v>OK</v>
      </c>
      <c r="F425" t="s">
        <v>2383</v>
      </c>
      <c r="G425" t="s">
        <v>113</v>
      </c>
      <c r="H425" t="s">
        <v>94</v>
      </c>
      <c r="I425" t="s">
        <v>62</v>
      </c>
      <c r="J425" t="s">
        <v>189</v>
      </c>
      <c r="K425" t="s">
        <v>190</v>
      </c>
      <c r="L425" t="s">
        <v>40</v>
      </c>
      <c r="M425" t="s">
        <v>157</v>
      </c>
      <c r="N425" t="s">
        <v>2384</v>
      </c>
      <c r="O425" t="s">
        <v>43</v>
      </c>
      <c r="P425">
        <v>3</v>
      </c>
      <c r="Q425">
        <v>3612.75</v>
      </c>
      <c r="R425">
        <v>0.25</v>
      </c>
      <c r="S425" t="str">
        <f t="shared" si="62"/>
        <v>OK</v>
      </c>
      <c r="T425">
        <v>8128.69</v>
      </c>
      <c r="U425">
        <v>5071.66</v>
      </c>
      <c r="V425">
        <v>3057.03</v>
      </c>
      <c r="W425" t="s">
        <v>31</v>
      </c>
      <c r="X425" t="s">
        <v>32</v>
      </c>
      <c r="Y425" t="str">
        <f>IF(COUNTIF($A$2:$A$901,A425)&gt;1,
  IF(COUNTIF($A$2:A425,A425)=1,
    " ORIGINAL",
    "CONFLICTING DUPLICATE - REVIEW"),
"OK")</f>
        <v>OK</v>
      </c>
      <c r="Z425">
        <f t="shared" si="63"/>
        <v>0.25</v>
      </c>
      <c r="AA425">
        <f t="shared" si="64"/>
        <v>8128.69</v>
      </c>
      <c r="AB425">
        <f t="shared" si="65"/>
        <v>3057.03</v>
      </c>
      <c r="AC425">
        <f t="shared" si="66"/>
        <v>0.37609999999999999</v>
      </c>
      <c r="AD425">
        <f t="shared" si="67"/>
        <v>5</v>
      </c>
      <c r="AE425">
        <f t="shared" si="68"/>
        <v>2024</v>
      </c>
      <c r="AF425" t="str">
        <f t="shared" si="69"/>
        <v>CLEAN</v>
      </c>
    </row>
    <row r="426" spans="1:32">
      <c r="A426" t="s">
        <v>2385</v>
      </c>
      <c r="B426" s="10">
        <v>45337</v>
      </c>
      <c r="C426" s="10">
        <v>45339</v>
      </c>
      <c r="D426">
        <f t="shared" si="60"/>
        <v>2</v>
      </c>
      <c r="E426" t="str">
        <f t="shared" si="61"/>
        <v>OK</v>
      </c>
      <c r="F426" t="s">
        <v>2386</v>
      </c>
      <c r="G426" t="s">
        <v>78</v>
      </c>
      <c r="H426" t="s">
        <v>23</v>
      </c>
      <c r="I426" t="s">
        <v>24</v>
      </c>
      <c r="J426" t="s">
        <v>135</v>
      </c>
      <c r="K426" t="s">
        <v>136</v>
      </c>
      <c r="L426" t="s">
        <v>73</v>
      </c>
      <c r="M426" t="s">
        <v>79</v>
      </c>
      <c r="N426" t="s">
        <v>2387</v>
      </c>
      <c r="O426" t="s">
        <v>49</v>
      </c>
      <c r="P426">
        <v>4</v>
      </c>
      <c r="Q426">
        <v>863</v>
      </c>
      <c r="R426">
        <v>0</v>
      </c>
      <c r="S426" t="str">
        <f t="shared" si="62"/>
        <v>OK</v>
      </c>
      <c r="T426">
        <v>3106.8</v>
      </c>
      <c r="U426">
        <v>2376.62</v>
      </c>
      <c r="V426">
        <v>730.18</v>
      </c>
      <c r="W426" t="s">
        <v>31</v>
      </c>
      <c r="X426" t="s">
        <v>32</v>
      </c>
      <c r="Y426" t="str">
        <f>IF(COUNTIF($A$2:$A$901,A426)&gt;1,
  IF(COUNTIF($A$2:A426,A426)=1,
    " ORIGINAL",
    "CONFLICTING DUPLICATE - REVIEW"),
"OK")</f>
        <v>OK</v>
      </c>
      <c r="Z426">
        <f t="shared" si="63"/>
        <v>0</v>
      </c>
      <c r="AA426">
        <f t="shared" si="64"/>
        <v>3452</v>
      </c>
      <c r="AB426">
        <f t="shared" si="65"/>
        <v>1075.3800000000001</v>
      </c>
      <c r="AC426">
        <f t="shared" si="66"/>
        <v>0.3115</v>
      </c>
      <c r="AD426">
        <f t="shared" si="67"/>
        <v>2</v>
      </c>
      <c r="AE426">
        <f t="shared" si="68"/>
        <v>2024</v>
      </c>
      <c r="AF426" t="str">
        <f t="shared" si="69"/>
        <v>CLEAN</v>
      </c>
    </row>
    <row r="427" spans="1:32">
      <c r="A427" t="s">
        <v>2388</v>
      </c>
      <c r="B427" s="10">
        <v>45485</v>
      </c>
      <c r="C427" s="10">
        <v>45487</v>
      </c>
      <c r="D427">
        <f t="shared" si="60"/>
        <v>2</v>
      </c>
      <c r="E427" t="str">
        <f t="shared" si="61"/>
        <v>OK</v>
      </c>
      <c r="F427" t="s">
        <v>467</v>
      </c>
      <c r="G427" t="s">
        <v>61</v>
      </c>
      <c r="H427" t="s">
        <v>23</v>
      </c>
      <c r="I427" t="s">
        <v>24</v>
      </c>
      <c r="J427" t="s">
        <v>235</v>
      </c>
      <c r="K427" t="s">
        <v>236</v>
      </c>
      <c r="L427" t="s">
        <v>73</v>
      </c>
      <c r="M427" t="s">
        <v>273</v>
      </c>
      <c r="N427" t="s">
        <v>2389</v>
      </c>
      <c r="O427" t="s">
        <v>30</v>
      </c>
      <c r="P427">
        <v>4</v>
      </c>
      <c r="Q427">
        <v>2131.41</v>
      </c>
      <c r="R427">
        <v>0</v>
      </c>
      <c r="S427" t="str">
        <f t="shared" si="62"/>
        <v>OK</v>
      </c>
      <c r="T427">
        <v>6394.23</v>
      </c>
      <c r="U427">
        <v>3520.69</v>
      </c>
      <c r="V427">
        <v>2873.54</v>
      </c>
      <c r="W427" t="s">
        <v>31</v>
      </c>
      <c r="X427" t="s">
        <v>32</v>
      </c>
      <c r="Y427" t="str">
        <f>IF(COUNTIF($A$2:$A$901,A427)&gt;1,
  IF(COUNTIF($A$2:A427,A427)=1,
    " ORIGINAL",
    "CONFLICTING DUPLICATE - REVIEW"),
"OK")</f>
        <v>OK</v>
      </c>
      <c r="Z427">
        <f t="shared" si="63"/>
        <v>0</v>
      </c>
      <c r="AA427">
        <f t="shared" si="64"/>
        <v>8525.64</v>
      </c>
      <c r="AB427">
        <f t="shared" si="65"/>
        <v>5004.95</v>
      </c>
      <c r="AC427">
        <f t="shared" si="66"/>
        <v>0.58699999999999997</v>
      </c>
      <c r="AD427">
        <f t="shared" si="67"/>
        <v>7</v>
      </c>
      <c r="AE427">
        <f t="shared" si="68"/>
        <v>2024</v>
      </c>
      <c r="AF427" t="str">
        <f t="shared" si="69"/>
        <v>CLEAN</v>
      </c>
    </row>
    <row r="428" spans="1:32">
      <c r="A428" t="s">
        <v>2399</v>
      </c>
      <c r="B428" s="10">
        <v>45396</v>
      </c>
      <c r="C428" s="10">
        <v>45404</v>
      </c>
      <c r="D428">
        <f t="shared" si="60"/>
        <v>8</v>
      </c>
      <c r="E428" t="str">
        <f t="shared" si="61"/>
        <v>OK</v>
      </c>
      <c r="F428" t="s">
        <v>2400</v>
      </c>
      <c r="G428" t="s">
        <v>52</v>
      </c>
      <c r="H428" t="s">
        <v>23</v>
      </c>
      <c r="I428" t="s">
        <v>24</v>
      </c>
      <c r="J428" t="s">
        <v>235</v>
      </c>
      <c r="K428" t="s">
        <v>236</v>
      </c>
      <c r="L428" t="s">
        <v>73</v>
      </c>
      <c r="M428" t="s">
        <v>74</v>
      </c>
      <c r="N428" t="s">
        <v>2401</v>
      </c>
      <c r="O428" t="s">
        <v>58</v>
      </c>
      <c r="P428">
        <v>8</v>
      </c>
      <c r="Q428">
        <v>3956.12</v>
      </c>
      <c r="R428">
        <v>0.25</v>
      </c>
      <c r="S428" t="str">
        <f t="shared" si="62"/>
        <v>OK</v>
      </c>
      <c r="T428">
        <v>23736.720000000001</v>
      </c>
      <c r="U428">
        <v>13890.9</v>
      </c>
      <c r="V428">
        <v>9845.82</v>
      </c>
      <c r="W428" t="s">
        <v>31</v>
      </c>
      <c r="X428" t="s">
        <v>32</v>
      </c>
      <c r="Y428" t="str">
        <f>IF(COUNTIF($A$2:$A$901,A428)&gt;1,
  IF(COUNTIF($A$2:A428,A428)=1,
    " ORIGINAL",
    "CONFLICTING DUPLICATE - REVIEW"),
"OK")</f>
        <v>OK</v>
      </c>
      <c r="Z428">
        <f t="shared" si="63"/>
        <v>0.25</v>
      </c>
      <c r="AA428">
        <f t="shared" si="64"/>
        <v>23736.720000000001</v>
      </c>
      <c r="AB428">
        <f t="shared" si="65"/>
        <v>9845.82</v>
      </c>
      <c r="AC428">
        <f t="shared" si="66"/>
        <v>0.4148</v>
      </c>
      <c r="AD428">
        <f t="shared" si="67"/>
        <v>4</v>
      </c>
      <c r="AE428">
        <f t="shared" si="68"/>
        <v>2024</v>
      </c>
      <c r="AF428" t="str">
        <f t="shared" si="69"/>
        <v>CLEAN</v>
      </c>
    </row>
    <row r="429" spans="1:32">
      <c r="A429" t="s">
        <v>2405</v>
      </c>
      <c r="B429" s="10">
        <v>45384</v>
      </c>
      <c r="C429" s="10">
        <v>45328</v>
      </c>
      <c r="D429">
        <f t="shared" si="60"/>
        <v>-56</v>
      </c>
      <c r="E429" t="str">
        <f t="shared" si="61"/>
        <v>INVALID</v>
      </c>
      <c r="F429" t="s">
        <v>2406</v>
      </c>
      <c r="G429" t="s">
        <v>263</v>
      </c>
      <c r="H429" t="s">
        <v>36</v>
      </c>
      <c r="I429" t="s">
        <v>62</v>
      </c>
      <c r="J429" t="s">
        <v>71</v>
      </c>
      <c r="K429" t="s">
        <v>72</v>
      </c>
      <c r="L429" t="s">
        <v>73</v>
      </c>
      <c r="M429" t="s">
        <v>74</v>
      </c>
      <c r="N429" t="s">
        <v>2407</v>
      </c>
      <c r="O429" t="s">
        <v>30</v>
      </c>
      <c r="P429">
        <v>4</v>
      </c>
      <c r="Q429">
        <v>1489.74</v>
      </c>
      <c r="R429">
        <v>0.15</v>
      </c>
      <c r="S429" t="str">
        <f t="shared" si="62"/>
        <v>OK</v>
      </c>
      <c r="T429">
        <v>5065.12</v>
      </c>
      <c r="U429">
        <v>3530.12</v>
      </c>
      <c r="V429">
        <v>1535</v>
      </c>
      <c r="W429" t="s">
        <v>154</v>
      </c>
      <c r="X429" t="s">
        <v>67</v>
      </c>
      <c r="Y429" t="str">
        <f>IF(COUNTIF($A$2:$A$901,A429)&gt;1,
  IF(COUNTIF($A$2:A429,A429)=1,
    " ORIGINAL",
    "CONFLICTING DUPLICATE - REVIEW"),
"OK")</f>
        <v>OK</v>
      </c>
      <c r="Z429">
        <f t="shared" si="63"/>
        <v>0.15</v>
      </c>
      <c r="AA429">
        <f t="shared" si="64"/>
        <v>5065.12</v>
      </c>
      <c r="AB429">
        <f t="shared" si="65"/>
        <v>1535</v>
      </c>
      <c r="AC429">
        <f t="shared" si="66"/>
        <v>0.30309999999999998</v>
      </c>
      <c r="AD429">
        <f t="shared" si="67"/>
        <v>4</v>
      </c>
      <c r="AE429">
        <f t="shared" si="68"/>
        <v>2024</v>
      </c>
      <c r="AF429" t="str">
        <f t="shared" si="69"/>
        <v>INVALID</v>
      </c>
    </row>
    <row r="430" spans="1:32">
      <c r="A430" t="s">
        <v>2408</v>
      </c>
      <c r="B430" s="10">
        <v>45497</v>
      </c>
      <c r="C430" s="10">
        <v>45497</v>
      </c>
      <c r="D430">
        <f t="shared" si="60"/>
        <v>0</v>
      </c>
      <c r="E430" t="str">
        <f t="shared" si="61"/>
        <v>OK</v>
      </c>
      <c r="F430" t="s">
        <v>2409</v>
      </c>
      <c r="G430" t="s">
        <v>22</v>
      </c>
      <c r="H430" t="s">
        <v>36</v>
      </c>
      <c r="I430" t="s">
        <v>24</v>
      </c>
      <c r="J430" t="s">
        <v>235</v>
      </c>
      <c r="K430" t="s">
        <v>236</v>
      </c>
      <c r="L430" t="s">
        <v>73</v>
      </c>
      <c r="M430" t="s">
        <v>79</v>
      </c>
      <c r="N430" t="s">
        <v>2410</v>
      </c>
      <c r="O430" t="s">
        <v>30</v>
      </c>
      <c r="P430">
        <v>4</v>
      </c>
      <c r="Q430">
        <v>1676.88</v>
      </c>
      <c r="R430">
        <v>0</v>
      </c>
      <c r="S430" t="str">
        <f t="shared" si="62"/>
        <v>OK</v>
      </c>
      <c r="T430">
        <v>6707.52</v>
      </c>
      <c r="U430">
        <v>5672.57</v>
      </c>
      <c r="V430">
        <v>1034.95</v>
      </c>
      <c r="W430" t="s">
        <v>31</v>
      </c>
      <c r="X430" t="s">
        <v>32</v>
      </c>
      <c r="Y430" t="str">
        <f>IF(COUNTIF($A$2:$A$901,A430)&gt;1,
  IF(COUNTIF($A$2:A430,A430)=1,
    " ORIGINAL",
    "CONFLICTING DUPLICATE - REVIEW"),
"OK")</f>
        <v>OK</v>
      </c>
      <c r="Z430">
        <f t="shared" si="63"/>
        <v>0</v>
      </c>
      <c r="AA430">
        <f t="shared" si="64"/>
        <v>6707.52</v>
      </c>
      <c r="AB430">
        <f t="shared" si="65"/>
        <v>1034.95</v>
      </c>
      <c r="AC430">
        <f t="shared" si="66"/>
        <v>0.15429999999999999</v>
      </c>
      <c r="AD430">
        <f t="shared" si="67"/>
        <v>7</v>
      </c>
      <c r="AE430">
        <f t="shared" si="68"/>
        <v>2024</v>
      </c>
      <c r="AF430" t="str">
        <f t="shared" si="69"/>
        <v>CLEAN</v>
      </c>
    </row>
    <row r="431" spans="1:32">
      <c r="A431" t="s">
        <v>2411</v>
      </c>
      <c r="B431" s="10">
        <v>45306</v>
      </c>
      <c r="C431" s="10">
        <v>45311</v>
      </c>
      <c r="D431">
        <f t="shared" si="60"/>
        <v>5</v>
      </c>
      <c r="E431" t="str">
        <f t="shared" si="61"/>
        <v>OK</v>
      </c>
      <c r="F431" t="s">
        <v>2412</v>
      </c>
      <c r="G431" t="s">
        <v>113</v>
      </c>
      <c r="H431" t="s">
        <v>36</v>
      </c>
      <c r="I431" t="s">
        <v>53</v>
      </c>
      <c r="J431" t="s">
        <v>83</v>
      </c>
      <c r="K431" t="s">
        <v>84</v>
      </c>
      <c r="L431" t="s">
        <v>40</v>
      </c>
      <c r="M431" t="s">
        <v>65</v>
      </c>
      <c r="N431" t="s">
        <v>2413</v>
      </c>
      <c r="O431" t="s">
        <v>58</v>
      </c>
      <c r="P431">
        <v>4</v>
      </c>
      <c r="Q431">
        <v>3153.54</v>
      </c>
      <c r="R431">
        <v>0.05</v>
      </c>
      <c r="S431" t="str">
        <f t="shared" si="62"/>
        <v>OK</v>
      </c>
      <c r="T431">
        <v>11983.45</v>
      </c>
      <c r="U431">
        <v>8572.9</v>
      </c>
      <c r="V431">
        <v>3410.55</v>
      </c>
      <c r="W431" t="s">
        <v>31</v>
      </c>
      <c r="X431" t="s">
        <v>32</v>
      </c>
      <c r="Y431" t="str">
        <f>IF(COUNTIF($A$2:$A$901,A431)&gt;1,
  IF(COUNTIF($A$2:A431,A431)=1,
    " ORIGINAL",
    "CONFLICTING DUPLICATE - REVIEW"),
"OK")</f>
        <v>OK</v>
      </c>
      <c r="Z431">
        <f t="shared" si="63"/>
        <v>0.05</v>
      </c>
      <c r="AA431">
        <f t="shared" si="64"/>
        <v>11983.45</v>
      </c>
      <c r="AB431">
        <f t="shared" si="65"/>
        <v>3410.55</v>
      </c>
      <c r="AC431">
        <f t="shared" si="66"/>
        <v>0.28460000000000002</v>
      </c>
      <c r="AD431">
        <f t="shared" si="67"/>
        <v>1</v>
      </c>
      <c r="AE431">
        <f t="shared" si="68"/>
        <v>2024</v>
      </c>
      <c r="AF431" t="str">
        <f t="shared" si="69"/>
        <v>CLEAN</v>
      </c>
    </row>
    <row r="432" spans="1:32">
      <c r="A432" t="s">
        <v>2414</v>
      </c>
      <c r="B432" s="10">
        <v>45508</v>
      </c>
      <c r="C432" s="10">
        <v>45514</v>
      </c>
      <c r="D432">
        <f t="shared" si="60"/>
        <v>6</v>
      </c>
      <c r="E432" t="str">
        <f t="shared" si="61"/>
        <v>OK</v>
      </c>
      <c r="F432" t="s">
        <v>2415</v>
      </c>
      <c r="G432" t="s">
        <v>161</v>
      </c>
      <c r="H432" t="s">
        <v>36</v>
      </c>
      <c r="I432" t="s">
        <v>62</v>
      </c>
      <c r="J432" t="s">
        <v>25</v>
      </c>
      <c r="K432" t="s">
        <v>108</v>
      </c>
      <c r="L432" t="s">
        <v>40</v>
      </c>
      <c r="M432" t="s">
        <v>65</v>
      </c>
      <c r="N432" t="s">
        <v>2416</v>
      </c>
      <c r="O432" t="s">
        <v>43</v>
      </c>
      <c r="P432">
        <v>4</v>
      </c>
      <c r="Q432">
        <v>426.43</v>
      </c>
      <c r="R432">
        <v>0.2</v>
      </c>
      <c r="S432" t="str">
        <f t="shared" si="62"/>
        <v>OK</v>
      </c>
      <c r="T432">
        <v>1364.58</v>
      </c>
      <c r="U432">
        <v>978.16</v>
      </c>
      <c r="V432">
        <v>386.42</v>
      </c>
      <c r="W432" t="s">
        <v>31</v>
      </c>
      <c r="X432" t="s">
        <v>32</v>
      </c>
      <c r="Y432" t="str">
        <f>IF(COUNTIF($A$2:$A$901,A432)&gt;1,
  IF(COUNTIF($A$2:A432,A432)=1,
    " ORIGINAL",
    "CONFLICTING DUPLICATE - REVIEW"),
"OK")</f>
        <v>OK</v>
      </c>
      <c r="Z432">
        <f t="shared" si="63"/>
        <v>0.2</v>
      </c>
      <c r="AA432">
        <f t="shared" si="64"/>
        <v>1364.58</v>
      </c>
      <c r="AB432">
        <f t="shared" si="65"/>
        <v>386.42</v>
      </c>
      <c r="AC432">
        <f t="shared" si="66"/>
        <v>0.28320000000000001</v>
      </c>
      <c r="AD432">
        <f t="shared" si="67"/>
        <v>8</v>
      </c>
      <c r="AE432">
        <f t="shared" si="68"/>
        <v>2024</v>
      </c>
      <c r="AF432" t="str">
        <f t="shared" si="69"/>
        <v>CLEAN</v>
      </c>
    </row>
    <row r="433" spans="1:32">
      <c r="A433" t="s">
        <v>2417</v>
      </c>
      <c r="B433" s="10">
        <v>45324</v>
      </c>
      <c r="C433" s="10">
        <v>45332</v>
      </c>
      <c r="D433">
        <f t="shared" si="60"/>
        <v>8</v>
      </c>
      <c r="E433" t="str">
        <f t="shared" si="61"/>
        <v>OK</v>
      </c>
      <c r="F433" t="s">
        <v>2418</v>
      </c>
      <c r="G433" t="s">
        <v>22</v>
      </c>
      <c r="H433" t="s">
        <v>94</v>
      </c>
      <c r="I433" t="s">
        <v>62</v>
      </c>
      <c r="J433" t="s">
        <v>25</v>
      </c>
      <c r="K433" t="s">
        <v>108</v>
      </c>
      <c r="L433" t="s">
        <v>27</v>
      </c>
      <c r="M433" t="s">
        <v>90</v>
      </c>
      <c r="N433" t="s">
        <v>2419</v>
      </c>
      <c r="O433" t="s">
        <v>49</v>
      </c>
      <c r="P433">
        <v>3</v>
      </c>
      <c r="Q433">
        <v>383.4</v>
      </c>
      <c r="R433">
        <v>0.25</v>
      </c>
      <c r="S433" t="str">
        <f t="shared" si="62"/>
        <v>OK</v>
      </c>
      <c r="T433">
        <v>862.65</v>
      </c>
      <c r="U433">
        <v>603.73</v>
      </c>
      <c r="V433">
        <v>258.92</v>
      </c>
      <c r="W433" t="s">
        <v>110</v>
      </c>
      <c r="X433" t="s">
        <v>102</v>
      </c>
      <c r="Y433" t="str">
        <f>IF(COUNTIF($A$2:$A$901,A433)&gt;1,
  IF(COUNTIF($A$2:A433,A433)=1,
    " ORIGINAL",
    "CONFLICTING DUPLICATE - REVIEW"),
"OK")</f>
        <v>OK</v>
      </c>
      <c r="Z433">
        <f t="shared" si="63"/>
        <v>0.25</v>
      </c>
      <c r="AA433">
        <f t="shared" si="64"/>
        <v>862.65</v>
      </c>
      <c r="AB433">
        <f t="shared" si="65"/>
        <v>258.92</v>
      </c>
      <c r="AC433">
        <f t="shared" si="66"/>
        <v>0.30009999999999998</v>
      </c>
      <c r="AD433">
        <f t="shared" si="67"/>
        <v>2</v>
      </c>
      <c r="AE433">
        <f t="shared" si="68"/>
        <v>2024</v>
      </c>
      <c r="AF433" t="str">
        <f t="shared" si="69"/>
        <v>CLEAN</v>
      </c>
    </row>
    <row r="434" spans="1:32">
      <c r="A434" t="s">
        <v>2423</v>
      </c>
      <c r="B434" s="10">
        <v>45450</v>
      </c>
      <c r="C434" s="10">
        <v>45450</v>
      </c>
      <c r="D434">
        <f t="shared" si="60"/>
        <v>0</v>
      </c>
      <c r="E434" t="str">
        <f t="shared" si="61"/>
        <v>OK</v>
      </c>
      <c r="F434" t="s">
        <v>2424</v>
      </c>
      <c r="G434" t="s">
        <v>127</v>
      </c>
      <c r="H434" t="s">
        <v>36</v>
      </c>
      <c r="I434" t="s">
        <v>37</v>
      </c>
      <c r="J434" t="s">
        <v>144</v>
      </c>
      <c r="K434" t="s">
        <v>145</v>
      </c>
      <c r="L434" t="s">
        <v>27</v>
      </c>
      <c r="M434" t="s">
        <v>47</v>
      </c>
      <c r="N434" t="s">
        <v>2425</v>
      </c>
      <c r="O434" t="s">
        <v>30</v>
      </c>
      <c r="P434">
        <v>1</v>
      </c>
      <c r="Q434">
        <v>2581.9299999999998</v>
      </c>
      <c r="R434">
        <v>0.05</v>
      </c>
      <c r="S434" t="str">
        <f t="shared" si="62"/>
        <v>OK</v>
      </c>
      <c r="T434">
        <v>2452.83</v>
      </c>
      <c r="U434">
        <v>1906.7</v>
      </c>
      <c r="V434">
        <v>546.13</v>
      </c>
      <c r="W434" t="s">
        <v>31</v>
      </c>
      <c r="X434" t="s">
        <v>32</v>
      </c>
      <c r="Y434" t="str">
        <f>IF(COUNTIF($A$2:$A$901,A434)&gt;1,
  IF(COUNTIF($A$2:A434,A434)=1,
    " ORIGINAL",
    "CONFLICTING DUPLICATE - REVIEW"),
"OK")</f>
        <v>OK</v>
      </c>
      <c r="Z434">
        <f t="shared" si="63"/>
        <v>0.05</v>
      </c>
      <c r="AA434">
        <f t="shared" si="64"/>
        <v>2452.83</v>
      </c>
      <c r="AB434">
        <f t="shared" si="65"/>
        <v>546.13</v>
      </c>
      <c r="AC434">
        <f t="shared" si="66"/>
        <v>0.22270000000000001</v>
      </c>
      <c r="AD434">
        <f t="shared" si="67"/>
        <v>6</v>
      </c>
      <c r="AE434">
        <f t="shared" si="68"/>
        <v>2024</v>
      </c>
      <c r="AF434" t="str">
        <f t="shared" si="69"/>
        <v>CLEAN</v>
      </c>
    </row>
    <row r="435" spans="1:32">
      <c r="A435" t="s">
        <v>2429</v>
      </c>
      <c r="B435" s="10">
        <v>45435</v>
      </c>
      <c r="C435" s="10">
        <v>45441</v>
      </c>
      <c r="D435">
        <f t="shared" si="60"/>
        <v>6</v>
      </c>
      <c r="E435" t="str">
        <f t="shared" si="61"/>
        <v>OK</v>
      </c>
      <c r="F435" t="s">
        <v>2430</v>
      </c>
      <c r="G435" t="s">
        <v>161</v>
      </c>
      <c r="H435" t="s">
        <v>36</v>
      </c>
      <c r="I435" t="s">
        <v>24</v>
      </c>
      <c r="J435" t="s">
        <v>235</v>
      </c>
      <c r="K435" t="s">
        <v>236</v>
      </c>
      <c r="L435" t="s">
        <v>27</v>
      </c>
      <c r="M435" t="s">
        <v>123</v>
      </c>
      <c r="N435" t="s">
        <v>2431</v>
      </c>
      <c r="O435" t="s">
        <v>43</v>
      </c>
      <c r="P435">
        <v>2</v>
      </c>
      <c r="Q435">
        <v>3012.94</v>
      </c>
      <c r="R435">
        <v>0.25</v>
      </c>
      <c r="S435" t="str">
        <f t="shared" si="62"/>
        <v>OK</v>
      </c>
      <c r="T435">
        <v>4519.41</v>
      </c>
      <c r="U435">
        <v>3504.16</v>
      </c>
      <c r="V435">
        <v>1275.55</v>
      </c>
      <c r="W435" t="s">
        <v>154</v>
      </c>
      <c r="X435" t="s">
        <v>67</v>
      </c>
      <c r="Y435" t="str">
        <f>IF(COUNTIF($A$2:$A$901,A435)&gt;1,
  IF(COUNTIF($A$2:A435,A435)=1,
    " ORIGINAL",
    "CONFLICTING DUPLICATE - REVIEW"),
"OK")</f>
        <v>OK</v>
      </c>
      <c r="Z435">
        <f t="shared" si="63"/>
        <v>0.25</v>
      </c>
      <c r="AA435">
        <f t="shared" si="64"/>
        <v>4519.41</v>
      </c>
      <c r="AB435">
        <f t="shared" si="65"/>
        <v>1015.25</v>
      </c>
      <c r="AC435">
        <f t="shared" si="66"/>
        <v>0.22459999999999999</v>
      </c>
      <c r="AD435">
        <f t="shared" si="67"/>
        <v>5</v>
      </c>
      <c r="AE435">
        <f t="shared" si="68"/>
        <v>2024</v>
      </c>
      <c r="AF435" t="str">
        <f t="shared" si="69"/>
        <v>INVALID</v>
      </c>
    </row>
    <row r="436" spans="1:32">
      <c r="A436" t="s">
        <v>2435</v>
      </c>
      <c r="B436" s="10">
        <v>45547</v>
      </c>
      <c r="C436" s="10">
        <v>45553</v>
      </c>
      <c r="D436">
        <f t="shared" si="60"/>
        <v>6</v>
      </c>
      <c r="E436" t="str">
        <f t="shared" si="61"/>
        <v>OK</v>
      </c>
      <c r="F436" t="s">
        <v>2436</v>
      </c>
      <c r="G436" t="s">
        <v>61</v>
      </c>
      <c r="H436" t="s">
        <v>94</v>
      </c>
      <c r="I436" t="s">
        <v>37</v>
      </c>
      <c r="J436" t="s">
        <v>144</v>
      </c>
      <c r="K436" t="s">
        <v>145</v>
      </c>
      <c r="L436" t="s">
        <v>27</v>
      </c>
      <c r="M436" t="s">
        <v>28</v>
      </c>
      <c r="N436" t="s">
        <v>2437</v>
      </c>
      <c r="O436" t="s">
        <v>30</v>
      </c>
      <c r="P436">
        <v>2</v>
      </c>
      <c r="Q436">
        <v>3718.77</v>
      </c>
      <c r="R436">
        <v>0.05</v>
      </c>
      <c r="S436" t="str">
        <f t="shared" si="62"/>
        <v>OK</v>
      </c>
      <c r="T436">
        <v>7065.66</v>
      </c>
      <c r="U436">
        <v>4915.2700000000004</v>
      </c>
      <c r="V436">
        <v>2150.39</v>
      </c>
      <c r="W436" t="s">
        <v>31</v>
      </c>
      <c r="X436" t="s">
        <v>32</v>
      </c>
      <c r="Y436" t="str">
        <f>IF(COUNTIF($A$2:$A$901,A436)&gt;1,
  IF(COUNTIF($A$2:A436,A436)=1,
    " ORIGINAL",
    "CONFLICTING DUPLICATE - REVIEW"),
"OK")</f>
        <v>OK</v>
      </c>
      <c r="Z436">
        <f t="shared" si="63"/>
        <v>0.05</v>
      </c>
      <c r="AA436">
        <f t="shared" si="64"/>
        <v>7065.66</v>
      </c>
      <c r="AB436">
        <f t="shared" si="65"/>
        <v>2150.39</v>
      </c>
      <c r="AC436">
        <f t="shared" si="66"/>
        <v>0.30430000000000001</v>
      </c>
      <c r="AD436">
        <f t="shared" si="67"/>
        <v>9</v>
      </c>
      <c r="AE436">
        <f t="shared" si="68"/>
        <v>2024</v>
      </c>
      <c r="AF436" t="str">
        <f t="shared" si="69"/>
        <v>CLEAN</v>
      </c>
    </row>
    <row r="437" spans="1:32">
      <c r="A437" t="s">
        <v>2438</v>
      </c>
      <c r="B437" s="10">
        <v>45505</v>
      </c>
      <c r="C437" s="10">
        <v>45330</v>
      </c>
      <c r="D437">
        <f t="shared" si="60"/>
        <v>-175</v>
      </c>
      <c r="E437" t="str">
        <f t="shared" si="61"/>
        <v>INVALID</v>
      </c>
      <c r="F437" t="s">
        <v>2439</v>
      </c>
      <c r="G437" t="s">
        <v>46</v>
      </c>
      <c r="H437" t="s">
        <v>89</v>
      </c>
      <c r="I437" t="s">
        <v>24</v>
      </c>
      <c r="J437" t="s">
        <v>135</v>
      </c>
      <c r="K437" t="s">
        <v>136</v>
      </c>
      <c r="L437" t="s">
        <v>40</v>
      </c>
      <c r="M437" t="s">
        <v>65</v>
      </c>
      <c r="N437" t="s">
        <v>2440</v>
      </c>
      <c r="O437" t="s">
        <v>58</v>
      </c>
      <c r="P437">
        <v>8</v>
      </c>
      <c r="Q437">
        <v>2487.64</v>
      </c>
      <c r="R437">
        <v>0.1</v>
      </c>
      <c r="S437" t="str">
        <f t="shared" si="62"/>
        <v>OK</v>
      </c>
      <c r="T437">
        <v>17911.009999999998</v>
      </c>
      <c r="U437">
        <v>11546.05</v>
      </c>
      <c r="V437">
        <v>6364.96</v>
      </c>
      <c r="W437" t="s">
        <v>154</v>
      </c>
      <c r="X437" t="s">
        <v>102</v>
      </c>
      <c r="Y437" t="str">
        <f>IF(COUNTIF($A$2:$A$901,A437)&gt;1,
  IF(COUNTIF($A$2:A437,A437)=1,
    " ORIGINAL",
    "CONFLICTING DUPLICATE - REVIEW"),
"OK")</f>
        <v>OK</v>
      </c>
      <c r="Z437">
        <f t="shared" si="63"/>
        <v>0.1</v>
      </c>
      <c r="AA437">
        <f t="shared" si="64"/>
        <v>17911.009999999998</v>
      </c>
      <c r="AB437">
        <f t="shared" si="65"/>
        <v>6364.96</v>
      </c>
      <c r="AC437">
        <f t="shared" si="66"/>
        <v>0.35539999999999999</v>
      </c>
      <c r="AD437">
        <f t="shared" si="67"/>
        <v>8</v>
      </c>
      <c r="AE437">
        <f t="shared" si="68"/>
        <v>2024</v>
      </c>
      <c r="AF437" t="str">
        <f t="shared" si="69"/>
        <v>INVALID</v>
      </c>
    </row>
    <row r="438" spans="1:32">
      <c r="A438" t="s">
        <v>2444</v>
      </c>
      <c r="B438" s="10">
        <v>45443</v>
      </c>
      <c r="C438" s="10">
        <v>45445</v>
      </c>
      <c r="D438">
        <f t="shared" si="60"/>
        <v>2</v>
      </c>
      <c r="E438" t="str">
        <f t="shared" si="61"/>
        <v>OK</v>
      </c>
      <c r="F438" t="s">
        <v>2445</v>
      </c>
      <c r="G438" t="s">
        <v>117</v>
      </c>
      <c r="H438" t="s">
        <v>89</v>
      </c>
      <c r="I438" t="s">
        <v>53</v>
      </c>
      <c r="J438" t="s">
        <v>83</v>
      </c>
      <c r="K438" t="s">
        <v>84</v>
      </c>
      <c r="L438" t="s">
        <v>27</v>
      </c>
      <c r="M438" t="s">
        <v>47</v>
      </c>
      <c r="N438" t="s">
        <v>2446</v>
      </c>
      <c r="O438" t="s">
        <v>58</v>
      </c>
      <c r="P438">
        <v>8</v>
      </c>
      <c r="Q438">
        <v>667.59</v>
      </c>
      <c r="R438">
        <v>0.2</v>
      </c>
      <c r="S438" t="str">
        <f t="shared" si="62"/>
        <v>OK</v>
      </c>
      <c r="T438">
        <v>4272.58</v>
      </c>
      <c r="U438">
        <v>3328.92</v>
      </c>
      <c r="V438">
        <v>943.66</v>
      </c>
      <c r="W438" t="s">
        <v>31</v>
      </c>
      <c r="X438" t="s">
        <v>32</v>
      </c>
      <c r="Y438" t="str">
        <f>IF(COUNTIF($A$2:$A$901,A438)&gt;1,
  IF(COUNTIF($A$2:A438,A438)=1,
    " ORIGINAL",
    "CONFLICTING DUPLICATE - REVIEW"),
"OK")</f>
        <v>OK</v>
      </c>
      <c r="Z438">
        <f t="shared" si="63"/>
        <v>0.2</v>
      </c>
      <c r="AA438">
        <f t="shared" si="64"/>
        <v>4272.58</v>
      </c>
      <c r="AB438">
        <f t="shared" si="65"/>
        <v>943.66</v>
      </c>
      <c r="AC438">
        <f t="shared" si="66"/>
        <v>0.22090000000000001</v>
      </c>
      <c r="AD438">
        <f t="shared" si="67"/>
        <v>5</v>
      </c>
      <c r="AE438">
        <f t="shared" si="68"/>
        <v>2024</v>
      </c>
      <c r="AF438" t="str">
        <f t="shared" si="69"/>
        <v>CLEAN</v>
      </c>
    </row>
    <row r="439" spans="1:32">
      <c r="A439" t="s">
        <v>2447</v>
      </c>
      <c r="B439" s="10">
        <v>45567</v>
      </c>
      <c r="C439" s="10">
        <v>45571</v>
      </c>
      <c r="D439">
        <f t="shared" si="60"/>
        <v>4</v>
      </c>
      <c r="E439" t="str">
        <f t="shared" si="61"/>
        <v>OK</v>
      </c>
      <c r="F439" t="s">
        <v>2448</v>
      </c>
      <c r="G439" t="s">
        <v>117</v>
      </c>
      <c r="H439" t="s">
        <v>94</v>
      </c>
      <c r="I439" t="s">
        <v>53</v>
      </c>
      <c r="J439" t="s">
        <v>174</v>
      </c>
      <c r="K439" t="s">
        <v>175</v>
      </c>
      <c r="L439" t="s">
        <v>40</v>
      </c>
      <c r="M439" t="s">
        <v>157</v>
      </c>
      <c r="N439" t="s">
        <v>2449</v>
      </c>
      <c r="O439" t="s">
        <v>43</v>
      </c>
      <c r="P439">
        <v>8</v>
      </c>
      <c r="Q439">
        <v>1558.77</v>
      </c>
      <c r="R439">
        <v>0.25</v>
      </c>
      <c r="S439" t="str">
        <f t="shared" si="62"/>
        <v>OK</v>
      </c>
      <c r="T439">
        <v>9352.6200000000008</v>
      </c>
      <c r="U439">
        <v>5269.41</v>
      </c>
      <c r="V439">
        <v>4083.21</v>
      </c>
      <c r="W439" t="s">
        <v>31</v>
      </c>
      <c r="X439" t="s">
        <v>32</v>
      </c>
      <c r="Y439" t="str">
        <f>IF(COUNTIF($A$2:$A$901,A439)&gt;1,
  IF(COUNTIF($A$2:A439,A439)=1,
    " ORIGINAL",
    "CONFLICTING DUPLICATE - REVIEW"),
"OK")</f>
        <v>OK</v>
      </c>
      <c r="Z439">
        <f t="shared" si="63"/>
        <v>0.25</v>
      </c>
      <c r="AA439">
        <f t="shared" si="64"/>
        <v>9352.6200000000008</v>
      </c>
      <c r="AB439">
        <f t="shared" si="65"/>
        <v>4083.21</v>
      </c>
      <c r="AC439">
        <f t="shared" si="66"/>
        <v>0.43659999999999999</v>
      </c>
      <c r="AD439">
        <f t="shared" si="67"/>
        <v>10</v>
      </c>
      <c r="AE439">
        <f t="shared" si="68"/>
        <v>2024</v>
      </c>
      <c r="AF439" t="str">
        <f t="shared" si="69"/>
        <v>CLEAN</v>
      </c>
    </row>
    <row r="440" spans="1:32">
      <c r="A440" t="s">
        <v>2453</v>
      </c>
      <c r="B440" s="10">
        <v>45440</v>
      </c>
      <c r="C440" s="10">
        <v>45446</v>
      </c>
      <c r="D440">
        <f t="shared" si="60"/>
        <v>6</v>
      </c>
      <c r="E440" t="str">
        <f t="shared" si="61"/>
        <v>OK</v>
      </c>
      <c r="F440" t="s">
        <v>2454</v>
      </c>
      <c r="G440" t="s">
        <v>70</v>
      </c>
      <c r="H440" t="s">
        <v>89</v>
      </c>
      <c r="I440" t="s">
        <v>24</v>
      </c>
      <c r="J440" t="s">
        <v>25</v>
      </c>
      <c r="K440" t="s">
        <v>26</v>
      </c>
      <c r="L440" t="s">
        <v>73</v>
      </c>
      <c r="M440" t="s">
        <v>79</v>
      </c>
      <c r="N440" t="s">
        <v>2455</v>
      </c>
      <c r="O440" t="s">
        <v>30</v>
      </c>
      <c r="P440">
        <v>5</v>
      </c>
      <c r="Q440">
        <v>4302.32</v>
      </c>
      <c r="R440">
        <v>0</v>
      </c>
      <c r="S440" t="str">
        <f t="shared" si="62"/>
        <v>OK</v>
      </c>
      <c r="T440">
        <v>21511.599999999999</v>
      </c>
      <c r="U440">
        <v>15408.47</v>
      </c>
      <c r="V440">
        <v>6103.13</v>
      </c>
      <c r="W440" t="s">
        <v>31</v>
      </c>
      <c r="X440" t="s">
        <v>32</v>
      </c>
      <c r="Y440" t="str">
        <f>IF(COUNTIF($A$2:$A$901,A440)&gt;1,
  IF(COUNTIF($A$2:A440,A440)=1,
    " ORIGINAL",
    "CONFLICTING DUPLICATE - REVIEW"),
"OK")</f>
        <v>OK</v>
      </c>
      <c r="Z440">
        <f t="shared" si="63"/>
        <v>0</v>
      </c>
      <c r="AA440">
        <f t="shared" si="64"/>
        <v>21511.599999999999</v>
      </c>
      <c r="AB440">
        <f t="shared" si="65"/>
        <v>6103.13</v>
      </c>
      <c r="AC440">
        <f t="shared" si="66"/>
        <v>0.28370000000000001</v>
      </c>
      <c r="AD440">
        <f t="shared" si="67"/>
        <v>5</v>
      </c>
      <c r="AE440">
        <f t="shared" si="68"/>
        <v>2024</v>
      </c>
      <c r="AF440" t="str">
        <f t="shared" si="69"/>
        <v>CLEAN</v>
      </c>
    </row>
    <row r="441" spans="1:32">
      <c r="A441" t="s">
        <v>2459</v>
      </c>
      <c r="B441" s="10">
        <v>45503</v>
      </c>
      <c r="C441" s="10">
        <v>45503</v>
      </c>
      <c r="D441">
        <f t="shared" si="60"/>
        <v>0</v>
      </c>
      <c r="E441" t="str">
        <f t="shared" si="61"/>
        <v>OK</v>
      </c>
      <c r="F441" t="s">
        <v>2460</v>
      </c>
      <c r="G441" t="s">
        <v>161</v>
      </c>
      <c r="H441" t="s">
        <v>94</v>
      </c>
      <c r="I441" t="s">
        <v>37</v>
      </c>
      <c r="J441" t="s">
        <v>38</v>
      </c>
      <c r="K441" t="s">
        <v>39</v>
      </c>
      <c r="L441" t="s">
        <v>73</v>
      </c>
      <c r="M441" t="s">
        <v>79</v>
      </c>
      <c r="N441" t="s">
        <v>2461</v>
      </c>
      <c r="O441" t="s">
        <v>43</v>
      </c>
      <c r="P441">
        <v>9</v>
      </c>
      <c r="Q441">
        <v>2894.66</v>
      </c>
      <c r="R441">
        <v>0</v>
      </c>
      <c r="S441" t="str">
        <f t="shared" si="62"/>
        <v>OK</v>
      </c>
      <c r="T441">
        <v>26051.94</v>
      </c>
      <c r="U441">
        <v>16883.59</v>
      </c>
      <c r="V441">
        <v>9168.35</v>
      </c>
      <c r="W441" t="s">
        <v>101</v>
      </c>
      <c r="X441" t="s">
        <v>67</v>
      </c>
      <c r="Y441" t="str">
        <f>IF(COUNTIF($A$2:$A$901,A441)&gt;1,
  IF(COUNTIF($A$2:A441,A441)=1,
    " ORIGINAL",
    "CONFLICTING DUPLICATE - REVIEW"),
"OK")</f>
        <v>OK</v>
      </c>
      <c r="Z441">
        <f t="shared" si="63"/>
        <v>0</v>
      </c>
      <c r="AA441">
        <f t="shared" si="64"/>
        <v>26051.94</v>
      </c>
      <c r="AB441">
        <f t="shared" si="65"/>
        <v>9168.35</v>
      </c>
      <c r="AC441">
        <f t="shared" si="66"/>
        <v>0.35189999999999999</v>
      </c>
      <c r="AD441">
        <f t="shared" si="67"/>
        <v>7</v>
      </c>
      <c r="AE441">
        <f t="shared" si="68"/>
        <v>2024</v>
      </c>
      <c r="AF441" t="str">
        <f t="shared" si="69"/>
        <v>CLEAN</v>
      </c>
    </row>
    <row r="442" spans="1:32">
      <c r="A442" t="s">
        <v>2462</v>
      </c>
      <c r="B442" s="10">
        <v>45374</v>
      </c>
      <c r="C442" s="10">
        <v>45381</v>
      </c>
      <c r="D442">
        <f t="shared" si="60"/>
        <v>7</v>
      </c>
      <c r="E442" t="str">
        <f t="shared" si="61"/>
        <v>OK</v>
      </c>
      <c r="F442" t="s">
        <v>2463</v>
      </c>
      <c r="G442" t="s">
        <v>140</v>
      </c>
      <c r="H442" t="s">
        <v>36</v>
      </c>
      <c r="I442" t="s">
        <v>53</v>
      </c>
      <c r="J442" t="s">
        <v>83</v>
      </c>
      <c r="K442" t="s">
        <v>84</v>
      </c>
      <c r="L442" t="s">
        <v>73</v>
      </c>
      <c r="M442" t="s">
        <v>273</v>
      </c>
      <c r="N442" t="s">
        <v>2464</v>
      </c>
      <c r="O442" t="s">
        <v>49</v>
      </c>
      <c r="P442">
        <v>6</v>
      </c>
      <c r="Q442">
        <v>1894.44</v>
      </c>
      <c r="R442">
        <v>0.15</v>
      </c>
      <c r="S442" t="str">
        <f t="shared" si="62"/>
        <v>OK</v>
      </c>
      <c r="T442">
        <v>9661.64</v>
      </c>
      <c r="U442">
        <v>6303.77</v>
      </c>
      <c r="V442">
        <v>3357.87</v>
      </c>
      <c r="W442" t="s">
        <v>31</v>
      </c>
      <c r="X442" t="s">
        <v>32</v>
      </c>
      <c r="Y442" t="str">
        <f>IF(COUNTIF($A$2:$A$901,A442)&gt;1,
  IF(COUNTIF($A$2:A442,A442)=1,
    " ORIGINAL",
    "CONFLICTING DUPLICATE - REVIEW"),
"OK")</f>
        <v>OK</v>
      </c>
      <c r="Z442">
        <f t="shared" si="63"/>
        <v>0.15</v>
      </c>
      <c r="AA442">
        <f t="shared" si="64"/>
        <v>9661.64</v>
      </c>
      <c r="AB442">
        <f t="shared" si="65"/>
        <v>3357.87</v>
      </c>
      <c r="AC442">
        <f t="shared" si="66"/>
        <v>0.34749999999999998</v>
      </c>
      <c r="AD442">
        <f t="shared" si="67"/>
        <v>3</v>
      </c>
      <c r="AE442">
        <f t="shared" si="68"/>
        <v>2024</v>
      </c>
      <c r="AF442" t="str">
        <f t="shared" si="69"/>
        <v>CLEAN</v>
      </c>
    </row>
    <row r="443" spans="1:32">
      <c r="A443" t="s">
        <v>2465</v>
      </c>
      <c r="B443" s="10">
        <v>45400</v>
      </c>
      <c r="C443" s="10">
        <v>45404</v>
      </c>
      <c r="D443">
        <f t="shared" si="60"/>
        <v>4</v>
      </c>
      <c r="E443" t="str">
        <f t="shared" si="61"/>
        <v>OK</v>
      </c>
      <c r="F443" t="s">
        <v>2466</v>
      </c>
      <c r="G443" t="s">
        <v>127</v>
      </c>
      <c r="H443" t="s">
        <v>23</v>
      </c>
      <c r="I443" t="s">
        <v>37</v>
      </c>
      <c r="J443" t="s">
        <v>38</v>
      </c>
      <c r="K443" t="s">
        <v>39</v>
      </c>
      <c r="L443" t="s">
        <v>27</v>
      </c>
      <c r="M443" t="s">
        <v>152</v>
      </c>
      <c r="N443" t="s">
        <v>2467</v>
      </c>
      <c r="O443" t="s">
        <v>49</v>
      </c>
      <c r="P443">
        <v>8</v>
      </c>
      <c r="Q443">
        <v>1714.37</v>
      </c>
      <c r="R443">
        <v>0</v>
      </c>
      <c r="S443" t="str">
        <f t="shared" si="62"/>
        <v>OK</v>
      </c>
      <c r="T443">
        <v>13714.96</v>
      </c>
      <c r="U443">
        <v>10550.47</v>
      </c>
      <c r="V443">
        <v>3164.49</v>
      </c>
      <c r="W443" t="s">
        <v>154</v>
      </c>
      <c r="X443" t="s">
        <v>67</v>
      </c>
      <c r="Y443" t="str">
        <f>IF(COUNTIF($A$2:$A$901,A443)&gt;1,
  IF(COUNTIF($A$2:A443,A443)=1,
    " ORIGINAL",
    "CONFLICTING DUPLICATE - REVIEW"),
"OK")</f>
        <v>OK</v>
      </c>
      <c r="Z443">
        <f t="shared" si="63"/>
        <v>0</v>
      </c>
      <c r="AA443">
        <f t="shared" si="64"/>
        <v>13714.96</v>
      </c>
      <c r="AB443">
        <f t="shared" si="65"/>
        <v>3164.49</v>
      </c>
      <c r="AC443">
        <f t="shared" si="66"/>
        <v>0.23069999999999999</v>
      </c>
      <c r="AD443">
        <f t="shared" si="67"/>
        <v>4</v>
      </c>
      <c r="AE443">
        <f t="shared" si="68"/>
        <v>2024</v>
      </c>
      <c r="AF443" t="str">
        <f t="shared" si="69"/>
        <v>INVALID</v>
      </c>
    </row>
    <row r="444" spans="1:32">
      <c r="A444" t="s">
        <v>2471</v>
      </c>
      <c r="B444" s="10">
        <v>45575</v>
      </c>
      <c r="C444" s="10">
        <v>45582</v>
      </c>
      <c r="D444">
        <f t="shared" si="60"/>
        <v>7</v>
      </c>
      <c r="E444" t="str">
        <f t="shared" si="61"/>
        <v>OK</v>
      </c>
      <c r="F444" t="s">
        <v>2472</v>
      </c>
      <c r="G444" t="s">
        <v>46</v>
      </c>
      <c r="H444" t="s">
        <v>94</v>
      </c>
      <c r="I444" t="s">
        <v>24</v>
      </c>
      <c r="J444" t="s">
        <v>235</v>
      </c>
      <c r="K444" t="s">
        <v>236</v>
      </c>
      <c r="L444" t="s">
        <v>73</v>
      </c>
      <c r="M444" t="s">
        <v>74</v>
      </c>
      <c r="N444" t="s">
        <v>2473</v>
      </c>
      <c r="O444" t="s">
        <v>2762</v>
      </c>
      <c r="P444">
        <v>5</v>
      </c>
      <c r="Q444">
        <v>967.41</v>
      </c>
      <c r="R444">
        <v>0.05</v>
      </c>
      <c r="S444" t="str">
        <f t="shared" si="62"/>
        <v>OK</v>
      </c>
      <c r="T444">
        <v>4595.2</v>
      </c>
      <c r="U444">
        <v>3887.41</v>
      </c>
      <c r="V444">
        <v>707.79</v>
      </c>
      <c r="W444" t="s">
        <v>31</v>
      </c>
      <c r="X444" t="s">
        <v>102</v>
      </c>
      <c r="Y444" t="str">
        <f>IF(COUNTIF($A$2:$A$901,A444)&gt;1,
  IF(COUNTIF($A$2:A444,A444)=1,
    " ORIGINAL",
    "CONFLICTING DUPLICATE - REVIEW"),
"OK")</f>
        <v>OK</v>
      </c>
      <c r="Z444">
        <f t="shared" si="63"/>
        <v>0.05</v>
      </c>
      <c r="AA444">
        <f t="shared" si="64"/>
        <v>4595.2</v>
      </c>
      <c r="AB444">
        <f t="shared" si="65"/>
        <v>707.79</v>
      </c>
      <c r="AC444">
        <f t="shared" si="66"/>
        <v>0.154</v>
      </c>
      <c r="AD444">
        <f t="shared" si="67"/>
        <v>10</v>
      </c>
      <c r="AE444">
        <f t="shared" si="68"/>
        <v>2024</v>
      </c>
      <c r="AF444" t="str">
        <f t="shared" si="69"/>
        <v>WARNING</v>
      </c>
    </row>
    <row r="445" spans="1:32">
      <c r="A445" t="s">
        <v>2474</v>
      </c>
      <c r="B445" s="10">
        <v>45352</v>
      </c>
      <c r="C445" s="10">
        <v>45358</v>
      </c>
      <c r="D445">
        <f t="shared" si="60"/>
        <v>6</v>
      </c>
      <c r="E445" t="str">
        <f t="shared" si="61"/>
        <v>OK</v>
      </c>
      <c r="F445" t="s">
        <v>2475</v>
      </c>
      <c r="G445" t="s">
        <v>70</v>
      </c>
      <c r="H445" t="s">
        <v>36</v>
      </c>
      <c r="I445" t="s">
        <v>62</v>
      </c>
      <c r="J445" t="s">
        <v>63</v>
      </c>
      <c r="K445" t="s">
        <v>64</v>
      </c>
      <c r="L445" t="s">
        <v>27</v>
      </c>
      <c r="M445" t="s">
        <v>123</v>
      </c>
      <c r="N445" t="s">
        <v>2476</v>
      </c>
      <c r="O445" t="s">
        <v>30</v>
      </c>
      <c r="P445">
        <v>6</v>
      </c>
      <c r="Q445">
        <v>4163.72</v>
      </c>
      <c r="R445">
        <v>0.15</v>
      </c>
      <c r="S445" t="str">
        <f t="shared" si="62"/>
        <v>OK</v>
      </c>
      <c r="T445">
        <v>21234.97</v>
      </c>
      <c r="U445">
        <v>16736.09</v>
      </c>
      <c r="V445">
        <v>4498.88</v>
      </c>
      <c r="W445" t="s">
        <v>31</v>
      </c>
      <c r="X445" t="s">
        <v>32</v>
      </c>
      <c r="Y445" t="str">
        <f>IF(COUNTIF($A$2:$A$901,A445)&gt;1,
  IF(COUNTIF($A$2:A445,A445)=1,
    " ORIGINAL",
    "CONFLICTING DUPLICATE - REVIEW"),
"OK")</f>
        <v>OK</v>
      </c>
      <c r="Z445">
        <f t="shared" si="63"/>
        <v>0.15</v>
      </c>
      <c r="AA445">
        <f t="shared" si="64"/>
        <v>21234.97</v>
      </c>
      <c r="AB445">
        <f t="shared" si="65"/>
        <v>4498.88</v>
      </c>
      <c r="AC445">
        <f t="shared" si="66"/>
        <v>0.21190000000000001</v>
      </c>
      <c r="AD445">
        <f t="shared" si="67"/>
        <v>3</v>
      </c>
      <c r="AE445">
        <f t="shared" si="68"/>
        <v>2024</v>
      </c>
      <c r="AF445" t="str">
        <f t="shared" si="69"/>
        <v>CLEAN</v>
      </c>
    </row>
    <row r="446" spans="1:32">
      <c r="A446" t="s">
        <v>2483</v>
      </c>
      <c r="B446" s="10">
        <v>45635</v>
      </c>
      <c r="C446" s="10">
        <v>45639</v>
      </c>
      <c r="D446">
        <f t="shared" si="60"/>
        <v>4</v>
      </c>
      <c r="E446" t="str">
        <f t="shared" si="61"/>
        <v>OK</v>
      </c>
      <c r="F446" t="s">
        <v>2484</v>
      </c>
      <c r="G446" t="s">
        <v>140</v>
      </c>
      <c r="H446" t="s">
        <v>23</v>
      </c>
      <c r="I446" t="s">
        <v>2762</v>
      </c>
      <c r="J446" t="s">
        <v>227</v>
      </c>
      <c r="K446" t="s">
        <v>228</v>
      </c>
      <c r="L446" t="s">
        <v>27</v>
      </c>
      <c r="M446" t="s">
        <v>90</v>
      </c>
      <c r="N446" t="s">
        <v>2485</v>
      </c>
      <c r="O446" t="s">
        <v>49</v>
      </c>
      <c r="P446">
        <v>1</v>
      </c>
      <c r="Q446">
        <v>4306.6499999999996</v>
      </c>
      <c r="R446">
        <v>0</v>
      </c>
      <c r="S446" t="str">
        <f t="shared" si="62"/>
        <v>OK</v>
      </c>
      <c r="T446">
        <v>4306.6499999999996</v>
      </c>
      <c r="U446">
        <v>2568.8200000000002</v>
      </c>
      <c r="V446">
        <v>1737.83</v>
      </c>
      <c r="W446" t="s">
        <v>31</v>
      </c>
      <c r="X446" t="s">
        <v>32</v>
      </c>
      <c r="Y446" t="str">
        <f>IF(COUNTIF($A$2:$A$901,A446)&gt;1,
  IF(COUNTIF($A$2:A446,A446)=1,
    " ORIGINAL",
    "CONFLICTING DUPLICATE - REVIEW"),
"OK")</f>
        <v>OK</v>
      </c>
      <c r="Z446">
        <f t="shared" si="63"/>
        <v>0</v>
      </c>
      <c r="AA446">
        <f t="shared" si="64"/>
        <v>4306.6499999999996</v>
      </c>
      <c r="AB446">
        <f t="shared" si="65"/>
        <v>1737.83</v>
      </c>
      <c r="AC446">
        <f t="shared" si="66"/>
        <v>0.40350000000000003</v>
      </c>
      <c r="AD446">
        <f t="shared" si="67"/>
        <v>12</v>
      </c>
      <c r="AE446">
        <f t="shared" si="68"/>
        <v>2024</v>
      </c>
      <c r="AF446" t="str">
        <f t="shared" si="69"/>
        <v>WARNING</v>
      </c>
    </row>
    <row r="447" spans="1:32">
      <c r="A447" t="s">
        <v>2491</v>
      </c>
      <c r="B447" s="10">
        <v>45546</v>
      </c>
      <c r="C447" s="10">
        <v>45611</v>
      </c>
      <c r="D447">
        <f t="shared" si="60"/>
        <v>65</v>
      </c>
      <c r="E447" t="str">
        <f t="shared" si="61"/>
        <v>OK</v>
      </c>
      <c r="F447" t="s">
        <v>2492</v>
      </c>
      <c r="G447" t="s">
        <v>46</v>
      </c>
      <c r="H447" t="s">
        <v>94</v>
      </c>
      <c r="I447" t="s">
        <v>24</v>
      </c>
      <c r="J447" t="s">
        <v>25</v>
      </c>
      <c r="K447" t="s">
        <v>26</v>
      </c>
      <c r="L447" t="s">
        <v>73</v>
      </c>
      <c r="M447" t="s">
        <v>79</v>
      </c>
      <c r="N447" t="s">
        <v>2493</v>
      </c>
      <c r="O447" t="s">
        <v>58</v>
      </c>
      <c r="P447">
        <v>1</v>
      </c>
      <c r="Q447">
        <v>3665.97</v>
      </c>
      <c r="R447">
        <v>0.2</v>
      </c>
      <c r="S447" t="str">
        <f t="shared" si="62"/>
        <v>OK</v>
      </c>
      <c r="T447">
        <v>2932.78</v>
      </c>
      <c r="U447">
        <v>1900.35</v>
      </c>
      <c r="V447">
        <v>1032.43</v>
      </c>
      <c r="W447" t="s">
        <v>154</v>
      </c>
      <c r="X447" t="s">
        <v>67</v>
      </c>
      <c r="Y447" t="str">
        <f>IF(COUNTIF($A$2:$A$901,A447)&gt;1,
  IF(COUNTIF($A$2:A447,A447)=1,
    " ORIGINAL",
    "CONFLICTING DUPLICATE - REVIEW"),
"OK")</f>
        <v>OK</v>
      </c>
      <c r="Z447">
        <f t="shared" si="63"/>
        <v>0.2</v>
      </c>
      <c r="AA447">
        <f t="shared" si="64"/>
        <v>2932.78</v>
      </c>
      <c r="AB447">
        <f t="shared" si="65"/>
        <v>1032.43</v>
      </c>
      <c r="AC447">
        <f t="shared" si="66"/>
        <v>0.35199999999999998</v>
      </c>
      <c r="AD447">
        <f t="shared" si="67"/>
        <v>9</v>
      </c>
      <c r="AE447">
        <f t="shared" si="68"/>
        <v>2024</v>
      </c>
      <c r="AF447" t="str">
        <f t="shared" si="69"/>
        <v>INVALID</v>
      </c>
    </row>
    <row r="448" spans="1:32">
      <c r="A448" t="s">
        <v>2503</v>
      </c>
      <c r="B448" s="10">
        <v>45385</v>
      </c>
      <c r="C448" s="10">
        <v>45508</v>
      </c>
      <c r="D448">
        <f t="shared" si="60"/>
        <v>123</v>
      </c>
      <c r="E448" t="str">
        <f t="shared" si="61"/>
        <v>OK</v>
      </c>
      <c r="F448" t="s">
        <v>1667</v>
      </c>
      <c r="G448" t="s">
        <v>263</v>
      </c>
      <c r="H448" t="s">
        <v>94</v>
      </c>
      <c r="I448" t="s">
        <v>62</v>
      </c>
      <c r="J448" t="s">
        <v>179</v>
      </c>
      <c r="K448" t="s">
        <v>180</v>
      </c>
      <c r="L448" t="s">
        <v>73</v>
      </c>
      <c r="M448" t="s">
        <v>79</v>
      </c>
      <c r="N448" t="s">
        <v>2504</v>
      </c>
      <c r="O448" t="s">
        <v>49</v>
      </c>
      <c r="P448">
        <v>1</v>
      </c>
      <c r="Q448">
        <v>3151.85</v>
      </c>
      <c r="R448">
        <v>0.25</v>
      </c>
      <c r="S448" t="str">
        <f t="shared" si="62"/>
        <v>OK</v>
      </c>
      <c r="T448">
        <v>2363.89</v>
      </c>
      <c r="U448">
        <v>1471.51</v>
      </c>
      <c r="V448">
        <v>892.38</v>
      </c>
      <c r="W448" t="s">
        <v>31</v>
      </c>
      <c r="X448" t="s">
        <v>32</v>
      </c>
      <c r="Y448" t="str">
        <f>IF(COUNTIF($A$2:$A$901,A448)&gt;1,
  IF(COUNTIF($A$2:A448,A448)=1,
    " ORIGINAL",
    "CONFLICTING DUPLICATE - REVIEW"),
"OK")</f>
        <v>OK</v>
      </c>
      <c r="Z448">
        <f t="shared" si="63"/>
        <v>0.25</v>
      </c>
      <c r="AA448">
        <f t="shared" si="64"/>
        <v>2363.89</v>
      </c>
      <c r="AB448">
        <f t="shared" si="65"/>
        <v>892.38</v>
      </c>
      <c r="AC448">
        <f t="shared" si="66"/>
        <v>0.3775</v>
      </c>
      <c r="AD448">
        <f t="shared" si="67"/>
        <v>4</v>
      </c>
      <c r="AE448">
        <f t="shared" si="68"/>
        <v>2024</v>
      </c>
      <c r="AF448" t="str">
        <f t="shared" si="69"/>
        <v>CLEAN</v>
      </c>
    </row>
    <row r="449" spans="1:32">
      <c r="A449" t="s">
        <v>2505</v>
      </c>
      <c r="B449" s="10">
        <v>45638</v>
      </c>
      <c r="C449" s="10">
        <v>45645</v>
      </c>
      <c r="D449">
        <f t="shared" si="60"/>
        <v>7</v>
      </c>
      <c r="E449" t="str">
        <f t="shared" si="61"/>
        <v>OK</v>
      </c>
      <c r="F449" t="s">
        <v>2506</v>
      </c>
      <c r="G449" t="s">
        <v>140</v>
      </c>
      <c r="H449" t="s">
        <v>94</v>
      </c>
      <c r="I449" t="s">
        <v>24</v>
      </c>
      <c r="J449" t="s">
        <v>235</v>
      </c>
      <c r="K449" t="s">
        <v>236</v>
      </c>
      <c r="L449" t="s">
        <v>73</v>
      </c>
      <c r="M449" t="s">
        <v>74</v>
      </c>
      <c r="N449" t="s">
        <v>2507</v>
      </c>
      <c r="O449" t="s">
        <v>49</v>
      </c>
      <c r="P449">
        <v>2</v>
      </c>
      <c r="Q449">
        <v>1610.75</v>
      </c>
      <c r="R449">
        <v>0.2</v>
      </c>
      <c r="S449" t="str">
        <f t="shared" si="62"/>
        <v>OK</v>
      </c>
      <c r="T449">
        <v>2577.1999999999998</v>
      </c>
      <c r="U449">
        <v>1475.87</v>
      </c>
      <c r="V449">
        <v>1101.33</v>
      </c>
      <c r="W449" t="s">
        <v>31</v>
      </c>
      <c r="X449" t="s">
        <v>32</v>
      </c>
      <c r="Y449" t="str">
        <f>IF(COUNTIF($A$2:$A$901,A449)&gt;1,
  IF(COUNTIF($A$2:A449,A449)=1,
    " ORIGINAL",
    "CONFLICTING DUPLICATE - REVIEW"),
"OK")</f>
        <v>OK</v>
      </c>
      <c r="Z449">
        <f t="shared" si="63"/>
        <v>0.2</v>
      </c>
      <c r="AA449">
        <f t="shared" si="64"/>
        <v>2577.1999999999998</v>
      </c>
      <c r="AB449">
        <f t="shared" si="65"/>
        <v>1101.33</v>
      </c>
      <c r="AC449">
        <f t="shared" si="66"/>
        <v>0.42730000000000001</v>
      </c>
      <c r="AD449">
        <f t="shared" si="67"/>
        <v>12</v>
      </c>
      <c r="AE449">
        <f t="shared" si="68"/>
        <v>2024</v>
      </c>
      <c r="AF449" t="str">
        <f t="shared" si="69"/>
        <v>CLEAN</v>
      </c>
    </row>
    <row r="450" spans="1:32">
      <c r="A450" t="s">
        <v>2508</v>
      </c>
      <c r="B450" s="10">
        <v>45458</v>
      </c>
      <c r="C450" s="10">
        <v>45463</v>
      </c>
      <c r="D450">
        <f t="shared" ref="D450:D513" si="70">C450-B450</f>
        <v>5</v>
      </c>
      <c r="E450" t="str">
        <f t="shared" ref="E450:E513" si="71">IF(D450&lt;0,"INVALID","OK")</f>
        <v>OK</v>
      </c>
      <c r="F450" t="s">
        <v>2509</v>
      </c>
      <c r="G450" t="s">
        <v>131</v>
      </c>
      <c r="H450" t="s">
        <v>36</v>
      </c>
      <c r="I450" t="s">
        <v>37</v>
      </c>
      <c r="J450" t="s">
        <v>227</v>
      </c>
      <c r="K450" t="s">
        <v>228</v>
      </c>
      <c r="L450" t="s">
        <v>40</v>
      </c>
      <c r="M450" t="s">
        <v>41</v>
      </c>
      <c r="N450" t="s">
        <v>2510</v>
      </c>
      <c r="O450" t="s">
        <v>49</v>
      </c>
      <c r="P450">
        <v>8</v>
      </c>
      <c r="Q450">
        <v>2228.4699999999998</v>
      </c>
      <c r="R450">
        <v>0</v>
      </c>
      <c r="S450" t="str">
        <f t="shared" si="62"/>
        <v>OK</v>
      </c>
      <c r="T450">
        <v>17827.759999999998</v>
      </c>
      <c r="U450">
        <v>14122.13</v>
      </c>
      <c r="V450">
        <v>3705.63</v>
      </c>
      <c r="W450" t="s">
        <v>31</v>
      </c>
      <c r="X450" t="s">
        <v>32</v>
      </c>
      <c r="Y450" t="str">
        <f>IF(COUNTIF($A$2:$A$901,A450)&gt;1,
  IF(COUNTIF($A$2:A450,A450)=1,
    " ORIGINAL",
    "CONFLICTING DUPLICATE - REVIEW"),
"OK")</f>
        <v>OK</v>
      </c>
      <c r="Z450">
        <f t="shared" si="63"/>
        <v>0</v>
      </c>
      <c r="AA450">
        <f t="shared" si="64"/>
        <v>17827.759999999998</v>
      </c>
      <c r="AB450">
        <f t="shared" si="65"/>
        <v>3705.63</v>
      </c>
      <c r="AC450">
        <f t="shared" si="66"/>
        <v>0.2079</v>
      </c>
      <c r="AD450">
        <f t="shared" si="67"/>
        <v>6</v>
      </c>
      <c r="AE450">
        <f t="shared" si="68"/>
        <v>2024</v>
      </c>
      <c r="AF450" t="str">
        <f t="shared" si="69"/>
        <v>CLEAN</v>
      </c>
    </row>
    <row r="451" spans="1:32">
      <c r="A451" t="s">
        <v>2516</v>
      </c>
      <c r="B451" s="10">
        <v>45383</v>
      </c>
      <c r="C451" s="10">
        <v>45390</v>
      </c>
      <c r="D451">
        <f t="shared" si="70"/>
        <v>7</v>
      </c>
      <c r="E451" t="str">
        <f t="shared" si="71"/>
        <v>OK</v>
      </c>
      <c r="F451" t="s">
        <v>2517</v>
      </c>
      <c r="G451" t="s">
        <v>161</v>
      </c>
      <c r="H451" t="s">
        <v>23</v>
      </c>
      <c r="I451" t="s">
        <v>37</v>
      </c>
      <c r="J451" t="s">
        <v>38</v>
      </c>
      <c r="K451" t="s">
        <v>39</v>
      </c>
      <c r="L451" t="s">
        <v>73</v>
      </c>
      <c r="M451" t="s">
        <v>273</v>
      </c>
      <c r="N451" t="s">
        <v>2518</v>
      </c>
      <c r="O451" t="s">
        <v>58</v>
      </c>
      <c r="P451">
        <v>7</v>
      </c>
      <c r="Q451">
        <v>715.81</v>
      </c>
      <c r="R451">
        <v>0.15</v>
      </c>
      <c r="S451" t="str">
        <f t="shared" ref="S451:S514" si="72">IF(R451&lt;0,"INVALID-NEGATIVE",IF(R451&gt;1,"INVALID-ABOVE","OK"))</f>
        <v>OK</v>
      </c>
      <c r="T451">
        <v>4259.07</v>
      </c>
      <c r="U451">
        <v>3130.32</v>
      </c>
      <c r="V451">
        <v>1128.75</v>
      </c>
      <c r="W451" t="s">
        <v>110</v>
      </c>
      <c r="X451" t="s">
        <v>67</v>
      </c>
      <c r="Y451" t="str">
        <f>IF(COUNTIF($A$2:$A$901,A451)&gt;1,
  IF(COUNTIF($A$2:A451,A451)=1,
    " ORIGINAL",
    "CONFLICTING DUPLICATE - REVIEW"),
"OK")</f>
        <v>OK</v>
      </c>
      <c r="Z451">
        <f t="shared" ref="Z451:Z514" si="73">IF(R451&lt;0, 0,
  IF(ISNUMBER(R451), R451,
    IFERROR(VALUE(SUBSTITUTE(R451,"%",""))/100, 0)))</f>
        <v>0.15</v>
      </c>
      <c r="AA451">
        <f t="shared" ref="AA451:AA514" si="74">ROUND(P451*Q451*(1-Z451),2)</f>
        <v>4259.07</v>
      </c>
      <c r="AB451">
        <f t="shared" ref="AB451:AB514" si="75">ROUND(AA451-U451,2)</f>
        <v>1128.75</v>
      </c>
      <c r="AC451">
        <f t="shared" ref="AC451:AC514" si="76">IFERROR(ROUND(AB451/AA451,4),0)</f>
        <v>0.26500000000000001</v>
      </c>
      <c r="AD451">
        <f t="shared" ref="AD451:AD514" si="77">IFERROR(MONTH(B451),"INVALID")</f>
        <v>4</v>
      </c>
      <c r="AE451">
        <f t="shared" ref="AE451:AE514" si="78">IFERROR(YEAR(B451),"INVALID")</f>
        <v>2024</v>
      </c>
      <c r="AF451" t="str">
        <f t="shared" ref="AF451:AF514" si="79">IF(OR(R451&lt;0,NOT(ISNUMBER(R451)),D451&lt;0,W451="Failed"),"INVALID",IF(OR(I451="Unknown",O451="Unknown",R451&gt;1,AA451&lt;0),"WARNING","CLEAN"))</f>
        <v>CLEAN</v>
      </c>
    </row>
    <row r="452" spans="1:32">
      <c r="A452" t="s">
        <v>2519</v>
      </c>
      <c r="B452" s="10">
        <v>45623</v>
      </c>
      <c r="C452" s="10">
        <v>45626</v>
      </c>
      <c r="D452">
        <f t="shared" si="70"/>
        <v>3</v>
      </c>
      <c r="E452" t="str">
        <f t="shared" si="71"/>
        <v>OK</v>
      </c>
      <c r="F452" t="s">
        <v>2520</v>
      </c>
      <c r="G452" t="s">
        <v>117</v>
      </c>
      <c r="H452" t="s">
        <v>36</v>
      </c>
      <c r="I452" t="s">
        <v>37</v>
      </c>
      <c r="J452" t="s">
        <v>227</v>
      </c>
      <c r="K452" t="s">
        <v>228</v>
      </c>
      <c r="L452" t="s">
        <v>40</v>
      </c>
      <c r="M452" t="s">
        <v>56</v>
      </c>
      <c r="N452" t="s">
        <v>2521</v>
      </c>
      <c r="O452" t="s">
        <v>49</v>
      </c>
      <c r="P452">
        <v>1</v>
      </c>
      <c r="Q452">
        <v>874.3</v>
      </c>
      <c r="R452">
        <v>0.1</v>
      </c>
      <c r="S452" t="str">
        <f t="shared" si="72"/>
        <v>OK</v>
      </c>
      <c r="T452">
        <v>786.87</v>
      </c>
      <c r="U452">
        <v>498.5</v>
      </c>
      <c r="V452">
        <v>288.37</v>
      </c>
      <c r="W452" t="s">
        <v>31</v>
      </c>
      <c r="X452" t="s">
        <v>32</v>
      </c>
      <c r="Y452" t="str">
        <f>IF(COUNTIF($A$2:$A$901,A452)&gt;1,
  IF(COUNTIF($A$2:A452,A452)=1,
    " ORIGINAL",
    "CONFLICTING DUPLICATE - REVIEW"),
"OK")</f>
        <v>OK</v>
      </c>
      <c r="Z452">
        <f t="shared" si="73"/>
        <v>0.1</v>
      </c>
      <c r="AA452">
        <f t="shared" si="74"/>
        <v>786.87</v>
      </c>
      <c r="AB452">
        <f t="shared" si="75"/>
        <v>288.37</v>
      </c>
      <c r="AC452">
        <f t="shared" si="76"/>
        <v>0.36649999999999999</v>
      </c>
      <c r="AD452">
        <f t="shared" si="77"/>
        <v>11</v>
      </c>
      <c r="AE452">
        <f t="shared" si="78"/>
        <v>2024</v>
      </c>
      <c r="AF452" t="str">
        <f t="shared" si="79"/>
        <v>CLEAN</v>
      </c>
    </row>
    <row r="453" spans="1:32">
      <c r="A453" t="s">
        <v>2525</v>
      </c>
      <c r="B453" s="10">
        <v>45564</v>
      </c>
      <c r="C453" s="10">
        <v>45422</v>
      </c>
      <c r="D453">
        <f t="shared" si="70"/>
        <v>-142</v>
      </c>
      <c r="E453" t="str">
        <f t="shared" si="71"/>
        <v>INVALID</v>
      </c>
      <c r="F453" t="s">
        <v>2526</v>
      </c>
      <c r="G453" t="s">
        <v>113</v>
      </c>
      <c r="H453" t="s">
        <v>36</v>
      </c>
      <c r="I453" t="s">
        <v>62</v>
      </c>
      <c r="J453" t="s">
        <v>63</v>
      </c>
      <c r="K453" t="s">
        <v>64</v>
      </c>
      <c r="L453" t="s">
        <v>27</v>
      </c>
      <c r="M453" t="s">
        <v>90</v>
      </c>
      <c r="N453" t="s">
        <v>2527</v>
      </c>
      <c r="O453" t="s">
        <v>49</v>
      </c>
      <c r="P453">
        <v>8</v>
      </c>
      <c r="Q453">
        <v>1981.04</v>
      </c>
      <c r="R453">
        <v>-0.14000000000000001</v>
      </c>
      <c r="S453" t="str">
        <f t="shared" si="72"/>
        <v>INVALID-NEGATIVE</v>
      </c>
      <c r="T453">
        <v>12678.66</v>
      </c>
      <c r="U453">
        <v>10088.65</v>
      </c>
      <c r="V453">
        <v>2590.0100000000002</v>
      </c>
      <c r="W453" t="s">
        <v>31</v>
      </c>
      <c r="X453" t="s">
        <v>32</v>
      </c>
      <c r="Y453" t="str">
        <f>IF(COUNTIF($A$2:$A$901,A453)&gt;1,
  IF(COUNTIF($A$2:A453,A453)=1,
    " ORIGINAL",
    "CONFLICTING DUPLICATE - REVIEW"),
"OK")</f>
        <v>OK</v>
      </c>
      <c r="Z453">
        <f t="shared" si="73"/>
        <v>0</v>
      </c>
      <c r="AA453">
        <f t="shared" si="74"/>
        <v>15848.32</v>
      </c>
      <c r="AB453">
        <f t="shared" si="75"/>
        <v>5759.67</v>
      </c>
      <c r="AC453">
        <f t="shared" si="76"/>
        <v>0.3634</v>
      </c>
      <c r="AD453">
        <f t="shared" si="77"/>
        <v>9</v>
      </c>
      <c r="AE453">
        <f t="shared" si="78"/>
        <v>2024</v>
      </c>
      <c r="AF453" t="str">
        <f t="shared" si="79"/>
        <v>INVALID</v>
      </c>
    </row>
    <row r="454" spans="1:32">
      <c r="A454" t="s">
        <v>2528</v>
      </c>
      <c r="B454" s="10">
        <v>45504</v>
      </c>
      <c r="C454" s="10">
        <v>45504</v>
      </c>
      <c r="D454">
        <f t="shared" si="70"/>
        <v>0</v>
      </c>
      <c r="E454" t="str">
        <f t="shared" si="71"/>
        <v>OK</v>
      </c>
      <c r="F454" t="s">
        <v>2529</v>
      </c>
      <c r="G454" t="s">
        <v>22</v>
      </c>
      <c r="H454" t="s">
        <v>94</v>
      </c>
      <c r="I454" t="s">
        <v>53</v>
      </c>
      <c r="J454" t="s">
        <v>184</v>
      </c>
      <c r="K454" t="s">
        <v>185</v>
      </c>
      <c r="L454" t="s">
        <v>73</v>
      </c>
      <c r="M454" t="s">
        <v>273</v>
      </c>
      <c r="N454" t="s">
        <v>2530</v>
      </c>
      <c r="O454" t="s">
        <v>58</v>
      </c>
      <c r="P454">
        <v>8</v>
      </c>
      <c r="Q454">
        <v>4246.01</v>
      </c>
      <c r="R454">
        <v>0</v>
      </c>
      <c r="S454" t="str">
        <f t="shared" si="72"/>
        <v>OK</v>
      </c>
      <c r="T454">
        <v>33968.080000000002</v>
      </c>
      <c r="U454">
        <v>26902.44</v>
      </c>
      <c r="V454">
        <v>7065.64</v>
      </c>
      <c r="W454" t="s">
        <v>154</v>
      </c>
      <c r="X454" t="s">
        <v>67</v>
      </c>
      <c r="Y454" t="str">
        <f>IF(COUNTIF($A$2:$A$901,A454)&gt;1,
  IF(COUNTIF($A$2:A454,A454)=1,
    " ORIGINAL",
    "CONFLICTING DUPLICATE - REVIEW"),
"OK")</f>
        <v>OK</v>
      </c>
      <c r="Z454">
        <f t="shared" si="73"/>
        <v>0</v>
      </c>
      <c r="AA454">
        <f t="shared" si="74"/>
        <v>33968.080000000002</v>
      </c>
      <c r="AB454">
        <f t="shared" si="75"/>
        <v>7065.64</v>
      </c>
      <c r="AC454">
        <f t="shared" si="76"/>
        <v>0.20799999999999999</v>
      </c>
      <c r="AD454">
        <f t="shared" si="77"/>
        <v>7</v>
      </c>
      <c r="AE454">
        <f t="shared" si="78"/>
        <v>2024</v>
      </c>
      <c r="AF454" t="str">
        <f t="shared" si="79"/>
        <v>INVALID</v>
      </c>
    </row>
    <row r="455" spans="1:32">
      <c r="A455" t="s">
        <v>2534</v>
      </c>
      <c r="B455" s="10">
        <v>45476</v>
      </c>
      <c r="C455" s="10">
        <v>45450</v>
      </c>
      <c r="D455">
        <f t="shared" si="70"/>
        <v>-26</v>
      </c>
      <c r="E455" t="str">
        <f t="shared" si="71"/>
        <v>INVALID</v>
      </c>
      <c r="F455" t="s">
        <v>2535</v>
      </c>
      <c r="G455" t="s">
        <v>127</v>
      </c>
      <c r="H455" t="s">
        <v>89</v>
      </c>
      <c r="I455" t="s">
        <v>53</v>
      </c>
      <c r="J455" t="s">
        <v>174</v>
      </c>
      <c r="K455" t="s">
        <v>175</v>
      </c>
      <c r="L455" t="s">
        <v>73</v>
      </c>
      <c r="M455" t="s">
        <v>74</v>
      </c>
      <c r="N455" t="s">
        <v>2536</v>
      </c>
      <c r="O455" t="s">
        <v>49</v>
      </c>
      <c r="P455">
        <v>7</v>
      </c>
      <c r="Q455">
        <v>1942.49</v>
      </c>
      <c r="R455">
        <v>0.2</v>
      </c>
      <c r="S455" t="str">
        <f t="shared" si="72"/>
        <v>OK</v>
      </c>
      <c r="T455">
        <v>10877.94</v>
      </c>
      <c r="U455">
        <v>9110.14</v>
      </c>
      <c r="V455">
        <v>1767.8</v>
      </c>
      <c r="W455" t="s">
        <v>31</v>
      </c>
      <c r="X455" t="s">
        <v>32</v>
      </c>
      <c r="Y455" t="str">
        <f>IF(COUNTIF($A$2:$A$901,A455)&gt;1,
  IF(COUNTIF($A$2:A455,A455)=1,
    " ORIGINAL",
    "CONFLICTING DUPLICATE - REVIEW"),
"OK")</f>
        <v>OK</v>
      </c>
      <c r="Z455">
        <f t="shared" si="73"/>
        <v>0.2</v>
      </c>
      <c r="AA455">
        <f t="shared" si="74"/>
        <v>10877.94</v>
      </c>
      <c r="AB455">
        <f t="shared" si="75"/>
        <v>1767.8</v>
      </c>
      <c r="AC455">
        <f t="shared" si="76"/>
        <v>0.16250000000000001</v>
      </c>
      <c r="AD455">
        <f t="shared" si="77"/>
        <v>7</v>
      </c>
      <c r="AE455">
        <f t="shared" si="78"/>
        <v>2024</v>
      </c>
      <c r="AF455" t="str">
        <f t="shared" si="79"/>
        <v>INVALID</v>
      </c>
    </row>
    <row r="456" spans="1:32">
      <c r="A456" t="s">
        <v>2537</v>
      </c>
      <c r="B456" s="10">
        <v>45577</v>
      </c>
      <c r="C456" s="10">
        <v>45573</v>
      </c>
      <c r="D456">
        <f t="shared" si="70"/>
        <v>-4</v>
      </c>
      <c r="E456" t="str">
        <f t="shared" si="71"/>
        <v>INVALID</v>
      </c>
      <c r="F456" t="s">
        <v>2538</v>
      </c>
      <c r="G456" t="s">
        <v>35</v>
      </c>
      <c r="H456" t="s">
        <v>89</v>
      </c>
      <c r="I456" t="s">
        <v>37</v>
      </c>
      <c r="J456" t="s">
        <v>165</v>
      </c>
      <c r="K456" t="s">
        <v>166</v>
      </c>
      <c r="L456" t="s">
        <v>40</v>
      </c>
      <c r="M456" t="s">
        <v>56</v>
      </c>
      <c r="N456" t="s">
        <v>2539</v>
      </c>
      <c r="O456" t="s">
        <v>30</v>
      </c>
      <c r="P456">
        <v>4</v>
      </c>
      <c r="Q456">
        <v>3202.04</v>
      </c>
      <c r="R456">
        <v>0.2</v>
      </c>
      <c r="S456" t="str">
        <f t="shared" si="72"/>
        <v>OK</v>
      </c>
      <c r="T456">
        <v>10246.530000000001</v>
      </c>
      <c r="U456">
        <v>8634.42</v>
      </c>
      <c r="V456">
        <v>1612.11</v>
      </c>
      <c r="W456" t="s">
        <v>110</v>
      </c>
      <c r="X456" t="s">
        <v>102</v>
      </c>
      <c r="Y456" t="str">
        <f>IF(COUNTIF($A$2:$A$901,A456)&gt;1,
  IF(COUNTIF($A$2:A456,A456)=1,
    " ORIGINAL",
    "CONFLICTING DUPLICATE - REVIEW"),
"OK")</f>
        <v>OK</v>
      </c>
      <c r="Z456">
        <f t="shared" si="73"/>
        <v>0.2</v>
      </c>
      <c r="AA456">
        <f t="shared" si="74"/>
        <v>10246.530000000001</v>
      </c>
      <c r="AB456">
        <f t="shared" si="75"/>
        <v>1612.11</v>
      </c>
      <c r="AC456">
        <f t="shared" si="76"/>
        <v>0.1573</v>
      </c>
      <c r="AD456">
        <f t="shared" si="77"/>
        <v>10</v>
      </c>
      <c r="AE456">
        <f t="shared" si="78"/>
        <v>2024</v>
      </c>
      <c r="AF456" t="str">
        <f t="shared" si="79"/>
        <v>INVALID</v>
      </c>
    </row>
    <row r="457" spans="1:32">
      <c r="A457" t="s">
        <v>2552</v>
      </c>
      <c r="B457" s="10">
        <v>45620</v>
      </c>
      <c r="C457" s="10">
        <v>45303</v>
      </c>
      <c r="D457">
        <f t="shared" si="70"/>
        <v>-317</v>
      </c>
      <c r="E457" t="str">
        <f t="shared" si="71"/>
        <v>INVALID</v>
      </c>
      <c r="F457" t="s">
        <v>2553</v>
      </c>
      <c r="G457" t="s">
        <v>113</v>
      </c>
      <c r="H457" t="s">
        <v>94</v>
      </c>
      <c r="I457" t="s">
        <v>53</v>
      </c>
      <c r="J457" t="s">
        <v>246</v>
      </c>
      <c r="K457" t="s">
        <v>247</v>
      </c>
      <c r="L457" t="s">
        <v>27</v>
      </c>
      <c r="M457" t="s">
        <v>28</v>
      </c>
      <c r="N457" t="s">
        <v>2554</v>
      </c>
      <c r="O457" t="s">
        <v>43</v>
      </c>
      <c r="P457">
        <v>1</v>
      </c>
      <c r="Q457">
        <v>844.89</v>
      </c>
      <c r="R457">
        <v>0.25</v>
      </c>
      <c r="S457" t="str">
        <f t="shared" si="72"/>
        <v>OK</v>
      </c>
      <c r="T457">
        <v>633.66999999999996</v>
      </c>
      <c r="U457">
        <v>520.47</v>
      </c>
      <c r="V457">
        <v>113.2</v>
      </c>
      <c r="W457" t="s">
        <v>31</v>
      </c>
      <c r="X457" t="s">
        <v>67</v>
      </c>
      <c r="Y457" t="str">
        <f>IF(COUNTIF($A$2:$A$901,A457)&gt;1,
  IF(COUNTIF($A$2:A457,A457)=1,
    " ORIGINAL",
    "CONFLICTING DUPLICATE - REVIEW"),
"OK")</f>
        <v>OK</v>
      </c>
      <c r="Z457">
        <f t="shared" si="73"/>
        <v>0.25</v>
      </c>
      <c r="AA457">
        <f t="shared" si="74"/>
        <v>633.66999999999996</v>
      </c>
      <c r="AB457">
        <f t="shared" si="75"/>
        <v>113.2</v>
      </c>
      <c r="AC457">
        <f t="shared" si="76"/>
        <v>0.17860000000000001</v>
      </c>
      <c r="AD457">
        <f t="shared" si="77"/>
        <v>11</v>
      </c>
      <c r="AE457">
        <f t="shared" si="78"/>
        <v>2024</v>
      </c>
      <c r="AF457" t="str">
        <f t="shared" si="79"/>
        <v>INVALID</v>
      </c>
    </row>
    <row r="458" spans="1:32">
      <c r="A458" t="s">
        <v>2558</v>
      </c>
      <c r="B458" s="10">
        <v>45348</v>
      </c>
      <c r="C458" s="10">
        <v>45350</v>
      </c>
      <c r="D458">
        <f t="shared" si="70"/>
        <v>2</v>
      </c>
      <c r="E458" t="str">
        <f t="shared" si="71"/>
        <v>OK</v>
      </c>
      <c r="F458" t="s">
        <v>2559</v>
      </c>
      <c r="G458" t="s">
        <v>88</v>
      </c>
      <c r="H458" t="s">
        <v>36</v>
      </c>
      <c r="I458" t="s">
        <v>62</v>
      </c>
      <c r="J458" t="s">
        <v>189</v>
      </c>
      <c r="K458" t="s">
        <v>190</v>
      </c>
      <c r="L458" t="s">
        <v>40</v>
      </c>
      <c r="M458" t="s">
        <v>56</v>
      </c>
      <c r="N458" t="s">
        <v>2560</v>
      </c>
      <c r="O458" t="s">
        <v>30</v>
      </c>
      <c r="P458">
        <v>7</v>
      </c>
      <c r="Q458">
        <v>1035.1400000000001</v>
      </c>
      <c r="R458">
        <v>0.1</v>
      </c>
      <c r="S458" t="str">
        <f t="shared" si="72"/>
        <v>OK</v>
      </c>
      <c r="T458">
        <v>6521.38</v>
      </c>
      <c r="U458">
        <v>4511.1000000000004</v>
      </c>
      <c r="V458">
        <v>2010.28</v>
      </c>
      <c r="W458" t="s">
        <v>31</v>
      </c>
      <c r="X458" t="s">
        <v>32</v>
      </c>
      <c r="Y458" t="str">
        <f>IF(COUNTIF($A$2:$A$901,A458)&gt;1,
  IF(COUNTIF($A$2:A458,A458)=1,
    " ORIGINAL",
    "CONFLICTING DUPLICATE - REVIEW"),
"OK")</f>
        <v>OK</v>
      </c>
      <c r="Z458">
        <f t="shared" si="73"/>
        <v>0.1</v>
      </c>
      <c r="AA458">
        <f t="shared" si="74"/>
        <v>6521.38</v>
      </c>
      <c r="AB458">
        <f t="shared" si="75"/>
        <v>2010.28</v>
      </c>
      <c r="AC458">
        <f t="shared" si="76"/>
        <v>0.30830000000000002</v>
      </c>
      <c r="AD458">
        <f t="shared" si="77"/>
        <v>2</v>
      </c>
      <c r="AE458">
        <f t="shared" si="78"/>
        <v>2024</v>
      </c>
      <c r="AF458" t="str">
        <f t="shared" si="79"/>
        <v>CLEAN</v>
      </c>
    </row>
    <row r="459" spans="1:32">
      <c r="A459" t="s">
        <v>2570</v>
      </c>
      <c r="B459" s="10">
        <v>45447</v>
      </c>
      <c r="C459" s="10">
        <v>45447</v>
      </c>
      <c r="D459">
        <f t="shared" si="70"/>
        <v>0</v>
      </c>
      <c r="E459" t="str">
        <f t="shared" si="71"/>
        <v>OK</v>
      </c>
      <c r="F459" t="s">
        <v>2571</v>
      </c>
      <c r="G459" t="s">
        <v>117</v>
      </c>
      <c r="H459" t="s">
        <v>94</v>
      </c>
      <c r="I459" t="s">
        <v>37</v>
      </c>
      <c r="J459" t="s">
        <v>98</v>
      </c>
      <c r="K459" t="s">
        <v>99</v>
      </c>
      <c r="L459" t="s">
        <v>40</v>
      </c>
      <c r="M459" t="s">
        <v>157</v>
      </c>
      <c r="N459" t="s">
        <v>2572</v>
      </c>
      <c r="O459" t="s">
        <v>49</v>
      </c>
      <c r="P459">
        <v>6</v>
      </c>
      <c r="Q459">
        <v>3949.4</v>
      </c>
      <c r="R459">
        <v>0</v>
      </c>
      <c r="S459" t="str">
        <f t="shared" si="72"/>
        <v>OK</v>
      </c>
      <c r="T459">
        <v>23696.400000000001</v>
      </c>
      <c r="U459">
        <v>18109.77</v>
      </c>
      <c r="V459">
        <v>5586.63</v>
      </c>
      <c r="W459" t="s">
        <v>31</v>
      </c>
      <c r="X459" t="s">
        <v>32</v>
      </c>
      <c r="Y459" t="str">
        <f>IF(COUNTIF($A$2:$A$901,A459)&gt;1,
  IF(COUNTIF($A$2:A459,A459)=1,
    " ORIGINAL",
    "CONFLICTING DUPLICATE - REVIEW"),
"OK")</f>
        <v>OK</v>
      </c>
      <c r="Z459">
        <f t="shared" si="73"/>
        <v>0</v>
      </c>
      <c r="AA459">
        <f t="shared" si="74"/>
        <v>23696.400000000001</v>
      </c>
      <c r="AB459">
        <f t="shared" si="75"/>
        <v>5586.63</v>
      </c>
      <c r="AC459">
        <f t="shared" si="76"/>
        <v>0.23580000000000001</v>
      </c>
      <c r="AD459">
        <f t="shared" si="77"/>
        <v>6</v>
      </c>
      <c r="AE459">
        <f t="shared" si="78"/>
        <v>2024</v>
      </c>
      <c r="AF459" t="str">
        <f t="shared" si="79"/>
        <v>CLEAN</v>
      </c>
    </row>
    <row r="460" spans="1:32">
      <c r="A460" t="s">
        <v>2573</v>
      </c>
      <c r="B460" s="10">
        <v>45583</v>
      </c>
      <c r="C460" s="10">
        <v>45587</v>
      </c>
      <c r="D460">
        <f t="shared" si="70"/>
        <v>4</v>
      </c>
      <c r="E460" t="str">
        <f t="shared" si="71"/>
        <v>OK</v>
      </c>
      <c r="F460" t="s">
        <v>2574</v>
      </c>
      <c r="G460" t="s">
        <v>127</v>
      </c>
      <c r="H460" t="s">
        <v>94</v>
      </c>
      <c r="I460" t="s">
        <v>53</v>
      </c>
      <c r="J460" t="s">
        <v>54</v>
      </c>
      <c r="K460" t="s">
        <v>55</v>
      </c>
      <c r="L460" t="s">
        <v>27</v>
      </c>
      <c r="M460" t="s">
        <v>47</v>
      </c>
      <c r="N460" t="s">
        <v>2575</v>
      </c>
      <c r="O460" t="s">
        <v>49</v>
      </c>
      <c r="P460">
        <v>6</v>
      </c>
      <c r="Q460">
        <v>674.61</v>
      </c>
      <c r="R460">
        <v>0</v>
      </c>
      <c r="S460" t="str">
        <f t="shared" si="72"/>
        <v>OK</v>
      </c>
      <c r="T460">
        <v>4047.66</v>
      </c>
      <c r="U460">
        <v>3078.93</v>
      </c>
      <c r="V460">
        <v>1279.79</v>
      </c>
      <c r="W460" t="s">
        <v>31</v>
      </c>
      <c r="X460" t="s">
        <v>32</v>
      </c>
      <c r="Y460" t="str">
        <f>IF(COUNTIF($A$2:$A$901,A460)&gt;1,
  IF(COUNTIF($A$2:A460,A460)=1,
    " ORIGINAL",
    "CONFLICTING DUPLICATE - REVIEW"),
"OK")</f>
        <v>OK</v>
      </c>
      <c r="Z460">
        <f t="shared" si="73"/>
        <v>0</v>
      </c>
      <c r="AA460">
        <f t="shared" si="74"/>
        <v>4047.66</v>
      </c>
      <c r="AB460">
        <f t="shared" si="75"/>
        <v>968.73</v>
      </c>
      <c r="AC460">
        <f t="shared" si="76"/>
        <v>0.23930000000000001</v>
      </c>
      <c r="AD460">
        <f t="shared" si="77"/>
        <v>10</v>
      </c>
      <c r="AE460">
        <f t="shared" si="78"/>
        <v>2024</v>
      </c>
      <c r="AF460" t="str">
        <f t="shared" si="79"/>
        <v>CLEAN</v>
      </c>
    </row>
    <row r="461" spans="1:32">
      <c r="A461" t="s">
        <v>2579</v>
      </c>
      <c r="B461" s="10">
        <v>45641</v>
      </c>
      <c r="C461" s="10">
        <v>45644</v>
      </c>
      <c r="D461">
        <f t="shared" si="70"/>
        <v>3</v>
      </c>
      <c r="E461" t="str">
        <f t="shared" si="71"/>
        <v>OK</v>
      </c>
      <c r="F461" t="s">
        <v>2580</v>
      </c>
      <c r="G461" t="s">
        <v>46</v>
      </c>
      <c r="H461" t="s">
        <v>36</v>
      </c>
      <c r="I461" t="s">
        <v>24</v>
      </c>
      <c r="J461" t="s">
        <v>25</v>
      </c>
      <c r="K461" t="s">
        <v>26</v>
      </c>
      <c r="L461" t="s">
        <v>27</v>
      </c>
      <c r="M461" t="s">
        <v>90</v>
      </c>
      <c r="N461" t="s">
        <v>2581</v>
      </c>
      <c r="O461" t="s">
        <v>30</v>
      </c>
      <c r="P461">
        <v>2</v>
      </c>
      <c r="Q461">
        <v>537.11</v>
      </c>
      <c r="R461">
        <v>0</v>
      </c>
      <c r="S461" t="str">
        <f t="shared" si="72"/>
        <v>OK</v>
      </c>
      <c r="T461">
        <v>1074.22</v>
      </c>
      <c r="U461">
        <v>850.86</v>
      </c>
      <c r="V461">
        <v>223.36</v>
      </c>
      <c r="W461" t="s">
        <v>31</v>
      </c>
      <c r="X461" t="s">
        <v>32</v>
      </c>
      <c r="Y461" t="str">
        <f>IF(COUNTIF($A$2:$A$901,A461)&gt;1,
  IF(COUNTIF($A$2:A461,A461)=1,
    " ORIGINAL",
    "CONFLICTING DUPLICATE - REVIEW"),
"OK")</f>
        <v>OK</v>
      </c>
      <c r="Z461">
        <f t="shared" si="73"/>
        <v>0</v>
      </c>
      <c r="AA461">
        <f t="shared" si="74"/>
        <v>1074.22</v>
      </c>
      <c r="AB461">
        <f t="shared" si="75"/>
        <v>223.36</v>
      </c>
      <c r="AC461">
        <f t="shared" si="76"/>
        <v>0.2079</v>
      </c>
      <c r="AD461">
        <f t="shared" si="77"/>
        <v>12</v>
      </c>
      <c r="AE461">
        <f t="shared" si="78"/>
        <v>2024</v>
      </c>
      <c r="AF461" t="str">
        <f t="shared" si="79"/>
        <v>CLEAN</v>
      </c>
    </row>
    <row r="462" spans="1:32">
      <c r="A462" t="s">
        <v>2588</v>
      </c>
      <c r="B462" s="10">
        <v>45555</v>
      </c>
      <c r="C462" s="10">
        <v>45557</v>
      </c>
      <c r="D462">
        <f t="shared" si="70"/>
        <v>2</v>
      </c>
      <c r="E462" t="str">
        <f t="shared" si="71"/>
        <v>OK</v>
      </c>
      <c r="F462" t="s">
        <v>2589</v>
      </c>
      <c r="G462" t="s">
        <v>140</v>
      </c>
      <c r="H462" t="s">
        <v>94</v>
      </c>
      <c r="I462" t="s">
        <v>37</v>
      </c>
      <c r="J462" t="s">
        <v>38</v>
      </c>
      <c r="K462" t="s">
        <v>39</v>
      </c>
      <c r="L462" t="s">
        <v>73</v>
      </c>
      <c r="M462" t="s">
        <v>170</v>
      </c>
      <c r="N462" t="s">
        <v>2590</v>
      </c>
      <c r="O462" t="s">
        <v>58</v>
      </c>
      <c r="P462">
        <v>8</v>
      </c>
      <c r="Q462">
        <v>531.42999999999995</v>
      </c>
      <c r="R462">
        <v>0.1</v>
      </c>
      <c r="S462" t="str">
        <f t="shared" si="72"/>
        <v>OK</v>
      </c>
      <c r="T462">
        <v>3826.3</v>
      </c>
      <c r="U462">
        <v>2194.12</v>
      </c>
      <c r="V462">
        <v>1632.18</v>
      </c>
      <c r="W462" t="s">
        <v>31</v>
      </c>
      <c r="X462" t="s">
        <v>32</v>
      </c>
      <c r="Y462" t="str">
        <f>IF(COUNTIF($A$2:$A$901,A462)&gt;1,
  IF(COUNTIF($A$2:A462,A462)=1,
    " ORIGINAL",
    "CONFLICTING DUPLICATE - REVIEW"),
"OK")</f>
        <v>OK</v>
      </c>
      <c r="Z462">
        <f t="shared" si="73"/>
        <v>0.1</v>
      </c>
      <c r="AA462">
        <f t="shared" si="74"/>
        <v>3826.3</v>
      </c>
      <c r="AB462">
        <f t="shared" si="75"/>
        <v>1632.18</v>
      </c>
      <c r="AC462">
        <f t="shared" si="76"/>
        <v>0.42659999999999998</v>
      </c>
      <c r="AD462">
        <f t="shared" si="77"/>
        <v>9</v>
      </c>
      <c r="AE462">
        <f t="shared" si="78"/>
        <v>2024</v>
      </c>
      <c r="AF462" t="str">
        <f t="shared" si="79"/>
        <v>CLEAN</v>
      </c>
    </row>
    <row r="463" spans="1:32">
      <c r="A463" t="s">
        <v>2597</v>
      </c>
      <c r="B463" s="10">
        <v>45382</v>
      </c>
      <c r="C463" s="10">
        <v>45381</v>
      </c>
      <c r="D463">
        <f t="shared" si="70"/>
        <v>-1</v>
      </c>
      <c r="E463" t="str">
        <f t="shared" si="71"/>
        <v>INVALID</v>
      </c>
      <c r="F463" t="s">
        <v>2598</v>
      </c>
      <c r="G463" t="s">
        <v>263</v>
      </c>
      <c r="H463" t="s">
        <v>23</v>
      </c>
      <c r="I463" t="s">
        <v>24</v>
      </c>
      <c r="J463" t="s">
        <v>235</v>
      </c>
      <c r="K463" t="s">
        <v>236</v>
      </c>
      <c r="L463" t="s">
        <v>73</v>
      </c>
      <c r="M463" t="s">
        <v>273</v>
      </c>
      <c r="N463" t="s">
        <v>2599</v>
      </c>
      <c r="O463" t="s">
        <v>49</v>
      </c>
      <c r="P463">
        <v>4</v>
      </c>
      <c r="Q463">
        <v>2192.08</v>
      </c>
      <c r="R463">
        <v>0.15</v>
      </c>
      <c r="S463" t="str">
        <f t="shared" si="72"/>
        <v>OK</v>
      </c>
      <c r="T463">
        <v>7453.07</v>
      </c>
      <c r="U463">
        <v>5133.78</v>
      </c>
      <c r="V463">
        <v>2319.29</v>
      </c>
      <c r="W463" t="s">
        <v>31</v>
      </c>
      <c r="X463" t="s">
        <v>102</v>
      </c>
      <c r="Y463" t="str">
        <f>IF(COUNTIF($A$2:$A$901,A463)&gt;1,
  IF(COUNTIF($A$2:A463,A463)=1,
    " ORIGINAL",
    "CONFLICTING DUPLICATE - REVIEW"),
"OK")</f>
        <v>OK</v>
      </c>
      <c r="Z463">
        <f t="shared" si="73"/>
        <v>0.15</v>
      </c>
      <c r="AA463">
        <f t="shared" si="74"/>
        <v>7453.07</v>
      </c>
      <c r="AB463">
        <f t="shared" si="75"/>
        <v>2319.29</v>
      </c>
      <c r="AC463">
        <f t="shared" si="76"/>
        <v>0.31119999999999998</v>
      </c>
      <c r="AD463">
        <f t="shared" si="77"/>
        <v>3</v>
      </c>
      <c r="AE463">
        <f t="shared" si="78"/>
        <v>2024</v>
      </c>
      <c r="AF463" t="str">
        <f t="shared" si="79"/>
        <v>INVALID</v>
      </c>
    </row>
    <row r="464" spans="1:32">
      <c r="A464" t="s">
        <v>2606</v>
      </c>
      <c r="B464" s="10">
        <v>45345</v>
      </c>
      <c r="C464" s="10">
        <v>45349</v>
      </c>
      <c r="D464">
        <f t="shared" si="70"/>
        <v>4</v>
      </c>
      <c r="E464" t="str">
        <f t="shared" si="71"/>
        <v>OK</v>
      </c>
      <c r="F464" t="s">
        <v>592</v>
      </c>
      <c r="G464" t="s">
        <v>22</v>
      </c>
      <c r="H464" t="s">
        <v>23</v>
      </c>
      <c r="I464" t="s">
        <v>37</v>
      </c>
      <c r="J464" t="s">
        <v>38</v>
      </c>
      <c r="K464" t="s">
        <v>39</v>
      </c>
      <c r="L464" t="s">
        <v>40</v>
      </c>
      <c r="M464" t="s">
        <v>41</v>
      </c>
      <c r="N464" t="s">
        <v>2607</v>
      </c>
      <c r="O464" t="s">
        <v>49</v>
      </c>
      <c r="P464">
        <v>9</v>
      </c>
      <c r="Q464">
        <v>3616.23</v>
      </c>
      <c r="R464">
        <v>0.25</v>
      </c>
      <c r="S464" t="str">
        <f t="shared" si="72"/>
        <v>OK</v>
      </c>
      <c r="T464">
        <v>24409.55</v>
      </c>
      <c r="U464">
        <v>17157.580000000002</v>
      </c>
      <c r="V464">
        <v>7251.97</v>
      </c>
      <c r="W464" t="s">
        <v>110</v>
      </c>
      <c r="X464" t="s">
        <v>102</v>
      </c>
      <c r="Y464" t="str">
        <f>IF(COUNTIF($A$2:$A$901,A464)&gt;1,
  IF(COUNTIF($A$2:A464,A464)=1,
    " ORIGINAL",
    "CONFLICTING DUPLICATE - REVIEW"),
"OK")</f>
        <v>OK</v>
      </c>
      <c r="Z464">
        <f t="shared" si="73"/>
        <v>0.25</v>
      </c>
      <c r="AA464">
        <f t="shared" si="74"/>
        <v>24409.55</v>
      </c>
      <c r="AB464">
        <f t="shared" si="75"/>
        <v>7251.97</v>
      </c>
      <c r="AC464">
        <f t="shared" si="76"/>
        <v>0.29709999999999998</v>
      </c>
      <c r="AD464">
        <f t="shared" si="77"/>
        <v>2</v>
      </c>
      <c r="AE464">
        <f t="shared" si="78"/>
        <v>2024</v>
      </c>
      <c r="AF464" t="str">
        <f t="shared" si="79"/>
        <v>CLEAN</v>
      </c>
    </row>
    <row r="465" spans="1:32">
      <c r="A465" t="s">
        <v>2608</v>
      </c>
      <c r="B465" s="10">
        <v>45396</v>
      </c>
      <c r="C465" s="10">
        <v>45404</v>
      </c>
      <c r="D465">
        <f t="shared" si="70"/>
        <v>8</v>
      </c>
      <c r="E465" t="str">
        <f t="shared" si="71"/>
        <v>OK</v>
      </c>
      <c r="F465" t="s">
        <v>2609</v>
      </c>
      <c r="G465" t="s">
        <v>113</v>
      </c>
      <c r="H465" t="s">
        <v>36</v>
      </c>
      <c r="I465" t="s">
        <v>62</v>
      </c>
      <c r="J465" t="s">
        <v>179</v>
      </c>
      <c r="K465" t="s">
        <v>180</v>
      </c>
      <c r="L465" t="s">
        <v>40</v>
      </c>
      <c r="M465" t="s">
        <v>157</v>
      </c>
      <c r="N465" t="s">
        <v>2610</v>
      </c>
      <c r="O465" t="s">
        <v>58</v>
      </c>
      <c r="P465">
        <v>2</v>
      </c>
      <c r="Q465">
        <v>3977.52</v>
      </c>
      <c r="R465">
        <v>0</v>
      </c>
      <c r="S465" t="str">
        <f t="shared" si="72"/>
        <v>OK</v>
      </c>
      <c r="T465">
        <v>7955.04</v>
      </c>
      <c r="U465">
        <v>5580.68</v>
      </c>
      <c r="V465">
        <v>2374.36</v>
      </c>
      <c r="W465" t="s">
        <v>110</v>
      </c>
      <c r="X465" t="s">
        <v>102</v>
      </c>
      <c r="Y465" t="str">
        <f>IF(COUNTIF($A$2:$A$901,A465)&gt;1,
  IF(COUNTIF($A$2:A465,A465)=1,
    " ORIGINAL",
    "CONFLICTING DUPLICATE - REVIEW"),
"OK")</f>
        <v>OK</v>
      </c>
      <c r="Z465">
        <f t="shared" si="73"/>
        <v>0</v>
      </c>
      <c r="AA465">
        <f t="shared" si="74"/>
        <v>7955.04</v>
      </c>
      <c r="AB465">
        <f t="shared" si="75"/>
        <v>2374.36</v>
      </c>
      <c r="AC465">
        <f t="shared" si="76"/>
        <v>0.29849999999999999</v>
      </c>
      <c r="AD465">
        <f t="shared" si="77"/>
        <v>4</v>
      </c>
      <c r="AE465">
        <f t="shared" si="78"/>
        <v>2024</v>
      </c>
      <c r="AF465" t="str">
        <f t="shared" si="79"/>
        <v>CLEAN</v>
      </c>
    </row>
    <row r="466" spans="1:32">
      <c r="A466" t="s">
        <v>2617</v>
      </c>
      <c r="B466" s="10">
        <v>45357</v>
      </c>
      <c r="C466" s="10">
        <v>45629</v>
      </c>
      <c r="D466">
        <f t="shared" si="70"/>
        <v>272</v>
      </c>
      <c r="E466" t="str">
        <f t="shared" si="71"/>
        <v>OK</v>
      </c>
      <c r="F466" t="s">
        <v>2618</v>
      </c>
      <c r="G466" t="s">
        <v>46</v>
      </c>
      <c r="H466" t="s">
        <v>94</v>
      </c>
      <c r="I466" t="s">
        <v>62</v>
      </c>
      <c r="J466" t="s">
        <v>179</v>
      </c>
      <c r="K466" t="s">
        <v>180</v>
      </c>
      <c r="L466" t="s">
        <v>40</v>
      </c>
      <c r="M466" t="s">
        <v>157</v>
      </c>
      <c r="N466" t="s">
        <v>2619</v>
      </c>
      <c r="O466" t="s">
        <v>58</v>
      </c>
      <c r="P466">
        <v>3</v>
      </c>
      <c r="Q466">
        <v>679.63</v>
      </c>
      <c r="R466">
        <v>0.2</v>
      </c>
      <c r="S466" t="str">
        <f t="shared" si="72"/>
        <v>OK</v>
      </c>
      <c r="T466">
        <v>1631.11</v>
      </c>
      <c r="U466">
        <v>898.73</v>
      </c>
      <c r="V466">
        <v>396.58</v>
      </c>
      <c r="W466" t="s">
        <v>31</v>
      </c>
      <c r="X466" t="s">
        <v>32</v>
      </c>
      <c r="Y466" t="str">
        <f>IF(COUNTIF($A$2:$A$901,A466)&gt;1,
  IF(COUNTIF($A$2:A466,A466)=1,
    " ORIGINAL",
    "CONFLICTING DUPLICATE - REVIEW"),
"OK")</f>
        <v>OK</v>
      </c>
      <c r="Z466">
        <f t="shared" si="73"/>
        <v>0.2</v>
      </c>
      <c r="AA466">
        <f t="shared" si="74"/>
        <v>1631.11</v>
      </c>
      <c r="AB466">
        <f t="shared" si="75"/>
        <v>732.38</v>
      </c>
      <c r="AC466">
        <f t="shared" si="76"/>
        <v>0.44900000000000001</v>
      </c>
      <c r="AD466">
        <f t="shared" si="77"/>
        <v>3</v>
      </c>
      <c r="AE466">
        <f t="shared" si="78"/>
        <v>2024</v>
      </c>
      <c r="AF466" t="str">
        <f t="shared" si="79"/>
        <v>CLEAN</v>
      </c>
    </row>
    <row r="467" spans="1:32">
      <c r="A467" t="s">
        <v>2620</v>
      </c>
      <c r="B467" s="10">
        <v>45473</v>
      </c>
      <c r="C467" s="10">
        <v>45476</v>
      </c>
      <c r="D467">
        <f t="shared" si="70"/>
        <v>3</v>
      </c>
      <c r="E467" t="str">
        <f t="shared" si="71"/>
        <v>OK</v>
      </c>
      <c r="F467" t="s">
        <v>2621</v>
      </c>
      <c r="G467" t="s">
        <v>113</v>
      </c>
      <c r="H467" t="s">
        <v>94</v>
      </c>
      <c r="I467" t="s">
        <v>37</v>
      </c>
      <c r="J467" t="s">
        <v>98</v>
      </c>
      <c r="K467" t="s">
        <v>99</v>
      </c>
      <c r="L467" t="s">
        <v>27</v>
      </c>
      <c r="M467" t="s">
        <v>28</v>
      </c>
      <c r="N467" t="s">
        <v>2622</v>
      </c>
      <c r="O467" t="s">
        <v>49</v>
      </c>
      <c r="P467">
        <v>6</v>
      </c>
      <c r="Q467">
        <v>1211.01</v>
      </c>
      <c r="R467">
        <v>0</v>
      </c>
      <c r="S467" t="str">
        <f t="shared" si="72"/>
        <v>OK</v>
      </c>
      <c r="T467">
        <v>7266.06</v>
      </c>
      <c r="U467">
        <v>6216.89</v>
      </c>
      <c r="V467">
        <v>1049.17</v>
      </c>
      <c r="W467" t="s">
        <v>31</v>
      </c>
      <c r="X467" t="s">
        <v>32</v>
      </c>
      <c r="Y467" t="str">
        <f>IF(COUNTIF($A$2:$A$901,A467)&gt;1,
  IF(COUNTIF($A$2:A467,A467)=1,
    " ORIGINAL",
    "CONFLICTING DUPLICATE - REVIEW"),
"OK")</f>
        <v>OK</v>
      </c>
      <c r="Z467">
        <f t="shared" si="73"/>
        <v>0</v>
      </c>
      <c r="AA467">
        <f t="shared" si="74"/>
        <v>7266.06</v>
      </c>
      <c r="AB467">
        <f t="shared" si="75"/>
        <v>1049.17</v>
      </c>
      <c r="AC467">
        <f t="shared" si="76"/>
        <v>0.1444</v>
      </c>
      <c r="AD467">
        <f t="shared" si="77"/>
        <v>6</v>
      </c>
      <c r="AE467">
        <f t="shared" si="78"/>
        <v>2024</v>
      </c>
      <c r="AF467" t="str">
        <f t="shared" si="79"/>
        <v>CLEAN</v>
      </c>
    </row>
    <row r="468" spans="1:32">
      <c r="A468" t="s">
        <v>2623</v>
      </c>
      <c r="B468" s="10">
        <v>45377</v>
      </c>
      <c r="C468" s="10">
        <v>45383</v>
      </c>
      <c r="D468">
        <f t="shared" si="70"/>
        <v>6</v>
      </c>
      <c r="E468" t="str">
        <f t="shared" si="71"/>
        <v>OK</v>
      </c>
      <c r="F468" t="s">
        <v>2624</v>
      </c>
      <c r="G468" t="s">
        <v>22</v>
      </c>
      <c r="H468" t="s">
        <v>36</v>
      </c>
      <c r="I468" t="s">
        <v>62</v>
      </c>
      <c r="J468" t="s">
        <v>179</v>
      </c>
      <c r="K468" t="s">
        <v>180</v>
      </c>
      <c r="L468" t="s">
        <v>73</v>
      </c>
      <c r="M468" t="s">
        <v>74</v>
      </c>
      <c r="N468" t="s">
        <v>2625</v>
      </c>
      <c r="O468" t="s">
        <v>49</v>
      </c>
      <c r="P468">
        <v>2</v>
      </c>
      <c r="Q468">
        <v>1161.3</v>
      </c>
      <c r="R468">
        <v>0.2</v>
      </c>
      <c r="S468" t="str">
        <f t="shared" si="72"/>
        <v>OK</v>
      </c>
      <c r="T468">
        <v>1858.08</v>
      </c>
      <c r="U468">
        <v>1590.75</v>
      </c>
      <c r="V468">
        <v>267.33</v>
      </c>
      <c r="W468" t="s">
        <v>31</v>
      </c>
      <c r="X468" t="s">
        <v>32</v>
      </c>
      <c r="Y468" t="str">
        <f>IF(COUNTIF($A$2:$A$901,A468)&gt;1,
  IF(COUNTIF($A$2:A468,A468)=1,
    " ORIGINAL",
    "CONFLICTING DUPLICATE - REVIEW"),
"OK")</f>
        <v>OK</v>
      </c>
      <c r="Z468">
        <f t="shared" si="73"/>
        <v>0.2</v>
      </c>
      <c r="AA468">
        <f t="shared" si="74"/>
        <v>1858.08</v>
      </c>
      <c r="AB468">
        <f t="shared" si="75"/>
        <v>267.33</v>
      </c>
      <c r="AC468">
        <f t="shared" si="76"/>
        <v>0.1439</v>
      </c>
      <c r="AD468">
        <f t="shared" si="77"/>
        <v>3</v>
      </c>
      <c r="AE468">
        <f t="shared" si="78"/>
        <v>2024</v>
      </c>
      <c r="AF468" t="str">
        <f t="shared" si="79"/>
        <v>CLEAN</v>
      </c>
    </row>
    <row r="469" spans="1:32">
      <c r="A469" t="s">
        <v>2626</v>
      </c>
      <c r="B469" s="10">
        <v>45295</v>
      </c>
      <c r="C469" s="10">
        <v>45508</v>
      </c>
      <c r="D469">
        <f t="shared" si="70"/>
        <v>213</v>
      </c>
      <c r="E469" t="str">
        <f t="shared" si="71"/>
        <v>OK</v>
      </c>
      <c r="F469" t="s">
        <v>2627</v>
      </c>
      <c r="G469" t="s">
        <v>61</v>
      </c>
      <c r="H469" t="s">
        <v>23</v>
      </c>
      <c r="I469" t="s">
        <v>37</v>
      </c>
      <c r="J469" t="s">
        <v>165</v>
      </c>
      <c r="K469" t="s">
        <v>166</v>
      </c>
      <c r="L469" t="s">
        <v>40</v>
      </c>
      <c r="M469" t="s">
        <v>41</v>
      </c>
      <c r="N469" t="s">
        <v>2628</v>
      </c>
      <c r="O469" t="s">
        <v>30</v>
      </c>
      <c r="P469">
        <v>7</v>
      </c>
      <c r="Q469">
        <v>4205.3500000000004</v>
      </c>
      <c r="R469">
        <v>0.15</v>
      </c>
      <c r="S469" t="str">
        <f t="shared" si="72"/>
        <v>OK</v>
      </c>
      <c r="T469">
        <v>25021.83</v>
      </c>
      <c r="U469">
        <v>15544.44</v>
      </c>
      <c r="V469">
        <v>9477.39</v>
      </c>
      <c r="W469" t="s">
        <v>110</v>
      </c>
      <c r="X469" t="s">
        <v>67</v>
      </c>
      <c r="Y469" t="str">
        <f>IF(COUNTIF($A$2:$A$901,A469)&gt;1,
  IF(COUNTIF($A$2:A469,A469)=1,
    " ORIGINAL",
    "CONFLICTING DUPLICATE - REVIEW"),
"OK")</f>
        <v>OK</v>
      </c>
      <c r="Z469">
        <f t="shared" si="73"/>
        <v>0.15</v>
      </c>
      <c r="AA469">
        <f t="shared" si="74"/>
        <v>25021.83</v>
      </c>
      <c r="AB469">
        <f t="shared" si="75"/>
        <v>9477.39</v>
      </c>
      <c r="AC469">
        <f t="shared" si="76"/>
        <v>0.37880000000000003</v>
      </c>
      <c r="AD469">
        <f t="shared" si="77"/>
        <v>1</v>
      </c>
      <c r="AE469">
        <f t="shared" si="78"/>
        <v>2024</v>
      </c>
      <c r="AF469" t="str">
        <f t="shared" si="79"/>
        <v>CLEAN</v>
      </c>
    </row>
    <row r="470" spans="1:32">
      <c r="A470" t="s">
        <v>2635</v>
      </c>
      <c r="B470" s="10">
        <v>45498</v>
      </c>
      <c r="C470" s="10">
        <v>45506</v>
      </c>
      <c r="D470">
        <f t="shared" si="70"/>
        <v>8</v>
      </c>
      <c r="E470" t="str">
        <f t="shared" si="71"/>
        <v>OK</v>
      </c>
      <c r="F470" t="s">
        <v>1121</v>
      </c>
      <c r="G470" t="s">
        <v>117</v>
      </c>
      <c r="H470" t="s">
        <v>23</v>
      </c>
      <c r="I470" t="s">
        <v>24</v>
      </c>
      <c r="J470" t="s">
        <v>25</v>
      </c>
      <c r="K470" t="s">
        <v>26</v>
      </c>
      <c r="L470" t="s">
        <v>27</v>
      </c>
      <c r="M470" t="s">
        <v>90</v>
      </c>
      <c r="N470" t="s">
        <v>2636</v>
      </c>
      <c r="O470" t="s">
        <v>30</v>
      </c>
      <c r="P470">
        <v>2</v>
      </c>
      <c r="Q470">
        <v>2073.5300000000002</v>
      </c>
      <c r="R470">
        <v>0.25</v>
      </c>
      <c r="S470" t="str">
        <f t="shared" si="72"/>
        <v>OK</v>
      </c>
      <c r="T470">
        <v>3110.3</v>
      </c>
      <c r="U470">
        <v>2101.0300000000002</v>
      </c>
      <c r="V470">
        <v>1009.27</v>
      </c>
      <c r="W470" t="s">
        <v>31</v>
      </c>
      <c r="X470" t="s">
        <v>32</v>
      </c>
      <c r="Y470" t="str">
        <f>IF(COUNTIF($A$2:$A$901,A470)&gt;1,
  IF(COUNTIF($A$2:A470,A470)=1,
    " ORIGINAL",
    "CONFLICTING DUPLICATE - REVIEW"),
"OK")</f>
        <v>OK</v>
      </c>
      <c r="Z470">
        <f t="shared" si="73"/>
        <v>0.25</v>
      </c>
      <c r="AA470">
        <f t="shared" si="74"/>
        <v>3110.3</v>
      </c>
      <c r="AB470">
        <f t="shared" si="75"/>
        <v>1009.27</v>
      </c>
      <c r="AC470">
        <f t="shared" si="76"/>
        <v>0.32450000000000001</v>
      </c>
      <c r="AD470">
        <f t="shared" si="77"/>
        <v>7</v>
      </c>
      <c r="AE470">
        <f t="shared" si="78"/>
        <v>2024</v>
      </c>
      <c r="AF470" t="str">
        <f t="shared" si="79"/>
        <v>CLEAN</v>
      </c>
    </row>
    <row r="471" spans="1:32">
      <c r="A471" t="s">
        <v>2637</v>
      </c>
      <c r="B471" s="10">
        <v>45455</v>
      </c>
      <c r="C471" s="10">
        <v>45462</v>
      </c>
      <c r="D471">
        <f t="shared" si="70"/>
        <v>7</v>
      </c>
      <c r="E471" t="str">
        <f t="shared" si="71"/>
        <v>OK</v>
      </c>
      <c r="F471" t="s">
        <v>1299</v>
      </c>
      <c r="G471" t="s">
        <v>140</v>
      </c>
      <c r="H471" t="s">
        <v>94</v>
      </c>
      <c r="I471" t="s">
        <v>53</v>
      </c>
      <c r="J471" t="s">
        <v>246</v>
      </c>
      <c r="K471" t="s">
        <v>247</v>
      </c>
      <c r="L471" t="s">
        <v>27</v>
      </c>
      <c r="M471" t="s">
        <v>123</v>
      </c>
      <c r="N471" t="s">
        <v>2638</v>
      </c>
      <c r="O471" t="s">
        <v>58</v>
      </c>
      <c r="P471">
        <v>4</v>
      </c>
      <c r="Q471">
        <v>395.1</v>
      </c>
      <c r="R471">
        <v>-0.16</v>
      </c>
      <c r="S471" t="str">
        <f t="shared" si="72"/>
        <v>INVALID-NEGATIVE</v>
      </c>
      <c r="T471">
        <v>1185.3</v>
      </c>
      <c r="U471">
        <v>966.55</v>
      </c>
      <c r="V471">
        <v>218.75</v>
      </c>
      <c r="W471" t="s">
        <v>154</v>
      </c>
      <c r="X471" t="s">
        <v>67</v>
      </c>
      <c r="Y471" t="str">
        <f>IF(COUNTIF($A$2:$A$901,A471)&gt;1,
  IF(COUNTIF($A$2:A471,A471)=1,
    " ORIGINAL",
    "CONFLICTING DUPLICATE - REVIEW"),
"OK")</f>
        <v>OK</v>
      </c>
      <c r="Z471">
        <f t="shared" si="73"/>
        <v>0</v>
      </c>
      <c r="AA471">
        <f t="shared" si="74"/>
        <v>1580.4</v>
      </c>
      <c r="AB471">
        <f t="shared" si="75"/>
        <v>613.85</v>
      </c>
      <c r="AC471">
        <f t="shared" si="76"/>
        <v>0.38840000000000002</v>
      </c>
      <c r="AD471">
        <f t="shared" si="77"/>
        <v>6</v>
      </c>
      <c r="AE471">
        <f t="shared" si="78"/>
        <v>2024</v>
      </c>
      <c r="AF471" t="str">
        <f t="shared" si="79"/>
        <v>INVALID</v>
      </c>
    </row>
    <row r="472" spans="1:32">
      <c r="A472" t="s">
        <v>2639</v>
      </c>
      <c r="B472" s="10">
        <v>45447</v>
      </c>
      <c r="C472" s="10">
        <v>45388</v>
      </c>
      <c r="D472">
        <f t="shared" si="70"/>
        <v>-59</v>
      </c>
      <c r="E472" t="str">
        <f t="shared" si="71"/>
        <v>INVALID</v>
      </c>
      <c r="F472" t="s">
        <v>2146</v>
      </c>
      <c r="G472" t="s">
        <v>131</v>
      </c>
      <c r="H472" t="s">
        <v>94</v>
      </c>
      <c r="I472" t="s">
        <v>53</v>
      </c>
      <c r="J472" t="s">
        <v>184</v>
      </c>
      <c r="K472" t="s">
        <v>185</v>
      </c>
      <c r="L472" t="s">
        <v>27</v>
      </c>
      <c r="M472" t="s">
        <v>123</v>
      </c>
      <c r="N472" t="s">
        <v>2640</v>
      </c>
      <c r="O472" t="s">
        <v>49</v>
      </c>
      <c r="P472">
        <v>6</v>
      </c>
      <c r="Q472">
        <v>2708.97</v>
      </c>
      <c r="R472">
        <v>0.25</v>
      </c>
      <c r="S472" t="str">
        <f t="shared" si="72"/>
        <v>OK</v>
      </c>
      <c r="T472">
        <v>12190.36</v>
      </c>
      <c r="U472">
        <v>10176.99</v>
      </c>
      <c r="V472">
        <v>2013.37</v>
      </c>
      <c r="W472" t="s">
        <v>31</v>
      </c>
      <c r="X472" t="s">
        <v>32</v>
      </c>
      <c r="Y472" t="str">
        <f>IF(COUNTIF($A$2:$A$901,A472)&gt;1,
  IF(COUNTIF($A$2:A472,A472)=1,
    " ORIGINAL",
    "CONFLICTING DUPLICATE - REVIEW"),
"OK")</f>
        <v>OK</v>
      </c>
      <c r="Z472">
        <f t="shared" si="73"/>
        <v>0.25</v>
      </c>
      <c r="AA472">
        <f t="shared" si="74"/>
        <v>12190.37</v>
      </c>
      <c r="AB472">
        <f t="shared" si="75"/>
        <v>2013.38</v>
      </c>
      <c r="AC472">
        <f t="shared" si="76"/>
        <v>0.16520000000000001</v>
      </c>
      <c r="AD472">
        <f t="shared" si="77"/>
        <v>6</v>
      </c>
      <c r="AE472">
        <f t="shared" si="78"/>
        <v>2024</v>
      </c>
      <c r="AF472" t="str">
        <f t="shared" si="79"/>
        <v>INVALID</v>
      </c>
    </row>
    <row r="473" spans="1:32">
      <c r="A473" t="s">
        <v>2641</v>
      </c>
      <c r="B473" s="10">
        <v>45414</v>
      </c>
      <c r="C473" s="10">
        <v>45421</v>
      </c>
      <c r="D473">
        <f t="shared" si="70"/>
        <v>7</v>
      </c>
      <c r="E473" t="str">
        <f t="shared" si="71"/>
        <v>OK</v>
      </c>
      <c r="F473" t="s">
        <v>2642</v>
      </c>
      <c r="G473" t="s">
        <v>52</v>
      </c>
      <c r="H473" t="s">
        <v>23</v>
      </c>
      <c r="I473" t="s">
        <v>37</v>
      </c>
      <c r="J473" t="s">
        <v>38</v>
      </c>
      <c r="K473" t="s">
        <v>39</v>
      </c>
      <c r="L473" t="s">
        <v>73</v>
      </c>
      <c r="M473" t="s">
        <v>74</v>
      </c>
      <c r="N473" t="s">
        <v>2643</v>
      </c>
      <c r="O473" t="s">
        <v>30</v>
      </c>
      <c r="P473">
        <v>4</v>
      </c>
      <c r="Q473">
        <v>2904.86</v>
      </c>
      <c r="R473">
        <v>0</v>
      </c>
      <c r="S473" t="str">
        <f t="shared" si="72"/>
        <v>OK</v>
      </c>
      <c r="T473">
        <v>11619.44</v>
      </c>
      <c r="U473">
        <v>7184.32</v>
      </c>
      <c r="V473">
        <v>4494.6400000000003</v>
      </c>
      <c r="W473" t="s">
        <v>31</v>
      </c>
      <c r="X473" t="s">
        <v>32</v>
      </c>
      <c r="Y473" t="str">
        <f>IF(COUNTIF($A$2:$A$901,A473)&gt;1,
  IF(COUNTIF($A$2:A473,A473)=1,
    " ORIGINAL",
    "CONFLICTING DUPLICATE - REVIEW"),
"OK")</f>
        <v>OK</v>
      </c>
      <c r="Z473">
        <f t="shared" si="73"/>
        <v>0</v>
      </c>
      <c r="AA473">
        <f t="shared" si="74"/>
        <v>11619.44</v>
      </c>
      <c r="AB473">
        <f t="shared" si="75"/>
        <v>4435.12</v>
      </c>
      <c r="AC473">
        <f t="shared" si="76"/>
        <v>0.38169999999999998</v>
      </c>
      <c r="AD473">
        <f t="shared" si="77"/>
        <v>5</v>
      </c>
      <c r="AE473">
        <f t="shared" si="78"/>
        <v>2024</v>
      </c>
      <c r="AF473" t="str">
        <f t="shared" si="79"/>
        <v>CLEAN</v>
      </c>
    </row>
    <row r="474" spans="1:32">
      <c r="A474" t="s">
        <v>2644</v>
      </c>
      <c r="B474" s="10">
        <v>45592</v>
      </c>
      <c r="C474" s="10">
        <v>45597</v>
      </c>
      <c r="D474">
        <f t="shared" si="70"/>
        <v>5</v>
      </c>
      <c r="E474" t="str">
        <f t="shared" si="71"/>
        <v>OK</v>
      </c>
      <c r="F474" t="s">
        <v>2645</v>
      </c>
      <c r="G474" t="s">
        <v>88</v>
      </c>
      <c r="H474" t="s">
        <v>89</v>
      </c>
      <c r="I474" t="s">
        <v>53</v>
      </c>
      <c r="J474" t="s">
        <v>246</v>
      </c>
      <c r="K474" t="s">
        <v>247</v>
      </c>
      <c r="L474" t="s">
        <v>73</v>
      </c>
      <c r="M474" t="s">
        <v>170</v>
      </c>
      <c r="N474" t="s">
        <v>2646</v>
      </c>
      <c r="O474" t="s">
        <v>58</v>
      </c>
      <c r="P474">
        <v>6</v>
      </c>
      <c r="Q474">
        <v>4399.2</v>
      </c>
      <c r="R474">
        <v>0.05</v>
      </c>
      <c r="S474" t="str">
        <f t="shared" si="72"/>
        <v>OK</v>
      </c>
      <c r="T474">
        <v>25075.439999999999</v>
      </c>
      <c r="U474">
        <v>16282.74</v>
      </c>
      <c r="V474">
        <v>8792.7000000000007</v>
      </c>
      <c r="W474" t="s">
        <v>31</v>
      </c>
      <c r="X474" t="s">
        <v>32</v>
      </c>
      <c r="Y474" t="str">
        <f>IF(COUNTIF($A$2:$A$901,A474)&gt;1,
  IF(COUNTIF($A$2:A474,A474)=1,
    " ORIGINAL",
    "CONFLICTING DUPLICATE - REVIEW"),
"OK")</f>
        <v>OK</v>
      </c>
      <c r="Z474">
        <f t="shared" si="73"/>
        <v>0.05</v>
      </c>
      <c r="AA474">
        <f t="shared" si="74"/>
        <v>25075.439999999999</v>
      </c>
      <c r="AB474">
        <f t="shared" si="75"/>
        <v>8792.7000000000007</v>
      </c>
      <c r="AC474">
        <f t="shared" si="76"/>
        <v>0.35060000000000002</v>
      </c>
      <c r="AD474">
        <f t="shared" si="77"/>
        <v>10</v>
      </c>
      <c r="AE474">
        <f t="shared" si="78"/>
        <v>2024</v>
      </c>
      <c r="AF474" t="str">
        <f t="shared" si="79"/>
        <v>CLEAN</v>
      </c>
    </row>
    <row r="475" spans="1:32">
      <c r="A475" t="s">
        <v>2647</v>
      </c>
      <c r="B475" s="10">
        <v>45324</v>
      </c>
      <c r="C475" s="10">
        <v>45326</v>
      </c>
      <c r="D475">
        <f t="shared" si="70"/>
        <v>2</v>
      </c>
      <c r="E475" t="str">
        <f t="shared" si="71"/>
        <v>OK</v>
      </c>
      <c r="F475" t="s">
        <v>2648</v>
      </c>
      <c r="G475" t="s">
        <v>70</v>
      </c>
      <c r="H475" t="s">
        <v>94</v>
      </c>
      <c r="I475" t="s">
        <v>24</v>
      </c>
      <c r="J475" t="s">
        <v>135</v>
      </c>
      <c r="K475" t="s">
        <v>136</v>
      </c>
      <c r="L475" t="s">
        <v>27</v>
      </c>
      <c r="M475" t="s">
        <v>123</v>
      </c>
      <c r="N475" t="s">
        <v>2649</v>
      </c>
      <c r="O475" t="s">
        <v>30</v>
      </c>
      <c r="P475">
        <v>1</v>
      </c>
      <c r="Q475">
        <v>4397.32</v>
      </c>
      <c r="R475">
        <v>0.05</v>
      </c>
      <c r="S475" t="str">
        <f t="shared" si="72"/>
        <v>OK</v>
      </c>
      <c r="T475">
        <v>4177.45</v>
      </c>
      <c r="U475">
        <v>2299.5</v>
      </c>
      <c r="V475">
        <v>1877.95</v>
      </c>
      <c r="W475" t="s">
        <v>31</v>
      </c>
      <c r="X475" t="s">
        <v>32</v>
      </c>
      <c r="Y475" t="str">
        <f>IF(COUNTIF($A$2:$A$901,A475)&gt;1,
  IF(COUNTIF($A$2:A475,A475)=1,
    " ORIGINAL",
    "CONFLICTING DUPLICATE - REVIEW"),
"OK")</f>
        <v>OK</v>
      </c>
      <c r="Z475">
        <f t="shared" si="73"/>
        <v>0.05</v>
      </c>
      <c r="AA475">
        <f t="shared" si="74"/>
        <v>4177.45</v>
      </c>
      <c r="AB475">
        <f t="shared" si="75"/>
        <v>1877.95</v>
      </c>
      <c r="AC475">
        <f t="shared" si="76"/>
        <v>0.44950000000000001</v>
      </c>
      <c r="AD475">
        <f t="shared" si="77"/>
        <v>2</v>
      </c>
      <c r="AE475">
        <f t="shared" si="78"/>
        <v>2024</v>
      </c>
      <c r="AF475" t="str">
        <f t="shared" si="79"/>
        <v>CLEAN</v>
      </c>
    </row>
    <row r="476" spans="1:32">
      <c r="A476" t="s">
        <v>2668</v>
      </c>
      <c r="B476" s="10">
        <v>45617</v>
      </c>
      <c r="C476" s="10">
        <v>45618</v>
      </c>
      <c r="D476">
        <f t="shared" si="70"/>
        <v>1</v>
      </c>
      <c r="E476" t="str">
        <f t="shared" si="71"/>
        <v>OK</v>
      </c>
      <c r="F476" t="s">
        <v>2669</v>
      </c>
      <c r="G476" t="s">
        <v>117</v>
      </c>
      <c r="H476" t="s">
        <v>94</v>
      </c>
      <c r="I476" t="s">
        <v>53</v>
      </c>
      <c r="J476" t="s">
        <v>83</v>
      </c>
      <c r="K476" t="s">
        <v>84</v>
      </c>
      <c r="L476" t="s">
        <v>73</v>
      </c>
      <c r="M476" t="s">
        <v>74</v>
      </c>
      <c r="N476" t="s">
        <v>2670</v>
      </c>
      <c r="O476" t="s">
        <v>43</v>
      </c>
      <c r="P476">
        <v>6</v>
      </c>
      <c r="Q476">
        <v>1043.49</v>
      </c>
      <c r="R476">
        <v>0.25</v>
      </c>
      <c r="S476" t="str">
        <f t="shared" si="72"/>
        <v>OK</v>
      </c>
      <c r="T476">
        <v>4695.7</v>
      </c>
      <c r="U476">
        <v>3871.69</v>
      </c>
      <c r="V476">
        <v>824.01</v>
      </c>
      <c r="W476" t="s">
        <v>154</v>
      </c>
      <c r="X476" t="s">
        <v>67</v>
      </c>
      <c r="Y476" t="str">
        <f>IF(COUNTIF($A$2:$A$901,A476)&gt;1,
  IF(COUNTIF($A$2:A476,A476)=1,
    " ORIGINAL",
    "CONFLICTING DUPLICATE - REVIEW"),
"OK")</f>
        <v>OK</v>
      </c>
      <c r="Z476">
        <f t="shared" si="73"/>
        <v>0.25</v>
      </c>
      <c r="AA476">
        <f t="shared" si="74"/>
        <v>4695.71</v>
      </c>
      <c r="AB476">
        <f t="shared" si="75"/>
        <v>824.02</v>
      </c>
      <c r="AC476">
        <f t="shared" si="76"/>
        <v>0.17549999999999999</v>
      </c>
      <c r="AD476">
        <f t="shared" si="77"/>
        <v>11</v>
      </c>
      <c r="AE476">
        <f t="shared" si="78"/>
        <v>2024</v>
      </c>
      <c r="AF476" t="str">
        <f t="shared" si="79"/>
        <v>INVALID</v>
      </c>
    </row>
    <row r="477" spans="1:32">
      <c r="A477" t="s">
        <v>2679</v>
      </c>
      <c r="B477" s="10">
        <v>45342</v>
      </c>
      <c r="C477" s="10">
        <v>45344</v>
      </c>
      <c r="D477">
        <f t="shared" si="70"/>
        <v>2</v>
      </c>
      <c r="E477" t="str">
        <f t="shared" si="71"/>
        <v>OK</v>
      </c>
      <c r="F477" t="s">
        <v>2550</v>
      </c>
      <c r="G477" t="s">
        <v>78</v>
      </c>
      <c r="H477" t="s">
        <v>36</v>
      </c>
      <c r="I477" t="s">
        <v>53</v>
      </c>
      <c r="J477" t="s">
        <v>54</v>
      </c>
      <c r="K477" t="s">
        <v>55</v>
      </c>
      <c r="L477" t="s">
        <v>73</v>
      </c>
      <c r="M477" t="s">
        <v>74</v>
      </c>
      <c r="N477" t="s">
        <v>2680</v>
      </c>
      <c r="O477" t="s">
        <v>49</v>
      </c>
      <c r="P477">
        <v>9</v>
      </c>
      <c r="Q477">
        <v>2186.23</v>
      </c>
      <c r="R477">
        <v>0</v>
      </c>
      <c r="S477" t="str">
        <f t="shared" si="72"/>
        <v>OK</v>
      </c>
      <c r="T477">
        <v>19676.07</v>
      </c>
      <c r="U477">
        <v>12458.62</v>
      </c>
      <c r="V477">
        <v>7217.45</v>
      </c>
      <c r="W477" t="s">
        <v>101</v>
      </c>
      <c r="X477" t="s">
        <v>67</v>
      </c>
      <c r="Y477" t="str">
        <f>IF(COUNTIF($A$2:$A$901,A477)&gt;1,
  IF(COUNTIF($A$2:A477,A477)=1,
    " ORIGINAL",
    "CONFLICTING DUPLICATE - REVIEW"),
"OK")</f>
        <v>OK</v>
      </c>
      <c r="Z477">
        <f t="shared" si="73"/>
        <v>0</v>
      </c>
      <c r="AA477">
        <f t="shared" si="74"/>
        <v>19676.07</v>
      </c>
      <c r="AB477">
        <f t="shared" si="75"/>
        <v>7217.45</v>
      </c>
      <c r="AC477">
        <f t="shared" si="76"/>
        <v>0.36680000000000001</v>
      </c>
      <c r="AD477">
        <f t="shared" si="77"/>
        <v>2</v>
      </c>
      <c r="AE477">
        <f t="shared" si="78"/>
        <v>2024</v>
      </c>
      <c r="AF477" t="str">
        <f t="shared" si="79"/>
        <v>CLEAN</v>
      </c>
    </row>
    <row r="478" spans="1:32">
      <c r="A478" t="s">
        <v>2681</v>
      </c>
      <c r="B478" s="10">
        <v>45597</v>
      </c>
      <c r="C478" s="10">
        <v>45598</v>
      </c>
      <c r="D478">
        <f t="shared" si="70"/>
        <v>1</v>
      </c>
      <c r="E478" t="str">
        <f t="shared" si="71"/>
        <v>OK</v>
      </c>
      <c r="F478" t="s">
        <v>1959</v>
      </c>
      <c r="G478" t="s">
        <v>22</v>
      </c>
      <c r="H478" t="s">
        <v>89</v>
      </c>
      <c r="I478" t="s">
        <v>37</v>
      </c>
      <c r="J478" t="s">
        <v>98</v>
      </c>
      <c r="K478" t="s">
        <v>99</v>
      </c>
      <c r="L478" t="s">
        <v>40</v>
      </c>
      <c r="M478" t="s">
        <v>56</v>
      </c>
      <c r="N478" t="s">
        <v>2682</v>
      </c>
      <c r="O478" t="s">
        <v>58</v>
      </c>
      <c r="P478">
        <v>5</v>
      </c>
      <c r="Q478">
        <v>2212.02</v>
      </c>
      <c r="R478">
        <v>0.2</v>
      </c>
      <c r="S478" t="str">
        <f t="shared" si="72"/>
        <v>OK</v>
      </c>
      <c r="T478">
        <v>8848.08</v>
      </c>
      <c r="U478">
        <v>5691.56</v>
      </c>
      <c r="V478">
        <v>3156.52</v>
      </c>
      <c r="W478" t="s">
        <v>31</v>
      </c>
      <c r="X478" t="s">
        <v>32</v>
      </c>
      <c r="Y478" t="str">
        <f>IF(COUNTIF($A$2:$A$901,A478)&gt;1,
  IF(COUNTIF($A$2:A478,A478)=1,
    " ORIGINAL",
    "CONFLICTING DUPLICATE - REVIEW"),
"OK")</f>
        <v>OK</v>
      </c>
      <c r="Z478">
        <f t="shared" si="73"/>
        <v>0.2</v>
      </c>
      <c r="AA478">
        <f t="shared" si="74"/>
        <v>8848.08</v>
      </c>
      <c r="AB478">
        <f t="shared" si="75"/>
        <v>3156.52</v>
      </c>
      <c r="AC478">
        <f t="shared" si="76"/>
        <v>0.35670000000000002</v>
      </c>
      <c r="AD478">
        <f t="shared" si="77"/>
        <v>11</v>
      </c>
      <c r="AE478">
        <f t="shared" si="78"/>
        <v>2024</v>
      </c>
      <c r="AF478" t="str">
        <f t="shared" si="79"/>
        <v>CLEAN</v>
      </c>
    </row>
    <row r="479" spans="1:32">
      <c r="A479" t="s">
        <v>2689</v>
      </c>
      <c r="B479" s="10">
        <v>45514</v>
      </c>
      <c r="C479" s="10">
        <v>45515</v>
      </c>
      <c r="D479">
        <f t="shared" si="70"/>
        <v>1</v>
      </c>
      <c r="E479" t="str">
        <f t="shared" si="71"/>
        <v>OK</v>
      </c>
      <c r="F479" t="s">
        <v>2690</v>
      </c>
      <c r="G479" t="s">
        <v>35</v>
      </c>
      <c r="H479" t="s">
        <v>89</v>
      </c>
      <c r="I479" t="s">
        <v>62</v>
      </c>
      <c r="J479" t="s">
        <v>63</v>
      </c>
      <c r="K479" t="s">
        <v>64</v>
      </c>
      <c r="L479" t="s">
        <v>73</v>
      </c>
      <c r="M479" t="s">
        <v>79</v>
      </c>
      <c r="N479" t="s">
        <v>2691</v>
      </c>
      <c r="O479" t="s">
        <v>49</v>
      </c>
      <c r="P479">
        <v>7</v>
      </c>
      <c r="Q479">
        <v>3852.62</v>
      </c>
      <c r="R479">
        <v>0.2</v>
      </c>
      <c r="S479" t="str">
        <f t="shared" si="72"/>
        <v>OK</v>
      </c>
      <c r="T479">
        <v>21574.67</v>
      </c>
      <c r="U479">
        <v>14672.83</v>
      </c>
      <c r="V479">
        <v>6901.84</v>
      </c>
      <c r="W479" t="s">
        <v>31</v>
      </c>
      <c r="X479" t="s">
        <v>32</v>
      </c>
      <c r="Y479" t="str">
        <f>IF(COUNTIF($A$2:$A$901,A479)&gt;1,
  IF(COUNTIF($A$2:A479,A479)=1,
    " ORIGINAL",
    "CONFLICTING DUPLICATE - REVIEW"),
"OK")</f>
        <v>OK</v>
      </c>
      <c r="Z479">
        <f t="shared" si="73"/>
        <v>0.2</v>
      </c>
      <c r="AA479">
        <f t="shared" si="74"/>
        <v>21574.67</v>
      </c>
      <c r="AB479">
        <f t="shared" si="75"/>
        <v>6901.84</v>
      </c>
      <c r="AC479">
        <f t="shared" si="76"/>
        <v>0.31990000000000002</v>
      </c>
      <c r="AD479">
        <f t="shared" si="77"/>
        <v>8</v>
      </c>
      <c r="AE479">
        <f t="shared" si="78"/>
        <v>2024</v>
      </c>
      <c r="AF479" t="str">
        <f t="shared" si="79"/>
        <v>CLEAN</v>
      </c>
    </row>
    <row r="480" spans="1:32">
      <c r="A480" t="s">
        <v>2692</v>
      </c>
      <c r="B480" s="10">
        <v>45614</v>
      </c>
      <c r="C480" s="10">
        <v>45616</v>
      </c>
      <c r="D480">
        <f t="shared" si="70"/>
        <v>2</v>
      </c>
      <c r="E480" t="str">
        <f t="shared" si="71"/>
        <v>OK</v>
      </c>
      <c r="F480" t="s">
        <v>2693</v>
      </c>
      <c r="G480" t="s">
        <v>113</v>
      </c>
      <c r="H480" t="s">
        <v>23</v>
      </c>
      <c r="I480" t="s">
        <v>62</v>
      </c>
      <c r="J480" t="s">
        <v>25</v>
      </c>
      <c r="K480" t="s">
        <v>108</v>
      </c>
      <c r="L480" t="s">
        <v>40</v>
      </c>
      <c r="M480" t="s">
        <v>65</v>
      </c>
      <c r="N480" t="s">
        <v>844</v>
      </c>
      <c r="O480" t="s">
        <v>49</v>
      </c>
      <c r="P480">
        <v>6</v>
      </c>
      <c r="Q480">
        <v>3790.22</v>
      </c>
      <c r="R480">
        <v>0</v>
      </c>
      <c r="S480" t="str">
        <f t="shared" si="72"/>
        <v>OK</v>
      </c>
      <c r="T480">
        <v>22741.32</v>
      </c>
      <c r="U480">
        <v>16388.57</v>
      </c>
      <c r="V480">
        <v>6352.75</v>
      </c>
      <c r="W480" t="s">
        <v>31</v>
      </c>
      <c r="X480" t="s">
        <v>32</v>
      </c>
      <c r="Y480" t="str">
        <f>IF(COUNTIF($A$2:$A$901,A480)&gt;1,
  IF(COUNTIF($A$2:A480,A480)=1,
    " ORIGINAL",
    "CONFLICTING DUPLICATE - REVIEW"),
"OK")</f>
        <v>OK</v>
      </c>
      <c r="Z480">
        <f t="shared" si="73"/>
        <v>0</v>
      </c>
      <c r="AA480">
        <f t="shared" si="74"/>
        <v>22741.32</v>
      </c>
      <c r="AB480">
        <f t="shared" si="75"/>
        <v>6352.75</v>
      </c>
      <c r="AC480">
        <f t="shared" si="76"/>
        <v>0.27929999999999999</v>
      </c>
      <c r="AD480">
        <f t="shared" si="77"/>
        <v>11</v>
      </c>
      <c r="AE480">
        <f t="shared" si="78"/>
        <v>2024</v>
      </c>
      <c r="AF480" t="str">
        <f t="shared" si="79"/>
        <v>CLEAN</v>
      </c>
    </row>
    <row r="481" spans="1:32">
      <c r="A481" t="s">
        <v>2697</v>
      </c>
      <c r="B481" s="10">
        <v>45313</v>
      </c>
      <c r="C481" s="10">
        <v>45313</v>
      </c>
      <c r="D481">
        <f t="shared" si="70"/>
        <v>0</v>
      </c>
      <c r="E481" t="str">
        <f t="shared" si="71"/>
        <v>OK</v>
      </c>
      <c r="F481" t="s">
        <v>2698</v>
      </c>
      <c r="G481" t="s">
        <v>22</v>
      </c>
      <c r="H481" t="s">
        <v>89</v>
      </c>
      <c r="I481" t="s">
        <v>37</v>
      </c>
      <c r="J481" t="s">
        <v>98</v>
      </c>
      <c r="K481" t="s">
        <v>99</v>
      </c>
      <c r="L481" t="s">
        <v>27</v>
      </c>
      <c r="M481" t="s">
        <v>28</v>
      </c>
      <c r="N481" t="s">
        <v>2699</v>
      </c>
      <c r="O481" t="s">
        <v>49</v>
      </c>
      <c r="P481">
        <v>8</v>
      </c>
      <c r="Q481">
        <v>1557.21</v>
      </c>
      <c r="R481">
        <v>0.05</v>
      </c>
      <c r="S481" t="str">
        <f t="shared" si="72"/>
        <v>OK</v>
      </c>
      <c r="T481">
        <v>11834.8</v>
      </c>
      <c r="U481">
        <v>9322.36</v>
      </c>
      <c r="V481">
        <v>2512.44</v>
      </c>
      <c r="W481" t="s">
        <v>31</v>
      </c>
      <c r="X481" t="s">
        <v>32</v>
      </c>
      <c r="Y481" t="str">
        <f>IF(COUNTIF($A$2:$A$901,A481)&gt;1,
  IF(COUNTIF($A$2:A481,A481)=1,
    " ORIGINAL",
    "CONFLICTING DUPLICATE - REVIEW"),
"OK")</f>
        <v>OK</v>
      </c>
      <c r="Z481">
        <f t="shared" si="73"/>
        <v>0.05</v>
      </c>
      <c r="AA481">
        <f t="shared" si="74"/>
        <v>11834.8</v>
      </c>
      <c r="AB481">
        <f t="shared" si="75"/>
        <v>2512.44</v>
      </c>
      <c r="AC481">
        <f t="shared" si="76"/>
        <v>0.21229999999999999</v>
      </c>
      <c r="AD481">
        <f t="shared" si="77"/>
        <v>1</v>
      </c>
      <c r="AE481">
        <f t="shared" si="78"/>
        <v>2024</v>
      </c>
      <c r="AF481" t="str">
        <f t="shared" si="79"/>
        <v>CLEAN</v>
      </c>
    </row>
    <row r="482" spans="1:32">
      <c r="A482" t="s">
        <v>2703</v>
      </c>
      <c r="B482" s="10">
        <v>45507</v>
      </c>
      <c r="C482" s="10">
        <v>45366</v>
      </c>
      <c r="D482">
        <f t="shared" si="70"/>
        <v>-141</v>
      </c>
      <c r="E482" t="str">
        <f t="shared" si="71"/>
        <v>INVALID</v>
      </c>
      <c r="F482" t="s">
        <v>2704</v>
      </c>
      <c r="G482" t="s">
        <v>127</v>
      </c>
      <c r="H482" t="s">
        <v>36</v>
      </c>
      <c r="I482" t="s">
        <v>2762</v>
      </c>
      <c r="J482" t="s">
        <v>121</v>
      </c>
      <c r="K482" t="s">
        <v>122</v>
      </c>
      <c r="L482" t="s">
        <v>40</v>
      </c>
      <c r="M482" t="s">
        <v>65</v>
      </c>
      <c r="N482" t="s">
        <v>2705</v>
      </c>
      <c r="O482" t="s">
        <v>49</v>
      </c>
      <c r="P482">
        <v>5</v>
      </c>
      <c r="Q482">
        <v>3234.77</v>
      </c>
      <c r="R482">
        <v>0</v>
      </c>
      <c r="S482" t="str">
        <f t="shared" si="72"/>
        <v>OK</v>
      </c>
      <c r="T482">
        <v>16173.85</v>
      </c>
      <c r="U482">
        <v>13636.34</v>
      </c>
      <c r="V482">
        <v>2537.5100000000002</v>
      </c>
      <c r="W482" t="s">
        <v>31</v>
      </c>
      <c r="X482" t="s">
        <v>32</v>
      </c>
      <c r="Y482" t="str">
        <f>IF(COUNTIF($A$2:$A$901,A482)&gt;1,
  IF(COUNTIF($A$2:A482,A482)=1,
    " ORIGINAL",
    "CONFLICTING DUPLICATE - REVIEW"),
"OK")</f>
        <v>OK</v>
      </c>
      <c r="Z482">
        <f t="shared" si="73"/>
        <v>0</v>
      </c>
      <c r="AA482">
        <f t="shared" si="74"/>
        <v>16173.85</v>
      </c>
      <c r="AB482">
        <f t="shared" si="75"/>
        <v>2537.5100000000002</v>
      </c>
      <c r="AC482">
        <f t="shared" si="76"/>
        <v>0.15690000000000001</v>
      </c>
      <c r="AD482">
        <f t="shared" si="77"/>
        <v>8</v>
      </c>
      <c r="AE482">
        <f t="shared" si="78"/>
        <v>2024</v>
      </c>
      <c r="AF482" t="str">
        <f t="shared" si="79"/>
        <v>INVALID</v>
      </c>
    </row>
    <row r="483" spans="1:32">
      <c r="A483" t="s">
        <v>2706</v>
      </c>
      <c r="B483" s="10">
        <v>45627</v>
      </c>
      <c r="C483" s="10">
        <v>45424</v>
      </c>
      <c r="D483">
        <f t="shared" si="70"/>
        <v>-203</v>
      </c>
      <c r="E483" t="str">
        <f t="shared" si="71"/>
        <v>INVALID</v>
      </c>
      <c r="F483" t="s">
        <v>2707</v>
      </c>
      <c r="G483" t="s">
        <v>61</v>
      </c>
      <c r="H483" t="s">
        <v>36</v>
      </c>
      <c r="I483" t="s">
        <v>53</v>
      </c>
      <c r="J483" t="s">
        <v>83</v>
      </c>
      <c r="K483" t="s">
        <v>84</v>
      </c>
      <c r="L483" t="s">
        <v>73</v>
      </c>
      <c r="M483" t="s">
        <v>79</v>
      </c>
      <c r="N483" t="s">
        <v>2708</v>
      </c>
      <c r="O483" t="s">
        <v>30</v>
      </c>
      <c r="P483">
        <v>9</v>
      </c>
      <c r="Q483">
        <v>3726.75</v>
      </c>
      <c r="R483">
        <v>0.25</v>
      </c>
      <c r="S483" t="str">
        <f t="shared" si="72"/>
        <v>OK</v>
      </c>
      <c r="T483">
        <v>25155.56</v>
      </c>
      <c r="U483">
        <v>17592.689999999999</v>
      </c>
      <c r="V483">
        <v>7562.87</v>
      </c>
      <c r="W483" t="s">
        <v>31</v>
      </c>
      <c r="X483" t="s">
        <v>32</v>
      </c>
      <c r="Y483" t="str">
        <f>IF(COUNTIF($A$2:$A$901,A483)&gt;1,
  IF(COUNTIF($A$2:A483,A483)=1,
    " ORIGINAL",
    "CONFLICTING DUPLICATE - REVIEW"),
"OK")</f>
        <v>OK</v>
      </c>
      <c r="Z483">
        <f t="shared" si="73"/>
        <v>0.25</v>
      </c>
      <c r="AA483">
        <f t="shared" si="74"/>
        <v>25155.56</v>
      </c>
      <c r="AB483">
        <f t="shared" si="75"/>
        <v>7562.87</v>
      </c>
      <c r="AC483">
        <f t="shared" si="76"/>
        <v>0.30059999999999998</v>
      </c>
      <c r="AD483">
        <f t="shared" si="77"/>
        <v>12</v>
      </c>
      <c r="AE483">
        <f t="shared" si="78"/>
        <v>2024</v>
      </c>
      <c r="AF483" t="str">
        <f t="shared" si="79"/>
        <v>INVALID</v>
      </c>
    </row>
    <row r="484" spans="1:32">
      <c r="A484" t="s">
        <v>2718</v>
      </c>
      <c r="B484" s="10">
        <v>45296</v>
      </c>
      <c r="C484" s="10">
        <v>45296</v>
      </c>
      <c r="D484">
        <f t="shared" si="70"/>
        <v>0</v>
      </c>
      <c r="E484" t="str">
        <f t="shared" si="71"/>
        <v>OK</v>
      </c>
      <c r="F484" t="s">
        <v>2719</v>
      </c>
      <c r="G484" t="s">
        <v>161</v>
      </c>
      <c r="H484" t="s">
        <v>23</v>
      </c>
      <c r="I484" t="s">
        <v>24</v>
      </c>
      <c r="J484" t="s">
        <v>25</v>
      </c>
      <c r="K484" t="s">
        <v>26</v>
      </c>
      <c r="L484" t="s">
        <v>40</v>
      </c>
      <c r="M484" t="s">
        <v>41</v>
      </c>
      <c r="N484" t="s">
        <v>2720</v>
      </c>
      <c r="O484" t="s">
        <v>58</v>
      </c>
      <c r="P484">
        <v>1</v>
      </c>
      <c r="Q484">
        <v>2167.08</v>
      </c>
      <c r="R484">
        <v>0.25</v>
      </c>
      <c r="S484" t="str">
        <f t="shared" si="72"/>
        <v>OK</v>
      </c>
      <c r="T484">
        <v>1625.31</v>
      </c>
      <c r="U484">
        <v>1157.8900000000001</v>
      </c>
      <c r="V484">
        <v>467.42</v>
      </c>
      <c r="W484" t="s">
        <v>31</v>
      </c>
      <c r="X484" t="s">
        <v>32</v>
      </c>
      <c r="Y484" t="str">
        <f>IF(COUNTIF($A$2:$A$901,A484)&gt;1,
  IF(COUNTIF($A$2:A484,A484)=1,
    " ORIGINAL",
    "CONFLICTING DUPLICATE - REVIEW"),
"OK")</f>
        <v>OK</v>
      </c>
      <c r="Z484">
        <f t="shared" si="73"/>
        <v>0.25</v>
      </c>
      <c r="AA484">
        <f t="shared" si="74"/>
        <v>1625.31</v>
      </c>
      <c r="AB484">
        <f t="shared" si="75"/>
        <v>467.42</v>
      </c>
      <c r="AC484">
        <f t="shared" si="76"/>
        <v>0.28760000000000002</v>
      </c>
      <c r="AD484">
        <f t="shared" si="77"/>
        <v>1</v>
      </c>
      <c r="AE484">
        <f t="shared" si="78"/>
        <v>2024</v>
      </c>
      <c r="AF484" t="str">
        <f t="shared" si="79"/>
        <v>CLEAN</v>
      </c>
    </row>
    <row r="485" spans="1:32">
      <c r="A485" t="s">
        <v>2724</v>
      </c>
      <c r="B485" s="10">
        <v>45455</v>
      </c>
      <c r="C485" s="10">
        <v>45461</v>
      </c>
      <c r="D485">
        <f t="shared" si="70"/>
        <v>6</v>
      </c>
      <c r="E485" t="str">
        <f t="shared" si="71"/>
        <v>OK</v>
      </c>
      <c r="F485" t="s">
        <v>2725</v>
      </c>
      <c r="G485" t="s">
        <v>127</v>
      </c>
      <c r="H485" t="s">
        <v>36</v>
      </c>
      <c r="I485" t="s">
        <v>53</v>
      </c>
      <c r="J485" t="s">
        <v>83</v>
      </c>
      <c r="K485" t="s">
        <v>84</v>
      </c>
      <c r="L485" t="s">
        <v>27</v>
      </c>
      <c r="M485" t="s">
        <v>47</v>
      </c>
      <c r="N485" t="s">
        <v>2726</v>
      </c>
      <c r="O485" t="s">
        <v>58</v>
      </c>
      <c r="P485">
        <v>4</v>
      </c>
      <c r="Q485">
        <v>4176.13</v>
      </c>
      <c r="R485">
        <v>0</v>
      </c>
      <c r="S485" t="str">
        <f t="shared" si="72"/>
        <v>OK</v>
      </c>
      <c r="T485">
        <v>16704.52</v>
      </c>
      <c r="U485">
        <v>10158.280000000001</v>
      </c>
      <c r="V485">
        <v>6546.24</v>
      </c>
      <c r="W485" t="s">
        <v>31</v>
      </c>
      <c r="X485" t="s">
        <v>32</v>
      </c>
      <c r="Y485" t="str">
        <f>IF(COUNTIF($A$2:$A$901,A485)&gt;1,
  IF(COUNTIF($A$2:A485,A485)=1,
    " ORIGINAL",
    "CONFLICTING DUPLICATE - REVIEW"),
"OK")</f>
        <v>OK</v>
      </c>
      <c r="Z485">
        <f t="shared" si="73"/>
        <v>0</v>
      </c>
      <c r="AA485">
        <f t="shared" si="74"/>
        <v>16704.52</v>
      </c>
      <c r="AB485">
        <f t="shared" si="75"/>
        <v>6546.24</v>
      </c>
      <c r="AC485">
        <f t="shared" si="76"/>
        <v>0.39190000000000003</v>
      </c>
      <c r="AD485">
        <f t="shared" si="77"/>
        <v>6</v>
      </c>
      <c r="AE485">
        <f t="shared" si="78"/>
        <v>2024</v>
      </c>
      <c r="AF485" t="str">
        <f t="shared" si="79"/>
        <v>CLEAN</v>
      </c>
    </row>
    <row r="486" spans="1:32">
      <c r="A486" t="s">
        <v>2732</v>
      </c>
      <c r="B486" s="10">
        <v>45427</v>
      </c>
      <c r="C486" s="10">
        <v>45433</v>
      </c>
      <c r="D486">
        <f t="shared" si="70"/>
        <v>6</v>
      </c>
      <c r="E486" t="str">
        <f t="shared" si="71"/>
        <v>OK</v>
      </c>
      <c r="F486" t="s">
        <v>2733</v>
      </c>
      <c r="G486" t="s">
        <v>22</v>
      </c>
      <c r="H486" t="s">
        <v>23</v>
      </c>
      <c r="I486" t="s">
        <v>62</v>
      </c>
      <c r="J486" t="s">
        <v>189</v>
      </c>
      <c r="K486" t="s">
        <v>190</v>
      </c>
      <c r="L486" t="s">
        <v>27</v>
      </c>
      <c r="M486" t="s">
        <v>123</v>
      </c>
      <c r="N486" t="s">
        <v>2734</v>
      </c>
      <c r="O486" t="s">
        <v>58</v>
      </c>
      <c r="P486">
        <v>6</v>
      </c>
      <c r="Q486">
        <v>2909.56</v>
      </c>
      <c r="R486">
        <v>0.2</v>
      </c>
      <c r="S486" t="str">
        <f t="shared" si="72"/>
        <v>OK</v>
      </c>
      <c r="T486">
        <v>13965.89</v>
      </c>
      <c r="U486">
        <v>11646.12</v>
      </c>
      <c r="V486">
        <v>2319.77</v>
      </c>
      <c r="W486" t="s">
        <v>31</v>
      </c>
      <c r="X486" t="s">
        <v>32</v>
      </c>
      <c r="Y486" t="str">
        <f>IF(COUNTIF($A$2:$A$901,A486)&gt;1,
  IF(COUNTIF($A$2:A486,A486)=1,
    " ORIGINAL",
    "CONFLICTING DUPLICATE - REVIEW"),
"OK")</f>
        <v>OK</v>
      </c>
      <c r="Z486">
        <f t="shared" si="73"/>
        <v>0.2</v>
      </c>
      <c r="AA486">
        <f t="shared" si="74"/>
        <v>13965.89</v>
      </c>
      <c r="AB486">
        <f t="shared" si="75"/>
        <v>2319.77</v>
      </c>
      <c r="AC486">
        <f t="shared" si="76"/>
        <v>0.1661</v>
      </c>
      <c r="AD486">
        <f t="shared" si="77"/>
        <v>5</v>
      </c>
      <c r="AE486">
        <f t="shared" si="78"/>
        <v>2024</v>
      </c>
      <c r="AF486" t="str">
        <f t="shared" si="79"/>
        <v>CLEAN</v>
      </c>
    </row>
    <row r="487" spans="1:32">
      <c r="A487" t="s">
        <v>2735</v>
      </c>
      <c r="B487" s="10">
        <v>45573</v>
      </c>
      <c r="C487" s="10">
        <v>45545</v>
      </c>
      <c r="D487">
        <f t="shared" si="70"/>
        <v>-28</v>
      </c>
      <c r="E487" t="str">
        <f t="shared" si="71"/>
        <v>INVALID</v>
      </c>
      <c r="F487" t="s">
        <v>2736</v>
      </c>
      <c r="G487" t="s">
        <v>263</v>
      </c>
      <c r="H487" t="s">
        <v>89</v>
      </c>
      <c r="I487" t="s">
        <v>53</v>
      </c>
      <c r="J487" t="s">
        <v>246</v>
      </c>
      <c r="K487" t="s">
        <v>247</v>
      </c>
      <c r="L487" t="s">
        <v>73</v>
      </c>
      <c r="M487" t="s">
        <v>273</v>
      </c>
      <c r="N487" t="s">
        <v>2737</v>
      </c>
      <c r="O487" t="s">
        <v>43</v>
      </c>
      <c r="P487">
        <v>5</v>
      </c>
      <c r="Q487">
        <v>2407.9699999999998</v>
      </c>
      <c r="R487">
        <v>0.1</v>
      </c>
      <c r="S487" t="str">
        <f t="shared" si="72"/>
        <v>OK</v>
      </c>
      <c r="T487">
        <v>10835.86</v>
      </c>
      <c r="U487">
        <v>6419.92</v>
      </c>
      <c r="V487">
        <v>4415.9399999999996</v>
      </c>
      <c r="W487" t="s">
        <v>154</v>
      </c>
      <c r="X487" t="s">
        <v>67</v>
      </c>
      <c r="Y487" t="str">
        <f>IF(COUNTIF($A$2:$A$901,A487)&gt;1,
  IF(COUNTIF($A$2:A487,A487)=1,
    " ORIGINAL",
    "CONFLICTING DUPLICATE - REVIEW"),
"OK")</f>
        <v>OK</v>
      </c>
      <c r="Z487">
        <f t="shared" si="73"/>
        <v>0.1</v>
      </c>
      <c r="AA487">
        <f t="shared" si="74"/>
        <v>10835.87</v>
      </c>
      <c r="AB487">
        <f t="shared" si="75"/>
        <v>4415.95</v>
      </c>
      <c r="AC487">
        <f t="shared" si="76"/>
        <v>0.40749999999999997</v>
      </c>
      <c r="AD487">
        <f t="shared" si="77"/>
        <v>10</v>
      </c>
      <c r="AE487">
        <f t="shared" si="78"/>
        <v>2024</v>
      </c>
      <c r="AF487" t="str">
        <f t="shared" si="79"/>
        <v>INVALID</v>
      </c>
    </row>
    <row r="488" spans="1:32">
      <c r="A488" t="s">
        <v>2741</v>
      </c>
      <c r="B488" s="10">
        <v>45449</v>
      </c>
      <c r="C488" s="10">
        <v>45451</v>
      </c>
      <c r="D488">
        <f t="shared" si="70"/>
        <v>2</v>
      </c>
      <c r="E488" t="str">
        <f t="shared" si="71"/>
        <v>OK</v>
      </c>
      <c r="F488" t="s">
        <v>2742</v>
      </c>
      <c r="G488" t="s">
        <v>127</v>
      </c>
      <c r="H488" t="s">
        <v>89</v>
      </c>
      <c r="I488" t="s">
        <v>53</v>
      </c>
      <c r="J488" t="s">
        <v>174</v>
      </c>
      <c r="K488" t="s">
        <v>175</v>
      </c>
      <c r="L488" t="s">
        <v>40</v>
      </c>
      <c r="M488" t="s">
        <v>41</v>
      </c>
      <c r="N488" t="s">
        <v>2743</v>
      </c>
      <c r="O488" t="s">
        <v>30</v>
      </c>
      <c r="P488">
        <v>3</v>
      </c>
      <c r="Q488">
        <v>395.49</v>
      </c>
      <c r="R488">
        <v>0.05</v>
      </c>
      <c r="S488" t="str">
        <f t="shared" si="72"/>
        <v>OK</v>
      </c>
      <c r="T488">
        <v>1127.1500000000001</v>
      </c>
      <c r="U488">
        <v>845.62</v>
      </c>
      <c r="V488">
        <v>281.52999999999997</v>
      </c>
      <c r="W488" t="s">
        <v>31</v>
      </c>
      <c r="X488" t="s">
        <v>102</v>
      </c>
      <c r="Y488" t="str">
        <f>IF(COUNTIF($A$2:$A$901,A488)&gt;1,
  IF(COUNTIF($A$2:A488,A488)=1,
    " ORIGINAL",
    "CONFLICTING DUPLICATE - REVIEW"),
"OK")</f>
        <v>OK</v>
      </c>
      <c r="Z488">
        <f t="shared" si="73"/>
        <v>0.05</v>
      </c>
      <c r="AA488">
        <f t="shared" si="74"/>
        <v>1127.1500000000001</v>
      </c>
      <c r="AB488">
        <f t="shared" si="75"/>
        <v>281.52999999999997</v>
      </c>
      <c r="AC488">
        <f t="shared" si="76"/>
        <v>0.24979999999999999</v>
      </c>
      <c r="AD488">
        <f t="shared" si="77"/>
        <v>6</v>
      </c>
      <c r="AE488">
        <f t="shared" si="78"/>
        <v>2024</v>
      </c>
      <c r="AF488" t="str">
        <f t="shared" si="79"/>
        <v>CLEAN</v>
      </c>
    </row>
    <row r="489" spans="1:32">
      <c r="A489" t="s">
        <v>2744</v>
      </c>
      <c r="B489" s="10">
        <v>45344</v>
      </c>
      <c r="C489" s="10">
        <v>45351</v>
      </c>
      <c r="D489">
        <f t="shared" si="70"/>
        <v>7</v>
      </c>
      <c r="E489" t="str">
        <f t="shared" si="71"/>
        <v>OK</v>
      </c>
      <c r="F489" t="s">
        <v>2745</v>
      </c>
      <c r="G489" t="s">
        <v>46</v>
      </c>
      <c r="H489" t="s">
        <v>94</v>
      </c>
      <c r="I489" t="s">
        <v>53</v>
      </c>
      <c r="J489" t="s">
        <v>54</v>
      </c>
      <c r="K489" t="s">
        <v>55</v>
      </c>
      <c r="L489" t="s">
        <v>40</v>
      </c>
      <c r="M489" t="s">
        <v>41</v>
      </c>
      <c r="N489" t="s">
        <v>2746</v>
      </c>
      <c r="O489" t="s">
        <v>49</v>
      </c>
      <c r="P489">
        <v>6</v>
      </c>
      <c r="Q489">
        <v>4254.05</v>
      </c>
      <c r="R489">
        <v>0</v>
      </c>
      <c r="S489" t="str">
        <f t="shared" si="72"/>
        <v>OK</v>
      </c>
      <c r="T489">
        <v>25524.3</v>
      </c>
      <c r="U489">
        <v>16711.93</v>
      </c>
      <c r="V489">
        <v>8812.3700000000008</v>
      </c>
      <c r="W489" t="s">
        <v>31</v>
      </c>
      <c r="X489" t="s">
        <v>32</v>
      </c>
      <c r="Y489" t="str">
        <f>IF(COUNTIF($A$2:$A$901,A489)&gt;1,
  IF(COUNTIF($A$2:A489,A489)=1,
    " ORIGINAL",
    "CONFLICTING DUPLICATE - REVIEW"),
"OK")</f>
        <v>OK</v>
      </c>
      <c r="Z489">
        <f t="shared" si="73"/>
        <v>0</v>
      </c>
      <c r="AA489">
        <f t="shared" si="74"/>
        <v>25524.3</v>
      </c>
      <c r="AB489">
        <f t="shared" si="75"/>
        <v>8812.3700000000008</v>
      </c>
      <c r="AC489">
        <f t="shared" si="76"/>
        <v>0.3453</v>
      </c>
      <c r="AD489">
        <f t="shared" si="77"/>
        <v>2</v>
      </c>
      <c r="AE489">
        <f t="shared" si="78"/>
        <v>2024</v>
      </c>
      <c r="AF489" t="str">
        <f t="shared" si="79"/>
        <v>CLEAN</v>
      </c>
    </row>
    <row r="490" spans="1:32">
      <c r="A490" t="s">
        <v>2747</v>
      </c>
      <c r="B490" s="10">
        <v>45601</v>
      </c>
      <c r="C490" s="10">
        <v>45606</v>
      </c>
      <c r="D490">
        <f t="shared" si="70"/>
        <v>5</v>
      </c>
      <c r="E490" t="str">
        <f t="shared" si="71"/>
        <v>OK</v>
      </c>
      <c r="F490" t="s">
        <v>2748</v>
      </c>
      <c r="G490" t="s">
        <v>52</v>
      </c>
      <c r="H490" t="s">
        <v>23</v>
      </c>
      <c r="I490" t="s">
        <v>53</v>
      </c>
      <c r="J490" t="s">
        <v>184</v>
      </c>
      <c r="K490" t="s">
        <v>185</v>
      </c>
      <c r="L490" t="s">
        <v>40</v>
      </c>
      <c r="M490" t="s">
        <v>65</v>
      </c>
      <c r="N490" t="s">
        <v>2749</v>
      </c>
      <c r="O490" t="s">
        <v>43</v>
      </c>
      <c r="P490">
        <v>4</v>
      </c>
      <c r="Q490">
        <v>711.18</v>
      </c>
      <c r="R490">
        <v>0.15</v>
      </c>
      <c r="S490" t="str">
        <f t="shared" si="72"/>
        <v>OK</v>
      </c>
      <c r="T490">
        <v>2418.0100000000002</v>
      </c>
      <c r="U490">
        <v>1441.89</v>
      </c>
      <c r="V490">
        <v>976.12</v>
      </c>
      <c r="W490" t="s">
        <v>110</v>
      </c>
      <c r="X490" t="s">
        <v>102</v>
      </c>
      <c r="Y490" t="str">
        <f>IF(COUNTIF($A$2:$A$901,A490)&gt;1,
  IF(COUNTIF($A$2:A490,A490)=1,
    " ORIGINAL",
    "CONFLICTING DUPLICATE - REVIEW"),
"OK")</f>
        <v>OK</v>
      </c>
      <c r="Z490">
        <f t="shared" si="73"/>
        <v>0.15</v>
      </c>
      <c r="AA490">
        <f t="shared" si="74"/>
        <v>2418.0100000000002</v>
      </c>
      <c r="AB490">
        <f t="shared" si="75"/>
        <v>976.12</v>
      </c>
      <c r="AC490">
        <f t="shared" si="76"/>
        <v>0.4037</v>
      </c>
      <c r="AD490">
        <f t="shared" si="77"/>
        <v>11</v>
      </c>
      <c r="AE490">
        <f t="shared" si="78"/>
        <v>2024</v>
      </c>
      <c r="AF490" t="str">
        <f t="shared" si="79"/>
        <v>CLEAN</v>
      </c>
    </row>
    <row r="491" spans="1:32">
      <c r="A491" t="s">
        <v>2750</v>
      </c>
      <c r="B491" s="10">
        <v>45650</v>
      </c>
      <c r="C491" s="10">
        <v>45651</v>
      </c>
      <c r="D491">
        <f t="shared" si="70"/>
        <v>1</v>
      </c>
      <c r="E491" t="str">
        <f t="shared" si="71"/>
        <v>OK</v>
      </c>
      <c r="F491" t="s">
        <v>2751</v>
      </c>
      <c r="G491" t="s">
        <v>61</v>
      </c>
      <c r="H491" t="s">
        <v>36</v>
      </c>
      <c r="I491" t="s">
        <v>53</v>
      </c>
      <c r="J491" t="s">
        <v>246</v>
      </c>
      <c r="K491" t="s">
        <v>247</v>
      </c>
      <c r="L491" t="s">
        <v>73</v>
      </c>
      <c r="M491" t="s">
        <v>79</v>
      </c>
      <c r="N491" t="s">
        <v>2752</v>
      </c>
      <c r="O491" t="s">
        <v>30</v>
      </c>
      <c r="P491">
        <v>1</v>
      </c>
      <c r="Q491">
        <v>3693.03</v>
      </c>
      <c r="R491">
        <v>0.05</v>
      </c>
      <c r="S491" t="str">
        <f t="shared" si="72"/>
        <v>OK</v>
      </c>
      <c r="T491">
        <v>3508.38</v>
      </c>
      <c r="U491">
        <v>2828.06</v>
      </c>
      <c r="V491">
        <v>680.32</v>
      </c>
      <c r="W491" t="s">
        <v>154</v>
      </c>
      <c r="X491" t="s">
        <v>102</v>
      </c>
      <c r="Y491" t="str">
        <f>IF(COUNTIF($A$2:$A$901,A491)&gt;1,
  IF(COUNTIF($A$2:A491,A491)=1,
    " ORIGINAL",
    "CONFLICTING DUPLICATE - REVIEW"),
"OK")</f>
        <v>OK</v>
      </c>
      <c r="Z491">
        <f t="shared" si="73"/>
        <v>0.05</v>
      </c>
      <c r="AA491">
        <f t="shared" si="74"/>
        <v>3508.38</v>
      </c>
      <c r="AB491">
        <f t="shared" si="75"/>
        <v>680.32</v>
      </c>
      <c r="AC491">
        <f t="shared" si="76"/>
        <v>0.19389999999999999</v>
      </c>
      <c r="AD491">
        <f t="shared" si="77"/>
        <v>12</v>
      </c>
      <c r="AE491">
        <f t="shared" si="78"/>
        <v>2024</v>
      </c>
      <c r="AF491" t="str">
        <f t="shared" si="79"/>
        <v>INVALID</v>
      </c>
    </row>
    <row r="492" spans="1:32">
      <c r="A492" t="s">
        <v>2755</v>
      </c>
      <c r="B492" s="10">
        <v>45445</v>
      </c>
      <c r="C492" s="10">
        <v>45451</v>
      </c>
      <c r="D492">
        <f t="shared" si="70"/>
        <v>6</v>
      </c>
      <c r="E492" t="str">
        <f t="shared" si="71"/>
        <v>OK</v>
      </c>
      <c r="F492" t="s">
        <v>2756</v>
      </c>
      <c r="G492" t="s">
        <v>70</v>
      </c>
      <c r="H492" t="s">
        <v>23</v>
      </c>
      <c r="I492" t="s">
        <v>24</v>
      </c>
      <c r="J492" t="s">
        <v>349</v>
      </c>
      <c r="K492" t="s">
        <v>350</v>
      </c>
      <c r="L492" t="s">
        <v>40</v>
      </c>
      <c r="M492" t="s">
        <v>41</v>
      </c>
      <c r="N492" t="s">
        <v>2757</v>
      </c>
      <c r="O492" t="s">
        <v>49</v>
      </c>
      <c r="P492">
        <v>4</v>
      </c>
      <c r="Q492">
        <v>1536.7</v>
      </c>
      <c r="R492">
        <v>0.2</v>
      </c>
      <c r="S492" t="str">
        <f t="shared" si="72"/>
        <v>OK</v>
      </c>
      <c r="T492">
        <v>4917.4399999999996</v>
      </c>
      <c r="U492">
        <v>3846.77</v>
      </c>
      <c r="V492">
        <v>1070.67</v>
      </c>
      <c r="W492" t="s">
        <v>31</v>
      </c>
      <c r="X492" t="s">
        <v>32</v>
      </c>
      <c r="Y492" t="str">
        <f>IF(COUNTIF($A$2:$A$901,A492)&gt;1,
  IF(COUNTIF($A$2:A492,A492)=1,
    " ORIGINAL",
    "CONFLICTING DUPLICATE - REVIEW"),
"OK")</f>
        <v>OK</v>
      </c>
      <c r="Z492">
        <f t="shared" si="73"/>
        <v>0.2</v>
      </c>
      <c r="AA492">
        <f t="shared" si="74"/>
        <v>4917.4399999999996</v>
      </c>
      <c r="AB492">
        <f t="shared" si="75"/>
        <v>1070.67</v>
      </c>
      <c r="AC492">
        <f t="shared" si="76"/>
        <v>0.2177</v>
      </c>
      <c r="AD492">
        <f t="shared" si="77"/>
        <v>6</v>
      </c>
      <c r="AE492">
        <f t="shared" si="78"/>
        <v>2024</v>
      </c>
      <c r="AF492" t="str">
        <f t="shared" si="79"/>
        <v>CLEAN</v>
      </c>
    </row>
    <row r="493" spans="1:32">
      <c r="A493" t="s">
        <v>59</v>
      </c>
      <c r="B493" s="10">
        <v>45898</v>
      </c>
      <c r="C493" s="10">
        <v>45901</v>
      </c>
      <c r="D493">
        <f t="shared" si="70"/>
        <v>3</v>
      </c>
      <c r="E493" t="str">
        <f t="shared" si="71"/>
        <v>OK</v>
      </c>
      <c r="F493" t="s">
        <v>60</v>
      </c>
      <c r="G493" t="s">
        <v>61</v>
      </c>
      <c r="H493" t="s">
        <v>36</v>
      </c>
      <c r="I493" t="s">
        <v>62</v>
      </c>
      <c r="J493" t="s">
        <v>63</v>
      </c>
      <c r="K493" t="s">
        <v>64</v>
      </c>
      <c r="L493" t="s">
        <v>40</v>
      </c>
      <c r="M493" t="s">
        <v>65</v>
      </c>
      <c r="N493" t="s">
        <v>66</v>
      </c>
      <c r="O493" t="s">
        <v>49</v>
      </c>
      <c r="P493">
        <v>7</v>
      </c>
      <c r="Q493">
        <v>2973.76</v>
      </c>
      <c r="R493">
        <v>0</v>
      </c>
      <c r="S493" t="str">
        <f t="shared" si="72"/>
        <v>OK</v>
      </c>
      <c r="T493">
        <v>20816.32</v>
      </c>
      <c r="U493">
        <v>17705.37</v>
      </c>
      <c r="V493">
        <v>3110.95</v>
      </c>
      <c r="W493" t="s">
        <v>31</v>
      </c>
      <c r="X493" t="s">
        <v>67</v>
      </c>
      <c r="Y493" t="str">
        <f>IF(COUNTIF($A$2:$A$901,A493)&gt;1,
  IF(COUNTIF($A$2:A493,A493)=1,
    " ORIGINAL",
    "CONFLICTING DUPLICATE - REVIEW"),
"OK")</f>
        <v>OK</v>
      </c>
      <c r="Z493">
        <f t="shared" si="73"/>
        <v>0</v>
      </c>
      <c r="AA493">
        <f t="shared" si="74"/>
        <v>20816.32</v>
      </c>
      <c r="AB493">
        <f t="shared" si="75"/>
        <v>3110.95</v>
      </c>
      <c r="AC493">
        <f t="shared" si="76"/>
        <v>0.14940000000000001</v>
      </c>
      <c r="AD493">
        <f t="shared" si="77"/>
        <v>8</v>
      </c>
      <c r="AE493">
        <f t="shared" si="78"/>
        <v>2025</v>
      </c>
      <c r="AF493" t="str">
        <f t="shared" si="79"/>
        <v>CLEAN</v>
      </c>
    </row>
    <row r="494" spans="1:32">
      <c r="A494" t="s">
        <v>76</v>
      </c>
      <c r="B494" s="10">
        <v>45757</v>
      </c>
      <c r="C494" s="10">
        <v>45763</v>
      </c>
      <c r="D494">
        <f t="shared" si="70"/>
        <v>6</v>
      </c>
      <c r="E494" t="str">
        <f t="shared" si="71"/>
        <v>OK</v>
      </c>
      <c r="F494" t="s">
        <v>77</v>
      </c>
      <c r="G494" t="s">
        <v>78</v>
      </c>
      <c r="H494" t="s">
        <v>23</v>
      </c>
      <c r="I494" t="s">
        <v>37</v>
      </c>
      <c r="J494" t="s">
        <v>38</v>
      </c>
      <c r="K494" t="s">
        <v>39</v>
      </c>
      <c r="L494" t="s">
        <v>73</v>
      </c>
      <c r="M494" t="s">
        <v>79</v>
      </c>
      <c r="N494" t="s">
        <v>80</v>
      </c>
      <c r="O494" t="s">
        <v>58</v>
      </c>
      <c r="P494">
        <v>4</v>
      </c>
      <c r="Q494">
        <v>1719.87</v>
      </c>
      <c r="R494">
        <v>0.15</v>
      </c>
      <c r="S494" t="str">
        <f t="shared" si="72"/>
        <v>OK</v>
      </c>
      <c r="T494">
        <v>5847.56</v>
      </c>
      <c r="U494">
        <v>4727.25</v>
      </c>
      <c r="V494">
        <v>1120.31</v>
      </c>
      <c r="W494" t="s">
        <v>31</v>
      </c>
      <c r="X494" t="s">
        <v>32</v>
      </c>
      <c r="Y494" t="str">
        <f>IF(COUNTIF($A$2:$A$901,A494)&gt;1,
  IF(COUNTIF($A$2:A494,A494)=1,
    " ORIGINAL",
    "CONFLICTING DUPLICATE - REVIEW"),
"OK")</f>
        <v>OK</v>
      </c>
      <c r="Z494">
        <f t="shared" si="73"/>
        <v>0.15</v>
      </c>
      <c r="AA494">
        <f t="shared" si="74"/>
        <v>5847.56</v>
      </c>
      <c r="AB494">
        <f t="shared" si="75"/>
        <v>1120.31</v>
      </c>
      <c r="AC494">
        <f t="shared" si="76"/>
        <v>0.19159999999999999</v>
      </c>
      <c r="AD494">
        <f t="shared" si="77"/>
        <v>4</v>
      </c>
      <c r="AE494">
        <f t="shared" si="78"/>
        <v>2025</v>
      </c>
      <c r="AF494" t="str">
        <f t="shared" si="79"/>
        <v>CLEAN</v>
      </c>
    </row>
    <row r="495" spans="1:32">
      <c r="A495" t="s">
        <v>81</v>
      </c>
      <c r="B495" s="10">
        <v>45711</v>
      </c>
      <c r="C495" s="10">
        <v>45714</v>
      </c>
      <c r="D495">
        <f t="shared" si="70"/>
        <v>3</v>
      </c>
      <c r="E495" t="str">
        <f t="shared" si="71"/>
        <v>OK</v>
      </c>
      <c r="F495" t="s">
        <v>82</v>
      </c>
      <c r="G495" t="s">
        <v>46</v>
      </c>
      <c r="H495" t="s">
        <v>36</v>
      </c>
      <c r="I495" t="s">
        <v>53</v>
      </c>
      <c r="J495" t="s">
        <v>83</v>
      </c>
      <c r="K495" t="s">
        <v>84</v>
      </c>
      <c r="L495" t="s">
        <v>27</v>
      </c>
      <c r="M495" t="s">
        <v>47</v>
      </c>
      <c r="N495" t="s">
        <v>85</v>
      </c>
      <c r="O495" t="s">
        <v>49</v>
      </c>
      <c r="P495">
        <v>1</v>
      </c>
      <c r="Q495">
        <v>2980.71</v>
      </c>
      <c r="R495">
        <v>0</v>
      </c>
      <c r="S495" t="str">
        <f t="shared" si="72"/>
        <v>OK</v>
      </c>
      <c r="T495">
        <v>2980.71</v>
      </c>
      <c r="U495">
        <v>2357.2199999999998</v>
      </c>
      <c r="V495">
        <v>623.49</v>
      </c>
      <c r="W495" t="s">
        <v>31</v>
      </c>
      <c r="X495" t="s">
        <v>32</v>
      </c>
      <c r="Y495" t="str">
        <f>IF(COUNTIF($A$2:$A$901,A495)&gt;1,
  IF(COUNTIF($A$2:A495,A495)=1,
    " ORIGINAL",
    "CONFLICTING DUPLICATE - REVIEW"),
"OK")</f>
        <v>OK</v>
      </c>
      <c r="Z495">
        <f t="shared" si="73"/>
        <v>0</v>
      </c>
      <c r="AA495">
        <f t="shared" si="74"/>
        <v>2980.71</v>
      </c>
      <c r="AB495">
        <f t="shared" si="75"/>
        <v>623.49</v>
      </c>
      <c r="AC495">
        <f t="shared" si="76"/>
        <v>0.2092</v>
      </c>
      <c r="AD495">
        <f t="shared" si="77"/>
        <v>2</v>
      </c>
      <c r="AE495">
        <f t="shared" si="78"/>
        <v>2025</v>
      </c>
      <c r="AF495" t="str">
        <f t="shared" si="79"/>
        <v>CLEAN</v>
      </c>
    </row>
    <row r="496" spans="1:32">
      <c r="A496" t="s">
        <v>92</v>
      </c>
      <c r="B496" s="10">
        <v>45847</v>
      </c>
      <c r="C496" s="10">
        <v>45912</v>
      </c>
      <c r="D496">
        <f t="shared" si="70"/>
        <v>65</v>
      </c>
      <c r="E496" t="str">
        <f t="shared" si="71"/>
        <v>OK</v>
      </c>
      <c r="F496" t="s">
        <v>93</v>
      </c>
      <c r="G496" t="s">
        <v>35</v>
      </c>
      <c r="H496" t="s">
        <v>94</v>
      </c>
      <c r="I496" t="s">
        <v>53</v>
      </c>
      <c r="J496" t="s">
        <v>54</v>
      </c>
      <c r="K496" t="s">
        <v>55</v>
      </c>
      <c r="L496" t="s">
        <v>27</v>
      </c>
      <c r="M496" t="s">
        <v>28</v>
      </c>
      <c r="N496" t="s">
        <v>95</v>
      </c>
      <c r="O496" t="s">
        <v>30</v>
      </c>
      <c r="P496">
        <v>9</v>
      </c>
      <c r="Q496">
        <v>852.04</v>
      </c>
      <c r="R496">
        <v>0.2</v>
      </c>
      <c r="S496" t="str">
        <f t="shared" si="72"/>
        <v>OK</v>
      </c>
      <c r="T496">
        <v>6134.69</v>
      </c>
      <c r="U496">
        <v>3800.19</v>
      </c>
      <c r="V496">
        <v>2334.5</v>
      </c>
      <c r="W496" t="s">
        <v>31</v>
      </c>
      <c r="X496" t="s">
        <v>32</v>
      </c>
      <c r="Y496" t="str">
        <f>IF(COUNTIF($A$2:$A$901,A496)&gt;1,
  IF(COUNTIF($A$2:A496,A496)=1,
    " ORIGINAL",
    "CONFLICTING DUPLICATE - REVIEW"),
"OK")</f>
        <v>OK</v>
      </c>
      <c r="Z496">
        <f t="shared" si="73"/>
        <v>0.2</v>
      </c>
      <c r="AA496">
        <f t="shared" si="74"/>
        <v>6134.69</v>
      </c>
      <c r="AB496">
        <f t="shared" si="75"/>
        <v>2334.5</v>
      </c>
      <c r="AC496">
        <f t="shared" si="76"/>
        <v>0.3805</v>
      </c>
      <c r="AD496">
        <f t="shared" si="77"/>
        <v>7</v>
      </c>
      <c r="AE496">
        <f t="shared" si="78"/>
        <v>2025</v>
      </c>
      <c r="AF496" t="str">
        <f t="shared" si="79"/>
        <v>CLEAN</v>
      </c>
    </row>
    <row r="497" spans="1:32">
      <c r="A497" t="s">
        <v>96</v>
      </c>
      <c r="B497" s="10">
        <v>45797</v>
      </c>
      <c r="C497" s="10">
        <v>45797</v>
      </c>
      <c r="D497">
        <f t="shared" si="70"/>
        <v>0</v>
      </c>
      <c r="E497" t="str">
        <f t="shared" si="71"/>
        <v>OK</v>
      </c>
      <c r="F497" t="s">
        <v>97</v>
      </c>
      <c r="G497" t="s">
        <v>61</v>
      </c>
      <c r="H497" t="s">
        <v>89</v>
      </c>
      <c r="I497" t="s">
        <v>37</v>
      </c>
      <c r="J497" t="s">
        <v>98</v>
      </c>
      <c r="K497" t="s">
        <v>99</v>
      </c>
      <c r="L497" t="s">
        <v>27</v>
      </c>
      <c r="M497" t="s">
        <v>90</v>
      </c>
      <c r="N497" t="s">
        <v>100</v>
      </c>
      <c r="O497" t="s">
        <v>30</v>
      </c>
      <c r="P497">
        <v>3</v>
      </c>
      <c r="Q497">
        <v>3534.83</v>
      </c>
      <c r="R497">
        <v>0.05</v>
      </c>
      <c r="S497" t="str">
        <f t="shared" si="72"/>
        <v>OK</v>
      </c>
      <c r="T497">
        <v>10074.27</v>
      </c>
      <c r="U497">
        <v>6048.27</v>
      </c>
      <c r="V497">
        <v>4026</v>
      </c>
      <c r="W497" t="s">
        <v>101</v>
      </c>
      <c r="X497" t="s">
        <v>102</v>
      </c>
      <c r="Y497" t="str">
        <f>IF(COUNTIF($A$2:$A$901,A497)&gt;1,
  IF(COUNTIF($A$2:A497,A497)=1,
    " ORIGINAL",
    "CONFLICTING DUPLICATE - REVIEW"),
"OK")</f>
        <v>OK</v>
      </c>
      <c r="Z497">
        <f t="shared" si="73"/>
        <v>0.05</v>
      </c>
      <c r="AA497">
        <f t="shared" si="74"/>
        <v>10074.27</v>
      </c>
      <c r="AB497">
        <f t="shared" si="75"/>
        <v>4026</v>
      </c>
      <c r="AC497">
        <f t="shared" si="76"/>
        <v>0.39960000000000001</v>
      </c>
      <c r="AD497">
        <f t="shared" si="77"/>
        <v>5</v>
      </c>
      <c r="AE497">
        <f t="shared" si="78"/>
        <v>2025</v>
      </c>
      <c r="AF497" t="str">
        <f t="shared" si="79"/>
        <v>CLEAN</v>
      </c>
    </row>
    <row r="498" spans="1:32">
      <c r="A498" t="s">
        <v>111</v>
      </c>
      <c r="B498" s="10">
        <v>45942</v>
      </c>
      <c r="C498" s="10">
        <v>45946</v>
      </c>
      <c r="D498">
        <f t="shared" si="70"/>
        <v>4</v>
      </c>
      <c r="E498" t="str">
        <f t="shared" si="71"/>
        <v>OK</v>
      </c>
      <c r="F498" t="s">
        <v>112</v>
      </c>
      <c r="G498" t="s">
        <v>113</v>
      </c>
      <c r="H498" t="s">
        <v>36</v>
      </c>
      <c r="I498" t="s">
        <v>62</v>
      </c>
      <c r="J498" t="s">
        <v>63</v>
      </c>
      <c r="K498" t="s">
        <v>64</v>
      </c>
      <c r="L498" t="s">
        <v>27</v>
      </c>
      <c r="M498" t="s">
        <v>47</v>
      </c>
      <c r="N498" t="s">
        <v>114</v>
      </c>
      <c r="O498" t="s">
        <v>30</v>
      </c>
      <c r="P498">
        <v>7</v>
      </c>
      <c r="Q498">
        <v>3964.72</v>
      </c>
      <c r="R498">
        <v>0.05</v>
      </c>
      <c r="S498" t="str">
        <f t="shared" si="72"/>
        <v>OK</v>
      </c>
      <c r="T498">
        <v>26365.39</v>
      </c>
      <c r="U498">
        <v>22306.240000000002</v>
      </c>
      <c r="V498">
        <v>4059.15</v>
      </c>
      <c r="W498" t="s">
        <v>31</v>
      </c>
      <c r="X498" t="s">
        <v>32</v>
      </c>
      <c r="Y498" t="str">
        <f>IF(COUNTIF($A$2:$A$901,A498)&gt;1,
  IF(COUNTIF($A$2:A498,A498)=1,
    " ORIGINAL",
    "CONFLICTING DUPLICATE - REVIEW"),
"OK")</f>
        <v>OK</v>
      </c>
      <c r="Z498">
        <f t="shared" si="73"/>
        <v>0.05</v>
      </c>
      <c r="AA498">
        <f t="shared" si="74"/>
        <v>26365.39</v>
      </c>
      <c r="AB498">
        <f t="shared" si="75"/>
        <v>4059.15</v>
      </c>
      <c r="AC498">
        <f t="shared" si="76"/>
        <v>0.154</v>
      </c>
      <c r="AD498">
        <f t="shared" si="77"/>
        <v>10</v>
      </c>
      <c r="AE498">
        <f t="shared" si="78"/>
        <v>2025</v>
      </c>
      <c r="AF498" t="str">
        <f t="shared" si="79"/>
        <v>CLEAN</v>
      </c>
    </row>
    <row r="499" spans="1:32">
      <c r="A499" t="s">
        <v>133</v>
      </c>
      <c r="B499" s="10">
        <v>45853</v>
      </c>
      <c r="C499" s="10">
        <v>45855</v>
      </c>
      <c r="D499">
        <f t="shared" si="70"/>
        <v>2</v>
      </c>
      <c r="E499" t="str">
        <f t="shared" si="71"/>
        <v>OK</v>
      </c>
      <c r="F499" t="s">
        <v>134</v>
      </c>
      <c r="G499" t="s">
        <v>127</v>
      </c>
      <c r="H499" t="s">
        <v>94</v>
      </c>
      <c r="I499" t="s">
        <v>24</v>
      </c>
      <c r="J499" t="s">
        <v>135</v>
      </c>
      <c r="K499" t="s">
        <v>136</v>
      </c>
      <c r="L499" t="s">
        <v>73</v>
      </c>
      <c r="M499" t="s">
        <v>79</v>
      </c>
      <c r="N499" t="s">
        <v>137</v>
      </c>
      <c r="O499" t="s">
        <v>49</v>
      </c>
      <c r="P499">
        <v>2</v>
      </c>
      <c r="Q499">
        <v>1997.99</v>
      </c>
      <c r="R499">
        <v>0</v>
      </c>
      <c r="S499" t="str">
        <f t="shared" si="72"/>
        <v>OK</v>
      </c>
      <c r="T499">
        <v>3995.98</v>
      </c>
      <c r="U499">
        <v>2633.2</v>
      </c>
      <c r="V499">
        <v>1362.78</v>
      </c>
      <c r="W499" t="s">
        <v>101</v>
      </c>
      <c r="X499" t="s">
        <v>67</v>
      </c>
      <c r="Y499" t="str">
        <f>IF(COUNTIF($A$2:$A$901,A499)&gt;1,
  IF(COUNTIF($A$2:A499,A499)=1,
    " ORIGINAL",
    "CONFLICTING DUPLICATE - REVIEW"),
"OK")</f>
        <v>OK</v>
      </c>
      <c r="Z499">
        <f t="shared" si="73"/>
        <v>0</v>
      </c>
      <c r="AA499">
        <f t="shared" si="74"/>
        <v>3995.98</v>
      </c>
      <c r="AB499">
        <f t="shared" si="75"/>
        <v>1362.78</v>
      </c>
      <c r="AC499">
        <f t="shared" si="76"/>
        <v>0.34100000000000003</v>
      </c>
      <c r="AD499">
        <f t="shared" si="77"/>
        <v>7</v>
      </c>
      <c r="AE499">
        <f t="shared" si="78"/>
        <v>2025</v>
      </c>
      <c r="AF499" t="str">
        <f t="shared" si="79"/>
        <v>CLEAN</v>
      </c>
    </row>
    <row r="500" spans="1:32">
      <c r="A500" t="s">
        <v>142</v>
      </c>
      <c r="B500" s="10">
        <v>45678</v>
      </c>
      <c r="C500" s="10">
        <v>45680</v>
      </c>
      <c r="D500">
        <f t="shared" si="70"/>
        <v>2</v>
      </c>
      <c r="E500" t="str">
        <f t="shared" si="71"/>
        <v>OK</v>
      </c>
      <c r="F500" t="s">
        <v>143</v>
      </c>
      <c r="G500" t="s">
        <v>88</v>
      </c>
      <c r="H500" t="s">
        <v>94</v>
      </c>
      <c r="I500" t="s">
        <v>37</v>
      </c>
      <c r="J500" t="s">
        <v>144</v>
      </c>
      <c r="K500" t="s">
        <v>145</v>
      </c>
      <c r="L500" t="s">
        <v>73</v>
      </c>
      <c r="M500" t="s">
        <v>79</v>
      </c>
      <c r="N500" t="s">
        <v>146</v>
      </c>
      <c r="O500" t="s">
        <v>49</v>
      </c>
      <c r="P500">
        <v>5</v>
      </c>
      <c r="Q500">
        <v>4373.0600000000004</v>
      </c>
      <c r="R500">
        <v>0.25</v>
      </c>
      <c r="S500" t="str">
        <f t="shared" si="72"/>
        <v>OK</v>
      </c>
      <c r="T500">
        <v>16398.98</v>
      </c>
      <c r="U500">
        <v>9556.52</v>
      </c>
      <c r="V500">
        <v>6842.46</v>
      </c>
      <c r="W500" t="s">
        <v>31</v>
      </c>
      <c r="X500" t="s">
        <v>32</v>
      </c>
      <c r="Y500" t="str">
        <f>IF(COUNTIF($A$2:$A$901,A500)&gt;1,
  IF(COUNTIF($A$2:A500,A500)=1,
    " ORIGINAL",
    "CONFLICTING DUPLICATE - REVIEW"),
"OK")</f>
        <v>OK</v>
      </c>
      <c r="Z500">
        <f t="shared" si="73"/>
        <v>0.25</v>
      </c>
      <c r="AA500">
        <f t="shared" si="74"/>
        <v>16398.98</v>
      </c>
      <c r="AB500">
        <f t="shared" si="75"/>
        <v>6842.46</v>
      </c>
      <c r="AC500">
        <f t="shared" si="76"/>
        <v>0.41720000000000002</v>
      </c>
      <c r="AD500">
        <f t="shared" si="77"/>
        <v>1</v>
      </c>
      <c r="AE500">
        <f t="shared" si="78"/>
        <v>2025</v>
      </c>
      <c r="AF500" t="str">
        <f t="shared" si="79"/>
        <v>CLEAN</v>
      </c>
    </row>
    <row r="501" spans="1:32">
      <c r="A501" t="s">
        <v>147</v>
      </c>
      <c r="B501" s="10">
        <v>45681</v>
      </c>
      <c r="C501" s="10">
        <v>45687</v>
      </c>
      <c r="D501">
        <f t="shared" si="70"/>
        <v>6</v>
      </c>
      <c r="E501" t="str">
        <f t="shared" si="71"/>
        <v>OK</v>
      </c>
      <c r="F501" t="s">
        <v>148</v>
      </c>
      <c r="G501" t="s">
        <v>131</v>
      </c>
      <c r="H501" t="s">
        <v>23</v>
      </c>
      <c r="I501" t="s">
        <v>62</v>
      </c>
      <c r="J501" t="s">
        <v>71</v>
      </c>
      <c r="K501" t="s">
        <v>72</v>
      </c>
      <c r="L501" t="s">
        <v>40</v>
      </c>
      <c r="M501" t="s">
        <v>56</v>
      </c>
      <c r="N501" t="s">
        <v>149</v>
      </c>
      <c r="O501" t="s">
        <v>30</v>
      </c>
      <c r="P501">
        <v>4</v>
      </c>
      <c r="Q501">
        <v>697.69</v>
      </c>
      <c r="R501">
        <v>-0.23</v>
      </c>
      <c r="S501" t="str">
        <f t="shared" si="72"/>
        <v>INVALID-NEGATIVE</v>
      </c>
      <c r="T501">
        <v>2790.76</v>
      </c>
      <c r="U501">
        <v>2037.71</v>
      </c>
      <c r="V501">
        <v>753.05</v>
      </c>
      <c r="W501" t="s">
        <v>31</v>
      </c>
      <c r="X501" t="s">
        <v>32</v>
      </c>
      <c r="Y501" t="str">
        <f>IF(COUNTIF($A$2:$A$901,A501)&gt;1,
  IF(COUNTIF($A$2:A501,A501)=1,
    " ORIGINAL",
    "CONFLICTING DUPLICATE - REVIEW"),
"OK")</f>
        <v>OK</v>
      </c>
      <c r="Z501">
        <f t="shared" si="73"/>
        <v>0</v>
      </c>
      <c r="AA501">
        <f t="shared" si="74"/>
        <v>2790.76</v>
      </c>
      <c r="AB501">
        <f t="shared" si="75"/>
        <v>753.05</v>
      </c>
      <c r="AC501">
        <f t="shared" si="76"/>
        <v>0.26979999999999998</v>
      </c>
      <c r="AD501">
        <f t="shared" si="77"/>
        <v>1</v>
      </c>
      <c r="AE501">
        <f t="shared" si="78"/>
        <v>2025</v>
      </c>
      <c r="AF501" t="str">
        <f t="shared" si="79"/>
        <v>INVALID</v>
      </c>
    </row>
    <row r="502" spans="1:32">
      <c r="A502" t="s">
        <v>150</v>
      </c>
      <c r="B502" s="10">
        <v>45676</v>
      </c>
      <c r="C502" s="10">
        <v>45678</v>
      </c>
      <c r="D502">
        <f t="shared" si="70"/>
        <v>2</v>
      </c>
      <c r="E502" t="str">
        <f t="shared" si="71"/>
        <v>OK</v>
      </c>
      <c r="F502" t="s">
        <v>151</v>
      </c>
      <c r="G502" t="s">
        <v>35</v>
      </c>
      <c r="H502" t="s">
        <v>23</v>
      </c>
      <c r="I502" t="s">
        <v>53</v>
      </c>
      <c r="J502" t="s">
        <v>54</v>
      </c>
      <c r="K502" t="s">
        <v>55</v>
      </c>
      <c r="L502" t="s">
        <v>27</v>
      </c>
      <c r="M502" t="s">
        <v>152</v>
      </c>
      <c r="N502" t="s">
        <v>153</v>
      </c>
      <c r="O502" t="s">
        <v>58</v>
      </c>
      <c r="P502">
        <v>8</v>
      </c>
      <c r="Q502">
        <v>1219.3399999999999</v>
      </c>
      <c r="R502">
        <v>0.15</v>
      </c>
      <c r="S502" t="str">
        <f t="shared" si="72"/>
        <v>OK</v>
      </c>
      <c r="T502">
        <v>8291.51</v>
      </c>
      <c r="U502">
        <v>6685.03</v>
      </c>
      <c r="V502">
        <v>1606.48</v>
      </c>
      <c r="W502" t="s">
        <v>154</v>
      </c>
      <c r="X502" t="s">
        <v>102</v>
      </c>
      <c r="Y502" t="str">
        <f>IF(COUNTIF($A$2:$A$901,A502)&gt;1,
  IF(COUNTIF($A$2:A502,A502)=1,
    " ORIGINAL",
    "CONFLICTING DUPLICATE - REVIEW"),
"OK")</f>
        <v>OK</v>
      </c>
      <c r="Z502">
        <f t="shared" si="73"/>
        <v>0.15</v>
      </c>
      <c r="AA502">
        <f t="shared" si="74"/>
        <v>8291.51</v>
      </c>
      <c r="AB502">
        <f t="shared" si="75"/>
        <v>1606.48</v>
      </c>
      <c r="AC502">
        <f t="shared" si="76"/>
        <v>0.19370000000000001</v>
      </c>
      <c r="AD502">
        <f t="shared" si="77"/>
        <v>1</v>
      </c>
      <c r="AE502">
        <f t="shared" si="78"/>
        <v>2025</v>
      </c>
      <c r="AF502" t="str">
        <f t="shared" si="79"/>
        <v>INVALID</v>
      </c>
    </row>
    <row r="503" spans="1:32">
      <c r="A503" t="s">
        <v>155</v>
      </c>
      <c r="B503" s="10">
        <v>45898</v>
      </c>
      <c r="C503" s="10">
        <v>45900</v>
      </c>
      <c r="D503">
        <f t="shared" si="70"/>
        <v>2</v>
      </c>
      <c r="E503" t="str">
        <f t="shared" si="71"/>
        <v>OK</v>
      </c>
      <c r="F503" t="s">
        <v>156</v>
      </c>
      <c r="G503" t="s">
        <v>117</v>
      </c>
      <c r="H503" t="s">
        <v>94</v>
      </c>
      <c r="I503" t="s">
        <v>37</v>
      </c>
      <c r="J503" t="s">
        <v>144</v>
      </c>
      <c r="K503" t="s">
        <v>145</v>
      </c>
      <c r="L503" t="s">
        <v>40</v>
      </c>
      <c r="M503" t="s">
        <v>157</v>
      </c>
      <c r="N503" t="s">
        <v>158</v>
      </c>
      <c r="O503" t="s">
        <v>49</v>
      </c>
      <c r="P503">
        <v>4</v>
      </c>
      <c r="Q503">
        <v>1958.01</v>
      </c>
      <c r="R503">
        <v>0.2</v>
      </c>
      <c r="S503" t="str">
        <f t="shared" si="72"/>
        <v>OK</v>
      </c>
      <c r="T503">
        <v>6265.63</v>
      </c>
      <c r="U503">
        <v>4321.8599999999997</v>
      </c>
      <c r="V503">
        <v>1943.77</v>
      </c>
      <c r="W503" t="s">
        <v>31</v>
      </c>
      <c r="X503" t="s">
        <v>32</v>
      </c>
      <c r="Y503" t="str">
        <f>IF(COUNTIF($A$2:$A$901,A503)&gt;1,
  IF(COUNTIF($A$2:A503,A503)=1,
    " ORIGINAL",
    "CONFLICTING DUPLICATE - REVIEW"),
"OK")</f>
        <v>OK</v>
      </c>
      <c r="Z503">
        <f t="shared" si="73"/>
        <v>0.2</v>
      </c>
      <c r="AA503">
        <f t="shared" si="74"/>
        <v>6265.63</v>
      </c>
      <c r="AB503">
        <f t="shared" si="75"/>
        <v>1943.77</v>
      </c>
      <c r="AC503">
        <f t="shared" si="76"/>
        <v>0.31019999999999998</v>
      </c>
      <c r="AD503">
        <f t="shared" si="77"/>
        <v>8</v>
      </c>
      <c r="AE503">
        <f t="shared" si="78"/>
        <v>2025</v>
      </c>
      <c r="AF503" t="str">
        <f t="shared" si="79"/>
        <v>CLEAN</v>
      </c>
    </row>
    <row r="504" spans="1:32">
      <c r="A504" t="s">
        <v>172</v>
      </c>
      <c r="B504" s="10">
        <v>45929</v>
      </c>
      <c r="C504" s="10">
        <v>45787</v>
      </c>
      <c r="D504">
        <f t="shared" si="70"/>
        <v>-142</v>
      </c>
      <c r="E504" t="str">
        <f t="shared" si="71"/>
        <v>INVALID</v>
      </c>
      <c r="F504" t="s">
        <v>173</v>
      </c>
      <c r="G504" t="s">
        <v>52</v>
      </c>
      <c r="H504" t="s">
        <v>36</v>
      </c>
      <c r="I504" t="s">
        <v>53</v>
      </c>
      <c r="J504" t="s">
        <v>174</v>
      </c>
      <c r="K504" t="s">
        <v>175</v>
      </c>
      <c r="L504" t="s">
        <v>27</v>
      </c>
      <c r="M504" t="s">
        <v>28</v>
      </c>
      <c r="N504" t="s">
        <v>176</v>
      </c>
      <c r="O504" t="s">
        <v>30</v>
      </c>
      <c r="P504">
        <v>5</v>
      </c>
      <c r="Q504">
        <v>1806.51</v>
      </c>
      <c r="R504">
        <v>0.25</v>
      </c>
      <c r="S504" t="str">
        <f t="shared" si="72"/>
        <v>OK</v>
      </c>
      <c r="T504">
        <v>6774.41</v>
      </c>
      <c r="U504">
        <v>4710.3599999999997</v>
      </c>
      <c r="V504">
        <v>2064.0500000000002</v>
      </c>
      <c r="W504" t="s">
        <v>154</v>
      </c>
      <c r="X504" t="s">
        <v>102</v>
      </c>
      <c r="Y504" t="str">
        <f>IF(COUNTIF($A$2:$A$901,A504)&gt;1,
  IF(COUNTIF($A$2:A504,A504)=1,
    " ORIGINAL",
    "CONFLICTING DUPLICATE - REVIEW"),
"OK")</f>
        <v>OK</v>
      </c>
      <c r="Z504">
        <f t="shared" si="73"/>
        <v>0.25</v>
      </c>
      <c r="AA504">
        <f t="shared" si="74"/>
        <v>6774.41</v>
      </c>
      <c r="AB504">
        <f t="shared" si="75"/>
        <v>2064.0500000000002</v>
      </c>
      <c r="AC504">
        <f t="shared" si="76"/>
        <v>0.30470000000000003</v>
      </c>
      <c r="AD504">
        <f t="shared" si="77"/>
        <v>9</v>
      </c>
      <c r="AE504">
        <f t="shared" si="78"/>
        <v>2025</v>
      </c>
      <c r="AF504" t="str">
        <f t="shared" si="79"/>
        <v>INVALID</v>
      </c>
    </row>
    <row r="505" spans="1:32">
      <c r="A505" t="s">
        <v>182</v>
      </c>
      <c r="B505" s="10">
        <v>45882</v>
      </c>
      <c r="C505" s="10">
        <v>45882</v>
      </c>
      <c r="D505">
        <f t="shared" si="70"/>
        <v>0</v>
      </c>
      <c r="E505" t="str">
        <f t="shared" si="71"/>
        <v>OK</v>
      </c>
      <c r="F505" t="s">
        <v>183</v>
      </c>
      <c r="G505" t="s">
        <v>140</v>
      </c>
      <c r="H505" t="s">
        <v>94</v>
      </c>
      <c r="I505" t="s">
        <v>53</v>
      </c>
      <c r="J505" t="s">
        <v>184</v>
      </c>
      <c r="K505" t="s">
        <v>185</v>
      </c>
      <c r="L505" t="s">
        <v>73</v>
      </c>
      <c r="M505" t="s">
        <v>170</v>
      </c>
      <c r="N505" t="s">
        <v>186</v>
      </c>
      <c r="O505" t="s">
        <v>58</v>
      </c>
      <c r="P505">
        <v>1</v>
      </c>
      <c r="Q505">
        <v>256.01</v>
      </c>
      <c r="R505">
        <v>0.15</v>
      </c>
      <c r="S505" t="str">
        <f t="shared" si="72"/>
        <v>OK</v>
      </c>
      <c r="T505">
        <v>217.61</v>
      </c>
      <c r="U505">
        <v>119.77</v>
      </c>
      <c r="V505">
        <v>97.84</v>
      </c>
      <c r="W505" t="s">
        <v>31</v>
      </c>
      <c r="X505" t="s">
        <v>32</v>
      </c>
      <c r="Y505" t="str">
        <f>IF(COUNTIF($A$2:$A$901,A505)&gt;1,
  IF(COUNTIF($A$2:A505,A505)=1,
    " ORIGINAL",
    "CONFLICTING DUPLICATE - REVIEW"),
"OK")</f>
        <v>OK</v>
      </c>
      <c r="Z505">
        <f t="shared" si="73"/>
        <v>0.15</v>
      </c>
      <c r="AA505">
        <f t="shared" si="74"/>
        <v>217.61</v>
      </c>
      <c r="AB505">
        <f t="shared" si="75"/>
        <v>97.84</v>
      </c>
      <c r="AC505">
        <f t="shared" si="76"/>
        <v>0.4496</v>
      </c>
      <c r="AD505">
        <f t="shared" si="77"/>
        <v>8</v>
      </c>
      <c r="AE505">
        <f t="shared" si="78"/>
        <v>2025</v>
      </c>
      <c r="AF505" t="str">
        <f t="shared" si="79"/>
        <v>CLEAN</v>
      </c>
    </row>
    <row r="506" spans="1:32">
      <c r="A506" t="s">
        <v>192</v>
      </c>
      <c r="B506" s="10">
        <v>45823</v>
      </c>
      <c r="C506" s="10">
        <v>45827</v>
      </c>
      <c r="D506">
        <f t="shared" si="70"/>
        <v>4</v>
      </c>
      <c r="E506" t="str">
        <f t="shared" si="71"/>
        <v>OK</v>
      </c>
      <c r="F506" t="s">
        <v>193</v>
      </c>
      <c r="G506" t="s">
        <v>22</v>
      </c>
      <c r="H506" t="s">
        <v>36</v>
      </c>
      <c r="I506" t="s">
        <v>62</v>
      </c>
      <c r="J506" t="s">
        <v>71</v>
      </c>
      <c r="K506" t="s">
        <v>72</v>
      </c>
      <c r="L506" t="s">
        <v>27</v>
      </c>
      <c r="M506" t="s">
        <v>28</v>
      </c>
      <c r="N506" t="s">
        <v>194</v>
      </c>
      <c r="O506" t="s">
        <v>30</v>
      </c>
      <c r="P506">
        <v>9</v>
      </c>
      <c r="Q506">
        <v>3092.55</v>
      </c>
      <c r="R506">
        <v>0</v>
      </c>
      <c r="S506" t="str">
        <f t="shared" si="72"/>
        <v>OK</v>
      </c>
      <c r="T506">
        <v>27832.95</v>
      </c>
      <c r="U506">
        <v>17769.75</v>
      </c>
      <c r="V506">
        <v>10063.200000000001</v>
      </c>
      <c r="W506" t="s">
        <v>154</v>
      </c>
      <c r="X506" t="s">
        <v>102</v>
      </c>
      <c r="Y506" t="str">
        <f>IF(COUNTIF($A$2:$A$901,A506)&gt;1,
  IF(COUNTIF($A$2:A506,A506)=1,
    " ORIGINAL",
    "CONFLICTING DUPLICATE - REVIEW"),
"OK")</f>
        <v>OK</v>
      </c>
      <c r="Z506">
        <f t="shared" si="73"/>
        <v>0</v>
      </c>
      <c r="AA506">
        <f t="shared" si="74"/>
        <v>27832.95</v>
      </c>
      <c r="AB506">
        <f t="shared" si="75"/>
        <v>10063.200000000001</v>
      </c>
      <c r="AC506">
        <f t="shared" si="76"/>
        <v>0.36159999999999998</v>
      </c>
      <c r="AD506">
        <f t="shared" si="77"/>
        <v>6</v>
      </c>
      <c r="AE506">
        <f t="shared" si="78"/>
        <v>2025</v>
      </c>
      <c r="AF506" t="str">
        <f t="shared" si="79"/>
        <v>INVALID</v>
      </c>
    </row>
    <row r="507" spans="1:32">
      <c r="A507" t="s">
        <v>201</v>
      </c>
      <c r="B507" s="10">
        <v>45688</v>
      </c>
      <c r="C507" s="10">
        <v>45693</v>
      </c>
      <c r="D507">
        <f t="shared" si="70"/>
        <v>5</v>
      </c>
      <c r="E507" t="str">
        <f t="shared" si="71"/>
        <v>OK</v>
      </c>
      <c r="F507" t="s">
        <v>202</v>
      </c>
      <c r="G507" t="s">
        <v>113</v>
      </c>
      <c r="H507" t="s">
        <v>94</v>
      </c>
      <c r="I507" t="s">
        <v>37</v>
      </c>
      <c r="J507" t="s">
        <v>98</v>
      </c>
      <c r="K507" t="s">
        <v>99</v>
      </c>
      <c r="L507" t="s">
        <v>40</v>
      </c>
      <c r="M507" t="s">
        <v>65</v>
      </c>
      <c r="N507" t="s">
        <v>203</v>
      </c>
      <c r="O507" t="s">
        <v>2762</v>
      </c>
      <c r="P507">
        <v>2</v>
      </c>
      <c r="Q507">
        <v>4159.6899999999996</v>
      </c>
      <c r="R507">
        <v>0.2</v>
      </c>
      <c r="S507" t="str">
        <f t="shared" si="72"/>
        <v>OK</v>
      </c>
      <c r="T507">
        <v>6655.5</v>
      </c>
      <c r="U507">
        <v>4340.21</v>
      </c>
      <c r="V507">
        <v>2607.3200000000002</v>
      </c>
      <c r="W507" t="s">
        <v>31</v>
      </c>
      <c r="X507" t="s">
        <v>32</v>
      </c>
      <c r="Y507" t="str">
        <f>IF(COUNTIF($A$2:$A$901,A507)&gt;1,
  IF(COUNTIF($A$2:A507,A507)=1,
    " ORIGINAL",
    "CONFLICTING DUPLICATE - REVIEW"),
"OK")</f>
        <v>OK</v>
      </c>
      <c r="Z507">
        <f t="shared" si="73"/>
        <v>0.2</v>
      </c>
      <c r="AA507">
        <f t="shared" si="74"/>
        <v>6655.5</v>
      </c>
      <c r="AB507">
        <f t="shared" si="75"/>
        <v>2315.29</v>
      </c>
      <c r="AC507">
        <f t="shared" si="76"/>
        <v>0.34789999999999999</v>
      </c>
      <c r="AD507">
        <f t="shared" si="77"/>
        <v>1</v>
      </c>
      <c r="AE507">
        <f t="shared" si="78"/>
        <v>2025</v>
      </c>
      <c r="AF507" t="str">
        <f t="shared" si="79"/>
        <v>WARNING</v>
      </c>
    </row>
    <row r="508" spans="1:32">
      <c r="A508" t="s">
        <v>210</v>
      </c>
      <c r="B508" s="10">
        <v>45867</v>
      </c>
      <c r="C508" s="10">
        <v>45867</v>
      </c>
      <c r="D508">
        <f t="shared" si="70"/>
        <v>0</v>
      </c>
      <c r="E508" t="str">
        <f t="shared" si="71"/>
        <v>OK</v>
      </c>
      <c r="F508" t="s">
        <v>211</v>
      </c>
      <c r="G508" t="s">
        <v>161</v>
      </c>
      <c r="H508" t="s">
        <v>23</v>
      </c>
      <c r="I508" t="s">
        <v>62</v>
      </c>
      <c r="J508" t="s">
        <v>63</v>
      </c>
      <c r="K508" t="s">
        <v>64</v>
      </c>
      <c r="L508" t="s">
        <v>73</v>
      </c>
      <c r="M508" t="s">
        <v>79</v>
      </c>
      <c r="N508" t="s">
        <v>212</v>
      </c>
      <c r="O508" t="s">
        <v>58</v>
      </c>
      <c r="P508">
        <v>4</v>
      </c>
      <c r="Q508">
        <v>1327.54</v>
      </c>
      <c r="R508">
        <v>0.2</v>
      </c>
      <c r="S508" t="str">
        <f t="shared" si="72"/>
        <v>OK</v>
      </c>
      <c r="T508">
        <v>4248.13</v>
      </c>
      <c r="U508">
        <v>3321.09</v>
      </c>
      <c r="V508">
        <v>927.04</v>
      </c>
      <c r="W508" t="s">
        <v>31</v>
      </c>
      <c r="X508" t="s">
        <v>32</v>
      </c>
      <c r="Y508" t="str">
        <f>IF(COUNTIF($A$2:$A$901,A508)&gt;1,
  IF(COUNTIF($A$2:A508,A508)=1,
    " ORIGINAL",
    "CONFLICTING DUPLICATE - REVIEW"),
"OK")</f>
        <v>OK</v>
      </c>
      <c r="Z508">
        <f t="shared" si="73"/>
        <v>0.2</v>
      </c>
      <c r="AA508">
        <f t="shared" si="74"/>
        <v>4248.13</v>
      </c>
      <c r="AB508">
        <f t="shared" si="75"/>
        <v>927.04</v>
      </c>
      <c r="AC508">
        <f t="shared" si="76"/>
        <v>0.21820000000000001</v>
      </c>
      <c r="AD508">
        <f t="shared" si="77"/>
        <v>7</v>
      </c>
      <c r="AE508">
        <f t="shared" si="78"/>
        <v>2025</v>
      </c>
      <c r="AF508" t="str">
        <f t="shared" si="79"/>
        <v>CLEAN</v>
      </c>
    </row>
    <row r="509" spans="1:32">
      <c r="A509" t="s">
        <v>225</v>
      </c>
      <c r="B509" s="10">
        <v>45940</v>
      </c>
      <c r="C509" s="10">
        <v>45945</v>
      </c>
      <c r="D509">
        <f t="shared" si="70"/>
        <v>5</v>
      </c>
      <c r="E509" t="str">
        <f t="shared" si="71"/>
        <v>OK</v>
      </c>
      <c r="F509" t="s">
        <v>226</v>
      </c>
      <c r="G509" t="s">
        <v>52</v>
      </c>
      <c r="H509" t="s">
        <v>89</v>
      </c>
      <c r="I509" t="s">
        <v>37</v>
      </c>
      <c r="J509" t="s">
        <v>227</v>
      </c>
      <c r="K509" t="s">
        <v>228</v>
      </c>
      <c r="L509" t="s">
        <v>73</v>
      </c>
      <c r="M509" t="s">
        <v>170</v>
      </c>
      <c r="N509" t="s">
        <v>229</v>
      </c>
      <c r="O509" t="s">
        <v>58</v>
      </c>
      <c r="P509">
        <v>8</v>
      </c>
      <c r="Q509">
        <v>979.87</v>
      </c>
      <c r="R509">
        <v>0.05</v>
      </c>
      <c r="S509" t="str">
        <f t="shared" si="72"/>
        <v>OK</v>
      </c>
      <c r="T509">
        <v>7447.01</v>
      </c>
      <c r="U509">
        <v>4496.22</v>
      </c>
      <c r="V509">
        <v>2950.79</v>
      </c>
      <c r="W509" t="s">
        <v>31</v>
      </c>
      <c r="X509" t="s">
        <v>32</v>
      </c>
      <c r="Y509" t="str">
        <f>IF(COUNTIF($A$2:$A$901,A509)&gt;1,
  IF(COUNTIF($A$2:A509,A509)=1,
    " ORIGINAL",
    "CONFLICTING DUPLICATE - REVIEW"),
"OK")</f>
        <v>OK</v>
      </c>
      <c r="Z509">
        <f t="shared" si="73"/>
        <v>0.05</v>
      </c>
      <c r="AA509">
        <f t="shared" si="74"/>
        <v>7447.01</v>
      </c>
      <c r="AB509">
        <f t="shared" si="75"/>
        <v>2950.79</v>
      </c>
      <c r="AC509">
        <f t="shared" si="76"/>
        <v>0.3962</v>
      </c>
      <c r="AD509">
        <f t="shared" si="77"/>
        <v>10</v>
      </c>
      <c r="AE509">
        <f t="shared" si="78"/>
        <v>2025</v>
      </c>
      <c r="AF509" t="str">
        <f t="shared" si="79"/>
        <v>CLEAN</v>
      </c>
    </row>
    <row r="510" spans="1:32">
      <c r="A510" t="s">
        <v>249</v>
      </c>
      <c r="B510" s="10">
        <v>45687</v>
      </c>
      <c r="C510" s="10">
        <v>45693</v>
      </c>
      <c r="D510">
        <f t="shared" si="70"/>
        <v>6</v>
      </c>
      <c r="E510" t="str">
        <f t="shared" si="71"/>
        <v>OK</v>
      </c>
      <c r="F510" t="s">
        <v>250</v>
      </c>
      <c r="G510" t="s">
        <v>78</v>
      </c>
      <c r="H510" t="s">
        <v>89</v>
      </c>
      <c r="I510" t="s">
        <v>62</v>
      </c>
      <c r="J510" t="s">
        <v>63</v>
      </c>
      <c r="K510" t="s">
        <v>64</v>
      </c>
      <c r="L510" t="s">
        <v>40</v>
      </c>
      <c r="M510" t="s">
        <v>65</v>
      </c>
      <c r="N510" t="s">
        <v>251</v>
      </c>
      <c r="O510" t="s">
        <v>30</v>
      </c>
      <c r="P510">
        <v>7</v>
      </c>
      <c r="Q510">
        <v>4063.66</v>
      </c>
      <c r="R510">
        <v>0</v>
      </c>
      <c r="S510" t="str">
        <f t="shared" si="72"/>
        <v>OK</v>
      </c>
      <c r="T510">
        <v>28445.62</v>
      </c>
      <c r="U510">
        <v>20938.59</v>
      </c>
      <c r="V510">
        <v>7507.03</v>
      </c>
      <c r="W510" t="s">
        <v>31</v>
      </c>
      <c r="X510" t="s">
        <v>32</v>
      </c>
      <c r="Y510" t="str">
        <f>IF(COUNTIF($A$2:$A$901,A510)&gt;1,
  IF(COUNTIF($A$2:A510,A510)=1,
    " ORIGINAL",
    "CONFLICTING DUPLICATE - REVIEW"),
"OK")</f>
        <v>OK</v>
      </c>
      <c r="Z510">
        <f t="shared" si="73"/>
        <v>0</v>
      </c>
      <c r="AA510">
        <f t="shared" si="74"/>
        <v>28445.62</v>
      </c>
      <c r="AB510">
        <f t="shared" si="75"/>
        <v>7507.03</v>
      </c>
      <c r="AC510">
        <f t="shared" si="76"/>
        <v>0.26390000000000002</v>
      </c>
      <c r="AD510">
        <f t="shared" si="77"/>
        <v>1</v>
      </c>
      <c r="AE510">
        <f t="shared" si="78"/>
        <v>2025</v>
      </c>
      <c r="AF510" t="str">
        <f t="shared" si="79"/>
        <v>CLEAN</v>
      </c>
    </row>
    <row r="511" spans="1:32">
      <c r="A511" t="s">
        <v>255</v>
      </c>
      <c r="B511" s="10">
        <v>45788</v>
      </c>
      <c r="C511" s="10">
        <v>45796</v>
      </c>
      <c r="D511">
        <f t="shared" si="70"/>
        <v>8</v>
      </c>
      <c r="E511" t="str">
        <f t="shared" si="71"/>
        <v>OK</v>
      </c>
      <c r="F511" t="s">
        <v>256</v>
      </c>
      <c r="G511" t="s">
        <v>131</v>
      </c>
      <c r="H511" t="s">
        <v>23</v>
      </c>
      <c r="I511" t="s">
        <v>37</v>
      </c>
      <c r="J511" t="s">
        <v>98</v>
      </c>
      <c r="K511" t="s">
        <v>99</v>
      </c>
      <c r="L511" t="s">
        <v>73</v>
      </c>
      <c r="M511" t="s">
        <v>79</v>
      </c>
      <c r="N511" t="s">
        <v>257</v>
      </c>
      <c r="O511" t="s">
        <v>58</v>
      </c>
      <c r="P511">
        <v>1</v>
      </c>
      <c r="Q511">
        <v>2382.8000000000002</v>
      </c>
      <c r="R511">
        <v>0.15</v>
      </c>
      <c r="S511" t="str">
        <f t="shared" si="72"/>
        <v>OK</v>
      </c>
      <c r="T511">
        <v>2025.38</v>
      </c>
      <c r="U511">
        <v>1140.6500000000001</v>
      </c>
      <c r="V511">
        <v>884.73</v>
      </c>
      <c r="W511" t="s">
        <v>31</v>
      </c>
      <c r="X511" t="s">
        <v>32</v>
      </c>
      <c r="Y511" t="str">
        <f>IF(COUNTIF($A$2:$A$901,A511)&gt;1,
  IF(COUNTIF($A$2:A511,A511)=1,
    " ORIGINAL",
    "CONFLICTING DUPLICATE - REVIEW"),
"OK")</f>
        <v>OK</v>
      </c>
      <c r="Z511">
        <f t="shared" si="73"/>
        <v>0.15</v>
      </c>
      <c r="AA511">
        <f t="shared" si="74"/>
        <v>2025.38</v>
      </c>
      <c r="AB511">
        <f t="shared" si="75"/>
        <v>884.73</v>
      </c>
      <c r="AC511">
        <f t="shared" si="76"/>
        <v>0.43680000000000002</v>
      </c>
      <c r="AD511">
        <f t="shared" si="77"/>
        <v>5</v>
      </c>
      <c r="AE511">
        <f t="shared" si="78"/>
        <v>2025</v>
      </c>
      <c r="AF511" t="str">
        <f t="shared" si="79"/>
        <v>CLEAN</v>
      </c>
    </row>
    <row r="512" spans="1:32">
      <c r="A512" t="s">
        <v>265</v>
      </c>
      <c r="B512" s="10">
        <v>45747</v>
      </c>
      <c r="C512" s="10">
        <v>45747</v>
      </c>
      <c r="D512">
        <f t="shared" si="70"/>
        <v>0</v>
      </c>
      <c r="E512" t="str">
        <f t="shared" si="71"/>
        <v>OK</v>
      </c>
      <c r="F512" t="s">
        <v>266</v>
      </c>
      <c r="G512" t="s">
        <v>263</v>
      </c>
      <c r="H512" t="s">
        <v>94</v>
      </c>
      <c r="I512" t="s">
        <v>62</v>
      </c>
      <c r="J512" t="s">
        <v>179</v>
      </c>
      <c r="K512" t="s">
        <v>180</v>
      </c>
      <c r="L512" t="s">
        <v>27</v>
      </c>
      <c r="M512" t="s">
        <v>123</v>
      </c>
      <c r="N512" t="s">
        <v>267</v>
      </c>
      <c r="O512" t="s">
        <v>49</v>
      </c>
      <c r="P512">
        <v>5</v>
      </c>
      <c r="Q512">
        <v>1207.47</v>
      </c>
      <c r="R512">
        <v>0.15</v>
      </c>
      <c r="S512" t="str">
        <f t="shared" si="72"/>
        <v>OK</v>
      </c>
      <c r="T512">
        <v>5131.75</v>
      </c>
      <c r="U512">
        <v>2838.68</v>
      </c>
      <c r="V512">
        <v>2293.0700000000002</v>
      </c>
      <c r="W512" t="s">
        <v>31</v>
      </c>
      <c r="X512" t="s">
        <v>32</v>
      </c>
      <c r="Y512" t="str">
        <f>IF(COUNTIF($A$2:$A$901,A512)&gt;1,
  IF(COUNTIF($A$2:A512,A512)=1,
    " ORIGINAL",
    "CONFLICTING DUPLICATE - REVIEW"),
"OK")</f>
        <v>OK</v>
      </c>
      <c r="Z512">
        <f t="shared" si="73"/>
        <v>0.15</v>
      </c>
      <c r="AA512">
        <f t="shared" si="74"/>
        <v>5131.75</v>
      </c>
      <c r="AB512">
        <f t="shared" si="75"/>
        <v>2293.0700000000002</v>
      </c>
      <c r="AC512">
        <f t="shared" si="76"/>
        <v>0.44679999999999997</v>
      </c>
      <c r="AD512">
        <f t="shared" si="77"/>
        <v>3</v>
      </c>
      <c r="AE512">
        <f t="shared" si="78"/>
        <v>2025</v>
      </c>
      <c r="AF512" t="str">
        <f t="shared" si="79"/>
        <v>CLEAN</v>
      </c>
    </row>
    <row r="513" spans="1:32">
      <c r="A513" t="s">
        <v>268</v>
      </c>
      <c r="B513" s="10">
        <v>45807</v>
      </c>
      <c r="C513" s="10">
        <v>45810</v>
      </c>
      <c r="D513">
        <f t="shared" si="70"/>
        <v>3</v>
      </c>
      <c r="E513" t="str">
        <f t="shared" si="71"/>
        <v>OK</v>
      </c>
      <c r="F513" t="s">
        <v>269</v>
      </c>
      <c r="G513" t="s">
        <v>52</v>
      </c>
      <c r="H513" t="s">
        <v>89</v>
      </c>
      <c r="I513" t="s">
        <v>53</v>
      </c>
      <c r="J513" t="s">
        <v>246</v>
      </c>
      <c r="K513" t="s">
        <v>247</v>
      </c>
      <c r="L513" t="s">
        <v>27</v>
      </c>
      <c r="M513" t="s">
        <v>90</v>
      </c>
      <c r="N513" t="s">
        <v>270</v>
      </c>
      <c r="O513" t="s">
        <v>43</v>
      </c>
      <c r="P513">
        <v>8</v>
      </c>
      <c r="Q513">
        <v>474.37</v>
      </c>
      <c r="R513">
        <v>0.1</v>
      </c>
      <c r="S513" t="str">
        <f t="shared" si="72"/>
        <v>OK</v>
      </c>
      <c r="T513">
        <v>3415.46</v>
      </c>
      <c r="U513">
        <v>1993.23</v>
      </c>
      <c r="V513">
        <v>1422.23</v>
      </c>
      <c r="W513" t="s">
        <v>154</v>
      </c>
      <c r="X513" t="s">
        <v>67</v>
      </c>
      <c r="Y513" t="str">
        <f>IF(COUNTIF($A$2:$A$901,A513)&gt;1,
  IF(COUNTIF($A$2:A513,A513)=1,
    " ORIGINAL",
    "CONFLICTING DUPLICATE - REVIEW"),
"OK")</f>
        <v>OK</v>
      </c>
      <c r="Z513">
        <f t="shared" si="73"/>
        <v>0.1</v>
      </c>
      <c r="AA513">
        <f t="shared" si="74"/>
        <v>3415.46</v>
      </c>
      <c r="AB513">
        <f t="shared" si="75"/>
        <v>1422.23</v>
      </c>
      <c r="AC513">
        <f t="shared" si="76"/>
        <v>0.41639999999999999</v>
      </c>
      <c r="AD513">
        <f t="shared" si="77"/>
        <v>5</v>
      </c>
      <c r="AE513">
        <f t="shared" si="78"/>
        <v>2025</v>
      </c>
      <c r="AF513" t="str">
        <f t="shared" si="79"/>
        <v>INVALID</v>
      </c>
    </row>
    <row r="514" spans="1:32">
      <c r="A514" t="s">
        <v>271</v>
      </c>
      <c r="B514" s="10">
        <v>45664</v>
      </c>
      <c r="C514" s="10">
        <v>45723</v>
      </c>
      <c r="D514">
        <f t="shared" ref="D514:D577" si="80">C514-B514</f>
        <v>59</v>
      </c>
      <c r="E514" t="str">
        <f t="shared" ref="E514:E577" si="81">IF(D514&lt;0,"INVALID","OK")</f>
        <v>OK</v>
      </c>
      <c r="F514" t="s">
        <v>272</v>
      </c>
      <c r="G514" t="s">
        <v>35</v>
      </c>
      <c r="H514" t="s">
        <v>36</v>
      </c>
      <c r="I514" t="s">
        <v>53</v>
      </c>
      <c r="J514" t="s">
        <v>83</v>
      </c>
      <c r="K514" t="s">
        <v>84</v>
      </c>
      <c r="L514" t="s">
        <v>73</v>
      </c>
      <c r="M514" t="s">
        <v>273</v>
      </c>
      <c r="N514" t="s">
        <v>274</v>
      </c>
      <c r="O514" t="s">
        <v>43</v>
      </c>
      <c r="P514">
        <v>3</v>
      </c>
      <c r="Q514">
        <v>1516.24</v>
      </c>
      <c r="R514">
        <v>0.25</v>
      </c>
      <c r="S514" t="str">
        <f t="shared" si="72"/>
        <v>OK</v>
      </c>
      <c r="T514">
        <v>3411.54</v>
      </c>
      <c r="U514">
        <v>2803.13</v>
      </c>
      <c r="V514">
        <v>608.41</v>
      </c>
      <c r="W514" t="s">
        <v>31</v>
      </c>
      <c r="X514" t="s">
        <v>32</v>
      </c>
      <c r="Y514" t="str">
        <f>IF(COUNTIF($A$2:$A$901,A514)&gt;1,
  IF(COUNTIF($A$2:A514,A514)=1,
    " ORIGINAL",
    "CONFLICTING DUPLICATE - REVIEW"),
"OK")</f>
        <v>OK</v>
      </c>
      <c r="Z514">
        <f t="shared" si="73"/>
        <v>0.25</v>
      </c>
      <c r="AA514">
        <f t="shared" si="74"/>
        <v>3411.54</v>
      </c>
      <c r="AB514">
        <f t="shared" si="75"/>
        <v>608.41</v>
      </c>
      <c r="AC514">
        <f t="shared" si="76"/>
        <v>0.17829999999999999</v>
      </c>
      <c r="AD514">
        <f t="shared" si="77"/>
        <v>1</v>
      </c>
      <c r="AE514">
        <f t="shared" si="78"/>
        <v>2025</v>
      </c>
      <c r="AF514" t="str">
        <f t="shared" si="79"/>
        <v>CLEAN</v>
      </c>
    </row>
    <row r="515" spans="1:32">
      <c r="A515" t="s">
        <v>275</v>
      </c>
      <c r="B515" s="10">
        <v>45662</v>
      </c>
      <c r="C515" s="10">
        <v>45809</v>
      </c>
      <c r="D515">
        <f t="shared" si="80"/>
        <v>147</v>
      </c>
      <c r="E515" t="str">
        <f t="shared" si="81"/>
        <v>OK</v>
      </c>
      <c r="F515" t="s">
        <v>276</v>
      </c>
      <c r="G515" t="s">
        <v>22</v>
      </c>
      <c r="H515" t="s">
        <v>23</v>
      </c>
      <c r="I515" t="s">
        <v>53</v>
      </c>
      <c r="J515" t="s">
        <v>174</v>
      </c>
      <c r="K515" t="s">
        <v>175</v>
      </c>
      <c r="L515" t="s">
        <v>27</v>
      </c>
      <c r="M515" t="s">
        <v>152</v>
      </c>
      <c r="N515" t="s">
        <v>277</v>
      </c>
      <c r="O515" t="s">
        <v>30</v>
      </c>
      <c r="P515">
        <v>3</v>
      </c>
      <c r="Q515">
        <v>3155.61</v>
      </c>
      <c r="R515">
        <v>0</v>
      </c>
      <c r="S515" t="str">
        <f t="shared" ref="S515:S578" si="82">IF(R515&lt;0,"INVALID-NEGATIVE",IF(R515&gt;1,"INVALID-ABOVE","OK"))</f>
        <v>OK</v>
      </c>
      <c r="T515">
        <v>9466.83</v>
      </c>
      <c r="U515">
        <v>6557.83</v>
      </c>
      <c r="V515">
        <v>2909</v>
      </c>
      <c r="W515" t="s">
        <v>101</v>
      </c>
      <c r="X515" t="s">
        <v>67</v>
      </c>
      <c r="Y515" t="str">
        <f>IF(COUNTIF($A$2:$A$901,A515)&gt;1,
  IF(COUNTIF($A$2:A515,A515)=1,
    " ORIGINAL",
    "CONFLICTING DUPLICATE - REVIEW"),
"OK")</f>
        <v>OK</v>
      </c>
      <c r="Z515">
        <f t="shared" ref="Z515:Z578" si="83">IF(R515&lt;0, 0,
  IF(ISNUMBER(R515), R515,
    IFERROR(VALUE(SUBSTITUTE(R515,"%",""))/100, 0)))</f>
        <v>0</v>
      </c>
      <c r="AA515">
        <f t="shared" ref="AA515:AA578" si="84">ROUND(P515*Q515*(1-Z515),2)</f>
        <v>9466.83</v>
      </c>
      <c r="AB515">
        <f t="shared" ref="AB515:AB578" si="85">ROUND(AA515-U515,2)</f>
        <v>2909</v>
      </c>
      <c r="AC515">
        <f t="shared" ref="AC515:AC578" si="86">IFERROR(ROUND(AB515/AA515,4),0)</f>
        <v>0.30730000000000002</v>
      </c>
      <c r="AD515">
        <f t="shared" ref="AD515:AD578" si="87">IFERROR(MONTH(B515),"INVALID")</f>
        <v>1</v>
      </c>
      <c r="AE515">
        <f t="shared" ref="AE515:AE578" si="88">IFERROR(YEAR(B515),"INVALID")</f>
        <v>2025</v>
      </c>
      <c r="AF515" t="str">
        <f t="shared" ref="AF515:AF578" si="89">IF(OR(R515&lt;0,NOT(ISNUMBER(R515)),D515&lt;0,W515="Failed"),"INVALID",IF(OR(I515="Unknown",O515="Unknown",R515&gt;1,AA515&lt;0),"WARNING","CLEAN"))</f>
        <v>CLEAN</v>
      </c>
    </row>
    <row r="516" spans="1:32">
      <c r="A516" t="s">
        <v>305</v>
      </c>
      <c r="B516" s="10">
        <v>45897</v>
      </c>
      <c r="C516" s="10">
        <v>45901</v>
      </c>
      <c r="D516">
        <f t="shared" si="80"/>
        <v>4</v>
      </c>
      <c r="E516" t="str">
        <f t="shared" si="81"/>
        <v>OK</v>
      </c>
      <c r="F516" t="s">
        <v>306</v>
      </c>
      <c r="G516" t="s">
        <v>22</v>
      </c>
      <c r="H516" t="s">
        <v>36</v>
      </c>
      <c r="I516" t="s">
        <v>53</v>
      </c>
      <c r="J516" t="s">
        <v>246</v>
      </c>
      <c r="K516" t="s">
        <v>247</v>
      </c>
      <c r="L516" t="s">
        <v>73</v>
      </c>
      <c r="M516" t="s">
        <v>74</v>
      </c>
      <c r="N516" t="s">
        <v>307</v>
      </c>
      <c r="O516" t="s">
        <v>43</v>
      </c>
      <c r="P516">
        <v>7</v>
      </c>
      <c r="Q516">
        <v>1057.46</v>
      </c>
      <c r="R516">
        <v>0.05</v>
      </c>
      <c r="S516" t="str">
        <f t="shared" si="82"/>
        <v>OK</v>
      </c>
      <c r="T516">
        <v>7032.11</v>
      </c>
      <c r="U516">
        <v>4610.34</v>
      </c>
      <c r="V516">
        <v>2421.77</v>
      </c>
      <c r="W516" t="s">
        <v>31</v>
      </c>
      <c r="X516" t="s">
        <v>32</v>
      </c>
      <c r="Y516" t="str">
        <f>IF(COUNTIF($A$2:$A$901,A516)&gt;1,
  IF(COUNTIF($A$2:A516,A516)=1,
    " ORIGINAL",
    "CONFLICTING DUPLICATE - REVIEW"),
"OK")</f>
        <v>OK</v>
      </c>
      <c r="Z516">
        <f t="shared" si="83"/>
        <v>0.05</v>
      </c>
      <c r="AA516">
        <f t="shared" si="84"/>
        <v>7032.11</v>
      </c>
      <c r="AB516">
        <f t="shared" si="85"/>
        <v>2421.77</v>
      </c>
      <c r="AC516">
        <f t="shared" si="86"/>
        <v>0.34439999999999998</v>
      </c>
      <c r="AD516">
        <f t="shared" si="87"/>
        <v>8</v>
      </c>
      <c r="AE516">
        <f t="shared" si="88"/>
        <v>2025</v>
      </c>
      <c r="AF516" t="str">
        <f t="shared" si="89"/>
        <v>CLEAN</v>
      </c>
    </row>
    <row r="517" spans="1:32">
      <c r="A517" t="s">
        <v>308</v>
      </c>
      <c r="B517" s="10">
        <v>45691</v>
      </c>
      <c r="C517" s="10">
        <v>45840</v>
      </c>
      <c r="D517">
        <f t="shared" si="80"/>
        <v>149</v>
      </c>
      <c r="E517" t="str">
        <f t="shared" si="81"/>
        <v>OK</v>
      </c>
      <c r="F517" t="s">
        <v>309</v>
      </c>
      <c r="G517" t="s">
        <v>263</v>
      </c>
      <c r="H517" t="s">
        <v>23</v>
      </c>
      <c r="I517" t="s">
        <v>24</v>
      </c>
      <c r="J517" t="s">
        <v>235</v>
      </c>
      <c r="K517" t="s">
        <v>236</v>
      </c>
      <c r="L517" t="s">
        <v>27</v>
      </c>
      <c r="M517" t="s">
        <v>28</v>
      </c>
      <c r="N517" t="s">
        <v>310</v>
      </c>
      <c r="O517" t="s">
        <v>49</v>
      </c>
      <c r="P517">
        <v>7</v>
      </c>
      <c r="Q517">
        <v>3609.34</v>
      </c>
      <c r="R517">
        <v>0.05</v>
      </c>
      <c r="S517" t="str">
        <f t="shared" si="82"/>
        <v>OK</v>
      </c>
      <c r="T517">
        <v>24002.11</v>
      </c>
      <c r="U517">
        <v>18707.57</v>
      </c>
      <c r="V517">
        <v>5294.54</v>
      </c>
      <c r="W517" t="s">
        <v>31</v>
      </c>
      <c r="X517" t="s">
        <v>32</v>
      </c>
      <c r="Y517" t="str">
        <f>IF(COUNTIF($A$2:$A$901,A517)&gt;1,
  IF(COUNTIF($A$2:A517,A517)=1,
    " ORIGINAL",
    "CONFLICTING DUPLICATE - REVIEW"),
"OK")</f>
        <v>OK</v>
      </c>
      <c r="Z517">
        <f t="shared" si="83"/>
        <v>0.05</v>
      </c>
      <c r="AA517">
        <f t="shared" si="84"/>
        <v>24002.11</v>
      </c>
      <c r="AB517">
        <f t="shared" si="85"/>
        <v>5294.54</v>
      </c>
      <c r="AC517">
        <f t="shared" si="86"/>
        <v>0.22059999999999999</v>
      </c>
      <c r="AD517">
        <f t="shared" si="87"/>
        <v>2</v>
      </c>
      <c r="AE517">
        <f t="shared" si="88"/>
        <v>2025</v>
      </c>
      <c r="AF517" t="str">
        <f t="shared" si="89"/>
        <v>CLEAN</v>
      </c>
    </row>
    <row r="518" spans="1:32">
      <c r="A518" t="s">
        <v>317</v>
      </c>
      <c r="B518" s="10">
        <v>45891</v>
      </c>
      <c r="C518" s="10">
        <v>45896</v>
      </c>
      <c r="D518">
        <f t="shared" si="80"/>
        <v>5</v>
      </c>
      <c r="E518" t="str">
        <f t="shared" si="81"/>
        <v>OK</v>
      </c>
      <c r="F518" t="s">
        <v>318</v>
      </c>
      <c r="G518" t="s">
        <v>22</v>
      </c>
      <c r="H518" t="s">
        <v>89</v>
      </c>
      <c r="I518" t="s">
        <v>53</v>
      </c>
      <c r="J518" t="s">
        <v>83</v>
      </c>
      <c r="K518" t="s">
        <v>84</v>
      </c>
      <c r="L518" t="s">
        <v>73</v>
      </c>
      <c r="M518" t="s">
        <v>170</v>
      </c>
      <c r="N518" t="s">
        <v>319</v>
      </c>
      <c r="O518" t="s">
        <v>49</v>
      </c>
      <c r="P518">
        <v>2</v>
      </c>
      <c r="Q518">
        <v>905.87</v>
      </c>
      <c r="R518">
        <v>0.15</v>
      </c>
      <c r="S518" t="str">
        <f t="shared" si="82"/>
        <v>OK</v>
      </c>
      <c r="T518">
        <v>1539.98</v>
      </c>
      <c r="U518">
        <v>1070.2</v>
      </c>
      <c r="V518">
        <v>469.78</v>
      </c>
      <c r="W518" t="s">
        <v>31</v>
      </c>
      <c r="X518" t="s">
        <v>32</v>
      </c>
      <c r="Y518" t="str">
        <f>IF(COUNTIF($A$2:$A$901,A518)&gt;1,
  IF(COUNTIF($A$2:A518,A518)=1,
    " ORIGINAL",
    "CONFLICTING DUPLICATE - REVIEW"),
"OK")</f>
        <v>OK</v>
      </c>
      <c r="Z518">
        <f t="shared" si="83"/>
        <v>0.15</v>
      </c>
      <c r="AA518">
        <f t="shared" si="84"/>
        <v>1539.98</v>
      </c>
      <c r="AB518">
        <f t="shared" si="85"/>
        <v>469.78</v>
      </c>
      <c r="AC518">
        <f t="shared" si="86"/>
        <v>0.30509999999999998</v>
      </c>
      <c r="AD518">
        <f t="shared" si="87"/>
        <v>8</v>
      </c>
      <c r="AE518">
        <f t="shared" si="88"/>
        <v>2025</v>
      </c>
      <c r="AF518" t="str">
        <f t="shared" si="89"/>
        <v>CLEAN</v>
      </c>
    </row>
    <row r="519" spans="1:32">
      <c r="A519" t="s">
        <v>320</v>
      </c>
      <c r="B519" s="10">
        <v>45763</v>
      </c>
      <c r="C519" s="10">
        <v>45770</v>
      </c>
      <c r="D519">
        <f t="shared" si="80"/>
        <v>7</v>
      </c>
      <c r="E519" t="str">
        <f t="shared" si="81"/>
        <v>OK</v>
      </c>
      <c r="F519" t="s">
        <v>321</v>
      </c>
      <c r="G519" t="s">
        <v>35</v>
      </c>
      <c r="H519" t="s">
        <v>36</v>
      </c>
      <c r="I519" t="s">
        <v>62</v>
      </c>
      <c r="J519" t="s">
        <v>189</v>
      </c>
      <c r="K519" t="s">
        <v>190</v>
      </c>
      <c r="L519" t="s">
        <v>73</v>
      </c>
      <c r="M519" t="s">
        <v>273</v>
      </c>
      <c r="N519" t="s">
        <v>322</v>
      </c>
      <c r="O519" t="s">
        <v>58</v>
      </c>
      <c r="P519">
        <v>6</v>
      </c>
      <c r="Q519">
        <v>2027.32</v>
      </c>
      <c r="R519">
        <v>0.1</v>
      </c>
      <c r="S519" t="str">
        <f t="shared" si="82"/>
        <v>OK</v>
      </c>
      <c r="T519">
        <v>10947.53</v>
      </c>
      <c r="U519">
        <v>6447.36</v>
      </c>
      <c r="V519">
        <v>4500.17</v>
      </c>
      <c r="W519" t="s">
        <v>31</v>
      </c>
      <c r="X519" t="s">
        <v>32</v>
      </c>
      <c r="Y519" t="str">
        <f>IF(COUNTIF($A$2:$A$901,A519)&gt;1,
  IF(COUNTIF($A$2:A519,A519)=1,
    " ORIGINAL",
    "CONFLICTING DUPLICATE - REVIEW"),
"OK")</f>
        <v>OK</v>
      </c>
      <c r="Z519">
        <f t="shared" si="83"/>
        <v>0.1</v>
      </c>
      <c r="AA519">
        <f t="shared" si="84"/>
        <v>10947.53</v>
      </c>
      <c r="AB519">
        <f t="shared" si="85"/>
        <v>4500.17</v>
      </c>
      <c r="AC519">
        <f t="shared" si="86"/>
        <v>0.41110000000000002</v>
      </c>
      <c r="AD519">
        <f t="shared" si="87"/>
        <v>4</v>
      </c>
      <c r="AE519">
        <f t="shared" si="88"/>
        <v>2025</v>
      </c>
      <c r="AF519" t="str">
        <f t="shared" si="89"/>
        <v>CLEAN</v>
      </c>
    </row>
    <row r="520" spans="1:32">
      <c r="A520" t="s">
        <v>326</v>
      </c>
      <c r="B520" s="10">
        <v>45745</v>
      </c>
      <c r="C520" s="10">
        <v>45750</v>
      </c>
      <c r="D520">
        <f t="shared" si="80"/>
        <v>5</v>
      </c>
      <c r="E520" t="str">
        <f t="shared" si="81"/>
        <v>OK</v>
      </c>
      <c r="F520" t="s">
        <v>327</v>
      </c>
      <c r="G520" t="s">
        <v>131</v>
      </c>
      <c r="H520" t="s">
        <v>89</v>
      </c>
      <c r="I520" t="s">
        <v>37</v>
      </c>
      <c r="J520" t="s">
        <v>98</v>
      </c>
      <c r="K520" t="s">
        <v>99</v>
      </c>
      <c r="L520" t="s">
        <v>40</v>
      </c>
      <c r="M520" t="s">
        <v>157</v>
      </c>
      <c r="N520" t="s">
        <v>328</v>
      </c>
      <c r="O520" t="s">
        <v>49</v>
      </c>
      <c r="P520">
        <v>5</v>
      </c>
      <c r="Q520">
        <v>1425.74</v>
      </c>
      <c r="R520">
        <v>0</v>
      </c>
      <c r="S520" t="str">
        <f t="shared" si="82"/>
        <v>OK</v>
      </c>
      <c r="T520">
        <v>7128.7</v>
      </c>
      <c r="U520">
        <v>4382.1499999999996</v>
      </c>
      <c r="V520">
        <v>2746.55</v>
      </c>
      <c r="W520" t="s">
        <v>31</v>
      </c>
      <c r="X520" t="s">
        <v>32</v>
      </c>
      <c r="Y520" t="str">
        <f>IF(COUNTIF($A$2:$A$901,A520)&gt;1,
  IF(COUNTIF($A$2:A520,A520)=1,
    " ORIGINAL",
    "CONFLICTING DUPLICATE - REVIEW"),
"OK")</f>
        <v>OK</v>
      </c>
      <c r="Z520">
        <f t="shared" si="83"/>
        <v>0</v>
      </c>
      <c r="AA520">
        <f t="shared" si="84"/>
        <v>7128.7</v>
      </c>
      <c r="AB520">
        <f t="shared" si="85"/>
        <v>2746.55</v>
      </c>
      <c r="AC520">
        <f t="shared" si="86"/>
        <v>0.38529999999999998</v>
      </c>
      <c r="AD520">
        <f t="shared" si="87"/>
        <v>3</v>
      </c>
      <c r="AE520">
        <f t="shared" si="88"/>
        <v>2025</v>
      </c>
      <c r="AF520" t="str">
        <f t="shared" si="89"/>
        <v>CLEAN</v>
      </c>
    </row>
    <row r="521" spans="1:32">
      <c r="A521" t="s">
        <v>329</v>
      </c>
      <c r="B521" s="10">
        <v>45715</v>
      </c>
      <c r="C521" s="10">
        <v>45717</v>
      </c>
      <c r="D521">
        <f t="shared" si="80"/>
        <v>2</v>
      </c>
      <c r="E521" t="str">
        <f t="shared" si="81"/>
        <v>OK</v>
      </c>
      <c r="F521" t="s">
        <v>330</v>
      </c>
      <c r="G521" t="s">
        <v>70</v>
      </c>
      <c r="H521" t="s">
        <v>36</v>
      </c>
      <c r="I521" t="s">
        <v>37</v>
      </c>
      <c r="J521" t="s">
        <v>98</v>
      </c>
      <c r="K521" t="s">
        <v>99</v>
      </c>
      <c r="L521" t="s">
        <v>40</v>
      </c>
      <c r="M521" t="s">
        <v>65</v>
      </c>
      <c r="N521" t="s">
        <v>331</v>
      </c>
      <c r="O521" t="s">
        <v>58</v>
      </c>
      <c r="P521">
        <v>6</v>
      </c>
      <c r="Q521">
        <v>551.64</v>
      </c>
      <c r="R521">
        <v>0</v>
      </c>
      <c r="S521" t="str">
        <f t="shared" si="82"/>
        <v>OK</v>
      </c>
      <c r="T521">
        <v>3309.84</v>
      </c>
      <c r="U521">
        <v>2671.08</v>
      </c>
      <c r="V521">
        <v>638.76</v>
      </c>
      <c r="W521" t="s">
        <v>31</v>
      </c>
      <c r="X521" t="s">
        <v>32</v>
      </c>
      <c r="Y521" t="str">
        <f>IF(COUNTIF($A$2:$A$901,A521)&gt;1,
  IF(COUNTIF($A$2:A521,A521)=1,
    " ORIGINAL",
    "CONFLICTING DUPLICATE - REVIEW"),
"OK")</f>
        <v>OK</v>
      </c>
      <c r="Z521">
        <f t="shared" si="83"/>
        <v>0</v>
      </c>
      <c r="AA521">
        <f t="shared" si="84"/>
        <v>3309.84</v>
      </c>
      <c r="AB521">
        <f t="shared" si="85"/>
        <v>638.76</v>
      </c>
      <c r="AC521">
        <f t="shared" si="86"/>
        <v>0.193</v>
      </c>
      <c r="AD521">
        <f t="shared" si="87"/>
        <v>2</v>
      </c>
      <c r="AE521">
        <f t="shared" si="88"/>
        <v>2025</v>
      </c>
      <c r="AF521" t="str">
        <f t="shared" si="89"/>
        <v>CLEAN</v>
      </c>
    </row>
    <row r="522" spans="1:32">
      <c r="A522" t="s">
        <v>332</v>
      </c>
      <c r="B522" s="10">
        <v>45891</v>
      </c>
      <c r="C522" s="10">
        <v>45896</v>
      </c>
      <c r="D522">
        <f t="shared" si="80"/>
        <v>5</v>
      </c>
      <c r="E522" t="str">
        <f t="shared" si="81"/>
        <v>OK</v>
      </c>
      <c r="F522" t="s">
        <v>333</v>
      </c>
      <c r="G522" t="s">
        <v>113</v>
      </c>
      <c r="H522" t="s">
        <v>36</v>
      </c>
      <c r="I522" t="s">
        <v>37</v>
      </c>
      <c r="J522" t="s">
        <v>38</v>
      </c>
      <c r="K522" t="s">
        <v>39</v>
      </c>
      <c r="L522" t="s">
        <v>27</v>
      </c>
      <c r="M522" t="s">
        <v>90</v>
      </c>
      <c r="N522" t="s">
        <v>334</v>
      </c>
      <c r="O522" t="s">
        <v>49</v>
      </c>
      <c r="P522">
        <v>3</v>
      </c>
      <c r="Q522">
        <v>3294.82</v>
      </c>
      <c r="R522">
        <v>0.2</v>
      </c>
      <c r="S522" t="str">
        <f t="shared" si="82"/>
        <v>OK</v>
      </c>
      <c r="T522">
        <v>7907.57</v>
      </c>
      <c r="U522">
        <v>5391.18</v>
      </c>
      <c r="V522">
        <v>2516.39</v>
      </c>
      <c r="W522" t="s">
        <v>31</v>
      </c>
      <c r="X522" t="s">
        <v>32</v>
      </c>
      <c r="Y522" t="str">
        <f>IF(COUNTIF($A$2:$A$901,A522)&gt;1,
  IF(COUNTIF($A$2:A522,A522)=1,
    " ORIGINAL",
    "CONFLICTING DUPLICATE - REVIEW"),
"OK")</f>
        <v>OK</v>
      </c>
      <c r="Z522">
        <f t="shared" si="83"/>
        <v>0.2</v>
      </c>
      <c r="AA522">
        <f t="shared" si="84"/>
        <v>7907.57</v>
      </c>
      <c r="AB522">
        <f t="shared" si="85"/>
        <v>2516.39</v>
      </c>
      <c r="AC522">
        <f t="shared" si="86"/>
        <v>0.31819999999999998</v>
      </c>
      <c r="AD522">
        <f t="shared" si="87"/>
        <v>8</v>
      </c>
      <c r="AE522">
        <f t="shared" si="88"/>
        <v>2025</v>
      </c>
      <c r="AF522" t="str">
        <f t="shared" si="89"/>
        <v>CLEAN</v>
      </c>
    </row>
    <row r="523" spans="1:32">
      <c r="A523" t="s">
        <v>338</v>
      </c>
      <c r="B523" s="10">
        <v>45846</v>
      </c>
      <c r="C523" s="10">
        <v>45998</v>
      </c>
      <c r="D523">
        <f t="shared" si="80"/>
        <v>152</v>
      </c>
      <c r="E523" t="str">
        <f t="shared" si="81"/>
        <v>OK</v>
      </c>
      <c r="F523" t="s">
        <v>339</v>
      </c>
      <c r="G523" t="s">
        <v>140</v>
      </c>
      <c r="H523" t="s">
        <v>94</v>
      </c>
      <c r="I523" t="s">
        <v>24</v>
      </c>
      <c r="J523" t="s">
        <v>135</v>
      </c>
      <c r="K523" t="s">
        <v>136</v>
      </c>
      <c r="L523" t="s">
        <v>40</v>
      </c>
      <c r="M523" t="s">
        <v>56</v>
      </c>
      <c r="N523" t="s">
        <v>340</v>
      </c>
      <c r="O523" t="s">
        <v>58</v>
      </c>
      <c r="P523">
        <v>1</v>
      </c>
      <c r="Q523">
        <v>2582.1999999999998</v>
      </c>
      <c r="R523">
        <v>0.15</v>
      </c>
      <c r="S523" t="str">
        <f t="shared" si="82"/>
        <v>OK</v>
      </c>
      <c r="T523">
        <v>2194.87</v>
      </c>
      <c r="U523">
        <v>1223.17</v>
      </c>
      <c r="V523">
        <v>971.7</v>
      </c>
      <c r="W523" t="s">
        <v>101</v>
      </c>
      <c r="X523" t="s">
        <v>67</v>
      </c>
      <c r="Y523" t="str">
        <f>IF(COUNTIF($A$2:$A$901,A523)&gt;1,
  IF(COUNTIF($A$2:A523,A523)=1,
    " ORIGINAL",
    "CONFLICTING DUPLICATE - REVIEW"),
"OK")</f>
        <v>OK</v>
      </c>
      <c r="Z523">
        <f t="shared" si="83"/>
        <v>0.15</v>
      </c>
      <c r="AA523">
        <f t="shared" si="84"/>
        <v>2194.87</v>
      </c>
      <c r="AB523">
        <f t="shared" si="85"/>
        <v>971.7</v>
      </c>
      <c r="AC523">
        <f t="shared" si="86"/>
        <v>0.44269999999999998</v>
      </c>
      <c r="AD523">
        <f t="shared" si="87"/>
        <v>7</v>
      </c>
      <c r="AE523">
        <f t="shared" si="88"/>
        <v>2025</v>
      </c>
      <c r="AF523" t="str">
        <f t="shared" si="89"/>
        <v>CLEAN</v>
      </c>
    </row>
    <row r="524" spans="1:32">
      <c r="A524" t="s">
        <v>341</v>
      </c>
      <c r="B524" s="10">
        <v>45854</v>
      </c>
      <c r="C524" s="10">
        <v>45859</v>
      </c>
      <c r="D524">
        <f t="shared" si="80"/>
        <v>5</v>
      </c>
      <c r="E524" t="str">
        <f t="shared" si="81"/>
        <v>OK</v>
      </c>
      <c r="F524" t="s">
        <v>342</v>
      </c>
      <c r="G524" t="s">
        <v>131</v>
      </c>
      <c r="H524" t="s">
        <v>89</v>
      </c>
      <c r="I524" t="s">
        <v>37</v>
      </c>
      <c r="J524" t="s">
        <v>98</v>
      </c>
      <c r="K524" t="s">
        <v>99</v>
      </c>
      <c r="L524" t="s">
        <v>40</v>
      </c>
      <c r="M524" t="s">
        <v>41</v>
      </c>
      <c r="N524" t="s">
        <v>343</v>
      </c>
      <c r="O524" t="s">
        <v>49</v>
      </c>
      <c r="P524">
        <v>5</v>
      </c>
      <c r="Q524">
        <v>2129.5100000000002</v>
      </c>
      <c r="R524">
        <v>0.15</v>
      </c>
      <c r="S524" t="str">
        <f t="shared" si="82"/>
        <v>OK</v>
      </c>
      <c r="T524">
        <v>9050.42</v>
      </c>
      <c r="U524">
        <v>6778.85</v>
      </c>
      <c r="V524">
        <v>2271.5700000000002</v>
      </c>
      <c r="W524" t="s">
        <v>31</v>
      </c>
      <c r="X524" t="s">
        <v>32</v>
      </c>
      <c r="Y524" t="str">
        <f>IF(COUNTIF($A$2:$A$901,A524)&gt;1,
  IF(COUNTIF($A$2:A524,A524)=1,
    " ORIGINAL",
    "CONFLICTING DUPLICATE - REVIEW"),
"OK")</f>
        <v>OK</v>
      </c>
      <c r="Z524">
        <f t="shared" si="83"/>
        <v>0.15</v>
      </c>
      <c r="AA524">
        <f t="shared" si="84"/>
        <v>9050.42</v>
      </c>
      <c r="AB524">
        <f t="shared" si="85"/>
        <v>2271.5700000000002</v>
      </c>
      <c r="AC524">
        <f t="shared" si="86"/>
        <v>0.251</v>
      </c>
      <c r="AD524">
        <f t="shared" si="87"/>
        <v>7</v>
      </c>
      <c r="AE524">
        <f t="shared" si="88"/>
        <v>2025</v>
      </c>
      <c r="AF524" t="str">
        <f t="shared" si="89"/>
        <v>CLEAN</v>
      </c>
    </row>
    <row r="525" spans="1:32">
      <c r="A525" t="s">
        <v>344</v>
      </c>
      <c r="B525" s="10">
        <v>45927</v>
      </c>
      <c r="C525" s="10">
        <v>45933</v>
      </c>
      <c r="D525">
        <f t="shared" si="80"/>
        <v>6</v>
      </c>
      <c r="E525" t="str">
        <f t="shared" si="81"/>
        <v>OK</v>
      </c>
      <c r="F525" t="s">
        <v>345</v>
      </c>
      <c r="G525" t="s">
        <v>161</v>
      </c>
      <c r="H525" t="s">
        <v>94</v>
      </c>
      <c r="I525" t="s">
        <v>53</v>
      </c>
      <c r="J525" t="s">
        <v>246</v>
      </c>
      <c r="K525" t="s">
        <v>247</v>
      </c>
      <c r="L525" t="s">
        <v>40</v>
      </c>
      <c r="M525" t="s">
        <v>65</v>
      </c>
      <c r="N525" t="s">
        <v>346</v>
      </c>
      <c r="O525" t="s">
        <v>43</v>
      </c>
      <c r="P525">
        <v>9</v>
      </c>
      <c r="Q525">
        <v>4131.5200000000004</v>
      </c>
      <c r="R525">
        <v>0.1</v>
      </c>
      <c r="S525" t="str">
        <f t="shared" si="82"/>
        <v>OK</v>
      </c>
      <c r="T525">
        <v>33465.31</v>
      </c>
      <c r="U525">
        <v>24781.26</v>
      </c>
      <c r="V525">
        <v>8684.0499999999993</v>
      </c>
      <c r="W525" t="s">
        <v>31</v>
      </c>
      <c r="X525" t="s">
        <v>32</v>
      </c>
      <c r="Y525" t="str">
        <f>IF(COUNTIF($A$2:$A$901,A525)&gt;1,
  IF(COUNTIF($A$2:A525,A525)=1,
    " ORIGINAL",
    "CONFLICTING DUPLICATE - REVIEW"),
"OK")</f>
        <v>OK</v>
      </c>
      <c r="Z525">
        <f t="shared" si="83"/>
        <v>0.1</v>
      </c>
      <c r="AA525">
        <f t="shared" si="84"/>
        <v>33465.31</v>
      </c>
      <c r="AB525">
        <f t="shared" si="85"/>
        <v>8684.0499999999993</v>
      </c>
      <c r="AC525">
        <f t="shared" si="86"/>
        <v>0.25950000000000001</v>
      </c>
      <c r="AD525">
        <f t="shared" si="87"/>
        <v>9</v>
      </c>
      <c r="AE525">
        <f t="shared" si="88"/>
        <v>2025</v>
      </c>
      <c r="AF525" t="str">
        <f t="shared" si="89"/>
        <v>CLEAN</v>
      </c>
    </row>
    <row r="526" spans="1:32">
      <c r="A526" t="s">
        <v>352</v>
      </c>
      <c r="B526" s="10">
        <v>45732</v>
      </c>
      <c r="C526" s="10">
        <v>45733</v>
      </c>
      <c r="D526">
        <f t="shared" si="80"/>
        <v>1</v>
      </c>
      <c r="E526" t="str">
        <f t="shared" si="81"/>
        <v>OK</v>
      </c>
      <c r="F526" t="s">
        <v>353</v>
      </c>
      <c r="G526" t="s">
        <v>22</v>
      </c>
      <c r="H526" t="s">
        <v>94</v>
      </c>
      <c r="I526" t="s">
        <v>62</v>
      </c>
      <c r="J526" t="s">
        <v>189</v>
      </c>
      <c r="K526" t="s">
        <v>190</v>
      </c>
      <c r="L526" t="s">
        <v>27</v>
      </c>
      <c r="M526" t="s">
        <v>90</v>
      </c>
      <c r="N526" t="s">
        <v>354</v>
      </c>
      <c r="O526" t="s">
        <v>43</v>
      </c>
      <c r="P526">
        <v>3</v>
      </c>
      <c r="Q526">
        <v>1841.91</v>
      </c>
      <c r="R526">
        <v>0</v>
      </c>
      <c r="S526" t="str">
        <f t="shared" si="82"/>
        <v>OK</v>
      </c>
      <c r="T526">
        <v>5525.73</v>
      </c>
      <c r="U526">
        <v>3093.42</v>
      </c>
      <c r="V526">
        <v>2432.31</v>
      </c>
      <c r="W526" t="s">
        <v>31</v>
      </c>
      <c r="X526" t="s">
        <v>32</v>
      </c>
      <c r="Y526" t="str">
        <f>IF(COUNTIF($A$2:$A$901,A526)&gt;1,
  IF(COUNTIF($A$2:A526,A526)=1,
    " ORIGINAL",
    "CONFLICTING DUPLICATE - REVIEW"),
"OK")</f>
        <v>OK</v>
      </c>
      <c r="Z526">
        <f t="shared" si="83"/>
        <v>0</v>
      </c>
      <c r="AA526">
        <f t="shared" si="84"/>
        <v>5525.73</v>
      </c>
      <c r="AB526">
        <f t="shared" si="85"/>
        <v>2432.31</v>
      </c>
      <c r="AC526">
        <f t="shared" si="86"/>
        <v>0.44019999999999998</v>
      </c>
      <c r="AD526">
        <f t="shared" si="87"/>
        <v>3</v>
      </c>
      <c r="AE526">
        <f t="shared" si="88"/>
        <v>2025</v>
      </c>
      <c r="AF526" t="str">
        <f t="shared" si="89"/>
        <v>CLEAN</v>
      </c>
    </row>
    <row r="527" spans="1:32">
      <c r="A527" t="s">
        <v>379</v>
      </c>
      <c r="B527" s="10">
        <v>45893</v>
      </c>
      <c r="C527" s="10">
        <v>45898</v>
      </c>
      <c r="D527">
        <f t="shared" si="80"/>
        <v>5</v>
      </c>
      <c r="E527" t="str">
        <f t="shared" si="81"/>
        <v>OK</v>
      </c>
      <c r="F527" t="s">
        <v>380</v>
      </c>
      <c r="G527" t="s">
        <v>127</v>
      </c>
      <c r="H527" t="s">
        <v>36</v>
      </c>
      <c r="I527" t="s">
        <v>37</v>
      </c>
      <c r="J527" t="s">
        <v>144</v>
      </c>
      <c r="K527" t="s">
        <v>145</v>
      </c>
      <c r="L527" t="s">
        <v>73</v>
      </c>
      <c r="M527" t="s">
        <v>79</v>
      </c>
      <c r="N527" t="s">
        <v>381</v>
      </c>
      <c r="O527" t="s">
        <v>49</v>
      </c>
      <c r="P527">
        <v>3</v>
      </c>
      <c r="Q527">
        <v>3703.96</v>
      </c>
      <c r="R527">
        <v>0.15</v>
      </c>
      <c r="S527" t="str">
        <f t="shared" si="82"/>
        <v>OK</v>
      </c>
      <c r="T527">
        <v>9445.1</v>
      </c>
      <c r="U527">
        <v>5586.28</v>
      </c>
      <c r="V527">
        <v>3858.82</v>
      </c>
      <c r="W527" t="s">
        <v>31</v>
      </c>
      <c r="X527" t="s">
        <v>32</v>
      </c>
      <c r="Y527" t="str">
        <f>IF(COUNTIF($A$2:$A$901,A527)&gt;1,
  IF(COUNTIF($A$2:A527,A527)=1,
    " ORIGINAL",
    "CONFLICTING DUPLICATE - REVIEW"),
"OK")</f>
        <v xml:space="preserve"> ORIGINAL</v>
      </c>
      <c r="Z527">
        <f t="shared" si="83"/>
        <v>0.15</v>
      </c>
      <c r="AA527">
        <f t="shared" si="84"/>
        <v>9445.1</v>
      </c>
      <c r="AB527">
        <f t="shared" si="85"/>
        <v>3858.82</v>
      </c>
      <c r="AC527">
        <f t="shared" si="86"/>
        <v>0.40860000000000002</v>
      </c>
      <c r="AD527">
        <f t="shared" si="87"/>
        <v>8</v>
      </c>
      <c r="AE527">
        <f t="shared" si="88"/>
        <v>2025</v>
      </c>
      <c r="AF527" t="str">
        <f t="shared" si="89"/>
        <v>CLEAN</v>
      </c>
    </row>
    <row r="528" spans="1:32">
      <c r="A528" t="s">
        <v>379</v>
      </c>
      <c r="B528" s="10">
        <v>45893</v>
      </c>
      <c r="C528" s="10">
        <v>45898</v>
      </c>
      <c r="D528">
        <f t="shared" si="80"/>
        <v>5</v>
      </c>
      <c r="E528" t="str">
        <f t="shared" si="81"/>
        <v>OK</v>
      </c>
      <c r="F528" t="s">
        <v>380</v>
      </c>
      <c r="G528" t="s">
        <v>127</v>
      </c>
      <c r="H528" t="s">
        <v>36</v>
      </c>
      <c r="I528" t="s">
        <v>37</v>
      </c>
      <c r="J528" t="s">
        <v>144</v>
      </c>
      <c r="K528" t="s">
        <v>145</v>
      </c>
      <c r="L528" t="s">
        <v>73</v>
      </c>
      <c r="M528" t="s">
        <v>79</v>
      </c>
      <c r="N528" t="s">
        <v>381</v>
      </c>
      <c r="O528" t="s">
        <v>49</v>
      </c>
      <c r="P528">
        <v>3</v>
      </c>
      <c r="Q528">
        <v>3703.96</v>
      </c>
      <c r="R528">
        <v>0.15</v>
      </c>
      <c r="S528" t="str">
        <f t="shared" si="82"/>
        <v>OK</v>
      </c>
      <c r="T528">
        <v>9549.44</v>
      </c>
      <c r="U528">
        <v>5586.28</v>
      </c>
      <c r="V528">
        <v>3858.82</v>
      </c>
      <c r="W528" t="s">
        <v>31</v>
      </c>
      <c r="X528" t="s">
        <v>102</v>
      </c>
      <c r="Y528" t="str">
        <f>IF(COUNTIF($A$2:$A$901,A528)&gt;1,
  IF(COUNTIF($A$2:A528,A528)=1,
    " ORIGINAL",
    "CONFLICTING DUPLICATE - REVIEW"),
"OK")</f>
        <v>CONFLICTING DUPLICATE - REVIEW</v>
      </c>
      <c r="Z528">
        <f t="shared" si="83"/>
        <v>0.15</v>
      </c>
      <c r="AA528">
        <f t="shared" si="84"/>
        <v>9445.1</v>
      </c>
      <c r="AB528">
        <f t="shared" si="85"/>
        <v>3858.82</v>
      </c>
      <c r="AC528">
        <f t="shared" si="86"/>
        <v>0.40860000000000002</v>
      </c>
      <c r="AD528">
        <f t="shared" si="87"/>
        <v>8</v>
      </c>
      <c r="AE528">
        <f t="shared" si="88"/>
        <v>2025</v>
      </c>
      <c r="AF528" t="str">
        <f t="shared" si="89"/>
        <v>CLEAN</v>
      </c>
    </row>
    <row r="529" spans="1:32">
      <c r="A529" t="s">
        <v>382</v>
      </c>
      <c r="B529" s="10">
        <v>45691</v>
      </c>
      <c r="C529" s="10">
        <v>45724</v>
      </c>
      <c r="D529">
        <f t="shared" si="80"/>
        <v>33</v>
      </c>
      <c r="E529" t="str">
        <f t="shared" si="81"/>
        <v>OK</v>
      </c>
      <c r="F529" t="s">
        <v>383</v>
      </c>
      <c r="G529" t="s">
        <v>131</v>
      </c>
      <c r="H529" t="s">
        <v>89</v>
      </c>
      <c r="I529" t="s">
        <v>62</v>
      </c>
      <c r="J529" t="s">
        <v>71</v>
      </c>
      <c r="K529" t="s">
        <v>72</v>
      </c>
      <c r="L529" t="s">
        <v>73</v>
      </c>
      <c r="M529" t="s">
        <v>79</v>
      </c>
      <c r="N529" t="s">
        <v>384</v>
      </c>
      <c r="O529" t="s">
        <v>30</v>
      </c>
      <c r="P529">
        <v>9</v>
      </c>
      <c r="Q529">
        <v>269.68</v>
      </c>
      <c r="R529">
        <v>0</v>
      </c>
      <c r="S529" t="str">
        <f t="shared" si="82"/>
        <v>OK</v>
      </c>
      <c r="T529">
        <v>2427.12</v>
      </c>
      <c r="U529">
        <v>1538.35</v>
      </c>
      <c r="V529">
        <v>804.53</v>
      </c>
      <c r="W529" t="s">
        <v>31</v>
      </c>
      <c r="X529" t="s">
        <v>32</v>
      </c>
      <c r="Y529" t="str">
        <f>IF(COUNTIF($A$2:$A$901,A529)&gt;1,
  IF(COUNTIF($A$2:A529,A529)=1,
    " ORIGINAL",
    "CONFLICTING DUPLICATE - REVIEW"),
"OK")</f>
        <v>OK</v>
      </c>
      <c r="Z529">
        <f t="shared" si="83"/>
        <v>0</v>
      </c>
      <c r="AA529">
        <f t="shared" si="84"/>
        <v>2427.12</v>
      </c>
      <c r="AB529">
        <f t="shared" si="85"/>
        <v>888.77</v>
      </c>
      <c r="AC529">
        <f t="shared" si="86"/>
        <v>0.36620000000000003</v>
      </c>
      <c r="AD529">
        <f t="shared" si="87"/>
        <v>2</v>
      </c>
      <c r="AE529">
        <f t="shared" si="88"/>
        <v>2025</v>
      </c>
      <c r="AF529" t="str">
        <f t="shared" si="89"/>
        <v>CLEAN</v>
      </c>
    </row>
    <row r="530" spans="1:32">
      <c r="A530" t="s">
        <v>385</v>
      </c>
      <c r="B530" s="10">
        <v>45680</v>
      </c>
      <c r="C530" s="10">
        <v>45683</v>
      </c>
      <c r="D530">
        <f t="shared" si="80"/>
        <v>3</v>
      </c>
      <c r="E530" t="str">
        <f t="shared" si="81"/>
        <v>OK</v>
      </c>
      <c r="F530" t="s">
        <v>386</v>
      </c>
      <c r="G530" t="s">
        <v>127</v>
      </c>
      <c r="H530" t="s">
        <v>23</v>
      </c>
      <c r="I530" t="s">
        <v>62</v>
      </c>
      <c r="J530" t="s">
        <v>71</v>
      </c>
      <c r="K530" t="s">
        <v>72</v>
      </c>
      <c r="L530" t="s">
        <v>27</v>
      </c>
      <c r="M530" t="s">
        <v>28</v>
      </c>
      <c r="N530" t="s">
        <v>387</v>
      </c>
      <c r="O530" t="s">
        <v>58</v>
      </c>
      <c r="P530">
        <v>9</v>
      </c>
      <c r="Q530">
        <v>4458.26</v>
      </c>
      <c r="R530">
        <v>0.1</v>
      </c>
      <c r="S530" t="str">
        <f t="shared" si="82"/>
        <v>OK</v>
      </c>
      <c r="T530">
        <v>36111.910000000003</v>
      </c>
      <c r="U530">
        <v>29194.5</v>
      </c>
      <c r="V530">
        <v>6917.41</v>
      </c>
      <c r="W530" t="s">
        <v>31</v>
      </c>
      <c r="X530" t="s">
        <v>32</v>
      </c>
      <c r="Y530" t="str">
        <f>IF(COUNTIF($A$2:$A$901,A530)&gt;1,
  IF(COUNTIF($A$2:A530,A530)=1,
    " ORIGINAL",
    "CONFLICTING DUPLICATE - REVIEW"),
"OK")</f>
        <v>OK</v>
      </c>
      <c r="Z530">
        <f t="shared" si="83"/>
        <v>0.1</v>
      </c>
      <c r="AA530">
        <f t="shared" si="84"/>
        <v>36111.910000000003</v>
      </c>
      <c r="AB530">
        <f t="shared" si="85"/>
        <v>6917.41</v>
      </c>
      <c r="AC530">
        <f t="shared" si="86"/>
        <v>0.19159999999999999</v>
      </c>
      <c r="AD530">
        <f t="shared" si="87"/>
        <v>1</v>
      </c>
      <c r="AE530">
        <f t="shared" si="88"/>
        <v>2025</v>
      </c>
      <c r="AF530" t="str">
        <f t="shared" si="89"/>
        <v>CLEAN</v>
      </c>
    </row>
    <row r="531" spans="1:32">
      <c r="A531" t="s">
        <v>394</v>
      </c>
      <c r="B531" s="10">
        <v>45786</v>
      </c>
      <c r="C531" s="10">
        <v>45910</v>
      </c>
      <c r="D531">
        <f t="shared" si="80"/>
        <v>124</v>
      </c>
      <c r="E531" t="str">
        <f t="shared" si="81"/>
        <v>OK</v>
      </c>
      <c r="F531" t="s">
        <v>395</v>
      </c>
      <c r="G531" t="s">
        <v>131</v>
      </c>
      <c r="H531" t="s">
        <v>89</v>
      </c>
      <c r="I531" t="s">
        <v>62</v>
      </c>
      <c r="J531" t="s">
        <v>189</v>
      </c>
      <c r="K531" t="s">
        <v>190</v>
      </c>
      <c r="L531" t="s">
        <v>40</v>
      </c>
      <c r="M531" t="s">
        <v>157</v>
      </c>
      <c r="N531" t="s">
        <v>396</v>
      </c>
      <c r="O531" t="s">
        <v>43</v>
      </c>
      <c r="P531">
        <v>6</v>
      </c>
      <c r="Q531">
        <v>1754.13</v>
      </c>
      <c r="R531">
        <v>0</v>
      </c>
      <c r="S531" t="str">
        <f t="shared" si="82"/>
        <v>OK</v>
      </c>
      <c r="T531">
        <v>10524.78</v>
      </c>
      <c r="U531">
        <v>8841.0499999999993</v>
      </c>
      <c r="V531">
        <v>1683.73</v>
      </c>
      <c r="W531" t="s">
        <v>31</v>
      </c>
      <c r="X531" t="s">
        <v>32</v>
      </c>
      <c r="Y531" t="str">
        <f>IF(COUNTIF($A$2:$A$901,A531)&gt;1,
  IF(COUNTIF($A$2:A531,A531)=1,
    " ORIGINAL",
    "CONFLICTING DUPLICATE - REVIEW"),
"OK")</f>
        <v>OK</v>
      </c>
      <c r="Z531">
        <f t="shared" si="83"/>
        <v>0</v>
      </c>
      <c r="AA531">
        <f t="shared" si="84"/>
        <v>10524.78</v>
      </c>
      <c r="AB531">
        <f t="shared" si="85"/>
        <v>1683.73</v>
      </c>
      <c r="AC531">
        <f t="shared" si="86"/>
        <v>0.16</v>
      </c>
      <c r="AD531">
        <f t="shared" si="87"/>
        <v>5</v>
      </c>
      <c r="AE531">
        <f t="shared" si="88"/>
        <v>2025</v>
      </c>
      <c r="AF531" t="str">
        <f t="shared" si="89"/>
        <v>CLEAN</v>
      </c>
    </row>
    <row r="532" spans="1:32">
      <c r="A532" t="s">
        <v>400</v>
      </c>
      <c r="B532" s="10">
        <v>45877</v>
      </c>
      <c r="C532" s="10">
        <v>45880</v>
      </c>
      <c r="D532">
        <f t="shared" si="80"/>
        <v>3</v>
      </c>
      <c r="E532" t="str">
        <f t="shared" si="81"/>
        <v>OK</v>
      </c>
      <c r="F532" t="s">
        <v>401</v>
      </c>
      <c r="G532" t="s">
        <v>161</v>
      </c>
      <c r="H532" t="s">
        <v>36</v>
      </c>
      <c r="I532" t="s">
        <v>62</v>
      </c>
      <c r="J532" t="s">
        <v>179</v>
      </c>
      <c r="K532" t="s">
        <v>180</v>
      </c>
      <c r="L532" t="s">
        <v>27</v>
      </c>
      <c r="M532" t="s">
        <v>123</v>
      </c>
      <c r="N532" t="s">
        <v>402</v>
      </c>
      <c r="O532" t="s">
        <v>43</v>
      </c>
      <c r="P532">
        <v>5</v>
      </c>
      <c r="Q532">
        <v>3602.36</v>
      </c>
      <c r="R532">
        <v>0.2</v>
      </c>
      <c r="S532" t="str">
        <f t="shared" si="82"/>
        <v>OK</v>
      </c>
      <c r="T532">
        <v>14409.44</v>
      </c>
      <c r="U532">
        <v>8809.9699999999993</v>
      </c>
      <c r="V532">
        <v>5599.47</v>
      </c>
      <c r="W532" t="s">
        <v>110</v>
      </c>
      <c r="X532" t="s">
        <v>102</v>
      </c>
      <c r="Y532" t="str">
        <f>IF(COUNTIF($A$2:$A$901,A532)&gt;1,
  IF(COUNTIF($A$2:A532,A532)=1,
    " ORIGINAL",
    "CONFLICTING DUPLICATE - REVIEW"),
"OK")</f>
        <v>OK</v>
      </c>
      <c r="Z532">
        <f t="shared" si="83"/>
        <v>0.2</v>
      </c>
      <c r="AA532">
        <f t="shared" si="84"/>
        <v>14409.44</v>
      </c>
      <c r="AB532">
        <f t="shared" si="85"/>
        <v>5599.47</v>
      </c>
      <c r="AC532">
        <f t="shared" si="86"/>
        <v>0.3886</v>
      </c>
      <c r="AD532">
        <f t="shared" si="87"/>
        <v>8</v>
      </c>
      <c r="AE532">
        <f t="shared" si="88"/>
        <v>2025</v>
      </c>
      <c r="AF532" t="str">
        <f t="shared" si="89"/>
        <v>CLEAN</v>
      </c>
    </row>
    <row r="533" spans="1:32">
      <c r="A533" t="s">
        <v>406</v>
      </c>
      <c r="B533" s="10">
        <v>45962</v>
      </c>
      <c r="C533" s="10">
        <v>45962</v>
      </c>
      <c r="D533">
        <f t="shared" si="80"/>
        <v>0</v>
      </c>
      <c r="E533" t="str">
        <f t="shared" si="81"/>
        <v>OK</v>
      </c>
      <c r="F533" t="s">
        <v>407</v>
      </c>
      <c r="G533" t="s">
        <v>88</v>
      </c>
      <c r="H533" t="s">
        <v>36</v>
      </c>
      <c r="I533" t="s">
        <v>62</v>
      </c>
      <c r="J533" t="s">
        <v>25</v>
      </c>
      <c r="K533" t="s">
        <v>108</v>
      </c>
      <c r="L533" t="s">
        <v>73</v>
      </c>
      <c r="M533" t="s">
        <v>74</v>
      </c>
      <c r="N533" t="s">
        <v>408</v>
      </c>
      <c r="O533" t="s">
        <v>43</v>
      </c>
      <c r="P533">
        <v>3</v>
      </c>
      <c r="Q533">
        <v>2165.29</v>
      </c>
      <c r="R533">
        <v>0</v>
      </c>
      <c r="S533" t="str">
        <f t="shared" si="82"/>
        <v>OK</v>
      </c>
      <c r="T533">
        <v>6495.87</v>
      </c>
      <c r="U533">
        <v>4700.8900000000003</v>
      </c>
      <c r="V533">
        <v>1794.98</v>
      </c>
      <c r="W533" t="s">
        <v>31</v>
      </c>
      <c r="X533" t="s">
        <v>32</v>
      </c>
      <c r="Y533" t="str">
        <f>IF(COUNTIF($A$2:$A$901,A533)&gt;1,
  IF(COUNTIF($A$2:A533,A533)=1,
    " ORIGINAL",
    "CONFLICTING DUPLICATE - REVIEW"),
"OK")</f>
        <v>OK</v>
      </c>
      <c r="Z533">
        <f t="shared" si="83"/>
        <v>0</v>
      </c>
      <c r="AA533">
        <f t="shared" si="84"/>
        <v>6495.87</v>
      </c>
      <c r="AB533">
        <f t="shared" si="85"/>
        <v>1794.98</v>
      </c>
      <c r="AC533">
        <f t="shared" si="86"/>
        <v>0.27629999999999999</v>
      </c>
      <c r="AD533">
        <f t="shared" si="87"/>
        <v>11</v>
      </c>
      <c r="AE533">
        <f t="shared" si="88"/>
        <v>2025</v>
      </c>
      <c r="AF533" t="str">
        <f t="shared" si="89"/>
        <v>CLEAN</v>
      </c>
    </row>
    <row r="534" spans="1:32">
      <c r="A534" t="s">
        <v>409</v>
      </c>
      <c r="B534" s="10">
        <v>45912</v>
      </c>
      <c r="C534" s="10">
        <v>45918</v>
      </c>
      <c r="D534">
        <f t="shared" si="80"/>
        <v>6</v>
      </c>
      <c r="E534" t="str">
        <f t="shared" si="81"/>
        <v>OK</v>
      </c>
      <c r="F534" t="s">
        <v>410</v>
      </c>
      <c r="G534" t="s">
        <v>127</v>
      </c>
      <c r="H534" t="s">
        <v>94</v>
      </c>
      <c r="I534" t="s">
        <v>53</v>
      </c>
      <c r="J534" t="s">
        <v>184</v>
      </c>
      <c r="K534" t="s">
        <v>185</v>
      </c>
      <c r="L534" t="s">
        <v>27</v>
      </c>
      <c r="M534" t="s">
        <v>123</v>
      </c>
      <c r="N534" t="s">
        <v>411</v>
      </c>
      <c r="O534" t="s">
        <v>58</v>
      </c>
      <c r="P534">
        <v>6</v>
      </c>
      <c r="Q534">
        <v>1673.8</v>
      </c>
      <c r="R534">
        <v>0.05</v>
      </c>
      <c r="S534" t="str">
        <f t="shared" si="82"/>
        <v>OK</v>
      </c>
      <c r="T534">
        <v>9540.66</v>
      </c>
      <c r="U534">
        <v>5561.49</v>
      </c>
      <c r="V534">
        <v>3979.17</v>
      </c>
      <c r="W534" t="s">
        <v>31</v>
      </c>
      <c r="X534" t="s">
        <v>32</v>
      </c>
      <c r="Y534" t="str">
        <f>IF(COUNTIF($A$2:$A$901,A534)&gt;1,
  IF(COUNTIF($A$2:A534,A534)=1,
    " ORIGINAL",
    "CONFLICTING DUPLICATE - REVIEW"),
"OK")</f>
        <v>OK</v>
      </c>
      <c r="Z534">
        <f t="shared" si="83"/>
        <v>0.05</v>
      </c>
      <c r="AA534">
        <f t="shared" si="84"/>
        <v>9540.66</v>
      </c>
      <c r="AB534">
        <f t="shared" si="85"/>
        <v>3979.17</v>
      </c>
      <c r="AC534">
        <f t="shared" si="86"/>
        <v>0.41710000000000003</v>
      </c>
      <c r="AD534">
        <f t="shared" si="87"/>
        <v>9</v>
      </c>
      <c r="AE534">
        <f t="shared" si="88"/>
        <v>2025</v>
      </c>
      <c r="AF534" t="str">
        <f t="shared" si="89"/>
        <v>CLEAN</v>
      </c>
    </row>
    <row r="535" spans="1:32">
      <c r="A535" t="s">
        <v>415</v>
      </c>
      <c r="B535" s="10">
        <v>45850</v>
      </c>
      <c r="C535" s="10">
        <v>45854</v>
      </c>
      <c r="D535">
        <f t="shared" si="80"/>
        <v>4</v>
      </c>
      <c r="E535" t="str">
        <f t="shared" si="81"/>
        <v>OK</v>
      </c>
      <c r="F535" t="s">
        <v>416</v>
      </c>
      <c r="G535" t="s">
        <v>70</v>
      </c>
      <c r="H535" t="s">
        <v>23</v>
      </c>
      <c r="I535" t="s">
        <v>53</v>
      </c>
      <c r="J535" t="s">
        <v>174</v>
      </c>
      <c r="K535" t="s">
        <v>175</v>
      </c>
      <c r="L535" t="s">
        <v>40</v>
      </c>
      <c r="M535" t="s">
        <v>65</v>
      </c>
      <c r="N535" t="s">
        <v>417</v>
      </c>
      <c r="O535" t="s">
        <v>49</v>
      </c>
      <c r="P535">
        <v>4</v>
      </c>
      <c r="Q535">
        <v>2865.71</v>
      </c>
      <c r="R535">
        <v>0</v>
      </c>
      <c r="S535" t="str">
        <f t="shared" si="82"/>
        <v>OK</v>
      </c>
      <c r="T535">
        <v>11462.84</v>
      </c>
      <c r="U535">
        <v>8979.7800000000007</v>
      </c>
      <c r="V535">
        <v>2483.06</v>
      </c>
      <c r="W535" t="s">
        <v>101</v>
      </c>
      <c r="X535" t="s">
        <v>67</v>
      </c>
      <c r="Y535" t="str">
        <f>IF(COUNTIF($A$2:$A$901,A535)&gt;1,
  IF(COUNTIF($A$2:A535,A535)=1,
    " ORIGINAL",
    "CONFLICTING DUPLICATE - REVIEW"),
"OK")</f>
        <v>OK</v>
      </c>
      <c r="Z535">
        <f t="shared" si="83"/>
        <v>0</v>
      </c>
      <c r="AA535">
        <f t="shared" si="84"/>
        <v>11462.84</v>
      </c>
      <c r="AB535">
        <f t="shared" si="85"/>
        <v>2483.06</v>
      </c>
      <c r="AC535">
        <f t="shared" si="86"/>
        <v>0.21659999999999999</v>
      </c>
      <c r="AD535">
        <f t="shared" si="87"/>
        <v>7</v>
      </c>
      <c r="AE535">
        <f t="shared" si="88"/>
        <v>2025</v>
      </c>
      <c r="AF535" t="str">
        <f t="shared" si="89"/>
        <v>CLEAN</v>
      </c>
    </row>
    <row r="536" spans="1:32">
      <c r="A536" t="s">
        <v>418</v>
      </c>
      <c r="B536" s="10">
        <v>45779</v>
      </c>
      <c r="C536" s="10">
        <v>45787</v>
      </c>
      <c r="D536">
        <f t="shared" si="80"/>
        <v>8</v>
      </c>
      <c r="E536" t="str">
        <f t="shared" si="81"/>
        <v>OK</v>
      </c>
      <c r="F536" t="s">
        <v>419</v>
      </c>
      <c r="G536" t="s">
        <v>263</v>
      </c>
      <c r="H536" t="s">
        <v>89</v>
      </c>
      <c r="I536" t="s">
        <v>62</v>
      </c>
      <c r="J536" t="s">
        <v>63</v>
      </c>
      <c r="K536" t="s">
        <v>64</v>
      </c>
      <c r="L536" t="s">
        <v>40</v>
      </c>
      <c r="M536" t="s">
        <v>41</v>
      </c>
      <c r="N536" t="s">
        <v>420</v>
      </c>
      <c r="O536" t="s">
        <v>49</v>
      </c>
      <c r="P536">
        <v>4</v>
      </c>
      <c r="Q536">
        <v>2440.34</v>
      </c>
      <c r="R536">
        <v>0.2</v>
      </c>
      <c r="S536" t="str">
        <f t="shared" si="82"/>
        <v>OK</v>
      </c>
      <c r="T536">
        <v>7809.09</v>
      </c>
      <c r="U536">
        <v>6657.75</v>
      </c>
      <c r="V536">
        <v>1151.3399999999999</v>
      </c>
      <c r="W536" t="s">
        <v>31</v>
      </c>
      <c r="X536" t="s">
        <v>32</v>
      </c>
      <c r="Y536" t="str">
        <f>IF(COUNTIF($A$2:$A$901,A536)&gt;1,
  IF(COUNTIF($A$2:A536,A536)=1,
    " ORIGINAL",
    "CONFLICTING DUPLICATE - REVIEW"),
"OK")</f>
        <v>OK</v>
      </c>
      <c r="Z536">
        <f t="shared" si="83"/>
        <v>0.2</v>
      </c>
      <c r="AA536">
        <f t="shared" si="84"/>
        <v>7809.09</v>
      </c>
      <c r="AB536">
        <f t="shared" si="85"/>
        <v>1151.3399999999999</v>
      </c>
      <c r="AC536">
        <f t="shared" si="86"/>
        <v>0.1474</v>
      </c>
      <c r="AD536">
        <f t="shared" si="87"/>
        <v>5</v>
      </c>
      <c r="AE536">
        <f t="shared" si="88"/>
        <v>2025</v>
      </c>
      <c r="AF536" t="str">
        <f t="shared" si="89"/>
        <v>CLEAN</v>
      </c>
    </row>
    <row r="537" spans="1:32">
      <c r="A537" t="s">
        <v>421</v>
      </c>
      <c r="B537" s="10">
        <v>45689</v>
      </c>
      <c r="C537" s="10">
        <v>45696</v>
      </c>
      <c r="D537">
        <f t="shared" si="80"/>
        <v>7</v>
      </c>
      <c r="E537" t="str">
        <f t="shared" si="81"/>
        <v>OK</v>
      </c>
      <c r="F537" t="s">
        <v>422</v>
      </c>
      <c r="G537" t="s">
        <v>61</v>
      </c>
      <c r="H537" t="s">
        <v>23</v>
      </c>
      <c r="I537" t="s">
        <v>53</v>
      </c>
      <c r="J537" t="s">
        <v>174</v>
      </c>
      <c r="K537" t="s">
        <v>175</v>
      </c>
      <c r="L537" t="s">
        <v>27</v>
      </c>
      <c r="M537" t="s">
        <v>90</v>
      </c>
      <c r="N537" t="s">
        <v>423</v>
      </c>
      <c r="O537" t="s">
        <v>43</v>
      </c>
      <c r="P537">
        <v>5</v>
      </c>
      <c r="Q537">
        <v>2112.54</v>
      </c>
      <c r="R537">
        <v>0.25</v>
      </c>
      <c r="S537" t="str">
        <f t="shared" si="82"/>
        <v>OK</v>
      </c>
      <c r="T537">
        <v>8260.4599999999991</v>
      </c>
      <c r="U537">
        <v>5619.95</v>
      </c>
      <c r="V537">
        <v>2302.08</v>
      </c>
      <c r="W537" t="s">
        <v>31</v>
      </c>
      <c r="X537" t="s">
        <v>67</v>
      </c>
      <c r="Y537" t="str">
        <f>IF(COUNTIF($A$2:$A$901,A537)&gt;1,
  IF(COUNTIF($A$2:A537,A537)=1,
    " ORIGINAL",
    "CONFLICTING DUPLICATE - REVIEW"),
"OK")</f>
        <v>OK</v>
      </c>
      <c r="Z537">
        <f t="shared" si="83"/>
        <v>0.25</v>
      </c>
      <c r="AA537">
        <f t="shared" si="84"/>
        <v>7922.03</v>
      </c>
      <c r="AB537">
        <f t="shared" si="85"/>
        <v>2302.08</v>
      </c>
      <c r="AC537">
        <f t="shared" si="86"/>
        <v>0.29060000000000002</v>
      </c>
      <c r="AD537">
        <f t="shared" si="87"/>
        <v>2</v>
      </c>
      <c r="AE537">
        <f t="shared" si="88"/>
        <v>2025</v>
      </c>
      <c r="AF537" t="str">
        <f t="shared" si="89"/>
        <v>CLEAN</v>
      </c>
    </row>
    <row r="538" spans="1:32">
      <c r="A538" t="s">
        <v>436</v>
      </c>
      <c r="B538" s="10">
        <v>45892</v>
      </c>
      <c r="C538" s="10">
        <v>45896</v>
      </c>
      <c r="D538">
        <f t="shared" si="80"/>
        <v>4</v>
      </c>
      <c r="E538" t="str">
        <f t="shared" si="81"/>
        <v>OK</v>
      </c>
      <c r="F538" t="s">
        <v>437</v>
      </c>
      <c r="G538" t="s">
        <v>131</v>
      </c>
      <c r="H538" t="s">
        <v>23</v>
      </c>
      <c r="I538" t="s">
        <v>24</v>
      </c>
      <c r="J538" t="s">
        <v>349</v>
      </c>
      <c r="K538" t="s">
        <v>350</v>
      </c>
      <c r="L538" t="s">
        <v>27</v>
      </c>
      <c r="M538" t="s">
        <v>152</v>
      </c>
      <c r="N538" t="s">
        <v>438</v>
      </c>
      <c r="O538" t="s">
        <v>30</v>
      </c>
      <c r="P538">
        <v>1</v>
      </c>
      <c r="Q538">
        <v>2788.62</v>
      </c>
      <c r="R538">
        <v>0.25</v>
      </c>
      <c r="S538" t="str">
        <f t="shared" si="82"/>
        <v>OK</v>
      </c>
      <c r="T538">
        <v>2091.4699999999998</v>
      </c>
      <c r="U538">
        <v>1317.22</v>
      </c>
      <c r="V538">
        <v>774.25</v>
      </c>
      <c r="W538" t="s">
        <v>31</v>
      </c>
      <c r="X538" t="s">
        <v>32</v>
      </c>
      <c r="Y538" t="str">
        <f>IF(COUNTIF($A$2:$A$901,A538)&gt;1,
  IF(COUNTIF($A$2:A538,A538)=1,
    " ORIGINAL",
    "CONFLICTING DUPLICATE - REVIEW"),
"OK")</f>
        <v>OK</v>
      </c>
      <c r="Z538">
        <f t="shared" si="83"/>
        <v>0.25</v>
      </c>
      <c r="AA538">
        <f t="shared" si="84"/>
        <v>2091.4699999999998</v>
      </c>
      <c r="AB538">
        <f t="shared" si="85"/>
        <v>774.25</v>
      </c>
      <c r="AC538">
        <f t="shared" si="86"/>
        <v>0.37019999999999997</v>
      </c>
      <c r="AD538">
        <f t="shared" si="87"/>
        <v>8</v>
      </c>
      <c r="AE538">
        <f t="shared" si="88"/>
        <v>2025</v>
      </c>
      <c r="AF538" t="str">
        <f t="shared" si="89"/>
        <v>CLEAN</v>
      </c>
    </row>
    <row r="539" spans="1:32">
      <c r="A539" t="s">
        <v>442</v>
      </c>
      <c r="B539" s="10">
        <v>45835</v>
      </c>
      <c r="C539" s="10">
        <v>45838</v>
      </c>
      <c r="D539">
        <f t="shared" si="80"/>
        <v>3</v>
      </c>
      <c r="E539" t="str">
        <f t="shared" si="81"/>
        <v>OK</v>
      </c>
      <c r="F539" t="s">
        <v>443</v>
      </c>
      <c r="G539" t="s">
        <v>78</v>
      </c>
      <c r="H539" t="s">
        <v>89</v>
      </c>
      <c r="I539" t="s">
        <v>37</v>
      </c>
      <c r="J539" t="s">
        <v>144</v>
      </c>
      <c r="K539" t="s">
        <v>145</v>
      </c>
      <c r="L539" t="s">
        <v>73</v>
      </c>
      <c r="M539" t="s">
        <v>74</v>
      </c>
      <c r="N539" t="s">
        <v>444</v>
      </c>
      <c r="O539" t="s">
        <v>49</v>
      </c>
      <c r="P539">
        <v>1</v>
      </c>
      <c r="Q539">
        <v>1708.44</v>
      </c>
      <c r="R539">
        <v>0.05</v>
      </c>
      <c r="S539" t="str">
        <f t="shared" si="82"/>
        <v>OK</v>
      </c>
      <c r="T539">
        <v>1623.02</v>
      </c>
      <c r="U539">
        <v>1077.46</v>
      </c>
      <c r="V539">
        <v>545.55999999999995</v>
      </c>
      <c r="W539" t="s">
        <v>110</v>
      </c>
      <c r="X539" t="s">
        <v>67</v>
      </c>
      <c r="Y539" t="str">
        <f>IF(COUNTIF($A$2:$A$901,A539)&gt;1,
  IF(COUNTIF($A$2:A539,A539)=1,
    " ORIGINAL",
    "CONFLICTING DUPLICATE - REVIEW"),
"OK")</f>
        <v>OK</v>
      </c>
      <c r="Z539">
        <f t="shared" si="83"/>
        <v>0.05</v>
      </c>
      <c r="AA539">
        <f t="shared" si="84"/>
        <v>1623.02</v>
      </c>
      <c r="AB539">
        <f t="shared" si="85"/>
        <v>545.55999999999995</v>
      </c>
      <c r="AC539">
        <f t="shared" si="86"/>
        <v>0.33610000000000001</v>
      </c>
      <c r="AD539">
        <f t="shared" si="87"/>
        <v>6</v>
      </c>
      <c r="AE539">
        <f t="shared" si="88"/>
        <v>2025</v>
      </c>
      <c r="AF539" t="str">
        <f t="shared" si="89"/>
        <v>CLEAN</v>
      </c>
    </row>
    <row r="540" spans="1:32">
      <c r="A540" t="s">
        <v>456</v>
      </c>
      <c r="B540" s="10">
        <v>45703</v>
      </c>
      <c r="C540" s="10">
        <v>45707</v>
      </c>
      <c r="D540">
        <f t="shared" si="80"/>
        <v>4</v>
      </c>
      <c r="E540" t="str">
        <f t="shared" si="81"/>
        <v>OK</v>
      </c>
      <c r="F540" t="s">
        <v>457</v>
      </c>
      <c r="G540" t="s">
        <v>61</v>
      </c>
      <c r="H540" t="s">
        <v>36</v>
      </c>
      <c r="I540" t="s">
        <v>2762</v>
      </c>
      <c r="J540" t="s">
        <v>71</v>
      </c>
      <c r="K540" t="s">
        <v>72</v>
      </c>
      <c r="L540" t="s">
        <v>27</v>
      </c>
      <c r="M540" t="s">
        <v>152</v>
      </c>
      <c r="N540" t="s">
        <v>458</v>
      </c>
      <c r="O540" t="s">
        <v>49</v>
      </c>
      <c r="P540">
        <v>9</v>
      </c>
      <c r="Q540">
        <v>531.99</v>
      </c>
      <c r="R540">
        <v>0.25</v>
      </c>
      <c r="S540" t="str">
        <f t="shared" si="82"/>
        <v>OK</v>
      </c>
      <c r="T540">
        <v>3590.93</v>
      </c>
      <c r="U540">
        <v>3061.39</v>
      </c>
      <c r="V540">
        <v>529.54</v>
      </c>
      <c r="W540" t="s">
        <v>154</v>
      </c>
      <c r="X540" t="s">
        <v>67</v>
      </c>
      <c r="Y540" t="str">
        <f>IF(COUNTIF($A$2:$A$901,A540)&gt;1,
  IF(COUNTIF($A$2:A540,A540)=1,
    " ORIGINAL",
    "CONFLICTING DUPLICATE - REVIEW"),
"OK")</f>
        <v>OK</v>
      </c>
      <c r="Z540">
        <f t="shared" si="83"/>
        <v>0.25</v>
      </c>
      <c r="AA540">
        <f t="shared" si="84"/>
        <v>3590.93</v>
      </c>
      <c r="AB540">
        <f t="shared" si="85"/>
        <v>529.54</v>
      </c>
      <c r="AC540">
        <f t="shared" si="86"/>
        <v>0.14749999999999999</v>
      </c>
      <c r="AD540">
        <f t="shared" si="87"/>
        <v>2</v>
      </c>
      <c r="AE540">
        <f t="shared" si="88"/>
        <v>2025</v>
      </c>
      <c r="AF540" t="str">
        <f t="shared" si="89"/>
        <v>INVALID</v>
      </c>
    </row>
    <row r="541" spans="1:32">
      <c r="A541" t="s">
        <v>472</v>
      </c>
      <c r="B541" s="10">
        <v>45891</v>
      </c>
      <c r="C541" s="10">
        <v>45895</v>
      </c>
      <c r="D541">
        <f t="shared" si="80"/>
        <v>4</v>
      </c>
      <c r="E541" t="str">
        <f t="shared" si="81"/>
        <v>OK</v>
      </c>
      <c r="F541" t="s">
        <v>473</v>
      </c>
      <c r="G541" t="s">
        <v>263</v>
      </c>
      <c r="H541" t="s">
        <v>36</v>
      </c>
      <c r="I541" t="s">
        <v>53</v>
      </c>
      <c r="J541" t="s">
        <v>83</v>
      </c>
      <c r="K541" t="s">
        <v>84</v>
      </c>
      <c r="L541" t="s">
        <v>73</v>
      </c>
      <c r="M541" t="s">
        <v>273</v>
      </c>
      <c r="N541" t="s">
        <v>474</v>
      </c>
      <c r="O541" t="s">
        <v>30</v>
      </c>
      <c r="P541">
        <v>5</v>
      </c>
      <c r="Q541">
        <v>3482.92</v>
      </c>
      <c r="R541">
        <v>0</v>
      </c>
      <c r="S541" t="str">
        <f t="shared" si="82"/>
        <v>OK</v>
      </c>
      <c r="T541">
        <v>17414.599999999999</v>
      </c>
      <c r="U541">
        <v>11760.91</v>
      </c>
      <c r="V541">
        <v>5653.69</v>
      </c>
      <c r="W541" t="s">
        <v>101</v>
      </c>
      <c r="X541" t="s">
        <v>67</v>
      </c>
      <c r="Y541" t="str">
        <f>IF(COUNTIF($A$2:$A$901,A541)&gt;1,
  IF(COUNTIF($A$2:A541,A541)=1,
    " ORIGINAL",
    "CONFLICTING DUPLICATE - REVIEW"),
"OK")</f>
        <v>OK</v>
      </c>
      <c r="Z541">
        <f t="shared" si="83"/>
        <v>0</v>
      </c>
      <c r="AA541">
        <f t="shared" si="84"/>
        <v>17414.599999999999</v>
      </c>
      <c r="AB541">
        <f t="shared" si="85"/>
        <v>5653.69</v>
      </c>
      <c r="AC541">
        <f t="shared" si="86"/>
        <v>0.32469999999999999</v>
      </c>
      <c r="AD541">
        <f t="shared" si="87"/>
        <v>8</v>
      </c>
      <c r="AE541">
        <f t="shared" si="88"/>
        <v>2025</v>
      </c>
      <c r="AF541" t="str">
        <f t="shared" si="89"/>
        <v>CLEAN</v>
      </c>
    </row>
    <row r="542" spans="1:32">
      <c r="A542" t="s">
        <v>484</v>
      </c>
      <c r="B542" s="10">
        <v>45855</v>
      </c>
      <c r="C542" s="10">
        <v>45856</v>
      </c>
      <c r="D542">
        <f t="shared" si="80"/>
        <v>1</v>
      </c>
      <c r="E542" t="str">
        <f t="shared" si="81"/>
        <v>OK</v>
      </c>
      <c r="F542" t="s">
        <v>485</v>
      </c>
      <c r="G542" t="s">
        <v>78</v>
      </c>
      <c r="H542" t="s">
        <v>36</v>
      </c>
      <c r="I542" t="s">
        <v>62</v>
      </c>
      <c r="J542" t="s">
        <v>25</v>
      </c>
      <c r="K542" t="s">
        <v>108</v>
      </c>
      <c r="L542" t="s">
        <v>40</v>
      </c>
      <c r="M542" t="s">
        <v>41</v>
      </c>
      <c r="N542" t="s">
        <v>486</v>
      </c>
      <c r="O542" t="s">
        <v>43</v>
      </c>
      <c r="P542">
        <v>6</v>
      </c>
      <c r="Q542">
        <v>3235.27</v>
      </c>
      <c r="R542">
        <v>0.25</v>
      </c>
      <c r="S542" t="str">
        <f t="shared" si="82"/>
        <v>OK</v>
      </c>
      <c r="T542">
        <v>14558.72</v>
      </c>
      <c r="U542">
        <v>9591.48</v>
      </c>
      <c r="V542">
        <v>4967.24</v>
      </c>
      <c r="W542" t="s">
        <v>101</v>
      </c>
      <c r="X542" t="s">
        <v>102</v>
      </c>
      <c r="Y542" t="str">
        <f>IF(COUNTIF($A$2:$A$901,A542)&gt;1,
  IF(COUNTIF($A$2:A542,A542)=1,
    " ORIGINAL",
    "CONFLICTING DUPLICATE - REVIEW"),
"OK")</f>
        <v>OK</v>
      </c>
      <c r="Z542">
        <f t="shared" si="83"/>
        <v>0.25</v>
      </c>
      <c r="AA542">
        <f t="shared" si="84"/>
        <v>14558.72</v>
      </c>
      <c r="AB542">
        <f t="shared" si="85"/>
        <v>4967.24</v>
      </c>
      <c r="AC542">
        <f t="shared" si="86"/>
        <v>0.3412</v>
      </c>
      <c r="AD542">
        <f t="shared" si="87"/>
        <v>7</v>
      </c>
      <c r="AE542">
        <f t="shared" si="88"/>
        <v>2025</v>
      </c>
      <c r="AF542" t="str">
        <f t="shared" si="89"/>
        <v>CLEAN</v>
      </c>
    </row>
    <row r="543" spans="1:32">
      <c r="A543" t="s">
        <v>487</v>
      </c>
      <c r="B543" s="10">
        <v>45924</v>
      </c>
      <c r="C543" s="10">
        <v>45926</v>
      </c>
      <c r="D543">
        <f t="shared" si="80"/>
        <v>2</v>
      </c>
      <c r="E543" t="str">
        <f t="shared" si="81"/>
        <v>OK</v>
      </c>
      <c r="F543" t="s">
        <v>488</v>
      </c>
      <c r="G543" t="s">
        <v>113</v>
      </c>
      <c r="H543" t="s">
        <v>89</v>
      </c>
      <c r="I543" t="s">
        <v>24</v>
      </c>
      <c r="J543" t="s">
        <v>349</v>
      </c>
      <c r="K543" t="s">
        <v>350</v>
      </c>
      <c r="L543" t="s">
        <v>73</v>
      </c>
      <c r="M543" t="s">
        <v>79</v>
      </c>
      <c r="N543" t="s">
        <v>489</v>
      </c>
      <c r="O543" t="s">
        <v>58</v>
      </c>
      <c r="P543">
        <v>3</v>
      </c>
      <c r="Q543">
        <v>1593.86</v>
      </c>
      <c r="R543">
        <v>0.1</v>
      </c>
      <c r="S543" t="str">
        <f t="shared" si="82"/>
        <v>OK</v>
      </c>
      <c r="T543">
        <v>4303.42</v>
      </c>
      <c r="U543">
        <v>2568.5700000000002</v>
      </c>
      <c r="V543">
        <v>1734.85</v>
      </c>
      <c r="W543" t="s">
        <v>31</v>
      </c>
      <c r="X543" t="s">
        <v>32</v>
      </c>
      <c r="Y543" t="str">
        <f>IF(COUNTIF($A$2:$A$901,A543)&gt;1,
  IF(COUNTIF($A$2:A543,A543)=1,
    " ORIGINAL",
    "CONFLICTING DUPLICATE - REVIEW"),
"OK")</f>
        <v>OK</v>
      </c>
      <c r="Z543">
        <f t="shared" si="83"/>
        <v>0.1</v>
      </c>
      <c r="AA543">
        <f t="shared" si="84"/>
        <v>4303.42</v>
      </c>
      <c r="AB543">
        <f t="shared" si="85"/>
        <v>1734.85</v>
      </c>
      <c r="AC543">
        <f t="shared" si="86"/>
        <v>0.40310000000000001</v>
      </c>
      <c r="AD543">
        <f t="shared" si="87"/>
        <v>9</v>
      </c>
      <c r="AE543">
        <f t="shared" si="88"/>
        <v>2025</v>
      </c>
      <c r="AF543" t="str">
        <f t="shared" si="89"/>
        <v>CLEAN</v>
      </c>
    </row>
    <row r="544" spans="1:32">
      <c r="A544" t="s">
        <v>490</v>
      </c>
      <c r="B544" s="10">
        <v>45687</v>
      </c>
      <c r="C544" s="10">
        <v>45683</v>
      </c>
      <c r="D544">
        <f t="shared" si="80"/>
        <v>-4</v>
      </c>
      <c r="E544" t="str">
        <f t="shared" si="81"/>
        <v>INVALID</v>
      </c>
      <c r="F544" t="s">
        <v>491</v>
      </c>
      <c r="G544" t="s">
        <v>113</v>
      </c>
      <c r="H544" t="s">
        <v>89</v>
      </c>
      <c r="I544" t="s">
        <v>62</v>
      </c>
      <c r="J544" t="s">
        <v>71</v>
      </c>
      <c r="K544" t="s">
        <v>72</v>
      </c>
      <c r="L544" t="s">
        <v>27</v>
      </c>
      <c r="M544" t="s">
        <v>123</v>
      </c>
      <c r="N544" t="s">
        <v>492</v>
      </c>
      <c r="O544" t="s">
        <v>30</v>
      </c>
      <c r="P544">
        <v>2</v>
      </c>
      <c r="Q544">
        <v>3039.3</v>
      </c>
      <c r="R544">
        <v>0.05</v>
      </c>
      <c r="S544" t="str">
        <f t="shared" si="82"/>
        <v>OK</v>
      </c>
      <c r="T544">
        <v>5774.67</v>
      </c>
      <c r="U544">
        <v>3518.36</v>
      </c>
      <c r="V544">
        <v>2256.31</v>
      </c>
      <c r="W544" t="s">
        <v>31</v>
      </c>
      <c r="X544" t="s">
        <v>32</v>
      </c>
      <c r="Y544" t="str">
        <f>IF(COUNTIF($A$2:$A$901,A544)&gt;1,
  IF(COUNTIF($A$2:A544,A544)=1,
    " ORIGINAL",
    "CONFLICTING DUPLICATE - REVIEW"),
"OK")</f>
        <v>OK</v>
      </c>
      <c r="Z544">
        <f t="shared" si="83"/>
        <v>0.05</v>
      </c>
      <c r="AA544">
        <f t="shared" si="84"/>
        <v>5774.67</v>
      </c>
      <c r="AB544">
        <f t="shared" si="85"/>
        <v>2256.31</v>
      </c>
      <c r="AC544">
        <f t="shared" si="86"/>
        <v>0.39069999999999999</v>
      </c>
      <c r="AD544">
        <f t="shared" si="87"/>
        <v>1</v>
      </c>
      <c r="AE544">
        <f t="shared" si="88"/>
        <v>2025</v>
      </c>
      <c r="AF544" t="str">
        <f t="shared" si="89"/>
        <v>INVALID</v>
      </c>
    </row>
    <row r="545" spans="1:32">
      <c r="A545" t="s">
        <v>502</v>
      </c>
      <c r="B545" s="10">
        <v>45929</v>
      </c>
      <c r="C545" s="10">
        <v>45934</v>
      </c>
      <c r="D545">
        <f t="shared" si="80"/>
        <v>5</v>
      </c>
      <c r="E545" t="str">
        <f t="shared" si="81"/>
        <v>OK</v>
      </c>
      <c r="F545" t="s">
        <v>503</v>
      </c>
      <c r="G545" t="s">
        <v>61</v>
      </c>
      <c r="H545" t="s">
        <v>94</v>
      </c>
      <c r="I545" t="s">
        <v>37</v>
      </c>
      <c r="J545" t="s">
        <v>227</v>
      </c>
      <c r="K545" t="s">
        <v>228</v>
      </c>
      <c r="L545" t="s">
        <v>27</v>
      </c>
      <c r="M545" t="s">
        <v>28</v>
      </c>
      <c r="N545" t="s">
        <v>504</v>
      </c>
      <c r="O545" t="s">
        <v>43</v>
      </c>
      <c r="P545">
        <v>9</v>
      </c>
      <c r="Q545">
        <v>373.91</v>
      </c>
      <c r="R545">
        <v>0.2</v>
      </c>
      <c r="S545" t="str">
        <f t="shared" si="82"/>
        <v>OK</v>
      </c>
      <c r="T545">
        <v>2692.15</v>
      </c>
      <c r="U545">
        <v>2044.49</v>
      </c>
      <c r="V545">
        <v>647.66</v>
      </c>
      <c r="W545" t="s">
        <v>31</v>
      </c>
      <c r="X545" t="s">
        <v>32</v>
      </c>
      <c r="Y545" t="str">
        <f>IF(COUNTIF($A$2:$A$901,A545)&gt;1,
  IF(COUNTIF($A$2:A545,A545)=1,
    " ORIGINAL",
    "CONFLICTING DUPLICATE - REVIEW"),
"OK")</f>
        <v>OK</v>
      </c>
      <c r="Z545">
        <f t="shared" si="83"/>
        <v>0.2</v>
      </c>
      <c r="AA545">
        <f t="shared" si="84"/>
        <v>2692.15</v>
      </c>
      <c r="AB545">
        <f t="shared" si="85"/>
        <v>647.66</v>
      </c>
      <c r="AC545">
        <f t="shared" si="86"/>
        <v>0.24060000000000001</v>
      </c>
      <c r="AD545">
        <f t="shared" si="87"/>
        <v>9</v>
      </c>
      <c r="AE545">
        <f t="shared" si="88"/>
        <v>2025</v>
      </c>
      <c r="AF545" t="str">
        <f t="shared" si="89"/>
        <v>CLEAN</v>
      </c>
    </row>
    <row r="546" spans="1:32">
      <c r="A546" t="s">
        <v>511</v>
      </c>
      <c r="B546" s="10">
        <v>45852</v>
      </c>
      <c r="C546" s="10">
        <v>45852</v>
      </c>
      <c r="D546">
        <f t="shared" si="80"/>
        <v>0</v>
      </c>
      <c r="E546" t="str">
        <f t="shared" si="81"/>
        <v>OK</v>
      </c>
      <c r="F546" t="s">
        <v>512</v>
      </c>
      <c r="G546" t="s">
        <v>70</v>
      </c>
      <c r="H546" t="s">
        <v>94</v>
      </c>
      <c r="I546" t="s">
        <v>37</v>
      </c>
      <c r="J546" t="s">
        <v>98</v>
      </c>
      <c r="K546" t="s">
        <v>99</v>
      </c>
      <c r="L546" t="s">
        <v>40</v>
      </c>
      <c r="M546" t="s">
        <v>157</v>
      </c>
      <c r="N546" t="s">
        <v>513</v>
      </c>
      <c r="O546" t="s">
        <v>2762</v>
      </c>
      <c r="P546">
        <v>5</v>
      </c>
      <c r="Q546">
        <v>383.1</v>
      </c>
      <c r="R546">
        <v>0.25</v>
      </c>
      <c r="S546" t="str">
        <f t="shared" si="82"/>
        <v>OK</v>
      </c>
      <c r="T546">
        <v>1436.62</v>
      </c>
      <c r="U546">
        <v>912.52</v>
      </c>
      <c r="V546">
        <v>524.1</v>
      </c>
      <c r="W546" t="s">
        <v>110</v>
      </c>
      <c r="X546" t="s">
        <v>67</v>
      </c>
      <c r="Y546" t="str">
        <f>IF(COUNTIF($A$2:$A$901,A546)&gt;1,
  IF(COUNTIF($A$2:A546,A546)=1,
    " ORIGINAL",
    "CONFLICTING DUPLICATE - REVIEW"),
"OK")</f>
        <v>OK</v>
      </c>
      <c r="Z546">
        <f t="shared" si="83"/>
        <v>0.25</v>
      </c>
      <c r="AA546">
        <f t="shared" si="84"/>
        <v>1436.63</v>
      </c>
      <c r="AB546">
        <f t="shared" si="85"/>
        <v>524.11</v>
      </c>
      <c r="AC546">
        <f t="shared" si="86"/>
        <v>0.36480000000000001</v>
      </c>
      <c r="AD546">
        <f t="shared" si="87"/>
        <v>7</v>
      </c>
      <c r="AE546">
        <f t="shared" si="88"/>
        <v>2025</v>
      </c>
      <c r="AF546" t="str">
        <f t="shared" si="89"/>
        <v>WARNING</v>
      </c>
    </row>
    <row r="547" spans="1:32">
      <c r="A547" t="s">
        <v>514</v>
      </c>
      <c r="B547" s="10">
        <v>45893</v>
      </c>
      <c r="C547" s="10">
        <v>45893</v>
      </c>
      <c r="D547">
        <f t="shared" si="80"/>
        <v>0</v>
      </c>
      <c r="E547" t="str">
        <f t="shared" si="81"/>
        <v>OK</v>
      </c>
      <c r="F547" t="s">
        <v>515</v>
      </c>
      <c r="G547" t="s">
        <v>161</v>
      </c>
      <c r="H547" t="s">
        <v>36</v>
      </c>
      <c r="I547" t="s">
        <v>53</v>
      </c>
      <c r="J547" t="s">
        <v>184</v>
      </c>
      <c r="K547" t="s">
        <v>185</v>
      </c>
      <c r="L547" t="s">
        <v>40</v>
      </c>
      <c r="M547" t="s">
        <v>157</v>
      </c>
      <c r="N547" t="s">
        <v>516</v>
      </c>
      <c r="O547" t="s">
        <v>58</v>
      </c>
      <c r="P547">
        <v>1</v>
      </c>
      <c r="Q547">
        <v>3424.78</v>
      </c>
      <c r="R547">
        <v>0</v>
      </c>
      <c r="S547" t="str">
        <f t="shared" si="82"/>
        <v>OK</v>
      </c>
      <c r="T547">
        <v>3424.78</v>
      </c>
      <c r="U547">
        <v>1951.45</v>
      </c>
      <c r="V547">
        <v>1473.33</v>
      </c>
      <c r="W547" t="s">
        <v>31</v>
      </c>
      <c r="X547" t="s">
        <v>32</v>
      </c>
      <c r="Y547" t="str">
        <f>IF(COUNTIF($A$2:$A$901,A547)&gt;1,
  IF(COUNTIF($A$2:A547,A547)=1,
    " ORIGINAL",
    "CONFLICTING DUPLICATE - REVIEW"),
"OK")</f>
        <v>OK</v>
      </c>
      <c r="Z547">
        <f t="shared" si="83"/>
        <v>0</v>
      </c>
      <c r="AA547">
        <f t="shared" si="84"/>
        <v>3424.78</v>
      </c>
      <c r="AB547">
        <f t="shared" si="85"/>
        <v>1473.33</v>
      </c>
      <c r="AC547">
        <f t="shared" si="86"/>
        <v>0.43020000000000003</v>
      </c>
      <c r="AD547">
        <f t="shared" si="87"/>
        <v>8</v>
      </c>
      <c r="AE547">
        <f t="shared" si="88"/>
        <v>2025</v>
      </c>
      <c r="AF547" t="str">
        <f t="shared" si="89"/>
        <v>CLEAN</v>
      </c>
    </row>
    <row r="548" spans="1:32">
      <c r="A548" t="s">
        <v>517</v>
      </c>
      <c r="B548" s="10">
        <v>45902</v>
      </c>
      <c r="C548" s="10">
        <v>45703</v>
      </c>
      <c r="D548">
        <f t="shared" si="80"/>
        <v>-199</v>
      </c>
      <c r="E548" t="str">
        <f t="shared" si="81"/>
        <v>INVALID</v>
      </c>
      <c r="F548" t="s">
        <v>518</v>
      </c>
      <c r="G548" t="s">
        <v>35</v>
      </c>
      <c r="H548" t="s">
        <v>94</v>
      </c>
      <c r="I548" t="s">
        <v>37</v>
      </c>
      <c r="J548" t="s">
        <v>227</v>
      </c>
      <c r="K548" t="s">
        <v>228</v>
      </c>
      <c r="L548" t="s">
        <v>27</v>
      </c>
      <c r="M548" t="s">
        <v>152</v>
      </c>
      <c r="N548" t="s">
        <v>519</v>
      </c>
      <c r="O548" t="s">
        <v>58</v>
      </c>
      <c r="P548">
        <v>9</v>
      </c>
      <c r="Q548">
        <v>4330.33</v>
      </c>
      <c r="R548">
        <v>0.2</v>
      </c>
      <c r="S548" t="str">
        <f t="shared" si="82"/>
        <v>OK</v>
      </c>
      <c r="T548">
        <v>31178.38</v>
      </c>
      <c r="U548">
        <v>21421.09</v>
      </c>
      <c r="V548">
        <v>9757.2900000000009</v>
      </c>
      <c r="W548" t="s">
        <v>31</v>
      </c>
      <c r="X548" t="s">
        <v>32</v>
      </c>
      <c r="Y548" t="str">
        <f>IF(COUNTIF($A$2:$A$901,A548)&gt;1,
  IF(COUNTIF($A$2:A548,A548)=1,
    " ORIGINAL",
    "CONFLICTING DUPLICATE - REVIEW"),
"OK")</f>
        <v>OK</v>
      </c>
      <c r="Z548">
        <f t="shared" si="83"/>
        <v>0.2</v>
      </c>
      <c r="AA548">
        <f t="shared" si="84"/>
        <v>31178.38</v>
      </c>
      <c r="AB548">
        <f t="shared" si="85"/>
        <v>9757.2900000000009</v>
      </c>
      <c r="AC548">
        <f t="shared" si="86"/>
        <v>0.313</v>
      </c>
      <c r="AD548">
        <f t="shared" si="87"/>
        <v>9</v>
      </c>
      <c r="AE548">
        <f t="shared" si="88"/>
        <v>2025</v>
      </c>
      <c r="AF548" t="str">
        <f t="shared" si="89"/>
        <v>INVALID</v>
      </c>
    </row>
    <row r="549" spans="1:32">
      <c r="A549" t="s">
        <v>520</v>
      </c>
      <c r="B549" s="10">
        <v>45666</v>
      </c>
      <c r="C549" s="10">
        <v>45666</v>
      </c>
      <c r="D549">
        <f t="shared" si="80"/>
        <v>0</v>
      </c>
      <c r="E549" t="str">
        <f t="shared" si="81"/>
        <v>OK</v>
      </c>
      <c r="F549" t="s">
        <v>521</v>
      </c>
      <c r="G549" t="s">
        <v>131</v>
      </c>
      <c r="H549" t="s">
        <v>36</v>
      </c>
      <c r="I549" t="s">
        <v>24</v>
      </c>
      <c r="J549" t="s">
        <v>25</v>
      </c>
      <c r="K549" t="s">
        <v>26</v>
      </c>
      <c r="L549" t="s">
        <v>40</v>
      </c>
      <c r="M549" t="s">
        <v>65</v>
      </c>
      <c r="N549" t="s">
        <v>522</v>
      </c>
      <c r="O549" t="s">
        <v>43</v>
      </c>
      <c r="P549">
        <v>8</v>
      </c>
      <c r="Q549">
        <v>2667.07</v>
      </c>
      <c r="R549">
        <v>0.1</v>
      </c>
      <c r="S549" t="str">
        <f t="shared" si="82"/>
        <v>OK</v>
      </c>
      <c r="T549">
        <v>19202.900000000001</v>
      </c>
      <c r="U549">
        <v>15526.62</v>
      </c>
      <c r="V549">
        <v>3676.28</v>
      </c>
      <c r="W549" t="s">
        <v>31</v>
      </c>
      <c r="X549" t="s">
        <v>32</v>
      </c>
      <c r="Y549" t="str">
        <f>IF(COUNTIF($A$2:$A$901,A549)&gt;1,
  IF(COUNTIF($A$2:A549,A549)=1,
    " ORIGINAL",
    "CONFLICTING DUPLICATE - REVIEW"),
"OK")</f>
        <v>OK</v>
      </c>
      <c r="Z549">
        <f t="shared" si="83"/>
        <v>0.1</v>
      </c>
      <c r="AA549">
        <f t="shared" si="84"/>
        <v>19202.900000000001</v>
      </c>
      <c r="AB549">
        <f t="shared" si="85"/>
        <v>3676.28</v>
      </c>
      <c r="AC549">
        <f t="shared" si="86"/>
        <v>0.19139999999999999</v>
      </c>
      <c r="AD549">
        <f t="shared" si="87"/>
        <v>1</v>
      </c>
      <c r="AE549">
        <f t="shared" si="88"/>
        <v>2025</v>
      </c>
      <c r="AF549" t="str">
        <f t="shared" si="89"/>
        <v>CLEAN</v>
      </c>
    </row>
    <row r="550" spans="1:32">
      <c r="A550" t="s">
        <v>526</v>
      </c>
      <c r="B550" s="10">
        <v>45718</v>
      </c>
      <c r="C550" s="10">
        <v>45841</v>
      </c>
      <c r="D550">
        <f t="shared" si="80"/>
        <v>123</v>
      </c>
      <c r="E550" t="str">
        <f t="shared" si="81"/>
        <v>OK</v>
      </c>
      <c r="F550" t="s">
        <v>527</v>
      </c>
      <c r="G550" t="s">
        <v>78</v>
      </c>
      <c r="H550" t="s">
        <v>94</v>
      </c>
      <c r="I550" t="s">
        <v>53</v>
      </c>
      <c r="J550" t="s">
        <v>174</v>
      </c>
      <c r="K550" t="s">
        <v>175</v>
      </c>
      <c r="L550" t="s">
        <v>27</v>
      </c>
      <c r="M550" t="s">
        <v>90</v>
      </c>
      <c r="N550" t="s">
        <v>528</v>
      </c>
      <c r="O550" t="s">
        <v>58</v>
      </c>
      <c r="P550">
        <v>8</v>
      </c>
      <c r="Q550">
        <v>1287.6300000000001</v>
      </c>
      <c r="R550">
        <v>0</v>
      </c>
      <c r="S550" t="str">
        <f t="shared" si="82"/>
        <v>OK</v>
      </c>
      <c r="T550">
        <v>10301.040000000001</v>
      </c>
      <c r="U550">
        <v>6564.06</v>
      </c>
      <c r="V550">
        <v>3736.98</v>
      </c>
      <c r="W550" t="s">
        <v>31</v>
      </c>
      <c r="X550" t="s">
        <v>32</v>
      </c>
      <c r="Y550" t="str">
        <f>IF(COUNTIF($A$2:$A$901,A550)&gt;1,
  IF(COUNTIF($A$2:A550,A550)=1,
    " ORIGINAL",
    "CONFLICTING DUPLICATE - REVIEW"),
"OK")</f>
        <v>OK</v>
      </c>
      <c r="Z550">
        <f t="shared" si="83"/>
        <v>0</v>
      </c>
      <c r="AA550">
        <f t="shared" si="84"/>
        <v>10301.040000000001</v>
      </c>
      <c r="AB550">
        <f t="shared" si="85"/>
        <v>3736.98</v>
      </c>
      <c r="AC550">
        <f t="shared" si="86"/>
        <v>0.36280000000000001</v>
      </c>
      <c r="AD550">
        <f t="shared" si="87"/>
        <v>3</v>
      </c>
      <c r="AE550">
        <f t="shared" si="88"/>
        <v>2025</v>
      </c>
      <c r="AF550" t="str">
        <f t="shared" si="89"/>
        <v>CLEAN</v>
      </c>
    </row>
    <row r="551" spans="1:32">
      <c r="A551" t="s">
        <v>544</v>
      </c>
      <c r="B551" s="10">
        <v>45965</v>
      </c>
      <c r="C551" s="10">
        <v>45760</v>
      </c>
      <c r="D551">
        <f t="shared" si="80"/>
        <v>-205</v>
      </c>
      <c r="E551" t="str">
        <f t="shared" si="81"/>
        <v>INVALID</v>
      </c>
      <c r="F551" t="s">
        <v>545</v>
      </c>
      <c r="G551" t="s">
        <v>35</v>
      </c>
      <c r="H551" t="s">
        <v>36</v>
      </c>
      <c r="I551" t="s">
        <v>62</v>
      </c>
      <c r="J551" t="s">
        <v>189</v>
      </c>
      <c r="K551" t="s">
        <v>190</v>
      </c>
      <c r="L551" t="s">
        <v>27</v>
      </c>
      <c r="M551" t="s">
        <v>28</v>
      </c>
      <c r="N551" t="s">
        <v>546</v>
      </c>
      <c r="O551" t="s">
        <v>58</v>
      </c>
      <c r="P551">
        <v>4</v>
      </c>
      <c r="Q551">
        <v>4182.1499999999996</v>
      </c>
      <c r="R551">
        <v>0.1</v>
      </c>
      <c r="S551" t="str">
        <f t="shared" si="82"/>
        <v>OK</v>
      </c>
      <c r="T551">
        <v>15055.74</v>
      </c>
      <c r="U551">
        <v>9808.83</v>
      </c>
      <c r="V551">
        <v>5246.91</v>
      </c>
      <c r="W551" t="s">
        <v>31</v>
      </c>
      <c r="X551" t="s">
        <v>32</v>
      </c>
      <c r="Y551" t="str">
        <f>IF(COUNTIF($A$2:$A$901,A551)&gt;1,
  IF(COUNTIF($A$2:A551,A551)=1,
    " ORIGINAL",
    "CONFLICTING DUPLICATE - REVIEW"),
"OK")</f>
        <v>OK</v>
      </c>
      <c r="Z551">
        <f t="shared" si="83"/>
        <v>0.1</v>
      </c>
      <c r="AA551">
        <f t="shared" si="84"/>
        <v>15055.74</v>
      </c>
      <c r="AB551">
        <f t="shared" si="85"/>
        <v>5246.91</v>
      </c>
      <c r="AC551">
        <f t="shared" si="86"/>
        <v>0.34849999999999998</v>
      </c>
      <c r="AD551">
        <f t="shared" si="87"/>
        <v>11</v>
      </c>
      <c r="AE551">
        <f t="shared" si="88"/>
        <v>2025</v>
      </c>
      <c r="AF551" t="str">
        <f t="shared" si="89"/>
        <v>INVALID</v>
      </c>
    </row>
    <row r="552" spans="1:32">
      <c r="A552" t="s">
        <v>547</v>
      </c>
      <c r="B552" s="10">
        <v>45868</v>
      </c>
      <c r="C552" s="10">
        <v>45870</v>
      </c>
      <c r="D552">
        <f t="shared" si="80"/>
        <v>2</v>
      </c>
      <c r="E552" t="str">
        <f t="shared" si="81"/>
        <v>OK</v>
      </c>
      <c r="F552" t="s">
        <v>548</v>
      </c>
      <c r="G552" t="s">
        <v>131</v>
      </c>
      <c r="H552" t="s">
        <v>36</v>
      </c>
      <c r="I552" t="s">
        <v>53</v>
      </c>
      <c r="J552" t="s">
        <v>246</v>
      </c>
      <c r="K552" t="s">
        <v>247</v>
      </c>
      <c r="L552" t="s">
        <v>27</v>
      </c>
      <c r="M552" t="s">
        <v>123</v>
      </c>
      <c r="N552" t="s">
        <v>549</v>
      </c>
      <c r="O552" t="s">
        <v>43</v>
      </c>
      <c r="P552">
        <v>9</v>
      </c>
      <c r="Q552">
        <v>3165.43</v>
      </c>
      <c r="R552">
        <v>0.1</v>
      </c>
      <c r="S552" t="str">
        <f t="shared" si="82"/>
        <v>OK</v>
      </c>
      <c r="T552">
        <v>25639.98</v>
      </c>
      <c r="U552">
        <v>21635.08</v>
      </c>
      <c r="V552">
        <v>4004.9</v>
      </c>
      <c r="W552" t="s">
        <v>31</v>
      </c>
      <c r="X552" t="s">
        <v>32</v>
      </c>
      <c r="Y552" t="str">
        <f>IF(COUNTIF($A$2:$A$901,A552)&gt;1,
  IF(COUNTIF($A$2:A552,A552)=1,
    " ORIGINAL",
    "CONFLICTING DUPLICATE - REVIEW"),
"OK")</f>
        <v>OK</v>
      </c>
      <c r="Z552">
        <f t="shared" si="83"/>
        <v>0.1</v>
      </c>
      <c r="AA552">
        <f t="shared" si="84"/>
        <v>25639.98</v>
      </c>
      <c r="AB552">
        <f t="shared" si="85"/>
        <v>4004.9</v>
      </c>
      <c r="AC552">
        <f t="shared" si="86"/>
        <v>0.15620000000000001</v>
      </c>
      <c r="AD552">
        <f t="shared" si="87"/>
        <v>7</v>
      </c>
      <c r="AE552">
        <f t="shared" si="88"/>
        <v>2025</v>
      </c>
      <c r="AF552" t="str">
        <f t="shared" si="89"/>
        <v>CLEAN</v>
      </c>
    </row>
    <row r="553" spans="1:32">
      <c r="A553" t="s">
        <v>553</v>
      </c>
      <c r="B553" s="10">
        <v>45697</v>
      </c>
      <c r="C553" s="10">
        <v>45701</v>
      </c>
      <c r="D553">
        <f t="shared" si="80"/>
        <v>4</v>
      </c>
      <c r="E553" t="str">
        <f t="shared" si="81"/>
        <v>OK</v>
      </c>
      <c r="F553" t="s">
        <v>554</v>
      </c>
      <c r="G553" t="s">
        <v>35</v>
      </c>
      <c r="H553" t="s">
        <v>94</v>
      </c>
      <c r="I553" t="s">
        <v>62</v>
      </c>
      <c r="J553" t="s">
        <v>71</v>
      </c>
      <c r="K553" t="s">
        <v>72</v>
      </c>
      <c r="L553" t="s">
        <v>73</v>
      </c>
      <c r="M553" t="s">
        <v>170</v>
      </c>
      <c r="N553" t="s">
        <v>555</v>
      </c>
      <c r="O553" t="s">
        <v>2762</v>
      </c>
      <c r="P553">
        <v>8</v>
      </c>
      <c r="Q553">
        <v>1696.07</v>
      </c>
      <c r="R553">
        <v>0.25</v>
      </c>
      <c r="S553" t="str">
        <f t="shared" si="82"/>
        <v>OK</v>
      </c>
      <c r="T553">
        <v>10176.42</v>
      </c>
      <c r="U553">
        <v>7604.47</v>
      </c>
      <c r="V553">
        <v>2571.9499999999998</v>
      </c>
      <c r="W553" t="s">
        <v>31</v>
      </c>
      <c r="X553" t="s">
        <v>32</v>
      </c>
      <c r="Y553" t="str">
        <f>IF(COUNTIF($A$2:$A$901,A553)&gt;1,
  IF(COUNTIF($A$2:A553,A553)=1,
    " ORIGINAL",
    "CONFLICTING DUPLICATE - REVIEW"),
"OK")</f>
        <v>OK</v>
      </c>
      <c r="Z553">
        <f t="shared" si="83"/>
        <v>0.25</v>
      </c>
      <c r="AA553">
        <f t="shared" si="84"/>
        <v>10176.42</v>
      </c>
      <c r="AB553">
        <f t="shared" si="85"/>
        <v>2571.9499999999998</v>
      </c>
      <c r="AC553">
        <f t="shared" si="86"/>
        <v>0.25269999999999998</v>
      </c>
      <c r="AD553">
        <f t="shared" si="87"/>
        <v>2</v>
      </c>
      <c r="AE553">
        <f t="shared" si="88"/>
        <v>2025</v>
      </c>
      <c r="AF553" t="str">
        <f t="shared" si="89"/>
        <v>WARNING</v>
      </c>
    </row>
    <row r="554" spans="1:32">
      <c r="A554" t="s">
        <v>568</v>
      </c>
      <c r="B554" s="10">
        <v>45923</v>
      </c>
      <c r="C554" s="10">
        <v>45925</v>
      </c>
      <c r="D554">
        <f t="shared" si="80"/>
        <v>2</v>
      </c>
      <c r="E554" t="str">
        <f t="shared" si="81"/>
        <v>OK</v>
      </c>
      <c r="F554" t="s">
        <v>569</v>
      </c>
      <c r="G554" t="s">
        <v>88</v>
      </c>
      <c r="H554" t="s">
        <v>23</v>
      </c>
      <c r="I554" t="s">
        <v>37</v>
      </c>
      <c r="J554" t="s">
        <v>38</v>
      </c>
      <c r="K554" t="s">
        <v>39</v>
      </c>
      <c r="L554" t="s">
        <v>27</v>
      </c>
      <c r="M554" t="s">
        <v>90</v>
      </c>
      <c r="N554" t="s">
        <v>570</v>
      </c>
      <c r="O554" t="s">
        <v>58</v>
      </c>
      <c r="P554">
        <v>7</v>
      </c>
      <c r="Q554">
        <v>3280.31</v>
      </c>
      <c r="R554">
        <v>0</v>
      </c>
      <c r="S554" t="str">
        <f t="shared" si="82"/>
        <v>OK</v>
      </c>
      <c r="T554">
        <v>22962.17</v>
      </c>
      <c r="U554">
        <v>15716.5</v>
      </c>
      <c r="V554">
        <v>7245.67</v>
      </c>
      <c r="W554" t="s">
        <v>101</v>
      </c>
      <c r="X554" t="s">
        <v>102</v>
      </c>
      <c r="Y554" t="str">
        <f>IF(COUNTIF($A$2:$A$901,A554)&gt;1,
  IF(COUNTIF($A$2:A554,A554)=1,
    " ORIGINAL",
    "CONFLICTING DUPLICATE - REVIEW"),
"OK")</f>
        <v>OK</v>
      </c>
      <c r="Z554">
        <f t="shared" si="83"/>
        <v>0</v>
      </c>
      <c r="AA554">
        <f t="shared" si="84"/>
        <v>22962.17</v>
      </c>
      <c r="AB554">
        <f t="shared" si="85"/>
        <v>7245.67</v>
      </c>
      <c r="AC554">
        <f t="shared" si="86"/>
        <v>0.3155</v>
      </c>
      <c r="AD554">
        <f t="shared" si="87"/>
        <v>9</v>
      </c>
      <c r="AE554">
        <f t="shared" si="88"/>
        <v>2025</v>
      </c>
      <c r="AF554" t="str">
        <f t="shared" si="89"/>
        <v>CLEAN</v>
      </c>
    </row>
    <row r="555" spans="1:32">
      <c r="A555" t="s">
        <v>573</v>
      </c>
      <c r="B555" s="10">
        <v>45683</v>
      </c>
      <c r="C555" s="10">
        <v>45691</v>
      </c>
      <c r="D555">
        <f t="shared" si="80"/>
        <v>8</v>
      </c>
      <c r="E555" t="str">
        <f t="shared" si="81"/>
        <v>OK</v>
      </c>
      <c r="F555" t="s">
        <v>574</v>
      </c>
      <c r="G555" t="s">
        <v>22</v>
      </c>
      <c r="H555" t="s">
        <v>89</v>
      </c>
      <c r="I555" t="s">
        <v>62</v>
      </c>
      <c r="J555" t="s">
        <v>25</v>
      </c>
      <c r="K555" t="s">
        <v>108</v>
      </c>
      <c r="L555" t="s">
        <v>40</v>
      </c>
      <c r="M555" t="s">
        <v>56</v>
      </c>
      <c r="N555" t="s">
        <v>575</v>
      </c>
      <c r="O555" t="s">
        <v>43</v>
      </c>
      <c r="P555">
        <v>3</v>
      </c>
      <c r="Q555">
        <v>2859.32</v>
      </c>
      <c r="R555">
        <v>0.1</v>
      </c>
      <c r="S555" t="str">
        <f t="shared" si="82"/>
        <v>OK</v>
      </c>
      <c r="T555">
        <v>7720.16</v>
      </c>
      <c r="U555">
        <v>5881</v>
      </c>
      <c r="V555">
        <v>1839.16</v>
      </c>
      <c r="W555" t="s">
        <v>101</v>
      </c>
      <c r="X555" t="s">
        <v>102</v>
      </c>
      <c r="Y555" t="str">
        <f>IF(COUNTIF($A$2:$A$901,A555)&gt;1,
  IF(COUNTIF($A$2:A555,A555)=1,
    " ORIGINAL",
    "CONFLICTING DUPLICATE - REVIEW"),
"OK")</f>
        <v>OK</v>
      </c>
      <c r="Z555">
        <f t="shared" si="83"/>
        <v>0.1</v>
      </c>
      <c r="AA555">
        <f t="shared" si="84"/>
        <v>7720.16</v>
      </c>
      <c r="AB555">
        <f t="shared" si="85"/>
        <v>1839.16</v>
      </c>
      <c r="AC555">
        <f t="shared" si="86"/>
        <v>0.2382</v>
      </c>
      <c r="AD555">
        <f t="shared" si="87"/>
        <v>1</v>
      </c>
      <c r="AE555">
        <f t="shared" si="88"/>
        <v>2025</v>
      </c>
      <c r="AF555" t="str">
        <f t="shared" si="89"/>
        <v>CLEAN</v>
      </c>
    </row>
    <row r="556" spans="1:32">
      <c r="A556" t="s">
        <v>576</v>
      </c>
      <c r="B556" s="10">
        <v>45743</v>
      </c>
      <c r="C556" s="10">
        <v>45743</v>
      </c>
      <c r="D556">
        <f t="shared" si="80"/>
        <v>0</v>
      </c>
      <c r="E556" t="str">
        <f t="shared" si="81"/>
        <v>OK</v>
      </c>
      <c r="F556" t="s">
        <v>577</v>
      </c>
      <c r="G556" t="s">
        <v>70</v>
      </c>
      <c r="H556" t="s">
        <v>36</v>
      </c>
      <c r="I556" t="s">
        <v>37</v>
      </c>
      <c r="J556" t="s">
        <v>144</v>
      </c>
      <c r="K556" t="s">
        <v>145</v>
      </c>
      <c r="L556" t="s">
        <v>73</v>
      </c>
      <c r="M556" t="s">
        <v>273</v>
      </c>
      <c r="N556" t="s">
        <v>578</v>
      </c>
      <c r="O556" t="s">
        <v>30</v>
      </c>
      <c r="P556">
        <v>7</v>
      </c>
      <c r="Q556">
        <v>2305.37</v>
      </c>
      <c r="R556">
        <v>0.25</v>
      </c>
      <c r="S556" t="str">
        <f t="shared" si="82"/>
        <v>OK</v>
      </c>
      <c r="T556">
        <v>12103.19</v>
      </c>
      <c r="U556">
        <v>6717.87</v>
      </c>
      <c r="V556">
        <v>5385.32</v>
      </c>
      <c r="W556" t="s">
        <v>31</v>
      </c>
      <c r="X556" t="s">
        <v>32</v>
      </c>
      <c r="Y556" t="str">
        <f>IF(COUNTIF($A$2:$A$901,A556)&gt;1,
  IF(COUNTIF($A$2:A556,A556)=1,
    " ORIGINAL",
    "CONFLICTING DUPLICATE - REVIEW"),
"OK")</f>
        <v>OK</v>
      </c>
      <c r="Z556">
        <f t="shared" si="83"/>
        <v>0.25</v>
      </c>
      <c r="AA556">
        <f t="shared" si="84"/>
        <v>12103.19</v>
      </c>
      <c r="AB556">
        <f t="shared" si="85"/>
        <v>5385.32</v>
      </c>
      <c r="AC556">
        <f t="shared" si="86"/>
        <v>0.44500000000000001</v>
      </c>
      <c r="AD556">
        <f t="shared" si="87"/>
        <v>3</v>
      </c>
      <c r="AE556">
        <f t="shared" si="88"/>
        <v>2025</v>
      </c>
      <c r="AF556" t="str">
        <f t="shared" si="89"/>
        <v>CLEAN</v>
      </c>
    </row>
    <row r="557" spans="1:32">
      <c r="A557" t="s">
        <v>585</v>
      </c>
      <c r="B557" s="10">
        <v>45687</v>
      </c>
      <c r="C557" s="10">
        <v>45749</v>
      </c>
      <c r="D557">
        <f t="shared" si="80"/>
        <v>62</v>
      </c>
      <c r="E557" t="str">
        <f t="shared" si="81"/>
        <v>OK</v>
      </c>
      <c r="F557" t="s">
        <v>586</v>
      </c>
      <c r="G557" t="s">
        <v>113</v>
      </c>
      <c r="H557" t="s">
        <v>89</v>
      </c>
      <c r="I557" t="s">
        <v>24</v>
      </c>
      <c r="J557" t="s">
        <v>235</v>
      </c>
      <c r="K557" t="s">
        <v>236</v>
      </c>
      <c r="L557" t="s">
        <v>40</v>
      </c>
      <c r="M557" t="s">
        <v>65</v>
      </c>
      <c r="N557" t="s">
        <v>587</v>
      </c>
      <c r="O557" t="s">
        <v>43</v>
      </c>
      <c r="P557">
        <v>9</v>
      </c>
      <c r="Q557">
        <v>4430.5</v>
      </c>
      <c r="R557">
        <v>0.15</v>
      </c>
      <c r="S557" t="str">
        <f t="shared" si="82"/>
        <v>OK</v>
      </c>
      <c r="T557">
        <v>33893.32</v>
      </c>
      <c r="U557">
        <v>25750.35</v>
      </c>
      <c r="V557">
        <v>8142.97</v>
      </c>
      <c r="W557" t="s">
        <v>110</v>
      </c>
      <c r="X557" t="s">
        <v>67</v>
      </c>
      <c r="Y557" t="str">
        <f>IF(COUNTIF($A$2:$A$901,A557)&gt;1,
  IF(COUNTIF($A$2:A557,A557)=1,
    " ORIGINAL",
    "CONFLICTING DUPLICATE - REVIEW"),
"OK")</f>
        <v>OK</v>
      </c>
      <c r="Z557">
        <f t="shared" si="83"/>
        <v>0.15</v>
      </c>
      <c r="AA557">
        <f t="shared" si="84"/>
        <v>33893.33</v>
      </c>
      <c r="AB557">
        <f t="shared" si="85"/>
        <v>8142.98</v>
      </c>
      <c r="AC557">
        <f t="shared" si="86"/>
        <v>0.24030000000000001</v>
      </c>
      <c r="AD557">
        <f t="shared" si="87"/>
        <v>1</v>
      </c>
      <c r="AE557">
        <f t="shared" si="88"/>
        <v>2025</v>
      </c>
      <c r="AF557" t="str">
        <f t="shared" si="89"/>
        <v>CLEAN</v>
      </c>
    </row>
    <row r="558" spans="1:32">
      <c r="A558" t="s">
        <v>588</v>
      </c>
      <c r="B558" s="10">
        <v>45879</v>
      </c>
      <c r="C558" s="10">
        <v>45936</v>
      </c>
      <c r="D558">
        <f t="shared" si="80"/>
        <v>57</v>
      </c>
      <c r="E558" t="str">
        <f t="shared" si="81"/>
        <v>OK</v>
      </c>
      <c r="F558" t="s">
        <v>589</v>
      </c>
      <c r="G558" t="s">
        <v>70</v>
      </c>
      <c r="H558" t="s">
        <v>36</v>
      </c>
      <c r="I558" t="s">
        <v>62</v>
      </c>
      <c r="J558" t="s">
        <v>63</v>
      </c>
      <c r="K558" t="s">
        <v>64</v>
      </c>
      <c r="L558" t="s">
        <v>27</v>
      </c>
      <c r="M558" t="s">
        <v>28</v>
      </c>
      <c r="N558" t="s">
        <v>590</v>
      </c>
      <c r="O558" t="s">
        <v>30</v>
      </c>
      <c r="P558">
        <v>4</v>
      </c>
      <c r="Q558">
        <v>1260.42</v>
      </c>
      <c r="R558">
        <v>0.05</v>
      </c>
      <c r="S558" t="str">
        <f t="shared" si="82"/>
        <v>OK</v>
      </c>
      <c r="T558">
        <v>4789.6000000000004</v>
      </c>
      <c r="U558">
        <v>4037.64</v>
      </c>
      <c r="V558">
        <v>751.96</v>
      </c>
      <c r="W558" t="s">
        <v>110</v>
      </c>
      <c r="X558" t="s">
        <v>67</v>
      </c>
      <c r="Y558" t="str">
        <f>IF(COUNTIF($A$2:$A$901,A558)&gt;1,
  IF(COUNTIF($A$2:A558,A558)=1,
    " ORIGINAL",
    "CONFLICTING DUPLICATE - REVIEW"),
"OK")</f>
        <v>OK</v>
      </c>
      <c r="Z558">
        <f t="shared" si="83"/>
        <v>0.05</v>
      </c>
      <c r="AA558">
        <f t="shared" si="84"/>
        <v>4789.6000000000004</v>
      </c>
      <c r="AB558">
        <f t="shared" si="85"/>
        <v>751.96</v>
      </c>
      <c r="AC558">
        <f t="shared" si="86"/>
        <v>0.157</v>
      </c>
      <c r="AD558">
        <f t="shared" si="87"/>
        <v>8</v>
      </c>
      <c r="AE558">
        <f t="shared" si="88"/>
        <v>2025</v>
      </c>
      <c r="AF558" t="str">
        <f t="shared" si="89"/>
        <v>CLEAN</v>
      </c>
    </row>
    <row r="559" spans="1:32">
      <c r="A559" t="s">
        <v>591</v>
      </c>
      <c r="B559" s="10">
        <v>45862</v>
      </c>
      <c r="C559" s="10">
        <v>45868</v>
      </c>
      <c r="D559">
        <f t="shared" si="80"/>
        <v>6</v>
      </c>
      <c r="E559" t="str">
        <f t="shared" si="81"/>
        <v>OK</v>
      </c>
      <c r="F559" t="s">
        <v>592</v>
      </c>
      <c r="G559" t="s">
        <v>52</v>
      </c>
      <c r="H559" t="s">
        <v>23</v>
      </c>
      <c r="I559" t="s">
        <v>62</v>
      </c>
      <c r="J559" t="s">
        <v>25</v>
      </c>
      <c r="K559" t="s">
        <v>108</v>
      </c>
      <c r="L559" t="s">
        <v>27</v>
      </c>
      <c r="M559" t="s">
        <v>152</v>
      </c>
      <c r="N559" t="s">
        <v>593</v>
      </c>
      <c r="O559" t="s">
        <v>58</v>
      </c>
      <c r="P559">
        <v>1</v>
      </c>
      <c r="Q559">
        <v>1643.41</v>
      </c>
      <c r="R559">
        <v>0</v>
      </c>
      <c r="S559" t="str">
        <f t="shared" si="82"/>
        <v>OK</v>
      </c>
      <c r="T559">
        <v>1643.41</v>
      </c>
      <c r="U559">
        <v>907.4</v>
      </c>
      <c r="V559">
        <v>736.01</v>
      </c>
      <c r="W559" t="s">
        <v>110</v>
      </c>
      <c r="X559" t="s">
        <v>67</v>
      </c>
      <c r="Y559" t="str">
        <f>IF(COUNTIF($A$2:$A$901,A559)&gt;1,
  IF(COUNTIF($A$2:A559,A559)=1,
    " ORIGINAL",
    "CONFLICTING DUPLICATE - REVIEW"),
"OK")</f>
        <v>OK</v>
      </c>
      <c r="Z559">
        <f t="shared" si="83"/>
        <v>0</v>
      </c>
      <c r="AA559">
        <f t="shared" si="84"/>
        <v>1643.41</v>
      </c>
      <c r="AB559">
        <f t="shared" si="85"/>
        <v>736.01</v>
      </c>
      <c r="AC559">
        <f t="shared" si="86"/>
        <v>0.44790000000000002</v>
      </c>
      <c r="AD559">
        <f t="shared" si="87"/>
        <v>7</v>
      </c>
      <c r="AE559">
        <f t="shared" si="88"/>
        <v>2025</v>
      </c>
      <c r="AF559" t="str">
        <f t="shared" si="89"/>
        <v>CLEAN</v>
      </c>
    </row>
    <row r="560" spans="1:32">
      <c r="A560" t="s">
        <v>597</v>
      </c>
      <c r="B560" s="10">
        <v>45921</v>
      </c>
      <c r="C560" s="10">
        <v>45926</v>
      </c>
      <c r="D560">
        <f t="shared" si="80"/>
        <v>5</v>
      </c>
      <c r="E560" t="str">
        <f t="shared" si="81"/>
        <v>OK</v>
      </c>
      <c r="F560" t="s">
        <v>598</v>
      </c>
      <c r="G560" t="s">
        <v>140</v>
      </c>
      <c r="H560" t="s">
        <v>94</v>
      </c>
      <c r="I560" t="s">
        <v>62</v>
      </c>
      <c r="J560" t="s">
        <v>179</v>
      </c>
      <c r="K560" t="s">
        <v>180</v>
      </c>
      <c r="L560" t="s">
        <v>40</v>
      </c>
      <c r="M560" t="s">
        <v>41</v>
      </c>
      <c r="N560" t="s">
        <v>599</v>
      </c>
      <c r="O560" t="s">
        <v>2762</v>
      </c>
      <c r="P560">
        <v>6</v>
      </c>
      <c r="Q560">
        <v>2903.58</v>
      </c>
      <c r="R560">
        <v>0.1</v>
      </c>
      <c r="S560" t="str">
        <f t="shared" si="82"/>
        <v>OK</v>
      </c>
      <c r="T560">
        <v>15679.33</v>
      </c>
      <c r="U560">
        <v>12477.82</v>
      </c>
      <c r="V560">
        <v>3201.51</v>
      </c>
      <c r="W560" t="s">
        <v>110</v>
      </c>
      <c r="X560" t="s">
        <v>102</v>
      </c>
      <c r="Y560" t="str">
        <f>IF(COUNTIF($A$2:$A$901,A560)&gt;1,
  IF(COUNTIF($A$2:A560,A560)=1,
    " ORIGINAL",
    "CONFLICTING DUPLICATE - REVIEW"),
"OK")</f>
        <v>OK</v>
      </c>
      <c r="Z560">
        <f t="shared" si="83"/>
        <v>0.1</v>
      </c>
      <c r="AA560">
        <f t="shared" si="84"/>
        <v>15679.33</v>
      </c>
      <c r="AB560">
        <f t="shared" si="85"/>
        <v>3201.51</v>
      </c>
      <c r="AC560">
        <f t="shared" si="86"/>
        <v>0.20419999999999999</v>
      </c>
      <c r="AD560">
        <f t="shared" si="87"/>
        <v>9</v>
      </c>
      <c r="AE560">
        <f t="shared" si="88"/>
        <v>2025</v>
      </c>
      <c r="AF560" t="str">
        <f t="shared" si="89"/>
        <v>WARNING</v>
      </c>
    </row>
    <row r="561" spans="1:32">
      <c r="A561" t="s">
        <v>600</v>
      </c>
      <c r="B561" s="10">
        <v>45909</v>
      </c>
      <c r="C561" s="10">
        <v>45914</v>
      </c>
      <c r="D561">
        <f t="shared" si="80"/>
        <v>5</v>
      </c>
      <c r="E561" t="str">
        <f t="shared" si="81"/>
        <v>OK</v>
      </c>
      <c r="F561" t="s">
        <v>601</v>
      </c>
      <c r="G561" t="s">
        <v>117</v>
      </c>
      <c r="H561" t="s">
        <v>36</v>
      </c>
      <c r="I561" t="s">
        <v>37</v>
      </c>
      <c r="J561" t="s">
        <v>98</v>
      </c>
      <c r="K561" t="s">
        <v>99</v>
      </c>
      <c r="L561" t="s">
        <v>40</v>
      </c>
      <c r="M561" t="s">
        <v>157</v>
      </c>
      <c r="N561" t="s">
        <v>602</v>
      </c>
      <c r="O561" t="s">
        <v>30</v>
      </c>
      <c r="P561">
        <v>1</v>
      </c>
      <c r="Q561">
        <v>3154.42</v>
      </c>
      <c r="R561">
        <v>0.25</v>
      </c>
      <c r="S561" t="str">
        <f t="shared" si="82"/>
        <v>OK</v>
      </c>
      <c r="T561">
        <v>2365.8200000000002</v>
      </c>
      <c r="U561">
        <v>1547.99</v>
      </c>
      <c r="V561">
        <v>817.83</v>
      </c>
      <c r="W561" t="s">
        <v>31</v>
      </c>
      <c r="X561" t="s">
        <v>32</v>
      </c>
      <c r="Y561" t="str">
        <f>IF(COUNTIF($A$2:$A$901,A561)&gt;1,
  IF(COUNTIF($A$2:A561,A561)=1,
    " ORIGINAL",
    "CONFLICTING DUPLICATE - REVIEW"),
"OK")</f>
        <v>OK</v>
      </c>
      <c r="Z561">
        <f t="shared" si="83"/>
        <v>0.25</v>
      </c>
      <c r="AA561">
        <f t="shared" si="84"/>
        <v>2365.8200000000002</v>
      </c>
      <c r="AB561">
        <f t="shared" si="85"/>
        <v>817.83</v>
      </c>
      <c r="AC561">
        <f t="shared" si="86"/>
        <v>0.34570000000000001</v>
      </c>
      <c r="AD561">
        <f t="shared" si="87"/>
        <v>9</v>
      </c>
      <c r="AE561">
        <f t="shared" si="88"/>
        <v>2025</v>
      </c>
      <c r="AF561" t="str">
        <f t="shared" si="89"/>
        <v>CLEAN</v>
      </c>
    </row>
    <row r="562" spans="1:32">
      <c r="A562" t="s">
        <v>606</v>
      </c>
      <c r="B562" s="10">
        <v>45708</v>
      </c>
      <c r="C562" s="10">
        <v>45714</v>
      </c>
      <c r="D562">
        <f t="shared" si="80"/>
        <v>6</v>
      </c>
      <c r="E562" t="str">
        <f t="shared" si="81"/>
        <v>OK</v>
      </c>
      <c r="F562" t="s">
        <v>607</v>
      </c>
      <c r="G562" t="s">
        <v>22</v>
      </c>
      <c r="H562" t="s">
        <v>36</v>
      </c>
      <c r="I562" t="s">
        <v>62</v>
      </c>
      <c r="J562" t="s">
        <v>179</v>
      </c>
      <c r="K562" t="s">
        <v>180</v>
      </c>
      <c r="L562" t="s">
        <v>27</v>
      </c>
      <c r="M562" t="s">
        <v>90</v>
      </c>
      <c r="N562" t="s">
        <v>608</v>
      </c>
      <c r="O562" t="s">
        <v>49</v>
      </c>
      <c r="P562">
        <v>1</v>
      </c>
      <c r="Q562">
        <v>2557.85</v>
      </c>
      <c r="R562">
        <v>0.2</v>
      </c>
      <c r="S562" t="str">
        <f t="shared" si="82"/>
        <v>OK</v>
      </c>
      <c r="T562">
        <v>2046.28</v>
      </c>
      <c r="U562">
        <v>1449.54</v>
      </c>
      <c r="V562">
        <v>596.74</v>
      </c>
      <c r="W562" t="s">
        <v>31</v>
      </c>
      <c r="X562" t="s">
        <v>32</v>
      </c>
      <c r="Y562" t="str">
        <f>IF(COUNTIF($A$2:$A$901,A562)&gt;1,
  IF(COUNTIF($A$2:A562,A562)=1,
    " ORIGINAL",
    "CONFLICTING DUPLICATE - REVIEW"),
"OK")</f>
        <v>OK</v>
      </c>
      <c r="Z562">
        <f t="shared" si="83"/>
        <v>0.2</v>
      </c>
      <c r="AA562">
        <f t="shared" si="84"/>
        <v>2046.28</v>
      </c>
      <c r="AB562">
        <f t="shared" si="85"/>
        <v>596.74</v>
      </c>
      <c r="AC562">
        <f t="shared" si="86"/>
        <v>0.29160000000000003</v>
      </c>
      <c r="AD562">
        <f t="shared" si="87"/>
        <v>2</v>
      </c>
      <c r="AE562">
        <f t="shared" si="88"/>
        <v>2025</v>
      </c>
      <c r="AF562" t="str">
        <f t="shared" si="89"/>
        <v>CLEAN</v>
      </c>
    </row>
    <row r="563" spans="1:32">
      <c r="A563" t="s">
        <v>609</v>
      </c>
      <c r="B563" s="10">
        <v>45887</v>
      </c>
      <c r="C563" s="10">
        <v>45887</v>
      </c>
      <c r="D563">
        <f t="shared" si="80"/>
        <v>0</v>
      </c>
      <c r="E563" t="str">
        <f t="shared" si="81"/>
        <v>OK</v>
      </c>
      <c r="F563" t="s">
        <v>610</v>
      </c>
      <c r="G563" t="s">
        <v>52</v>
      </c>
      <c r="H563" t="s">
        <v>94</v>
      </c>
      <c r="I563" t="s">
        <v>53</v>
      </c>
      <c r="J563" t="s">
        <v>174</v>
      </c>
      <c r="K563" t="s">
        <v>175</v>
      </c>
      <c r="L563" t="s">
        <v>27</v>
      </c>
      <c r="M563" t="s">
        <v>123</v>
      </c>
      <c r="N563" t="s">
        <v>611</v>
      </c>
      <c r="O563" t="s">
        <v>49</v>
      </c>
      <c r="P563">
        <v>9</v>
      </c>
      <c r="Q563">
        <v>3030.93</v>
      </c>
      <c r="R563">
        <v>0.15</v>
      </c>
      <c r="S563" t="str">
        <f t="shared" si="82"/>
        <v>OK</v>
      </c>
      <c r="T563">
        <v>23186.61</v>
      </c>
      <c r="U563">
        <v>17906.54</v>
      </c>
      <c r="V563">
        <v>5280.07</v>
      </c>
      <c r="W563" t="s">
        <v>31</v>
      </c>
      <c r="X563" t="s">
        <v>102</v>
      </c>
      <c r="Y563" t="str">
        <f>IF(COUNTIF($A$2:$A$901,A563)&gt;1,
  IF(COUNTIF($A$2:A563,A563)=1,
    " ORIGINAL",
    "CONFLICTING DUPLICATE - REVIEW"),
"OK")</f>
        <v>OK</v>
      </c>
      <c r="Z563">
        <f t="shared" si="83"/>
        <v>0.15</v>
      </c>
      <c r="AA563">
        <f t="shared" si="84"/>
        <v>23186.61</v>
      </c>
      <c r="AB563">
        <f t="shared" si="85"/>
        <v>5280.07</v>
      </c>
      <c r="AC563">
        <f t="shared" si="86"/>
        <v>0.22770000000000001</v>
      </c>
      <c r="AD563">
        <f t="shared" si="87"/>
        <v>8</v>
      </c>
      <c r="AE563">
        <f t="shared" si="88"/>
        <v>2025</v>
      </c>
      <c r="AF563" t="str">
        <f t="shared" si="89"/>
        <v>CLEAN</v>
      </c>
    </row>
    <row r="564" spans="1:32">
      <c r="A564" t="s">
        <v>612</v>
      </c>
      <c r="B564" s="10">
        <v>45677</v>
      </c>
      <c r="C564" s="10">
        <v>45680</v>
      </c>
      <c r="D564">
        <f t="shared" si="80"/>
        <v>3</v>
      </c>
      <c r="E564" t="str">
        <f t="shared" si="81"/>
        <v>OK</v>
      </c>
      <c r="F564" t="s">
        <v>613</v>
      </c>
      <c r="G564" t="s">
        <v>263</v>
      </c>
      <c r="H564" t="s">
        <v>23</v>
      </c>
      <c r="I564" t="s">
        <v>62</v>
      </c>
      <c r="J564" t="s">
        <v>63</v>
      </c>
      <c r="K564" t="s">
        <v>64</v>
      </c>
      <c r="L564" t="s">
        <v>73</v>
      </c>
      <c r="M564" t="s">
        <v>74</v>
      </c>
      <c r="N564" t="s">
        <v>614</v>
      </c>
      <c r="O564" t="s">
        <v>43</v>
      </c>
      <c r="P564">
        <v>5</v>
      </c>
      <c r="Q564">
        <v>639.27</v>
      </c>
      <c r="R564">
        <v>0.2</v>
      </c>
      <c r="S564" t="str">
        <f t="shared" si="82"/>
        <v>OK</v>
      </c>
      <c r="T564">
        <v>2557.08</v>
      </c>
      <c r="U564">
        <v>2025.69</v>
      </c>
      <c r="V564">
        <v>531.39</v>
      </c>
      <c r="W564" t="s">
        <v>31</v>
      </c>
      <c r="X564" t="s">
        <v>67</v>
      </c>
      <c r="Y564" t="str">
        <f>IF(COUNTIF($A$2:$A$901,A564)&gt;1,
  IF(COUNTIF($A$2:A564,A564)=1,
    " ORIGINAL",
    "CONFLICTING DUPLICATE - REVIEW"),
"OK")</f>
        <v>OK</v>
      </c>
      <c r="Z564">
        <f t="shared" si="83"/>
        <v>0.2</v>
      </c>
      <c r="AA564">
        <f t="shared" si="84"/>
        <v>2557.08</v>
      </c>
      <c r="AB564">
        <f t="shared" si="85"/>
        <v>531.39</v>
      </c>
      <c r="AC564">
        <f t="shared" si="86"/>
        <v>0.20780000000000001</v>
      </c>
      <c r="AD564">
        <f t="shared" si="87"/>
        <v>1</v>
      </c>
      <c r="AE564">
        <f t="shared" si="88"/>
        <v>2025</v>
      </c>
      <c r="AF564" t="str">
        <f t="shared" si="89"/>
        <v>CLEAN</v>
      </c>
    </row>
    <row r="565" spans="1:32">
      <c r="A565" t="s">
        <v>615</v>
      </c>
      <c r="B565" s="10">
        <v>45913</v>
      </c>
      <c r="C565" s="10">
        <v>45913</v>
      </c>
      <c r="D565">
        <f t="shared" si="80"/>
        <v>0</v>
      </c>
      <c r="E565" t="str">
        <f t="shared" si="81"/>
        <v>OK</v>
      </c>
      <c r="F565" t="s">
        <v>616</v>
      </c>
      <c r="G565" t="s">
        <v>161</v>
      </c>
      <c r="H565" t="s">
        <v>23</v>
      </c>
      <c r="I565" t="s">
        <v>37</v>
      </c>
      <c r="J565" t="s">
        <v>165</v>
      </c>
      <c r="K565" t="s">
        <v>166</v>
      </c>
      <c r="L565" t="s">
        <v>27</v>
      </c>
      <c r="M565" t="s">
        <v>47</v>
      </c>
      <c r="N565" t="s">
        <v>617</v>
      </c>
      <c r="O565" t="s">
        <v>58</v>
      </c>
      <c r="P565">
        <v>8</v>
      </c>
      <c r="Q565">
        <v>733.9</v>
      </c>
      <c r="R565">
        <v>0.05</v>
      </c>
      <c r="S565" t="str">
        <f t="shared" si="82"/>
        <v>OK</v>
      </c>
      <c r="T565">
        <v>5577.64</v>
      </c>
      <c r="U565">
        <v>3541.29</v>
      </c>
      <c r="V565">
        <v>2036.35</v>
      </c>
      <c r="W565" t="s">
        <v>110</v>
      </c>
      <c r="X565" t="s">
        <v>102</v>
      </c>
      <c r="Y565" t="str">
        <f>IF(COUNTIF($A$2:$A$901,A565)&gt;1,
  IF(COUNTIF($A$2:A565,A565)=1,
    " ORIGINAL",
    "CONFLICTING DUPLICATE - REVIEW"),
"OK")</f>
        <v>OK</v>
      </c>
      <c r="Z565">
        <f t="shared" si="83"/>
        <v>0.05</v>
      </c>
      <c r="AA565">
        <f t="shared" si="84"/>
        <v>5577.64</v>
      </c>
      <c r="AB565">
        <f t="shared" si="85"/>
        <v>2036.35</v>
      </c>
      <c r="AC565">
        <f t="shared" si="86"/>
        <v>0.36509999999999998</v>
      </c>
      <c r="AD565">
        <f t="shared" si="87"/>
        <v>9</v>
      </c>
      <c r="AE565">
        <f t="shared" si="88"/>
        <v>2025</v>
      </c>
      <c r="AF565" t="str">
        <f t="shared" si="89"/>
        <v>CLEAN</v>
      </c>
    </row>
    <row r="566" spans="1:32">
      <c r="A566" t="s">
        <v>618</v>
      </c>
      <c r="B566" s="10">
        <v>45847</v>
      </c>
      <c r="C566" s="10">
        <v>45915</v>
      </c>
      <c r="D566">
        <f t="shared" si="80"/>
        <v>68</v>
      </c>
      <c r="E566" t="str">
        <f t="shared" si="81"/>
        <v>OK</v>
      </c>
      <c r="F566" t="s">
        <v>619</v>
      </c>
      <c r="G566" t="s">
        <v>140</v>
      </c>
      <c r="H566" t="s">
        <v>89</v>
      </c>
      <c r="I566" t="s">
        <v>37</v>
      </c>
      <c r="J566" t="s">
        <v>144</v>
      </c>
      <c r="K566" t="s">
        <v>145</v>
      </c>
      <c r="L566" t="s">
        <v>73</v>
      </c>
      <c r="M566" t="s">
        <v>79</v>
      </c>
      <c r="N566" t="s">
        <v>620</v>
      </c>
      <c r="O566" t="s">
        <v>58</v>
      </c>
      <c r="P566">
        <v>3</v>
      </c>
      <c r="Q566">
        <v>1711.32</v>
      </c>
      <c r="R566">
        <v>0</v>
      </c>
      <c r="S566" t="str">
        <f t="shared" si="82"/>
        <v>OK</v>
      </c>
      <c r="T566">
        <v>5133.96</v>
      </c>
      <c r="U566">
        <v>3930</v>
      </c>
      <c r="V566">
        <v>1203.96</v>
      </c>
      <c r="W566" t="s">
        <v>31</v>
      </c>
      <c r="X566" t="s">
        <v>32</v>
      </c>
      <c r="Y566" t="str">
        <f>IF(COUNTIF($A$2:$A$901,A566)&gt;1,
  IF(COUNTIF($A$2:A566,A566)=1,
    " ORIGINAL",
    "CONFLICTING DUPLICATE - REVIEW"),
"OK")</f>
        <v xml:space="preserve"> ORIGINAL</v>
      </c>
      <c r="Z566">
        <f t="shared" si="83"/>
        <v>0</v>
      </c>
      <c r="AA566">
        <f t="shared" si="84"/>
        <v>5133.96</v>
      </c>
      <c r="AB566">
        <f t="shared" si="85"/>
        <v>1203.96</v>
      </c>
      <c r="AC566">
        <f t="shared" si="86"/>
        <v>0.23449999999999999</v>
      </c>
      <c r="AD566">
        <f t="shared" si="87"/>
        <v>7</v>
      </c>
      <c r="AE566">
        <f t="shared" si="88"/>
        <v>2025</v>
      </c>
      <c r="AF566" t="str">
        <f t="shared" si="89"/>
        <v>CLEAN</v>
      </c>
    </row>
    <row r="567" spans="1:32">
      <c r="A567" t="s">
        <v>618</v>
      </c>
      <c r="B567" s="10">
        <v>45847</v>
      </c>
      <c r="C567" s="10">
        <v>45915</v>
      </c>
      <c r="D567">
        <f t="shared" si="80"/>
        <v>68</v>
      </c>
      <c r="E567" t="str">
        <f t="shared" si="81"/>
        <v>OK</v>
      </c>
      <c r="F567" t="s">
        <v>619</v>
      </c>
      <c r="G567" t="s">
        <v>140</v>
      </c>
      <c r="H567" t="s">
        <v>89</v>
      </c>
      <c r="I567" t="s">
        <v>37</v>
      </c>
      <c r="J567" t="s">
        <v>144</v>
      </c>
      <c r="K567" t="s">
        <v>145</v>
      </c>
      <c r="L567" t="s">
        <v>73</v>
      </c>
      <c r="M567" t="s">
        <v>79</v>
      </c>
      <c r="N567" t="s">
        <v>620</v>
      </c>
      <c r="O567" t="s">
        <v>58</v>
      </c>
      <c r="P567">
        <v>3</v>
      </c>
      <c r="Q567">
        <v>1711.32</v>
      </c>
      <c r="R567">
        <v>0</v>
      </c>
      <c r="S567" t="str">
        <f t="shared" si="82"/>
        <v>OK</v>
      </c>
      <c r="T567">
        <v>5206.53</v>
      </c>
      <c r="U567">
        <v>3930</v>
      </c>
      <c r="V567">
        <v>1203.96</v>
      </c>
      <c r="W567" t="s">
        <v>31</v>
      </c>
      <c r="X567" t="s">
        <v>102</v>
      </c>
      <c r="Y567" t="str">
        <f>IF(COUNTIF($A$2:$A$901,A567)&gt;1,
  IF(COUNTIF($A$2:A567,A567)=1,
    " ORIGINAL",
    "CONFLICTING DUPLICATE - REVIEW"),
"OK")</f>
        <v>CONFLICTING DUPLICATE - REVIEW</v>
      </c>
      <c r="Z567">
        <f t="shared" si="83"/>
        <v>0</v>
      </c>
      <c r="AA567">
        <f t="shared" si="84"/>
        <v>5133.96</v>
      </c>
      <c r="AB567">
        <f t="shared" si="85"/>
        <v>1203.96</v>
      </c>
      <c r="AC567">
        <f t="shared" si="86"/>
        <v>0.23449999999999999</v>
      </c>
      <c r="AD567">
        <f t="shared" si="87"/>
        <v>7</v>
      </c>
      <c r="AE567">
        <f t="shared" si="88"/>
        <v>2025</v>
      </c>
      <c r="AF567" t="str">
        <f t="shared" si="89"/>
        <v>CLEAN</v>
      </c>
    </row>
    <row r="568" spans="1:32">
      <c r="A568" t="s">
        <v>621</v>
      </c>
      <c r="B568" s="10">
        <v>45711</v>
      </c>
      <c r="C568" s="10">
        <v>45713</v>
      </c>
      <c r="D568">
        <f t="shared" si="80"/>
        <v>2</v>
      </c>
      <c r="E568" t="str">
        <f t="shared" si="81"/>
        <v>OK</v>
      </c>
      <c r="F568" t="s">
        <v>622</v>
      </c>
      <c r="G568" t="s">
        <v>22</v>
      </c>
      <c r="H568" t="s">
        <v>89</v>
      </c>
      <c r="I568" t="s">
        <v>37</v>
      </c>
      <c r="J568" t="s">
        <v>144</v>
      </c>
      <c r="K568" t="s">
        <v>145</v>
      </c>
      <c r="L568" t="s">
        <v>27</v>
      </c>
      <c r="M568" t="s">
        <v>90</v>
      </c>
      <c r="N568" t="s">
        <v>623</v>
      </c>
      <c r="O568" t="s">
        <v>43</v>
      </c>
      <c r="P568">
        <v>5</v>
      </c>
      <c r="Q568">
        <v>4246.2700000000004</v>
      </c>
      <c r="R568">
        <v>0.25</v>
      </c>
      <c r="S568" t="str">
        <f t="shared" si="82"/>
        <v>OK</v>
      </c>
      <c r="T568">
        <v>15923.51</v>
      </c>
      <c r="U568">
        <v>11291.8</v>
      </c>
      <c r="V568">
        <v>4631.71</v>
      </c>
      <c r="W568" t="s">
        <v>31</v>
      </c>
      <c r="X568" t="s">
        <v>32</v>
      </c>
      <c r="Y568" t="str">
        <f>IF(COUNTIF($A$2:$A$901,A568)&gt;1,
  IF(COUNTIF($A$2:A568,A568)=1,
    " ORIGINAL",
    "CONFLICTING DUPLICATE - REVIEW"),
"OK")</f>
        <v>OK</v>
      </c>
      <c r="Z568">
        <f t="shared" si="83"/>
        <v>0.25</v>
      </c>
      <c r="AA568">
        <f t="shared" si="84"/>
        <v>15923.51</v>
      </c>
      <c r="AB568">
        <f t="shared" si="85"/>
        <v>4631.71</v>
      </c>
      <c r="AC568">
        <f t="shared" si="86"/>
        <v>0.29089999999999999</v>
      </c>
      <c r="AD568">
        <f t="shared" si="87"/>
        <v>2</v>
      </c>
      <c r="AE568">
        <f t="shared" si="88"/>
        <v>2025</v>
      </c>
      <c r="AF568" t="str">
        <f t="shared" si="89"/>
        <v>CLEAN</v>
      </c>
    </row>
    <row r="569" spans="1:32">
      <c r="A569" t="s">
        <v>624</v>
      </c>
      <c r="B569" s="10">
        <v>45696</v>
      </c>
      <c r="C569" s="10">
        <v>45938</v>
      </c>
      <c r="D569">
        <f t="shared" si="80"/>
        <v>242</v>
      </c>
      <c r="E569" t="str">
        <f t="shared" si="81"/>
        <v>OK</v>
      </c>
      <c r="F569" t="s">
        <v>625</v>
      </c>
      <c r="G569" t="s">
        <v>22</v>
      </c>
      <c r="H569" t="s">
        <v>89</v>
      </c>
      <c r="I569" t="s">
        <v>24</v>
      </c>
      <c r="J569" t="s">
        <v>349</v>
      </c>
      <c r="K569" t="s">
        <v>350</v>
      </c>
      <c r="L569" t="s">
        <v>40</v>
      </c>
      <c r="M569" t="s">
        <v>56</v>
      </c>
      <c r="N569" t="s">
        <v>626</v>
      </c>
      <c r="O569" t="s">
        <v>43</v>
      </c>
      <c r="P569">
        <v>9</v>
      </c>
      <c r="Q569">
        <v>2962.62</v>
      </c>
      <c r="R569">
        <v>0.1</v>
      </c>
      <c r="S569" t="str">
        <f t="shared" si="82"/>
        <v>OK</v>
      </c>
      <c r="T569">
        <v>23997.22</v>
      </c>
      <c r="U569">
        <v>16134.63</v>
      </c>
      <c r="V569">
        <v>7862.59</v>
      </c>
      <c r="W569" t="s">
        <v>101</v>
      </c>
      <c r="X569" t="s">
        <v>102</v>
      </c>
      <c r="Y569" t="str">
        <f>IF(COUNTIF($A$2:$A$901,A569)&gt;1,
  IF(COUNTIF($A$2:A569,A569)=1,
    " ORIGINAL",
    "CONFLICTING DUPLICATE - REVIEW"),
"OK")</f>
        <v>OK</v>
      </c>
      <c r="Z569">
        <f t="shared" si="83"/>
        <v>0.1</v>
      </c>
      <c r="AA569">
        <f t="shared" si="84"/>
        <v>23997.22</v>
      </c>
      <c r="AB569">
        <f t="shared" si="85"/>
        <v>7862.59</v>
      </c>
      <c r="AC569">
        <f t="shared" si="86"/>
        <v>0.3276</v>
      </c>
      <c r="AD569">
        <f t="shared" si="87"/>
        <v>2</v>
      </c>
      <c r="AE569">
        <f t="shared" si="88"/>
        <v>2025</v>
      </c>
      <c r="AF569" t="str">
        <f t="shared" si="89"/>
        <v>CLEAN</v>
      </c>
    </row>
    <row r="570" spans="1:32">
      <c r="A570" t="s">
        <v>630</v>
      </c>
      <c r="B570" s="10">
        <v>45928</v>
      </c>
      <c r="C570" s="10">
        <v>45757</v>
      </c>
      <c r="D570">
        <f t="shared" si="80"/>
        <v>-171</v>
      </c>
      <c r="E570" t="str">
        <f t="shared" si="81"/>
        <v>INVALID</v>
      </c>
      <c r="F570" t="s">
        <v>631</v>
      </c>
      <c r="G570" t="s">
        <v>22</v>
      </c>
      <c r="H570" t="s">
        <v>36</v>
      </c>
      <c r="I570" t="s">
        <v>53</v>
      </c>
      <c r="J570" t="s">
        <v>174</v>
      </c>
      <c r="K570" t="s">
        <v>175</v>
      </c>
      <c r="L570" t="s">
        <v>40</v>
      </c>
      <c r="M570" t="s">
        <v>157</v>
      </c>
      <c r="N570" t="s">
        <v>632</v>
      </c>
      <c r="O570" t="s">
        <v>49</v>
      </c>
      <c r="P570">
        <v>6</v>
      </c>
      <c r="Q570">
        <v>1620.53</v>
      </c>
      <c r="R570">
        <v>0.15</v>
      </c>
      <c r="S570" t="str">
        <f t="shared" si="82"/>
        <v>OK</v>
      </c>
      <c r="T570">
        <v>8264.7000000000007</v>
      </c>
      <c r="U570">
        <v>4768.75</v>
      </c>
      <c r="V570">
        <v>3495.95</v>
      </c>
      <c r="W570" t="s">
        <v>110</v>
      </c>
      <c r="X570" t="s">
        <v>102</v>
      </c>
      <c r="Y570" t="str">
        <f>IF(COUNTIF($A$2:$A$901,A570)&gt;1,
  IF(COUNTIF($A$2:A570,A570)=1,
    " ORIGINAL",
    "CONFLICTING DUPLICATE - REVIEW"),
"OK")</f>
        <v>OK</v>
      </c>
      <c r="Z570">
        <f t="shared" si="83"/>
        <v>0.15</v>
      </c>
      <c r="AA570">
        <f t="shared" si="84"/>
        <v>8264.7000000000007</v>
      </c>
      <c r="AB570">
        <f t="shared" si="85"/>
        <v>3495.95</v>
      </c>
      <c r="AC570">
        <f t="shared" si="86"/>
        <v>0.42299999999999999</v>
      </c>
      <c r="AD570">
        <f t="shared" si="87"/>
        <v>9</v>
      </c>
      <c r="AE570">
        <f t="shared" si="88"/>
        <v>2025</v>
      </c>
      <c r="AF570" t="str">
        <f t="shared" si="89"/>
        <v>INVALID</v>
      </c>
    </row>
    <row r="571" spans="1:32">
      <c r="A571" t="s">
        <v>636</v>
      </c>
      <c r="B571" s="10">
        <v>45734</v>
      </c>
      <c r="C571" s="10">
        <v>45742</v>
      </c>
      <c r="D571">
        <f t="shared" si="80"/>
        <v>8</v>
      </c>
      <c r="E571" t="str">
        <f t="shared" si="81"/>
        <v>OK</v>
      </c>
      <c r="F571" t="s">
        <v>637</v>
      </c>
      <c r="G571" t="s">
        <v>70</v>
      </c>
      <c r="H571" t="s">
        <v>89</v>
      </c>
      <c r="I571" t="s">
        <v>37</v>
      </c>
      <c r="J571" t="s">
        <v>227</v>
      </c>
      <c r="K571" t="s">
        <v>228</v>
      </c>
      <c r="L571" t="s">
        <v>40</v>
      </c>
      <c r="M571" t="s">
        <v>157</v>
      </c>
      <c r="N571" t="s">
        <v>638</v>
      </c>
      <c r="O571" t="s">
        <v>58</v>
      </c>
      <c r="P571">
        <v>8</v>
      </c>
      <c r="Q571">
        <v>3563.09</v>
      </c>
      <c r="R571">
        <v>0.15</v>
      </c>
      <c r="S571" t="str">
        <f t="shared" si="82"/>
        <v>OK</v>
      </c>
      <c r="T571">
        <v>24229.01</v>
      </c>
      <c r="U571">
        <v>13910.64</v>
      </c>
      <c r="V571">
        <v>10318.370000000001</v>
      </c>
      <c r="W571" t="s">
        <v>31</v>
      </c>
      <c r="X571" t="s">
        <v>32</v>
      </c>
      <c r="Y571" t="str">
        <f>IF(COUNTIF($A$2:$A$901,A571)&gt;1,
  IF(COUNTIF($A$2:A571,A571)=1,
    " ORIGINAL",
    "CONFLICTING DUPLICATE - REVIEW"),
"OK")</f>
        <v>OK</v>
      </c>
      <c r="Z571">
        <f t="shared" si="83"/>
        <v>0.15</v>
      </c>
      <c r="AA571">
        <f t="shared" si="84"/>
        <v>24229.01</v>
      </c>
      <c r="AB571">
        <f t="shared" si="85"/>
        <v>10318.370000000001</v>
      </c>
      <c r="AC571">
        <f t="shared" si="86"/>
        <v>0.4259</v>
      </c>
      <c r="AD571">
        <f t="shared" si="87"/>
        <v>3</v>
      </c>
      <c r="AE571">
        <f t="shared" si="88"/>
        <v>2025</v>
      </c>
      <c r="AF571" t="str">
        <f t="shared" si="89"/>
        <v>CLEAN</v>
      </c>
    </row>
    <row r="572" spans="1:32">
      <c r="A572" t="s">
        <v>651</v>
      </c>
      <c r="B572" s="10">
        <v>45909</v>
      </c>
      <c r="C572" s="10">
        <v>45939</v>
      </c>
      <c r="D572">
        <f t="shared" si="80"/>
        <v>30</v>
      </c>
      <c r="E572" t="str">
        <f t="shared" si="81"/>
        <v>OK</v>
      </c>
      <c r="F572" t="s">
        <v>652</v>
      </c>
      <c r="G572" t="s">
        <v>113</v>
      </c>
      <c r="H572" t="s">
        <v>94</v>
      </c>
      <c r="I572" t="s">
        <v>53</v>
      </c>
      <c r="J572" t="s">
        <v>246</v>
      </c>
      <c r="K572" t="s">
        <v>247</v>
      </c>
      <c r="L572" t="s">
        <v>27</v>
      </c>
      <c r="M572" t="s">
        <v>47</v>
      </c>
      <c r="N572" t="s">
        <v>653</v>
      </c>
      <c r="O572" t="s">
        <v>30</v>
      </c>
      <c r="P572">
        <v>4</v>
      </c>
      <c r="Q572">
        <v>2551.4499999999998</v>
      </c>
      <c r="R572">
        <v>0</v>
      </c>
      <c r="S572" t="str">
        <f t="shared" si="82"/>
        <v>OK</v>
      </c>
      <c r="T572">
        <v>10205.799999999999</v>
      </c>
      <c r="U572">
        <v>5986.31</v>
      </c>
      <c r="V572">
        <v>4219.49</v>
      </c>
      <c r="W572" t="s">
        <v>31</v>
      </c>
      <c r="X572" t="s">
        <v>32</v>
      </c>
      <c r="Y572" t="str">
        <f>IF(COUNTIF($A$2:$A$901,A572)&gt;1,
  IF(COUNTIF($A$2:A572,A572)=1,
    " ORIGINAL",
    "CONFLICTING DUPLICATE - REVIEW"),
"OK")</f>
        <v>OK</v>
      </c>
      <c r="Z572">
        <f t="shared" si="83"/>
        <v>0</v>
      </c>
      <c r="AA572">
        <f t="shared" si="84"/>
        <v>10205.799999999999</v>
      </c>
      <c r="AB572">
        <f t="shared" si="85"/>
        <v>4219.49</v>
      </c>
      <c r="AC572">
        <f t="shared" si="86"/>
        <v>0.41339999999999999</v>
      </c>
      <c r="AD572">
        <f t="shared" si="87"/>
        <v>9</v>
      </c>
      <c r="AE572">
        <f t="shared" si="88"/>
        <v>2025</v>
      </c>
      <c r="AF572" t="str">
        <f t="shared" si="89"/>
        <v>CLEAN</v>
      </c>
    </row>
    <row r="573" spans="1:32">
      <c r="A573" t="s">
        <v>657</v>
      </c>
      <c r="B573" s="10">
        <v>45832</v>
      </c>
      <c r="C573" s="10">
        <v>45835</v>
      </c>
      <c r="D573">
        <f t="shared" si="80"/>
        <v>3</v>
      </c>
      <c r="E573" t="str">
        <f t="shared" si="81"/>
        <v>OK</v>
      </c>
      <c r="F573" t="s">
        <v>658</v>
      </c>
      <c r="G573" t="s">
        <v>70</v>
      </c>
      <c r="H573" t="s">
        <v>94</v>
      </c>
      <c r="I573" t="s">
        <v>53</v>
      </c>
      <c r="J573" t="s">
        <v>54</v>
      </c>
      <c r="K573" t="s">
        <v>55</v>
      </c>
      <c r="L573" t="s">
        <v>73</v>
      </c>
      <c r="M573" t="s">
        <v>79</v>
      </c>
      <c r="N573" t="s">
        <v>659</v>
      </c>
      <c r="O573" t="s">
        <v>58</v>
      </c>
      <c r="P573">
        <v>7</v>
      </c>
      <c r="Q573">
        <v>2304.86</v>
      </c>
      <c r="R573">
        <v>0.2</v>
      </c>
      <c r="S573" t="str">
        <f t="shared" si="82"/>
        <v>OK</v>
      </c>
      <c r="T573">
        <v>12907.22</v>
      </c>
      <c r="U573">
        <v>8327.89</v>
      </c>
      <c r="V573">
        <v>4579.33</v>
      </c>
      <c r="W573" t="s">
        <v>31</v>
      </c>
      <c r="X573" t="s">
        <v>102</v>
      </c>
      <c r="Y573" t="str">
        <f>IF(COUNTIF($A$2:$A$901,A573)&gt;1,
  IF(COUNTIF($A$2:A573,A573)=1,
    " ORIGINAL",
    "CONFLICTING DUPLICATE - REVIEW"),
"OK")</f>
        <v>OK</v>
      </c>
      <c r="Z573">
        <f t="shared" si="83"/>
        <v>0.2</v>
      </c>
      <c r="AA573">
        <f t="shared" si="84"/>
        <v>12907.22</v>
      </c>
      <c r="AB573">
        <f t="shared" si="85"/>
        <v>4579.33</v>
      </c>
      <c r="AC573">
        <f t="shared" si="86"/>
        <v>0.3548</v>
      </c>
      <c r="AD573">
        <f t="shared" si="87"/>
        <v>6</v>
      </c>
      <c r="AE573">
        <f t="shared" si="88"/>
        <v>2025</v>
      </c>
      <c r="AF573" t="str">
        <f t="shared" si="89"/>
        <v>CLEAN</v>
      </c>
    </row>
    <row r="574" spans="1:32">
      <c r="A574" t="s">
        <v>668</v>
      </c>
      <c r="B574" s="10">
        <v>45778</v>
      </c>
      <c r="C574" s="10">
        <v>45779</v>
      </c>
      <c r="D574">
        <f t="shared" si="80"/>
        <v>1</v>
      </c>
      <c r="E574" t="str">
        <f t="shared" si="81"/>
        <v>OK</v>
      </c>
      <c r="F574" t="s">
        <v>669</v>
      </c>
      <c r="G574" t="s">
        <v>35</v>
      </c>
      <c r="H574" t="s">
        <v>23</v>
      </c>
      <c r="I574" t="s">
        <v>62</v>
      </c>
      <c r="J574" t="s">
        <v>71</v>
      </c>
      <c r="K574" t="s">
        <v>72</v>
      </c>
      <c r="L574" t="s">
        <v>40</v>
      </c>
      <c r="M574" t="s">
        <v>65</v>
      </c>
      <c r="N574" t="s">
        <v>670</v>
      </c>
      <c r="O574" t="s">
        <v>43</v>
      </c>
      <c r="P574">
        <v>3</v>
      </c>
      <c r="Q574">
        <v>2905.74</v>
      </c>
      <c r="R574">
        <v>0</v>
      </c>
      <c r="S574" t="str">
        <f t="shared" si="82"/>
        <v>OK</v>
      </c>
      <c r="T574">
        <v>8717.2199999999993</v>
      </c>
      <c r="U574">
        <v>6215.96</v>
      </c>
      <c r="V574">
        <v>2501.2600000000002</v>
      </c>
      <c r="W574" t="s">
        <v>31</v>
      </c>
      <c r="X574" t="s">
        <v>102</v>
      </c>
      <c r="Y574" t="str">
        <f>IF(COUNTIF($A$2:$A$901,A574)&gt;1,
  IF(COUNTIF($A$2:A574,A574)=1,
    " ORIGINAL",
    "CONFLICTING DUPLICATE - REVIEW"),
"OK")</f>
        <v>OK</v>
      </c>
      <c r="Z574">
        <f t="shared" si="83"/>
        <v>0</v>
      </c>
      <c r="AA574">
        <f t="shared" si="84"/>
        <v>8717.2199999999993</v>
      </c>
      <c r="AB574">
        <f t="shared" si="85"/>
        <v>2501.2600000000002</v>
      </c>
      <c r="AC574">
        <f t="shared" si="86"/>
        <v>0.28689999999999999</v>
      </c>
      <c r="AD574">
        <f t="shared" si="87"/>
        <v>5</v>
      </c>
      <c r="AE574">
        <f t="shared" si="88"/>
        <v>2025</v>
      </c>
      <c r="AF574" t="str">
        <f t="shared" si="89"/>
        <v>CLEAN</v>
      </c>
    </row>
    <row r="575" spans="1:32">
      <c r="A575" t="s">
        <v>671</v>
      </c>
      <c r="B575" s="10">
        <v>45798</v>
      </c>
      <c r="C575" s="10">
        <v>45805</v>
      </c>
      <c r="D575">
        <f t="shared" si="80"/>
        <v>7</v>
      </c>
      <c r="E575" t="str">
        <f t="shared" si="81"/>
        <v>OK</v>
      </c>
      <c r="F575" t="s">
        <v>672</v>
      </c>
      <c r="G575" t="s">
        <v>113</v>
      </c>
      <c r="H575" t="s">
        <v>89</v>
      </c>
      <c r="I575" t="s">
        <v>37</v>
      </c>
      <c r="J575" t="s">
        <v>98</v>
      </c>
      <c r="K575" t="s">
        <v>99</v>
      </c>
      <c r="L575" t="s">
        <v>40</v>
      </c>
      <c r="M575" t="s">
        <v>157</v>
      </c>
      <c r="N575" t="s">
        <v>673</v>
      </c>
      <c r="O575" t="s">
        <v>43</v>
      </c>
      <c r="P575">
        <v>2</v>
      </c>
      <c r="Q575">
        <v>3559.57</v>
      </c>
      <c r="R575">
        <v>0.1</v>
      </c>
      <c r="S575" t="str">
        <f t="shared" si="82"/>
        <v>OK</v>
      </c>
      <c r="T575">
        <v>6553.95</v>
      </c>
      <c r="U575">
        <v>4923.09</v>
      </c>
      <c r="V575">
        <v>1484.14</v>
      </c>
      <c r="W575" t="s">
        <v>31</v>
      </c>
      <c r="X575" t="s">
        <v>32</v>
      </c>
      <c r="Y575" t="str">
        <f>IF(COUNTIF($A$2:$A$901,A575)&gt;1,
  IF(COUNTIF($A$2:A575,A575)=1,
    " ORIGINAL",
    "CONFLICTING DUPLICATE - REVIEW"),
"OK")</f>
        <v>OK</v>
      </c>
      <c r="Z575">
        <f t="shared" si="83"/>
        <v>0.1</v>
      </c>
      <c r="AA575">
        <f t="shared" si="84"/>
        <v>6407.23</v>
      </c>
      <c r="AB575">
        <f t="shared" si="85"/>
        <v>1484.14</v>
      </c>
      <c r="AC575">
        <f t="shared" si="86"/>
        <v>0.2316</v>
      </c>
      <c r="AD575">
        <f t="shared" si="87"/>
        <v>5</v>
      </c>
      <c r="AE575">
        <f t="shared" si="88"/>
        <v>2025</v>
      </c>
      <c r="AF575" t="str">
        <f t="shared" si="89"/>
        <v>CLEAN</v>
      </c>
    </row>
    <row r="576" spans="1:32">
      <c r="A576" t="s">
        <v>674</v>
      </c>
      <c r="B576" s="10">
        <v>45783</v>
      </c>
      <c r="C576" s="10">
        <v>45784</v>
      </c>
      <c r="D576">
        <f t="shared" si="80"/>
        <v>1</v>
      </c>
      <c r="E576" t="str">
        <f t="shared" si="81"/>
        <v>OK</v>
      </c>
      <c r="F576" t="s">
        <v>675</v>
      </c>
      <c r="G576" t="s">
        <v>52</v>
      </c>
      <c r="H576" t="s">
        <v>23</v>
      </c>
      <c r="I576" t="s">
        <v>62</v>
      </c>
      <c r="J576" t="s">
        <v>25</v>
      </c>
      <c r="K576" t="s">
        <v>108</v>
      </c>
      <c r="L576" t="s">
        <v>40</v>
      </c>
      <c r="M576" t="s">
        <v>157</v>
      </c>
      <c r="N576" t="s">
        <v>676</v>
      </c>
      <c r="O576" t="s">
        <v>49</v>
      </c>
      <c r="P576">
        <v>9</v>
      </c>
      <c r="Q576">
        <v>3318.24</v>
      </c>
      <c r="R576">
        <v>0</v>
      </c>
      <c r="S576" t="str">
        <f t="shared" si="82"/>
        <v>OK</v>
      </c>
      <c r="T576">
        <v>25384.54</v>
      </c>
      <c r="U576">
        <v>16872.39</v>
      </c>
      <c r="V576">
        <v>8512.15</v>
      </c>
      <c r="W576" t="s">
        <v>31</v>
      </c>
      <c r="X576" t="s">
        <v>32</v>
      </c>
      <c r="Y576" t="str">
        <f>IF(COUNTIF($A$2:$A$901,A576)&gt;1,
  IF(COUNTIF($A$2:A576,A576)=1,
    " ORIGINAL",
    "CONFLICTING DUPLICATE - REVIEW"),
"OK")</f>
        <v>OK</v>
      </c>
      <c r="Z576">
        <f t="shared" si="83"/>
        <v>0</v>
      </c>
      <c r="AA576">
        <f t="shared" si="84"/>
        <v>29864.16</v>
      </c>
      <c r="AB576">
        <f t="shared" si="85"/>
        <v>12991.77</v>
      </c>
      <c r="AC576">
        <f t="shared" si="86"/>
        <v>0.435</v>
      </c>
      <c r="AD576">
        <f t="shared" si="87"/>
        <v>5</v>
      </c>
      <c r="AE576">
        <f t="shared" si="88"/>
        <v>2025</v>
      </c>
      <c r="AF576" t="str">
        <f t="shared" si="89"/>
        <v>CLEAN</v>
      </c>
    </row>
    <row r="577" spans="1:32">
      <c r="A577" t="s">
        <v>677</v>
      </c>
      <c r="B577" s="10">
        <v>45767</v>
      </c>
      <c r="C577" s="10">
        <v>45768</v>
      </c>
      <c r="D577">
        <f t="shared" si="80"/>
        <v>1</v>
      </c>
      <c r="E577" t="str">
        <f t="shared" si="81"/>
        <v>OK</v>
      </c>
      <c r="F577" t="s">
        <v>678</v>
      </c>
      <c r="G577" t="s">
        <v>88</v>
      </c>
      <c r="H577" t="s">
        <v>23</v>
      </c>
      <c r="I577" t="s">
        <v>53</v>
      </c>
      <c r="J577" t="s">
        <v>246</v>
      </c>
      <c r="K577" t="s">
        <v>247</v>
      </c>
      <c r="L577" t="s">
        <v>27</v>
      </c>
      <c r="M577" t="s">
        <v>123</v>
      </c>
      <c r="N577" t="s">
        <v>679</v>
      </c>
      <c r="O577" t="s">
        <v>49</v>
      </c>
      <c r="P577">
        <v>3</v>
      </c>
      <c r="Q577">
        <v>540.09</v>
      </c>
      <c r="R577">
        <v>0.1</v>
      </c>
      <c r="S577" t="str">
        <f t="shared" si="82"/>
        <v>OK</v>
      </c>
      <c r="T577">
        <v>1458.24</v>
      </c>
      <c r="U577">
        <v>943.32</v>
      </c>
      <c r="V577">
        <v>514.91999999999996</v>
      </c>
      <c r="W577" t="s">
        <v>31</v>
      </c>
      <c r="X577" t="s">
        <v>32</v>
      </c>
      <c r="Y577" t="str">
        <f>IF(COUNTIF($A$2:$A$901,A577)&gt;1,
  IF(COUNTIF($A$2:A577,A577)=1,
    " ORIGINAL",
    "CONFLICTING DUPLICATE - REVIEW"),
"OK")</f>
        <v>OK</v>
      </c>
      <c r="Z577">
        <f t="shared" si="83"/>
        <v>0.1</v>
      </c>
      <c r="AA577">
        <f t="shared" si="84"/>
        <v>1458.24</v>
      </c>
      <c r="AB577">
        <f t="shared" si="85"/>
        <v>514.91999999999996</v>
      </c>
      <c r="AC577">
        <f t="shared" si="86"/>
        <v>0.35310000000000002</v>
      </c>
      <c r="AD577">
        <f t="shared" si="87"/>
        <v>4</v>
      </c>
      <c r="AE577">
        <f t="shared" si="88"/>
        <v>2025</v>
      </c>
      <c r="AF577" t="str">
        <f t="shared" si="89"/>
        <v>CLEAN</v>
      </c>
    </row>
    <row r="578" spans="1:32">
      <c r="A578" t="s">
        <v>689</v>
      </c>
      <c r="B578" s="10">
        <v>45685</v>
      </c>
      <c r="C578" s="10">
        <v>45688</v>
      </c>
      <c r="D578">
        <f t="shared" ref="D578:D641" si="90">C578-B578</f>
        <v>3</v>
      </c>
      <c r="E578" t="str">
        <f t="shared" ref="E578:E641" si="91">IF(D578&lt;0,"INVALID","OK")</f>
        <v>OK</v>
      </c>
      <c r="F578" t="s">
        <v>690</v>
      </c>
      <c r="G578" t="s">
        <v>113</v>
      </c>
      <c r="H578" t="s">
        <v>23</v>
      </c>
      <c r="I578" t="s">
        <v>62</v>
      </c>
      <c r="J578" t="s">
        <v>63</v>
      </c>
      <c r="K578" t="s">
        <v>64</v>
      </c>
      <c r="L578" t="s">
        <v>40</v>
      </c>
      <c r="M578" t="s">
        <v>56</v>
      </c>
      <c r="N578" t="s">
        <v>691</v>
      </c>
      <c r="O578" t="s">
        <v>49</v>
      </c>
      <c r="P578">
        <v>9</v>
      </c>
      <c r="Q578">
        <v>858.39</v>
      </c>
      <c r="R578">
        <v>0.05</v>
      </c>
      <c r="S578" t="str">
        <f t="shared" si="82"/>
        <v>OK</v>
      </c>
      <c r="T578">
        <v>7339.23</v>
      </c>
      <c r="U578">
        <v>5434.12</v>
      </c>
      <c r="V578">
        <v>1905.11</v>
      </c>
      <c r="W578" t="s">
        <v>110</v>
      </c>
      <c r="X578" t="s">
        <v>102</v>
      </c>
      <c r="Y578" t="str">
        <f>IF(COUNTIF($A$2:$A$901,A578)&gt;1,
  IF(COUNTIF($A$2:A578,A578)=1,
    " ORIGINAL",
    "CONFLICTING DUPLICATE - REVIEW"),
"OK")</f>
        <v>OK</v>
      </c>
      <c r="Z578">
        <f t="shared" si="83"/>
        <v>0.05</v>
      </c>
      <c r="AA578">
        <f t="shared" si="84"/>
        <v>7339.23</v>
      </c>
      <c r="AB578">
        <f t="shared" si="85"/>
        <v>1905.11</v>
      </c>
      <c r="AC578">
        <f t="shared" si="86"/>
        <v>0.2596</v>
      </c>
      <c r="AD578">
        <f t="shared" si="87"/>
        <v>1</v>
      </c>
      <c r="AE578">
        <f t="shared" si="88"/>
        <v>2025</v>
      </c>
      <c r="AF578" t="str">
        <f t="shared" si="89"/>
        <v>CLEAN</v>
      </c>
    </row>
    <row r="579" spans="1:32">
      <c r="A579" t="s">
        <v>692</v>
      </c>
      <c r="B579" s="10">
        <v>45860</v>
      </c>
      <c r="C579" s="10">
        <v>45862</v>
      </c>
      <c r="D579">
        <f t="shared" si="90"/>
        <v>2</v>
      </c>
      <c r="E579" t="str">
        <f t="shared" si="91"/>
        <v>OK</v>
      </c>
      <c r="F579" t="s">
        <v>693</v>
      </c>
      <c r="G579" t="s">
        <v>78</v>
      </c>
      <c r="H579" t="s">
        <v>94</v>
      </c>
      <c r="I579" t="s">
        <v>53</v>
      </c>
      <c r="J579" t="s">
        <v>83</v>
      </c>
      <c r="K579" t="s">
        <v>84</v>
      </c>
      <c r="L579" t="s">
        <v>40</v>
      </c>
      <c r="M579" t="s">
        <v>56</v>
      </c>
      <c r="N579" t="s">
        <v>694</v>
      </c>
      <c r="O579" t="s">
        <v>43</v>
      </c>
      <c r="P579">
        <v>5</v>
      </c>
      <c r="Q579">
        <v>1922.83</v>
      </c>
      <c r="R579">
        <v>0</v>
      </c>
      <c r="S579" t="str">
        <f t="shared" ref="S579:S642" si="92">IF(R579&lt;0,"INVALID-NEGATIVE",IF(R579&gt;1,"INVALID-ABOVE","OK"))</f>
        <v>OK</v>
      </c>
      <c r="T579">
        <v>9614.15</v>
      </c>
      <c r="U579">
        <v>7576.84</v>
      </c>
      <c r="V579">
        <v>2037.31</v>
      </c>
      <c r="W579" t="s">
        <v>31</v>
      </c>
      <c r="X579" t="s">
        <v>32</v>
      </c>
      <c r="Y579" t="str">
        <f>IF(COUNTIF($A$2:$A$901,A579)&gt;1,
  IF(COUNTIF($A$2:A579,A579)=1,
    " ORIGINAL",
    "CONFLICTING DUPLICATE - REVIEW"),
"OK")</f>
        <v>OK</v>
      </c>
      <c r="Z579">
        <f t="shared" ref="Z579:Z642" si="93">IF(R579&lt;0, 0,
  IF(ISNUMBER(R579), R579,
    IFERROR(VALUE(SUBSTITUTE(R579,"%",""))/100, 0)))</f>
        <v>0</v>
      </c>
      <c r="AA579">
        <f t="shared" ref="AA579:AA642" si="94">ROUND(P579*Q579*(1-Z579),2)</f>
        <v>9614.15</v>
      </c>
      <c r="AB579">
        <f t="shared" ref="AB579:AB642" si="95">ROUND(AA579-U579,2)</f>
        <v>2037.31</v>
      </c>
      <c r="AC579">
        <f t="shared" ref="AC579:AC642" si="96">IFERROR(ROUND(AB579/AA579,4),0)</f>
        <v>0.21190000000000001</v>
      </c>
      <c r="AD579">
        <f t="shared" ref="AD579:AD642" si="97">IFERROR(MONTH(B579),"INVALID")</f>
        <v>7</v>
      </c>
      <c r="AE579">
        <f t="shared" ref="AE579:AE642" si="98">IFERROR(YEAR(B579),"INVALID")</f>
        <v>2025</v>
      </c>
      <c r="AF579" t="str">
        <f t="shared" ref="AF579:AF642" si="99">IF(OR(R579&lt;0,NOT(ISNUMBER(R579)),D579&lt;0,W579="Failed"),"INVALID",IF(OR(I579="Unknown",O579="Unknown",R579&gt;1,AA579&lt;0),"WARNING","CLEAN"))</f>
        <v>CLEAN</v>
      </c>
    </row>
    <row r="580" spans="1:32">
      <c r="A580" t="s">
        <v>698</v>
      </c>
      <c r="B580" s="10">
        <v>45747</v>
      </c>
      <c r="C580" s="10">
        <v>45842</v>
      </c>
      <c r="D580">
        <f t="shared" si="90"/>
        <v>95</v>
      </c>
      <c r="E580" t="str">
        <f t="shared" si="91"/>
        <v>OK</v>
      </c>
      <c r="F580" t="s">
        <v>389</v>
      </c>
      <c r="G580" t="s">
        <v>117</v>
      </c>
      <c r="H580" t="s">
        <v>36</v>
      </c>
      <c r="I580" t="s">
        <v>37</v>
      </c>
      <c r="J580" t="s">
        <v>144</v>
      </c>
      <c r="K580" t="s">
        <v>145</v>
      </c>
      <c r="L580" t="s">
        <v>27</v>
      </c>
      <c r="M580" t="s">
        <v>123</v>
      </c>
      <c r="N580" t="s">
        <v>699</v>
      </c>
      <c r="O580" t="s">
        <v>30</v>
      </c>
      <c r="P580">
        <v>5</v>
      </c>
      <c r="Q580">
        <v>4096.4399999999996</v>
      </c>
      <c r="R580">
        <v>0.15</v>
      </c>
      <c r="S580" t="str">
        <f t="shared" si="92"/>
        <v>OK</v>
      </c>
      <c r="T580">
        <v>17409.87</v>
      </c>
      <c r="U580">
        <v>14076.25</v>
      </c>
      <c r="V580">
        <v>3333.62</v>
      </c>
      <c r="W580" t="s">
        <v>31</v>
      </c>
      <c r="X580" t="s">
        <v>32</v>
      </c>
      <c r="Y580" t="str">
        <f>IF(COUNTIF($A$2:$A$901,A580)&gt;1,
  IF(COUNTIF($A$2:A580,A580)=1,
    " ORIGINAL",
    "CONFLICTING DUPLICATE - REVIEW"),
"OK")</f>
        <v>OK</v>
      </c>
      <c r="Z580">
        <f t="shared" si="93"/>
        <v>0.15</v>
      </c>
      <c r="AA580">
        <f t="shared" si="94"/>
        <v>17409.87</v>
      </c>
      <c r="AB580">
        <f t="shared" si="95"/>
        <v>3333.62</v>
      </c>
      <c r="AC580">
        <f t="shared" si="96"/>
        <v>0.1915</v>
      </c>
      <c r="AD580">
        <f t="shared" si="97"/>
        <v>3</v>
      </c>
      <c r="AE580">
        <f t="shared" si="98"/>
        <v>2025</v>
      </c>
      <c r="AF580" t="str">
        <f t="shared" si="99"/>
        <v>CLEAN</v>
      </c>
    </row>
    <row r="581" spans="1:32">
      <c r="A581" t="s">
        <v>706</v>
      </c>
      <c r="B581" s="10">
        <v>45835</v>
      </c>
      <c r="C581" s="10">
        <v>45843</v>
      </c>
      <c r="D581">
        <f t="shared" si="90"/>
        <v>8</v>
      </c>
      <c r="E581" t="str">
        <f t="shared" si="91"/>
        <v>OK</v>
      </c>
      <c r="F581" t="s">
        <v>707</v>
      </c>
      <c r="G581" t="s">
        <v>113</v>
      </c>
      <c r="H581" t="s">
        <v>36</v>
      </c>
      <c r="I581" t="s">
        <v>24</v>
      </c>
      <c r="J581" t="s">
        <v>25</v>
      </c>
      <c r="K581" t="s">
        <v>26</v>
      </c>
      <c r="L581" t="s">
        <v>73</v>
      </c>
      <c r="M581" t="s">
        <v>79</v>
      </c>
      <c r="N581" t="s">
        <v>708</v>
      </c>
      <c r="O581" t="s">
        <v>49</v>
      </c>
      <c r="P581">
        <v>5</v>
      </c>
      <c r="Q581">
        <v>2868.44</v>
      </c>
      <c r="R581">
        <v>0.1</v>
      </c>
      <c r="S581" t="str">
        <f t="shared" si="92"/>
        <v>OK</v>
      </c>
      <c r="T581">
        <v>12907.98</v>
      </c>
      <c r="U581">
        <v>9197.08</v>
      </c>
      <c r="V581">
        <v>3710.9</v>
      </c>
      <c r="W581" t="s">
        <v>110</v>
      </c>
      <c r="X581" t="s">
        <v>67</v>
      </c>
      <c r="Y581" t="str">
        <f>IF(COUNTIF($A$2:$A$901,A581)&gt;1,
  IF(COUNTIF($A$2:A581,A581)=1,
    " ORIGINAL",
    "CONFLICTING DUPLICATE - REVIEW"),
"OK")</f>
        <v>OK</v>
      </c>
      <c r="Z581">
        <f t="shared" si="93"/>
        <v>0.1</v>
      </c>
      <c r="AA581">
        <f t="shared" si="94"/>
        <v>12907.98</v>
      </c>
      <c r="AB581">
        <f t="shared" si="95"/>
        <v>3710.9</v>
      </c>
      <c r="AC581">
        <f t="shared" si="96"/>
        <v>0.28749999999999998</v>
      </c>
      <c r="AD581">
        <f t="shared" si="97"/>
        <v>6</v>
      </c>
      <c r="AE581">
        <f t="shared" si="98"/>
        <v>2025</v>
      </c>
      <c r="AF581" t="str">
        <f t="shared" si="99"/>
        <v>CLEAN</v>
      </c>
    </row>
    <row r="582" spans="1:32">
      <c r="A582" t="s">
        <v>709</v>
      </c>
      <c r="B582" s="10">
        <v>45864</v>
      </c>
      <c r="C582" s="10">
        <v>45872</v>
      </c>
      <c r="D582">
        <f t="shared" si="90"/>
        <v>8</v>
      </c>
      <c r="E582" t="str">
        <f t="shared" si="91"/>
        <v>OK</v>
      </c>
      <c r="F582" t="s">
        <v>710</v>
      </c>
      <c r="G582" t="s">
        <v>70</v>
      </c>
      <c r="H582" t="s">
        <v>23</v>
      </c>
      <c r="I582" t="s">
        <v>62</v>
      </c>
      <c r="J582" t="s">
        <v>71</v>
      </c>
      <c r="K582" t="s">
        <v>72</v>
      </c>
      <c r="L582" t="s">
        <v>27</v>
      </c>
      <c r="M582" t="s">
        <v>90</v>
      </c>
      <c r="N582" t="s">
        <v>711</v>
      </c>
      <c r="O582" t="s">
        <v>30</v>
      </c>
      <c r="P582">
        <v>2</v>
      </c>
      <c r="Q582">
        <v>2503.5300000000002</v>
      </c>
      <c r="R582">
        <v>-0.16</v>
      </c>
      <c r="S582" t="str">
        <f t="shared" si="92"/>
        <v>INVALID-NEGATIVE</v>
      </c>
      <c r="T582">
        <v>4756.71</v>
      </c>
      <c r="U582">
        <v>2954.86</v>
      </c>
      <c r="V582">
        <v>1801.85</v>
      </c>
      <c r="W582" t="s">
        <v>101</v>
      </c>
      <c r="X582" t="s">
        <v>67</v>
      </c>
      <c r="Y582" t="str">
        <f>IF(COUNTIF($A$2:$A$901,A582)&gt;1,
  IF(COUNTIF($A$2:A582,A582)=1,
    " ORIGINAL",
    "CONFLICTING DUPLICATE - REVIEW"),
"OK")</f>
        <v>OK</v>
      </c>
      <c r="Z582">
        <f t="shared" si="93"/>
        <v>0</v>
      </c>
      <c r="AA582">
        <f t="shared" si="94"/>
        <v>5007.0600000000004</v>
      </c>
      <c r="AB582">
        <f t="shared" si="95"/>
        <v>2052.1999999999998</v>
      </c>
      <c r="AC582">
        <f t="shared" si="96"/>
        <v>0.40989999999999999</v>
      </c>
      <c r="AD582">
        <f t="shared" si="97"/>
        <v>7</v>
      </c>
      <c r="AE582">
        <f t="shared" si="98"/>
        <v>2025</v>
      </c>
      <c r="AF582" t="str">
        <f t="shared" si="99"/>
        <v>INVALID</v>
      </c>
    </row>
    <row r="583" spans="1:32">
      <c r="A583" t="s">
        <v>712</v>
      </c>
      <c r="B583" s="10">
        <v>45744</v>
      </c>
      <c r="C583" s="10">
        <v>45744</v>
      </c>
      <c r="D583">
        <f t="shared" si="90"/>
        <v>0</v>
      </c>
      <c r="E583" t="str">
        <f t="shared" si="91"/>
        <v>OK</v>
      </c>
      <c r="F583" t="s">
        <v>713</v>
      </c>
      <c r="G583" t="s">
        <v>131</v>
      </c>
      <c r="H583" t="s">
        <v>89</v>
      </c>
      <c r="I583" t="s">
        <v>62</v>
      </c>
      <c r="J583" t="s">
        <v>189</v>
      </c>
      <c r="K583" t="s">
        <v>190</v>
      </c>
      <c r="L583" t="s">
        <v>73</v>
      </c>
      <c r="M583" t="s">
        <v>74</v>
      </c>
      <c r="N583" t="s">
        <v>714</v>
      </c>
      <c r="O583" t="s">
        <v>58</v>
      </c>
      <c r="P583">
        <v>8</v>
      </c>
      <c r="Q583">
        <v>1740.94</v>
      </c>
      <c r="R583">
        <v>0.05</v>
      </c>
      <c r="S583" t="str">
        <f t="shared" si="92"/>
        <v>OK</v>
      </c>
      <c r="T583">
        <v>13231.14</v>
      </c>
      <c r="U583">
        <v>11290.06</v>
      </c>
      <c r="V583">
        <v>1941.08</v>
      </c>
      <c r="W583" t="s">
        <v>31</v>
      </c>
      <c r="X583" t="s">
        <v>32</v>
      </c>
      <c r="Y583" t="str">
        <f>IF(COUNTIF($A$2:$A$901,A583)&gt;1,
  IF(COUNTIF($A$2:A583,A583)=1,
    " ORIGINAL",
    "CONFLICTING DUPLICATE - REVIEW"),
"OK")</f>
        <v>OK</v>
      </c>
      <c r="Z583">
        <f t="shared" si="93"/>
        <v>0.05</v>
      </c>
      <c r="AA583">
        <f t="shared" si="94"/>
        <v>13231.14</v>
      </c>
      <c r="AB583">
        <f t="shared" si="95"/>
        <v>1941.08</v>
      </c>
      <c r="AC583">
        <f t="shared" si="96"/>
        <v>0.1467</v>
      </c>
      <c r="AD583">
        <f t="shared" si="97"/>
        <v>3</v>
      </c>
      <c r="AE583">
        <f t="shared" si="98"/>
        <v>2025</v>
      </c>
      <c r="AF583" t="str">
        <f t="shared" si="99"/>
        <v>CLEAN</v>
      </c>
    </row>
    <row r="584" spans="1:32">
      <c r="A584" t="s">
        <v>718</v>
      </c>
      <c r="B584" s="10">
        <v>45858</v>
      </c>
      <c r="C584" s="10">
        <v>45861</v>
      </c>
      <c r="D584">
        <f t="shared" si="90"/>
        <v>3</v>
      </c>
      <c r="E584" t="str">
        <f t="shared" si="91"/>
        <v>OK</v>
      </c>
      <c r="F584" t="s">
        <v>719</v>
      </c>
      <c r="G584" t="s">
        <v>35</v>
      </c>
      <c r="H584" t="s">
        <v>94</v>
      </c>
      <c r="I584" t="s">
        <v>37</v>
      </c>
      <c r="J584" t="s">
        <v>98</v>
      </c>
      <c r="K584" t="s">
        <v>99</v>
      </c>
      <c r="L584" t="s">
        <v>40</v>
      </c>
      <c r="M584" t="s">
        <v>41</v>
      </c>
      <c r="N584" t="s">
        <v>720</v>
      </c>
      <c r="O584" t="s">
        <v>30</v>
      </c>
      <c r="P584">
        <v>4</v>
      </c>
      <c r="Q584">
        <v>477.69</v>
      </c>
      <c r="R584">
        <v>0.15</v>
      </c>
      <c r="S584" t="str">
        <f t="shared" si="92"/>
        <v>OK</v>
      </c>
      <c r="T584">
        <v>1624.15</v>
      </c>
      <c r="U584">
        <v>1217.99</v>
      </c>
      <c r="V584">
        <v>406.16</v>
      </c>
      <c r="W584" t="s">
        <v>31</v>
      </c>
      <c r="X584" t="s">
        <v>32</v>
      </c>
      <c r="Y584" t="str">
        <f>IF(COUNTIF($A$2:$A$901,A584)&gt;1,
  IF(COUNTIF($A$2:A584,A584)=1,
    " ORIGINAL",
    "CONFLICTING DUPLICATE - REVIEW"),
"OK")</f>
        <v>OK</v>
      </c>
      <c r="Z584">
        <f t="shared" si="93"/>
        <v>0.15</v>
      </c>
      <c r="AA584">
        <f t="shared" si="94"/>
        <v>1624.15</v>
      </c>
      <c r="AB584">
        <f t="shared" si="95"/>
        <v>406.16</v>
      </c>
      <c r="AC584">
        <f t="shared" si="96"/>
        <v>0.25009999999999999</v>
      </c>
      <c r="AD584">
        <f t="shared" si="97"/>
        <v>7</v>
      </c>
      <c r="AE584">
        <f t="shared" si="98"/>
        <v>2025</v>
      </c>
      <c r="AF584" t="str">
        <f t="shared" si="99"/>
        <v>CLEAN</v>
      </c>
    </row>
    <row r="585" spans="1:32">
      <c r="A585" t="s">
        <v>721</v>
      </c>
      <c r="B585" s="10">
        <v>45768</v>
      </c>
      <c r="C585" s="10">
        <v>45773</v>
      </c>
      <c r="D585">
        <f t="shared" si="90"/>
        <v>5</v>
      </c>
      <c r="E585" t="str">
        <f t="shared" si="91"/>
        <v>OK</v>
      </c>
      <c r="F585" t="s">
        <v>722</v>
      </c>
      <c r="G585" t="s">
        <v>61</v>
      </c>
      <c r="H585" t="s">
        <v>23</v>
      </c>
      <c r="I585" t="s">
        <v>62</v>
      </c>
      <c r="J585" t="s">
        <v>63</v>
      </c>
      <c r="K585" t="s">
        <v>64</v>
      </c>
      <c r="L585" t="s">
        <v>27</v>
      </c>
      <c r="M585" t="s">
        <v>90</v>
      </c>
      <c r="N585" t="s">
        <v>723</v>
      </c>
      <c r="O585" t="s">
        <v>43</v>
      </c>
      <c r="P585">
        <v>6</v>
      </c>
      <c r="Q585">
        <v>873.59</v>
      </c>
      <c r="R585">
        <v>0.2</v>
      </c>
      <c r="S585" t="str">
        <f t="shared" si="92"/>
        <v>OK</v>
      </c>
      <c r="T585">
        <v>4193.2299999999996</v>
      </c>
      <c r="U585">
        <v>3329.99</v>
      </c>
      <c r="V585">
        <v>863.24</v>
      </c>
      <c r="W585" t="s">
        <v>31</v>
      </c>
      <c r="X585" t="s">
        <v>32</v>
      </c>
      <c r="Y585" t="str">
        <f>IF(COUNTIF($A$2:$A$901,A585)&gt;1,
  IF(COUNTIF($A$2:A585,A585)=1,
    " ORIGINAL",
    "CONFLICTING DUPLICATE - REVIEW"),
"OK")</f>
        <v>OK</v>
      </c>
      <c r="Z585">
        <f t="shared" si="93"/>
        <v>0.2</v>
      </c>
      <c r="AA585">
        <f t="shared" si="94"/>
        <v>4193.2299999999996</v>
      </c>
      <c r="AB585">
        <f t="shared" si="95"/>
        <v>863.24</v>
      </c>
      <c r="AC585">
        <f t="shared" si="96"/>
        <v>0.2059</v>
      </c>
      <c r="AD585">
        <f t="shared" si="97"/>
        <v>4</v>
      </c>
      <c r="AE585">
        <f t="shared" si="98"/>
        <v>2025</v>
      </c>
      <c r="AF585" t="str">
        <f t="shared" si="99"/>
        <v>CLEAN</v>
      </c>
    </row>
    <row r="586" spans="1:32">
      <c r="A586" t="s">
        <v>724</v>
      </c>
      <c r="B586" s="10">
        <v>45795</v>
      </c>
      <c r="C586" s="10">
        <v>45797</v>
      </c>
      <c r="D586">
        <f t="shared" si="90"/>
        <v>2</v>
      </c>
      <c r="E586" t="str">
        <f t="shared" si="91"/>
        <v>OK</v>
      </c>
      <c r="F586" t="s">
        <v>725</v>
      </c>
      <c r="G586" t="s">
        <v>161</v>
      </c>
      <c r="H586" t="s">
        <v>36</v>
      </c>
      <c r="I586" t="s">
        <v>24</v>
      </c>
      <c r="J586" t="s">
        <v>135</v>
      </c>
      <c r="K586" t="s">
        <v>136</v>
      </c>
      <c r="L586" t="s">
        <v>40</v>
      </c>
      <c r="M586" t="s">
        <v>56</v>
      </c>
      <c r="N586" t="s">
        <v>726</v>
      </c>
      <c r="O586" t="s">
        <v>49</v>
      </c>
      <c r="P586">
        <v>2</v>
      </c>
      <c r="Q586">
        <v>215.13</v>
      </c>
      <c r="R586">
        <v>0</v>
      </c>
      <c r="S586" t="str">
        <f t="shared" si="92"/>
        <v>OK</v>
      </c>
      <c r="T586">
        <v>430.26</v>
      </c>
      <c r="U586">
        <v>286.38</v>
      </c>
      <c r="V586">
        <v>143.88</v>
      </c>
      <c r="W586" t="s">
        <v>31</v>
      </c>
      <c r="X586" t="s">
        <v>32</v>
      </c>
      <c r="Y586" t="str">
        <f>IF(COUNTIF($A$2:$A$901,A586)&gt;1,
  IF(COUNTIF($A$2:A586,A586)=1,
    " ORIGINAL",
    "CONFLICTING DUPLICATE - REVIEW"),
"OK")</f>
        <v>OK</v>
      </c>
      <c r="Z586">
        <f t="shared" si="93"/>
        <v>0</v>
      </c>
      <c r="AA586">
        <f t="shared" si="94"/>
        <v>430.26</v>
      </c>
      <c r="AB586">
        <f t="shared" si="95"/>
        <v>143.88</v>
      </c>
      <c r="AC586">
        <f t="shared" si="96"/>
        <v>0.33439999999999998</v>
      </c>
      <c r="AD586">
        <f t="shared" si="97"/>
        <v>5</v>
      </c>
      <c r="AE586">
        <f t="shared" si="98"/>
        <v>2025</v>
      </c>
      <c r="AF586" t="str">
        <f t="shared" si="99"/>
        <v>CLEAN</v>
      </c>
    </row>
    <row r="587" spans="1:32">
      <c r="A587" t="s">
        <v>730</v>
      </c>
      <c r="B587" s="10">
        <v>45837</v>
      </c>
      <c r="C587" s="10">
        <v>45784</v>
      </c>
      <c r="D587">
        <f t="shared" si="90"/>
        <v>-53</v>
      </c>
      <c r="E587" t="str">
        <f t="shared" si="91"/>
        <v>INVALID</v>
      </c>
      <c r="F587" t="s">
        <v>731</v>
      </c>
      <c r="G587" t="s">
        <v>161</v>
      </c>
      <c r="H587" t="s">
        <v>23</v>
      </c>
      <c r="I587" t="s">
        <v>24</v>
      </c>
      <c r="J587" t="s">
        <v>121</v>
      </c>
      <c r="K587" t="s">
        <v>122</v>
      </c>
      <c r="L587" t="s">
        <v>40</v>
      </c>
      <c r="M587" t="s">
        <v>65</v>
      </c>
      <c r="N587" t="s">
        <v>732</v>
      </c>
      <c r="O587" t="s">
        <v>43</v>
      </c>
      <c r="P587">
        <v>1</v>
      </c>
      <c r="Q587">
        <v>999.83</v>
      </c>
      <c r="R587">
        <v>0</v>
      </c>
      <c r="S587" t="str">
        <f t="shared" si="92"/>
        <v>OK</v>
      </c>
      <c r="T587">
        <v>999.83</v>
      </c>
      <c r="U587">
        <v>634.91</v>
      </c>
      <c r="V587">
        <v>364.92</v>
      </c>
      <c r="W587" t="s">
        <v>31</v>
      </c>
      <c r="X587" t="s">
        <v>32</v>
      </c>
      <c r="Y587" t="str">
        <f>IF(COUNTIF($A$2:$A$901,A587)&gt;1,
  IF(COUNTIF($A$2:A587,A587)=1,
    " ORIGINAL",
    "CONFLICTING DUPLICATE - REVIEW"),
"OK")</f>
        <v>OK</v>
      </c>
      <c r="Z587">
        <f t="shared" si="93"/>
        <v>0</v>
      </c>
      <c r="AA587">
        <f t="shared" si="94"/>
        <v>999.83</v>
      </c>
      <c r="AB587">
        <f t="shared" si="95"/>
        <v>364.92</v>
      </c>
      <c r="AC587">
        <f t="shared" si="96"/>
        <v>0.36499999999999999</v>
      </c>
      <c r="AD587">
        <f t="shared" si="97"/>
        <v>6</v>
      </c>
      <c r="AE587">
        <f t="shared" si="98"/>
        <v>2025</v>
      </c>
      <c r="AF587" t="str">
        <f t="shared" si="99"/>
        <v>INVALID</v>
      </c>
    </row>
    <row r="588" spans="1:32">
      <c r="A588" t="s">
        <v>733</v>
      </c>
      <c r="B588" s="10">
        <v>45882</v>
      </c>
      <c r="C588" s="10">
        <v>45883</v>
      </c>
      <c r="D588">
        <f t="shared" si="90"/>
        <v>1</v>
      </c>
      <c r="E588" t="str">
        <f t="shared" si="91"/>
        <v>OK</v>
      </c>
      <c r="F588" t="s">
        <v>734</v>
      </c>
      <c r="G588" t="s">
        <v>140</v>
      </c>
      <c r="H588" t="s">
        <v>36</v>
      </c>
      <c r="I588" t="s">
        <v>53</v>
      </c>
      <c r="J588" t="s">
        <v>83</v>
      </c>
      <c r="K588" t="s">
        <v>84</v>
      </c>
      <c r="L588" t="s">
        <v>27</v>
      </c>
      <c r="M588" t="s">
        <v>28</v>
      </c>
      <c r="N588" t="s">
        <v>735</v>
      </c>
      <c r="O588" t="s">
        <v>49</v>
      </c>
      <c r="P588">
        <v>9</v>
      </c>
      <c r="Q588">
        <v>864.98</v>
      </c>
      <c r="R588">
        <v>0.1</v>
      </c>
      <c r="S588" t="str">
        <f t="shared" si="92"/>
        <v>OK</v>
      </c>
      <c r="T588">
        <v>7006.34</v>
      </c>
      <c r="U588">
        <v>4640.88</v>
      </c>
      <c r="V588">
        <v>2365.46</v>
      </c>
      <c r="W588" t="s">
        <v>31</v>
      </c>
      <c r="X588" t="s">
        <v>32</v>
      </c>
      <c r="Y588" t="str">
        <f>IF(COUNTIF($A$2:$A$901,A588)&gt;1,
  IF(COUNTIF($A$2:A588,A588)=1,
    " ORIGINAL",
    "CONFLICTING DUPLICATE - REVIEW"),
"OK")</f>
        <v>OK</v>
      </c>
      <c r="Z588">
        <f t="shared" si="93"/>
        <v>0.1</v>
      </c>
      <c r="AA588">
        <f t="shared" si="94"/>
        <v>7006.34</v>
      </c>
      <c r="AB588">
        <f t="shared" si="95"/>
        <v>2365.46</v>
      </c>
      <c r="AC588">
        <f t="shared" si="96"/>
        <v>0.33760000000000001</v>
      </c>
      <c r="AD588">
        <f t="shared" si="97"/>
        <v>8</v>
      </c>
      <c r="AE588">
        <f t="shared" si="98"/>
        <v>2025</v>
      </c>
      <c r="AF588" t="str">
        <f t="shared" si="99"/>
        <v>CLEAN</v>
      </c>
    </row>
    <row r="589" spans="1:32">
      <c r="A589" t="s">
        <v>754</v>
      </c>
      <c r="B589" s="10">
        <v>45757</v>
      </c>
      <c r="C589" s="10">
        <v>45762</v>
      </c>
      <c r="D589">
        <f t="shared" si="90"/>
        <v>5</v>
      </c>
      <c r="E589" t="str">
        <f t="shared" si="91"/>
        <v>OK</v>
      </c>
      <c r="F589" t="s">
        <v>755</v>
      </c>
      <c r="G589" t="s">
        <v>46</v>
      </c>
      <c r="H589" t="s">
        <v>23</v>
      </c>
      <c r="I589" t="s">
        <v>62</v>
      </c>
      <c r="J589" t="s">
        <v>179</v>
      </c>
      <c r="K589" t="s">
        <v>180</v>
      </c>
      <c r="L589" t="s">
        <v>40</v>
      </c>
      <c r="M589" t="s">
        <v>41</v>
      </c>
      <c r="N589" t="s">
        <v>756</v>
      </c>
      <c r="O589" t="s">
        <v>58</v>
      </c>
      <c r="P589">
        <v>8</v>
      </c>
      <c r="Q589">
        <v>1839.87</v>
      </c>
      <c r="R589">
        <v>0.25</v>
      </c>
      <c r="S589" t="str">
        <f t="shared" si="92"/>
        <v>OK</v>
      </c>
      <c r="T589">
        <v>11039.22</v>
      </c>
      <c r="U589">
        <v>7642.91</v>
      </c>
      <c r="V589">
        <v>3396.31</v>
      </c>
      <c r="W589" t="s">
        <v>154</v>
      </c>
      <c r="X589" t="s">
        <v>102</v>
      </c>
      <c r="Y589" t="str">
        <f>IF(COUNTIF($A$2:$A$901,A589)&gt;1,
  IF(COUNTIF($A$2:A589,A589)=1,
    " ORIGINAL",
    "CONFLICTING DUPLICATE - REVIEW"),
"OK")</f>
        <v>OK</v>
      </c>
      <c r="Z589">
        <f t="shared" si="93"/>
        <v>0.25</v>
      </c>
      <c r="AA589">
        <f t="shared" si="94"/>
        <v>11039.22</v>
      </c>
      <c r="AB589">
        <f t="shared" si="95"/>
        <v>3396.31</v>
      </c>
      <c r="AC589">
        <f t="shared" si="96"/>
        <v>0.30769999999999997</v>
      </c>
      <c r="AD589">
        <f t="shared" si="97"/>
        <v>4</v>
      </c>
      <c r="AE589">
        <f t="shared" si="98"/>
        <v>2025</v>
      </c>
      <c r="AF589" t="str">
        <f t="shared" si="99"/>
        <v>INVALID</v>
      </c>
    </row>
    <row r="590" spans="1:32">
      <c r="A590" t="s">
        <v>757</v>
      </c>
      <c r="B590" s="10">
        <v>45661</v>
      </c>
      <c r="C590" s="10">
        <v>45755</v>
      </c>
      <c r="D590">
        <f t="shared" si="90"/>
        <v>94</v>
      </c>
      <c r="E590" t="str">
        <f t="shared" si="91"/>
        <v>OK</v>
      </c>
      <c r="F590" t="s">
        <v>758</v>
      </c>
      <c r="G590" t="s">
        <v>88</v>
      </c>
      <c r="H590" t="s">
        <v>23</v>
      </c>
      <c r="I590" t="s">
        <v>37</v>
      </c>
      <c r="J590" t="s">
        <v>38</v>
      </c>
      <c r="K590" t="s">
        <v>39</v>
      </c>
      <c r="L590" t="s">
        <v>40</v>
      </c>
      <c r="M590" t="s">
        <v>157</v>
      </c>
      <c r="N590" t="s">
        <v>759</v>
      </c>
      <c r="O590" t="s">
        <v>30</v>
      </c>
      <c r="P590">
        <v>5</v>
      </c>
      <c r="Q590">
        <v>1021.28</v>
      </c>
      <c r="R590">
        <v>0.1</v>
      </c>
      <c r="S590" t="str">
        <f t="shared" si="92"/>
        <v>OK</v>
      </c>
      <c r="T590">
        <v>4595.76</v>
      </c>
      <c r="U590">
        <v>3396.8</v>
      </c>
      <c r="V590">
        <v>1198.96</v>
      </c>
      <c r="W590" t="s">
        <v>101</v>
      </c>
      <c r="X590" t="s">
        <v>67</v>
      </c>
      <c r="Y590" t="str">
        <f>IF(COUNTIF($A$2:$A$901,A590)&gt;1,
  IF(COUNTIF($A$2:A590,A590)=1,
    " ORIGINAL",
    "CONFLICTING DUPLICATE - REVIEW"),
"OK")</f>
        <v>OK</v>
      </c>
      <c r="Z590">
        <f t="shared" si="93"/>
        <v>0.1</v>
      </c>
      <c r="AA590">
        <f t="shared" si="94"/>
        <v>4595.76</v>
      </c>
      <c r="AB590">
        <f t="shared" si="95"/>
        <v>1198.96</v>
      </c>
      <c r="AC590">
        <f t="shared" si="96"/>
        <v>0.26090000000000002</v>
      </c>
      <c r="AD590">
        <f t="shared" si="97"/>
        <v>1</v>
      </c>
      <c r="AE590">
        <f t="shared" si="98"/>
        <v>2025</v>
      </c>
      <c r="AF590" t="str">
        <f t="shared" si="99"/>
        <v>CLEAN</v>
      </c>
    </row>
    <row r="591" spans="1:32">
      <c r="A591" t="s">
        <v>760</v>
      </c>
      <c r="B591" s="10">
        <v>45714</v>
      </c>
      <c r="C591" s="10">
        <v>45715</v>
      </c>
      <c r="D591">
        <f t="shared" si="90"/>
        <v>1</v>
      </c>
      <c r="E591" t="str">
        <f t="shared" si="91"/>
        <v>OK</v>
      </c>
      <c r="F591" t="s">
        <v>761</v>
      </c>
      <c r="G591" t="s">
        <v>113</v>
      </c>
      <c r="H591" t="s">
        <v>89</v>
      </c>
      <c r="I591" t="s">
        <v>62</v>
      </c>
      <c r="J591" t="s">
        <v>179</v>
      </c>
      <c r="K591" t="s">
        <v>180</v>
      </c>
      <c r="L591" t="s">
        <v>40</v>
      </c>
      <c r="M591" t="s">
        <v>157</v>
      </c>
      <c r="N591" t="s">
        <v>762</v>
      </c>
      <c r="O591" t="s">
        <v>58</v>
      </c>
      <c r="P591">
        <v>5</v>
      </c>
      <c r="Q591">
        <v>258.27999999999997</v>
      </c>
      <c r="R591">
        <v>0</v>
      </c>
      <c r="S591" t="str">
        <f t="shared" si="92"/>
        <v>OK</v>
      </c>
      <c r="T591">
        <v>1291.4000000000001</v>
      </c>
      <c r="U591">
        <v>756.93</v>
      </c>
      <c r="V591">
        <v>534.47</v>
      </c>
      <c r="W591" t="s">
        <v>31</v>
      </c>
      <c r="X591" t="s">
        <v>32</v>
      </c>
      <c r="Y591" t="str">
        <f>IF(COUNTIF($A$2:$A$901,A591)&gt;1,
  IF(COUNTIF($A$2:A591,A591)=1,
    " ORIGINAL",
    "CONFLICTING DUPLICATE - REVIEW"),
"OK")</f>
        <v>OK</v>
      </c>
      <c r="Z591">
        <f t="shared" si="93"/>
        <v>0</v>
      </c>
      <c r="AA591">
        <f t="shared" si="94"/>
        <v>1291.4000000000001</v>
      </c>
      <c r="AB591">
        <f t="shared" si="95"/>
        <v>534.47</v>
      </c>
      <c r="AC591">
        <f t="shared" si="96"/>
        <v>0.41389999999999999</v>
      </c>
      <c r="AD591">
        <f t="shared" si="97"/>
        <v>2</v>
      </c>
      <c r="AE591">
        <f t="shared" si="98"/>
        <v>2025</v>
      </c>
      <c r="AF591" t="str">
        <f t="shared" si="99"/>
        <v>CLEAN</v>
      </c>
    </row>
    <row r="592" spans="1:32">
      <c r="A592" t="s">
        <v>770</v>
      </c>
      <c r="B592" s="10">
        <v>45992</v>
      </c>
      <c r="C592" s="10">
        <v>45672</v>
      </c>
      <c r="D592">
        <f t="shared" si="90"/>
        <v>-320</v>
      </c>
      <c r="E592" t="str">
        <f t="shared" si="91"/>
        <v>INVALID</v>
      </c>
      <c r="F592" t="s">
        <v>771</v>
      </c>
      <c r="G592" t="s">
        <v>35</v>
      </c>
      <c r="H592" t="s">
        <v>89</v>
      </c>
      <c r="I592" t="s">
        <v>53</v>
      </c>
      <c r="J592" t="s">
        <v>174</v>
      </c>
      <c r="K592" t="s">
        <v>175</v>
      </c>
      <c r="L592" t="s">
        <v>40</v>
      </c>
      <c r="M592" t="s">
        <v>65</v>
      </c>
      <c r="N592" t="s">
        <v>772</v>
      </c>
      <c r="O592" t="s">
        <v>43</v>
      </c>
      <c r="P592">
        <v>4</v>
      </c>
      <c r="Q592">
        <v>1531.53</v>
      </c>
      <c r="R592">
        <v>0.2</v>
      </c>
      <c r="S592" t="str">
        <f t="shared" si="92"/>
        <v>OK</v>
      </c>
      <c r="T592">
        <v>4900.8999999999996</v>
      </c>
      <c r="U592">
        <v>3552.69</v>
      </c>
      <c r="V592">
        <v>1348.21</v>
      </c>
      <c r="W592" t="s">
        <v>31</v>
      </c>
      <c r="X592" t="s">
        <v>32</v>
      </c>
      <c r="Y592" t="str">
        <f>IF(COUNTIF($A$2:$A$901,A592)&gt;1,
  IF(COUNTIF($A$2:A592,A592)=1,
    " ORIGINAL",
    "CONFLICTING DUPLICATE - REVIEW"),
"OK")</f>
        <v>OK</v>
      </c>
      <c r="Z592">
        <f t="shared" si="93"/>
        <v>0.2</v>
      </c>
      <c r="AA592">
        <f t="shared" si="94"/>
        <v>4900.8999999999996</v>
      </c>
      <c r="AB592">
        <f t="shared" si="95"/>
        <v>1348.21</v>
      </c>
      <c r="AC592">
        <f t="shared" si="96"/>
        <v>0.27510000000000001</v>
      </c>
      <c r="AD592">
        <f t="shared" si="97"/>
        <v>12</v>
      </c>
      <c r="AE592">
        <f t="shared" si="98"/>
        <v>2025</v>
      </c>
      <c r="AF592" t="str">
        <f t="shared" si="99"/>
        <v>INVALID</v>
      </c>
    </row>
    <row r="593" spans="1:32">
      <c r="A593" t="s">
        <v>773</v>
      </c>
      <c r="B593" s="10">
        <v>45776</v>
      </c>
      <c r="C593" s="10">
        <v>45779</v>
      </c>
      <c r="D593">
        <f t="shared" si="90"/>
        <v>3</v>
      </c>
      <c r="E593" t="str">
        <f t="shared" si="91"/>
        <v>OK</v>
      </c>
      <c r="F593" t="s">
        <v>774</v>
      </c>
      <c r="G593" t="s">
        <v>70</v>
      </c>
      <c r="H593" t="s">
        <v>36</v>
      </c>
      <c r="I593" t="s">
        <v>62</v>
      </c>
      <c r="J593" t="s">
        <v>189</v>
      </c>
      <c r="K593" t="s">
        <v>190</v>
      </c>
      <c r="L593" t="s">
        <v>27</v>
      </c>
      <c r="M593" t="s">
        <v>123</v>
      </c>
      <c r="N593" t="s">
        <v>775</v>
      </c>
      <c r="O593" t="s">
        <v>49</v>
      </c>
      <c r="P593">
        <v>6</v>
      </c>
      <c r="Q593">
        <v>4308.09</v>
      </c>
      <c r="R593">
        <v>0</v>
      </c>
      <c r="S593" t="str">
        <f t="shared" si="92"/>
        <v>OK</v>
      </c>
      <c r="T593">
        <v>25848.54</v>
      </c>
      <c r="U593">
        <v>17729.09</v>
      </c>
      <c r="V593">
        <v>8119.45</v>
      </c>
      <c r="W593" t="s">
        <v>31</v>
      </c>
      <c r="X593" t="s">
        <v>32</v>
      </c>
      <c r="Y593" t="str">
        <f>IF(COUNTIF($A$2:$A$901,A593)&gt;1,
  IF(COUNTIF($A$2:A593,A593)=1,
    " ORIGINAL",
    "CONFLICTING DUPLICATE - REVIEW"),
"OK")</f>
        <v>OK</v>
      </c>
      <c r="Z593">
        <f t="shared" si="93"/>
        <v>0</v>
      </c>
      <c r="AA593">
        <f t="shared" si="94"/>
        <v>25848.54</v>
      </c>
      <c r="AB593">
        <f t="shared" si="95"/>
        <v>8119.45</v>
      </c>
      <c r="AC593">
        <f t="shared" si="96"/>
        <v>0.31409999999999999</v>
      </c>
      <c r="AD593">
        <f t="shared" si="97"/>
        <v>4</v>
      </c>
      <c r="AE593">
        <f t="shared" si="98"/>
        <v>2025</v>
      </c>
      <c r="AF593" t="str">
        <f t="shared" si="99"/>
        <v>CLEAN</v>
      </c>
    </row>
    <row r="594" spans="1:32">
      <c r="A594" t="s">
        <v>776</v>
      </c>
      <c r="B594" s="10">
        <v>45707</v>
      </c>
      <c r="C594" s="10">
        <v>45714</v>
      </c>
      <c r="D594">
        <f t="shared" si="90"/>
        <v>7</v>
      </c>
      <c r="E594" t="str">
        <f t="shared" si="91"/>
        <v>OK</v>
      </c>
      <c r="F594" t="s">
        <v>777</v>
      </c>
      <c r="G594" t="s">
        <v>35</v>
      </c>
      <c r="H594" t="s">
        <v>89</v>
      </c>
      <c r="I594" t="s">
        <v>62</v>
      </c>
      <c r="J594" t="s">
        <v>63</v>
      </c>
      <c r="K594" t="s">
        <v>64</v>
      </c>
      <c r="L594" t="s">
        <v>40</v>
      </c>
      <c r="M594" t="s">
        <v>56</v>
      </c>
      <c r="N594" t="s">
        <v>778</v>
      </c>
      <c r="O594" t="s">
        <v>49</v>
      </c>
      <c r="P594">
        <v>3</v>
      </c>
      <c r="Q594">
        <v>490.3</v>
      </c>
      <c r="R594">
        <v>0.2</v>
      </c>
      <c r="S594" t="str">
        <f t="shared" si="92"/>
        <v>OK</v>
      </c>
      <c r="T594">
        <v>1176.72</v>
      </c>
      <c r="U594">
        <v>654.33000000000004</v>
      </c>
      <c r="V594">
        <v>522.39</v>
      </c>
      <c r="W594" t="s">
        <v>110</v>
      </c>
      <c r="X594" t="s">
        <v>102</v>
      </c>
      <c r="Y594" t="str">
        <f>IF(COUNTIF($A$2:$A$901,A594)&gt;1,
  IF(COUNTIF($A$2:A594,A594)=1,
    " ORIGINAL",
    "CONFLICTING DUPLICATE - REVIEW"),
"OK")</f>
        <v>OK</v>
      </c>
      <c r="Z594">
        <f t="shared" si="93"/>
        <v>0.2</v>
      </c>
      <c r="AA594">
        <f t="shared" si="94"/>
        <v>1176.72</v>
      </c>
      <c r="AB594">
        <f t="shared" si="95"/>
        <v>522.39</v>
      </c>
      <c r="AC594">
        <f t="shared" si="96"/>
        <v>0.44390000000000002</v>
      </c>
      <c r="AD594">
        <f t="shared" si="97"/>
        <v>2</v>
      </c>
      <c r="AE594">
        <f t="shared" si="98"/>
        <v>2025</v>
      </c>
      <c r="AF594" t="str">
        <f t="shared" si="99"/>
        <v>CLEAN</v>
      </c>
    </row>
    <row r="595" spans="1:32">
      <c r="A595" t="s">
        <v>779</v>
      </c>
      <c r="B595" s="10">
        <v>45932</v>
      </c>
      <c r="C595" s="10">
        <v>45938</v>
      </c>
      <c r="D595">
        <f t="shared" si="90"/>
        <v>6</v>
      </c>
      <c r="E595" t="str">
        <f t="shared" si="91"/>
        <v>OK</v>
      </c>
      <c r="F595" t="s">
        <v>780</v>
      </c>
      <c r="G595" t="s">
        <v>46</v>
      </c>
      <c r="H595" t="s">
        <v>36</v>
      </c>
      <c r="I595" t="s">
        <v>24</v>
      </c>
      <c r="J595" t="s">
        <v>121</v>
      </c>
      <c r="K595" t="s">
        <v>122</v>
      </c>
      <c r="L595" t="s">
        <v>40</v>
      </c>
      <c r="M595" t="s">
        <v>56</v>
      </c>
      <c r="N595" t="s">
        <v>781</v>
      </c>
      <c r="O595" t="s">
        <v>58</v>
      </c>
      <c r="P595">
        <v>4</v>
      </c>
      <c r="Q595">
        <v>3944.64</v>
      </c>
      <c r="R595">
        <v>0.25</v>
      </c>
      <c r="S595" t="str">
        <f t="shared" si="92"/>
        <v>OK</v>
      </c>
      <c r="T595">
        <v>11833.92</v>
      </c>
      <c r="U595">
        <v>6682.92</v>
      </c>
      <c r="V595">
        <v>5151</v>
      </c>
      <c r="W595" t="s">
        <v>31</v>
      </c>
      <c r="X595" t="s">
        <v>67</v>
      </c>
      <c r="Y595" t="str">
        <f>IF(COUNTIF($A$2:$A$901,A595)&gt;1,
  IF(COUNTIF($A$2:A595,A595)=1,
    " ORIGINAL",
    "CONFLICTING DUPLICATE - REVIEW"),
"OK")</f>
        <v xml:space="preserve"> ORIGINAL</v>
      </c>
      <c r="Z595">
        <f t="shared" si="93"/>
        <v>0.25</v>
      </c>
      <c r="AA595">
        <f t="shared" si="94"/>
        <v>11833.92</v>
      </c>
      <c r="AB595">
        <f t="shared" si="95"/>
        <v>5151</v>
      </c>
      <c r="AC595">
        <f t="shared" si="96"/>
        <v>0.43530000000000002</v>
      </c>
      <c r="AD595">
        <f t="shared" si="97"/>
        <v>10</v>
      </c>
      <c r="AE595">
        <f t="shared" si="98"/>
        <v>2025</v>
      </c>
      <c r="AF595" t="str">
        <f t="shared" si="99"/>
        <v>CLEAN</v>
      </c>
    </row>
    <row r="596" spans="1:32">
      <c r="A596" t="s">
        <v>779</v>
      </c>
      <c r="B596" s="10">
        <v>45932</v>
      </c>
      <c r="C596" s="10">
        <v>45938</v>
      </c>
      <c r="D596">
        <f t="shared" si="90"/>
        <v>6</v>
      </c>
      <c r="E596" t="str">
        <f t="shared" si="91"/>
        <v>OK</v>
      </c>
      <c r="F596" t="s">
        <v>780</v>
      </c>
      <c r="G596" t="s">
        <v>46</v>
      </c>
      <c r="H596" t="s">
        <v>36</v>
      </c>
      <c r="I596" t="s">
        <v>24</v>
      </c>
      <c r="J596" t="s">
        <v>121</v>
      </c>
      <c r="K596" t="s">
        <v>122</v>
      </c>
      <c r="L596" t="s">
        <v>40</v>
      </c>
      <c r="M596" t="s">
        <v>56</v>
      </c>
      <c r="N596" t="s">
        <v>781</v>
      </c>
      <c r="O596" t="s">
        <v>58</v>
      </c>
      <c r="P596">
        <v>4</v>
      </c>
      <c r="Q596">
        <v>3944.64</v>
      </c>
      <c r="R596">
        <v>0.25</v>
      </c>
      <c r="S596" t="str">
        <f t="shared" si="92"/>
        <v>OK</v>
      </c>
      <c r="T596">
        <v>12116.89</v>
      </c>
      <c r="U596">
        <v>6682.92</v>
      </c>
      <c r="V596">
        <v>5151</v>
      </c>
      <c r="W596" t="s">
        <v>31</v>
      </c>
      <c r="X596" t="s">
        <v>102</v>
      </c>
      <c r="Y596" t="str">
        <f>IF(COUNTIF($A$2:$A$901,A596)&gt;1,
  IF(COUNTIF($A$2:A596,A596)=1,
    " ORIGINAL",
    "CONFLICTING DUPLICATE - REVIEW"),
"OK")</f>
        <v>CONFLICTING DUPLICATE - REVIEW</v>
      </c>
      <c r="Z596">
        <f t="shared" si="93"/>
        <v>0.25</v>
      </c>
      <c r="AA596">
        <f t="shared" si="94"/>
        <v>11833.92</v>
      </c>
      <c r="AB596">
        <f t="shared" si="95"/>
        <v>5151</v>
      </c>
      <c r="AC596">
        <f t="shared" si="96"/>
        <v>0.43530000000000002</v>
      </c>
      <c r="AD596">
        <f t="shared" si="97"/>
        <v>10</v>
      </c>
      <c r="AE596">
        <f t="shared" si="98"/>
        <v>2025</v>
      </c>
      <c r="AF596" t="str">
        <f t="shared" si="99"/>
        <v>CLEAN</v>
      </c>
    </row>
    <row r="597" spans="1:32">
      <c r="A597" t="s">
        <v>785</v>
      </c>
      <c r="B597" s="10">
        <v>45934</v>
      </c>
      <c r="C597" s="10">
        <v>45762</v>
      </c>
      <c r="D597">
        <f t="shared" si="90"/>
        <v>-172</v>
      </c>
      <c r="E597" t="str">
        <f t="shared" si="91"/>
        <v>INVALID</v>
      </c>
      <c r="F597" t="s">
        <v>786</v>
      </c>
      <c r="G597" t="s">
        <v>161</v>
      </c>
      <c r="H597" t="s">
        <v>94</v>
      </c>
      <c r="I597" t="s">
        <v>2762</v>
      </c>
      <c r="J597" t="s">
        <v>184</v>
      </c>
      <c r="K597" t="s">
        <v>185</v>
      </c>
      <c r="L597" t="s">
        <v>73</v>
      </c>
      <c r="M597" t="s">
        <v>79</v>
      </c>
      <c r="N597" t="s">
        <v>787</v>
      </c>
      <c r="O597" t="s">
        <v>43</v>
      </c>
      <c r="P597">
        <v>1</v>
      </c>
      <c r="Q597">
        <v>2208.27</v>
      </c>
      <c r="R597">
        <v>0.1</v>
      </c>
      <c r="S597" t="str">
        <f t="shared" si="92"/>
        <v>OK</v>
      </c>
      <c r="T597">
        <v>1987.44</v>
      </c>
      <c r="U597">
        <v>1110.23</v>
      </c>
      <c r="V597">
        <v>877.21</v>
      </c>
      <c r="W597" t="s">
        <v>31</v>
      </c>
      <c r="X597" t="s">
        <v>32</v>
      </c>
      <c r="Y597" t="str">
        <f>IF(COUNTIF($A$2:$A$901,A597)&gt;1,
  IF(COUNTIF($A$2:A597,A597)=1,
    " ORIGINAL",
    "CONFLICTING DUPLICATE - REVIEW"),
"OK")</f>
        <v>OK</v>
      </c>
      <c r="Z597">
        <f t="shared" si="93"/>
        <v>0.1</v>
      </c>
      <c r="AA597">
        <f t="shared" si="94"/>
        <v>1987.44</v>
      </c>
      <c r="AB597">
        <f t="shared" si="95"/>
        <v>877.21</v>
      </c>
      <c r="AC597">
        <f t="shared" si="96"/>
        <v>0.44140000000000001</v>
      </c>
      <c r="AD597">
        <f t="shared" si="97"/>
        <v>10</v>
      </c>
      <c r="AE597">
        <f t="shared" si="98"/>
        <v>2025</v>
      </c>
      <c r="AF597" t="str">
        <f t="shared" si="99"/>
        <v>INVALID</v>
      </c>
    </row>
    <row r="598" spans="1:32">
      <c r="A598" t="s">
        <v>794</v>
      </c>
      <c r="B598" s="10">
        <v>45836</v>
      </c>
      <c r="C598" s="10">
        <v>45842</v>
      </c>
      <c r="D598">
        <f t="shared" si="90"/>
        <v>6</v>
      </c>
      <c r="E598" t="str">
        <f t="shared" si="91"/>
        <v>OK</v>
      </c>
      <c r="F598" t="s">
        <v>795</v>
      </c>
      <c r="G598" t="s">
        <v>140</v>
      </c>
      <c r="H598" t="s">
        <v>23</v>
      </c>
      <c r="I598" t="s">
        <v>53</v>
      </c>
      <c r="J598" t="s">
        <v>54</v>
      </c>
      <c r="K598" t="s">
        <v>55</v>
      </c>
      <c r="L598" t="s">
        <v>40</v>
      </c>
      <c r="M598" t="s">
        <v>157</v>
      </c>
      <c r="N598" t="s">
        <v>796</v>
      </c>
      <c r="O598" t="s">
        <v>49</v>
      </c>
      <c r="P598">
        <v>3</v>
      </c>
      <c r="Q598">
        <v>2886.23</v>
      </c>
      <c r="R598">
        <v>0</v>
      </c>
      <c r="S598" t="str">
        <f t="shared" si="92"/>
        <v>OK</v>
      </c>
      <c r="T598">
        <v>8658.69</v>
      </c>
      <c r="U598">
        <v>5535.94</v>
      </c>
      <c r="V598">
        <v>3122.75</v>
      </c>
      <c r="W598" t="s">
        <v>101</v>
      </c>
      <c r="X598" t="s">
        <v>102</v>
      </c>
      <c r="Y598" t="str">
        <f>IF(COUNTIF($A$2:$A$901,A598)&gt;1,
  IF(COUNTIF($A$2:A598,A598)=1,
    " ORIGINAL",
    "CONFLICTING DUPLICATE - REVIEW"),
"OK")</f>
        <v>OK</v>
      </c>
      <c r="Z598">
        <f t="shared" si="93"/>
        <v>0</v>
      </c>
      <c r="AA598">
        <f t="shared" si="94"/>
        <v>8658.69</v>
      </c>
      <c r="AB598">
        <f t="shared" si="95"/>
        <v>3122.75</v>
      </c>
      <c r="AC598">
        <f t="shared" si="96"/>
        <v>0.36059999999999998</v>
      </c>
      <c r="AD598">
        <f t="shared" si="97"/>
        <v>6</v>
      </c>
      <c r="AE598">
        <f t="shared" si="98"/>
        <v>2025</v>
      </c>
      <c r="AF598" t="str">
        <f t="shared" si="99"/>
        <v>CLEAN</v>
      </c>
    </row>
    <row r="599" spans="1:32">
      <c r="A599" t="s">
        <v>803</v>
      </c>
      <c r="B599" s="10">
        <v>45812</v>
      </c>
      <c r="C599" s="10">
        <v>45818</v>
      </c>
      <c r="D599">
        <f t="shared" si="90"/>
        <v>6</v>
      </c>
      <c r="E599" t="str">
        <f t="shared" si="91"/>
        <v>OK</v>
      </c>
      <c r="F599" t="s">
        <v>804</v>
      </c>
      <c r="G599" t="s">
        <v>117</v>
      </c>
      <c r="H599" t="s">
        <v>23</v>
      </c>
      <c r="I599" t="s">
        <v>53</v>
      </c>
      <c r="J599" t="s">
        <v>83</v>
      </c>
      <c r="K599" t="s">
        <v>84</v>
      </c>
      <c r="L599" t="s">
        <v>73</v>
      </c>
      <c r="M599" t="s">
        <v>170</v>
      </c>
      <c r="N599" t="s">
        <v>805</v>
      </c>
      <c r="O599" t="s">
        <v>58</v>
      </c>
      <c r="P599">
        <v>4</v>
      </c>
      <c r="Q599">
        <v>223.37</v>
      </c>
      <c r="R599">
        <v>0.25</v>
      </c>
      <c r="S599" t="str">
        <f t="shared" si="92"/>
        <v>OK</v>
      </c>
      <c r="T599">
        <v>670.11</v>
      </c>
      <c r="U599">
        <v>559.57000000000005</v>
      </c>
      <c r="V599">
        <v>110.54</v>
      </c>
      <c r="W599" t="s">
        <v>31</v>
      </c>
      <c r="X599" t="s">
        <v>32</v>
      </c>
      <c r="Y599" t="str">
        <f>IF(COUNTIF($A$2:$A$901,A599)&gt;1,
  IF(COUNTIF($A$2:A599,A599)=1,
    " ORIGINAL",
    "CONFLICTING DUPLICATE - REVIEW"),
"OK")</f>
        <v>OK</v>
      </c>
      <c r="Z599">
        <f t="shared" si="93"/>
        <v>0.25</v>
      </c>
      <c r="AA599">
        <f t="shared" si="94"/>
        <v>670.11</v>
      </c>
      <c r="AB599">
        <f t="shared" si="95"/>
        <v>110.54</v>
      </c>
      <c r="AC599">
        <f t="shared" si="96"/>
        <v>0.16500000000000001</v>
      </c>
      <c r="AD599">
        <f t="shared" si="97"/>
        <v>6</v>
      </c>
      <c r="AE599">
        <f t="shared" si="98"/>
        <v>2025</v>
      </c>
      <c r="AF599" t="str">
        <f t="shared" si="99"/>
        <v>CLEAN</v>
      </c>
    </row>
    <row r="600" spans="1:32">
      <c r="A600" t="s">
        <v>830</v>
      </c>
      <c r="B600" s="10">
        <v>45844</v>
      </c>
      <c r="C600" s="10">
        <v>45815</v>
      </c>
      <c r="D600">
        <f t="shared" si="90"/>
        <v>-29</v>
      </c>
      <c r="E600" t="str">
        <f t="shared" si="91"/>
        <v>INVALID</v>
      </c>
      <c r="F600" t="s">
        <v>831</v>
      </c>
      <c r="G600" t="s">
        <v>131</v>
      </c>
      <c r="H600" t="s">
        <v>89</v>
      </c>
      <c r="I600" t="s">
        <v>24</v>
      </c>
      <c r="J600" t="s">
        <v>235</v>
      </c>
      <c r="K600" t="s">
        <v>236</v>
      </c>
      <c r="L600" t="s">
        <v>27</v>
      </c>
      <c r="M600" t="s">
        <v>123</v>
      </c>
      <c r="N600" t="s">
        <v>832</v>
      </c>
      <c r="O600" t="s">
        <v>58</v>
      </c>
      <c r="P600">
        <v>1</v>
      </c>
      <c r="Q600">
        <v>1617.2</v>
      </c>
      <c r="R600">
        <v>0.25</v>
      </c>
      <c r="S600" t="str">
        <f t="shared" si="92"/>
        <v>OK</v>
      </c>
      <c r="T600">
        <v>1212.9000000000001</v>
      </c>
      <c r="U600">
        <v>690.52</v>
      </c>
      <c r="V600">
        <v>522.38</v>
      </c>
      <c r="W600" t="s">
        <v>110</v>
      </c>
      <c r="X600" t="s">
        <v>102</v>
      </c>
      <c r="Y600" t="str">
        <f>IF(COUNTIF($A$2:$A$901,A600)&gt;1,
  IF(COUNTIF($A$2:A600,A600)=1,
    " ORIGINAL",
    "CONFLICTING DUPLICATE - REVIEW"),
"OK")</f>
        <v>OK</v>
      </c>
      <c r="Z600">
        <f t="shared" si="93"/>
        <v>0.25</v>
      </c>
      <c r="AA600">
        <f t="shared" si="94"/>
        <v>1212.9000000000001</v>
      </c>
      <c r="AB600">
        <f t="shared" si="95"/>
        <v>522.38</v>
      </c>
      <c r="AC600">
        <f t="shared" si="96"/>
        <v>0.43070000000000003</v>
      </c>
      <c r="AD600">
        <f t="shared" si="97"/>
        <v>7</v>
      </c>
      <c r="AE600">
        <f t="shared" si="98"/>
        <v>2025</v>
      </c>
      <c r="AF600" t="str">
        <f t="shared" si="99"/>
        <v>INVALID</v>
      </c>
    </row>
    <row r="601" spans="1:32">
      <c r="A601" t="s">
        <v>833</v>
      </c>
      <c r="B601" s="10">
        <v>45695</v>
      </c>
      <c r="C601" s="10">
        <v>45695</v>
      </c>
      <c r="D601">
        <f t="shared" si="90"/>
        <v>0</v>
      </c>
      <c r="E601" t="str">
        <f t="shared" si="91"/>
        <v>OK</v>
      </c>
      <c r="F601" t="s">
        <v>834</v>
      </c>
      <c r="G601" t="s">
        <v>52</v>
      </c>
      <c r="H601" t="s">
        <v>23</v>
      </c>
      <c r="I601" t="s">
        <v>24</v>
      </c>
      <c r="J601" t="s">
        <v>135</v>
      </c>
      <c r="K601" t="s">
        <v>136</v>
      </c>
      <c r="L601" t="s">
        <v>27</v>
      </c>
      <c r="M601" t="s">
        <v>47</v>
      </c>
      <c r="N601" t="s">
        <v>835</v>
      </c>
      <c r="O601" t="s">
        <v>30</v>
      </c>
      <c r="P601">
        <v>3</v>
      </c>
      <c r="Q601">
        <v>1999.24</v>
      </c>
      <c r="R601">
        <v>0.05</v>
      </c>
      <c r="S601" t="str">
        <f t="shared" si="92"/>
        <v>OK</v>
      </c>
      <c r="T601">
        <v>5697.83</v>
      </c>
      <c r="U601">
        <v>4251.5</v>
      </c>
      <c r="V601">
        <v>1446.33</v>
      </c>
      <c r="W601" t="s">
        <v>31</v>
      </c>
      <c r="X601" t="s">
        <v>32</v>
      </c>
      <c r="Y601" t="str">
        <f>IF(COUNTIF($A$2:$A$901,A601)&gt;1,
  IF(COUNTIF($A$2:A601,A601)=1,
    " ORIGINAL",
    "CONFLICTING DUPLICATE - REVIEW"),
"OK")</f>
        <v>OK</v>
      </c>
      <c r="Z601">
        <f t="shared" si="93"/>
        <v>0.05</v>
      </c>
      <c r="AA601">
        <f t="shared" si="94"/>
        <v>5697.83</v>
      </c>
      <c r="AB601">
        <f t="shared" si="95"/>
        <v>1446.33</v>
      </c>
      <c r="AC601">
        <f t="shared" si="96"/>
        <v>0.25380000000000003</v>
      </c>
      <c r="AD601">
        <f t="shared" si="97"/>
        <v>2</v>
      </c>
      <c r="AE601">
        <f t="shared" si="98"/>
        <v>2025</v>
      </c>
      <c r="AF601" t="str">
        <f t="shared" si="99"/>
        <v>CLEAN</v>
      </c>
    </row>
    <row r="602" spans="1:32">
      <c r="A602" t="s">
        <v>836</v>
      </c>
      <c r="B602" s="10">
        <v>45867</v>
      </c>
      <c r="C602" s="10">
        <v>45871</v>
      </c>
      <c r="D602">
        <f t="shared" si="90"/>
        <v>4</v>
      </c>
      <c r="E602" t="str">
        <f t="shared" si="91"/>
        <v>OK</v>
      </c>
      <c r="F602" t="s">
        <v>837</v>
      </c>
      <c r="G602" t="s">
        <v>131</v>
      </c>
      <c r="H602" t="s">
        <v>36</v>
      </c>
      <c r="I602" t="s">
        <v>2762</v>
      </c>
      <c r="J602" t="s">
        <v>71</v>
      </c>
      <c r="K602" t="s">
        <v>72</v>
      </c>
      <c r="L602" t="s">
        <v>73</v>
      </c>
      <c r="M602" t="s">
        <v>74</v>
      </c>
      <c r="N602" t="s">
        <v>838</v>
      </c>
      <c r="O602" t="s">
        <v>49</v>
      </c>
      <c r="P602">
        <v>1</v>
      </c>
      <c r="Q602">
        <v>4499.46</v>
      </c>
      <c r="R602">
        <v>0.1</v>
      </c>
      <c r="S602" t="str">
        <f t="shared" si="92"/>
        <v>OK</v>
      </c>
      <c r="T602">
        <v>4049.51</v>
      </c>
      <c r="U602">
        <v>2509.1999999999998</v>
      </c>
      <c r="V602">
        <v>1540.31</v>
      </c>
      <c r="W602" t="s">
        <v>31</v>
      </c>
      <c r="X602" t="s">
        <v>32</v>
      </c>
      <c r="Y602" t="str">
        <f>IF(COUNTIF($A$2:$A$901,A602)&gt;1,
  IF(COUNTIF($A$2:A602,A602)=1,
    " ORIGINAL",
    "CONFLICTING DUPLICATE - REVIEW"),
"OK")</f>
        <v>OK</v>
      </c>
      <c r="Z602">
        <f t="shared" si="93"/>
        <v>0.1</v>
      </c>
      <c r="AA602">
        <f t="shared" si="94"/>
        <v>4049.51</v>
      </c>
      <c r="AB602">
        <f t="shared" si="95"/>
        <v>1540.31</v>
      </c>
      <c r="AC602">
        <f t="shared" si="96"/>
        <v>0.38040000000000002</v>
      </c>
      <c r="AD602">
        <f t="shared" si="97"/>
        <v>7</v>
      </c>
      <c r="AE602">
        <f t="shared" si="98"/>
        <v>2025</v>
      </c>
      <c r="AF602" t="str">
        <f t="shared" si="99"/>
        <v>WARNING</v>
      </c>
    </row>
    <row r="603" spans="1:32">
      <c r="A603" t="s">
        <v>854</v>
      </c>
      <c r="B603" s="10">
        <v>45870</v>
      </c>
      <c r="C603" s="10">
        <v>45871</v>
      </c>
      <c r="D603">
        <f t="shared" si="90"/>
        <v>1</v>
      </c>
      <c r="E603" t="str">
        <f t="shared" si="91"/>
        <v>OK</v>
      </c>
      <c r="F603" t="s">
        <v>855</v>
      </c>
      <c r="G603" t="s">
        <v>35</v>
      </c>
      <c r="H603" t="s">
        <v>89</v>
      </c>
      <c r="I603" t="s">
        <v>24</v>
      </c>
      <c r="J603" t="s">
        <v>25</v>
      </c>
      <c r="K603" t="s">
        <v>26</v>
      </c>
      <c r="L603" t="s">
        <v>40</v>
      </c>
      <c r="M603" t="s">
        <v>56</v>
      </c>
      <c r="N603" t="s">
        <v>856</v>
      </c>
      <c r="O603" t="s">
        <v>49</v>
      </c>
      <c r="P603">
        <v>4</v>
      </c>
      <c r="Q603">
        <v>2790.29</v>
      </c>
      <c r="R603">
        <v>0.2</v>
      </c>
      <c r="S603" t="str">
        <f t="shared" si="92"/>
        <v>OK</v>
      </c>
      <c r="T603">
        <v>8928.93</v>
      </c>
      <c r="U603">
        <v>5634.38</v>
      </c>
      <c r="V603">
        <v>3294.55</v>
      </c>
      <c r="W603" t="s">
        <v>31</v>
      </c>
      <c r="X603" t="s">
        <v>32</v>
      </c>
      <c r="Y603" t="str">
        <f>IF(COUNTIF($A$2:$A$901,A603)&gt;1,
  IF(COUNTIF($A$2:A603,A603)=1,
    " ORIGINAL",
    "CONFLICTING DUPLICATE - REVIEW"),
"OK")</f>
        <v>OK</v>
      </c>
      <c r="Z603">
        <f t="shared" si="93"/>
        <v>0.2</v>
      </c>
      <c r="AA603">
        <f t="shared" si="94"/>
        <v>8928.93</v>
      </c>
      <c r="AB603">
        <f t="shared" si="95"/>
        <v>3294.55</v>
      </c>
      <c r="AC603">
        <f t="shared" si="96"/>
        <v>0.36899999999999999</v>
      </c>
      <c r="AD603">
        <f t="shared" si="97"/>
        <v>8</v>
      </c>
      <c r="AE603">
        <f t="shared" si="98"/>
        <v>2025</v>
      </c>
      <c r="AF603" t="str">
        <f t="shared" si="99"/>
        <v>CLEAN</v>
      </c>
    </row>
    <row r="604" spans="1:32">
      <c r="A604" t="s">
        <v>860</v>
      </c>
      <c r="B604" s="10">
        <v>45753</v>
      </c>
      <c r="C604" s="10">
        <v>45757</v>
      </c>
      <c r="D604">
        <f t="shared" si="90"/>
        <v>4</v>
      </c>
      <c r="E604" t="str">
        <f t="shared" si="91"/>
        <v>OK</v>
      </c>
      <c r="F604" t="s">
        <v>861</v>
      </c>
      <c r="G604" t="s">
        <v>61</v>
      </c>
      <c r="H604" t="s">
        <v>89</v>
      </c>
      <c r="I604" t="s">
        <v>62</v>
      </c>
      <c r="J604" t="s">
        <v>179</v>
      </c>
      <c r="K604" t="s">
        <v>180</v>
      </c>
      <c r="L604" t="s">
        <v>40</v>
      </c>
      <c r="M604" t="s">
        <v>41</v>
      </c>
      <c r="N604" t="s">
        <v>862</v>
      </c>
      <c r="O604" t="s">
        <v>30</v>
      </c>
      <c r="P604">
        <v>6</v>
      </c>
      <c r="Q604">
        <v>1022.16</v>
      </c>
      <c r="R604">
        <v>0</v>
      </c>
      <c r="S604" t="str">
        <f t="shared" si="92"/>
        <v>OK</v>
      </c>
      <c r="T604">
        <v>6132.96</v>
      </c>
      <c r="U604">
        <v>4881.1000000000004</v>
      </c>
      <c r="V604">
        <v>1251.8599999999999</v>
      </c>
      <c r="W604" t="s">
        <v>31</v>
      </c>
      <c r="X604" t="s">
        <v>32</v>
      </c>
      <c r="Y604" t="str">
        <f>IF(COUNTIF($A$2:$A$901,A604)&gt;1,
  IF(COUNTIF($A$2:A604,A604)=1,
    " ORIGINAL",
    "CONFLICTING DUPLICATE - REVIEW"),
"OK")</f>
        <v>OK</v>
      </c>
      <c r="Z604">
        <f t="shared" si="93"/>
        <v>0</v>
      </c>
      <c r="AA604">
        <f t="shared" si="94"/>
        <v>6132.96</v>
      </c>
      <c r="AB604">
        <f t="shared" si="95"/>
        <v>1251.8599999999999</v>
      </c>
      <c r="AC604">
        <f t="shared" si="96"/>
        <v>0.2041</v>
      </c>
      <c r="AD604">
        <f t="shared" si="97"/>
        <v>4</v>
      </c>
      <c r="AE604">
        <f t="shared" si="98"/>
        <v>2025</v>
      </c>
      <c r="AF604" t="str">
        <f t="shared" si="99"/>
        <v>CLEAN</v>
      </c>
    </row>
    <row r="605" spans="1:32">
      <c r="A605" t="s">
        <v>863</v>
      </c>
      <c r="B605" s="10">
        <v>45833</v>
      </c>
      <c r="C605" s="10">
        <v>45836</v>
      </c>
      <c r="D605">
        <f t="shared" si="90"/>
        <v>3</v>
      </c>
      <c r="E605" t="str">
        <f t="shared" si="91"/>
        <v>OK</v>
      </c>
      <c r="F605" t="s">
        <v>864</v>
      </c>
      <c r="G605" t="s">
        <v>52</v>
      </c>
      <c r="H605" t="s">
        <v>89</v>
      </c>
      <c r="I605" t="s">
        <v>24</v>
      </c>
      <c r="J605" t="s">
        <v>235</v>
      </c>
      <c r="K605" t="s">
        <v>236</v>
      </c>
      <c r="L605" t="s">
        <v>27</v>
      </c>
      <c r="M605" t="s">
        <v>123</v>
      </c>
      <c r="N605" t="s">
        <v>865</v>
      </c>
      <c r="O605" t="s">
        <v>49</v>
      </c>
      <c r="P605">
        <v>2</v>
      </c>
      <c r="Q605">
        <v>1455.92</v>
      </c>
      <c r="R605">
        <v>0.2</v>
      </c>
      <c r="S605" t="str">
        <f t="shared" si="92"/>
        <v>OK</v>
      </c>
      <c r="T605">
        <v>2329.4699999999998</v>
      </c>
      <c r="U605">
        <v>1603.62</v>
      </c>
      <c r="V605">
        <v>725.85</v>
      </c>
      <c r="W605" t="s">
        <v>110</v>
      </c>
      <c r="X605" t="s">
        <v>102</v>
      </c>
      <c r="Y605" t="str">
        <f>IF(COUNTIF($A$2:$A$901,A605)&gt;1,
  IF(COUNTIF($A$2:A605,A605)=1,
    " ORIGINAL",
    "CONFLICTING DUPLICATE - REVIEW"),
"OK")</f>
        <v>OK</v>
      </c>
      <c r="Z605">
        <f t="shared" si="93"/>
        <v>0.2</v>
      </c>
      <c r="AA605">
        <f t="shared" si="94"/>
        <v>2329.4699999999998</v>
      </c>
      <c r="AB605">
        <f t="shared" si="95"/>
        <v>725.85</v>
      </c>
      <c r="AC605">
        <f t="shared" si="96"/>
        <v>0.31159999999999999</v>
      </c>
      <c r="AD605">
        <f t="shared" si="97"/>
        <v>6</v>
      </c>
      <c r="AE605">
        <f t="shared" si="98"/>
        <v>2025</v>
      </c>
      <c r="AF605" t="str">
        <f t="shared" si="99"/>
        <v>CLEAN</v>
      </c>
    </row>
    <row r="606" spans="1:32">
      <c r="A606" t="s">
        <v>869</v>
      </c>
      <c r="B606" s="10">
        <v>45658</v>
      </c>
      <c r="C606" s="10">
        <v>45717</v>
      </c>
      <c r="D606">
        <f t="shared" si="90"/>
        <v>59</v>
      </c>
      <c r="E606" t="str">
        <f t="shared" si="91"/>
        <v>OK</v>
      </c>
      <c r="F606" t="s">
        <v>870</v>
      </c>
      <c r="G606" t="s">
        <v>61</v>
      </c>
      <c r="H606" t="s">
        <v>23</v>
      </c>
      <c r="I606" t="s">
        <v>62</v>
      </c>
      <c r="J606" t="s">
        <v>71</v>
      </c>
      <c r="K606" t="s">
        <v>72</v>
      </c>
      <c r="L606" t="s">
        <v>73</v>
      </c>
      <c r="M606" t="s">
        <v>74</v>
      </c>
      <c r="N606" t="s">
        <v>871</v>
      </c>
      <c r="O606" t="s">
        <v>43</v>
      </c>
      <c r="P606">
        <v>7</v>
      </c>
      <c r="Q606">
        <v>1000.55</v>
      </c>
      <c r="R606">
        <v>0.2</v>
      </c>
      <c r="S606" t="str">
        <f t="shared" si="92"/>
        <v>OK</v>
      </c>
      <c r="T606">
        <v>5603.08</v>
      </c>
      <c r="U606">
        <v>3132.52</v>
      </c>
      <c r="V606">
        <v>2470.56</v>
      </c>
      <c r="W606" t="s">
        <v>31</v>
      </c>
      <c r="X606" t="s">
        <v>102</v>
      </c>
      <c r="Y606" t="str">
        <f>IF(COUNTIF($A$2:$A$901,A606)&gt;1,
  IF(COUNTIF($A$2:A606,A606)=1,
    " ORIGINAL",
    "CONFLICTING DUPLICATE - REVIEW"),
"OK")</f>
        <v>OK</v>
      </c>
      <c r="Z606">
        <f t="shared" si="93"/>
        <v>0.2</v>
      </c>
      <c r="AA606">
        <f t="shared" si="94"/>
        <v>5603.08</v>
      </c>
      <c r="AB606">
        <f t="shared" si="95"/>
        <v>2470.56</v>
      </c>
      <c r="AC606">
        <f t="shared" si="96"/>
        <v>0.44090000000000001</v>
      </c>
      <c r="AD606">
        <f t="shared" si="97"/>
        <v>1</v>
      </c>
      <c r="AE606">
        <f t="shared" si="98"/>
        <v>2025</v>
      </c>
      <c r="AF606" t="str">
        <f t="shared" si="99"/>
        <v>CLEAN</v>
      </c>
    </row>
    <row r="607" spans="1:32">
      <c r="A607" t="s">
        <v>872</v>
      </c>
      <c r="B607" s="10">
        <v>45692</v>
      </c>
      <c r="C607" s="10">
        <v>45698</v>
      </c>
      <c r="D607">
        <f t="shared" si="90"/>
        <v>6</v>
      </c>
      <c r="E607" t="str">
        <f t="shared" si="91"/>
        <v>OK</v>
      </c>
      <c r="F607" t="s">
        <v>873</v>
      </c>
      <c r="G607" t="s">
        <v>46</v>
      </c>
      <c r="H607" t="s">
        <v>89</v>
      </c>
      <c r="I607" t="s">
        <v>62</v>
      </c>
      <c r="J607" t="s">
        <v>63</v>
      </c>
      <c r="K607" t="s">
        <v>64</v>
      </c>
      <c r="L607" t="s">
        <v>73</v>
      </c>
      <c r="M607" t="s">
        <v>170</v>
      </c>
      <c r="N607" t="s">
        <v>874</v>
      </c>
      <c r="O607" t="s">
        <v>49</v>
      </c>
      <c r="P607">
        <v>7</v>
      </c>
      <c r="Q607">
        <v>1830</v>
      </c>
      <c r="R607">
        <v>0</v>
      </c>
      <c r="S607" t="str">
        <f t="shared" si="92"/>
        <v>OK</v>
      </c>
      <c r="T607">
        <v>12810</v>
      </c>
      <c r="U607">
        <v>9334.1200000000008</v>
      </c>
      <c r="V607">
        <v>3475.88</v>
      </c>
      <c r="W607" t="s">
        <v>31</v>
      </c>
      <c r="X607" t="s">
        <v>32</v>
      </c>
      <c r="Y607" t="str">
        <f>IF(COUNTIF($A$2:$A$901,A607)&gt;1,
  IF(COUNTIF($A$2:A607,A607)=1,
    " ORIGINAL",
    "CONFLICTING DUPLICATE - REVIEW"),
"OK")</f>
        <v>OK</v>
      </c>
      <c r="Z607">
        <f t="shared" si="93"/>
        <v>0</v>
      </c>
      <c r="AA607">
        <f t="shared" si="94"/>
        <v>12810</v>
      </c>
      <c r="AB607">
        <f t="shared" si="95"/>
        <v>3475.88</v>
      </c>
      <c r="AC607">
        <f t="shared" si="96"/>
        <v>0.27129999999999999</v>
      </c>
      <c r="AD607">
        <f t="shared" si="97"/>
        <v>2</v>
      </c>
      <c r="AE607">
        <f t="shared" si="98"/>
        <v>2025</v>
      </c>
      <c r="AF607" t="str">
        <f t="shared" si="99"/>
        <v>CLEAN</v>
      </c>
    </row>
    <row r="608" spans="1:32">
      <c r="A608" t="s">
        <v>878</v>
      </c>
      <c r="B608" s="10">
        <v>45878</v>
      </c>
      <c r="C608" s="10">
        <v>45881</v>
      </c>
      <c r="D608">
        <f t="shared" si="90"/>
        <v>3</v>
      </c>
      <c r="E608" t="str">
        <f t="shared" si="91"/>
        <v>OK</v>
      </c>
      <c r="F608" t="s">
        <v>879</v>
      </c>
      <c r="G608" t="s">
        <v>161</v>
      </c>
      <c r="H608" t="s">
        <v>89</v>
      </c>
      <c r="I608" t="s">
        <v>53</v>
      </c>
      <c r="J608" t="s">
        <v>174</v>
      </c>
      <c r="K608" t="s">
        <v>175</v>
      </c>
      <c r="L608" t="s">
        <v>73</v>
      </c>
      <c r="M608" t="s">
        <v>74</v>
      </c>
      <c r="N608" t="s">
        <v>880</v>
      </c>
      <c r="O608" t="s">
        <v>30</v>
      </c>
      <c r="P608">
        <v>2</v>
      </c>
      <c r="Q608">
        <v>3237.27</v>
      </c>
      <c r="R608">
        <v>0</v>
      </c>
      <c r="S608" t="str">
        <f t="shared" si="92"/>
        <v>OK</v>
      </c>
      <c r="T608">
        <v>6474.54</v>
      </c>
      <c r="U608">
        <v>5095.91</v>
      </c>
      <c r="V608">
        <v>1378.63</v>
      </c>
      <c r="W608" t="s">
        <v>31</v>
      </c>
      <c r="X608" t="s">
        <v>67</v>
      </c>
      <c r="Y608" t="str">
        <f>IF(COUNTIF($A$2:$A$901,A608)&gt;1,
  IF(COUNTIF($A$2:A608,A608)=1,
    " ORIGINAL",
    "CONFLICTING DUPLICATE - REVIEW"),
"OK")</f>
        <v>OK</v>
      </c>
      <c r="Z608">
        <f t="shared" si="93"/>
        <v>0</v>
      </c>
      <c r="AA608">
        <f t="shared" si="94"/>
        <v>6474.54</v>
      </c>
      <c r="AB608">
        <f t="shared" si="95"/>
        <v>1378.63</v>
      </c>
      <c r="AC608">
        <f t="shared" si="96"/>
        <v>0.21290000000000001</v>
      </c>
      <c r="AD608">
        <f t="shared" si="97"/>
        <v>8</v>
      </c>
      <c r="AE608">
        <f t="shared" si="98"/>
        <v>2025</v>
      </c>
      <c r="AF608" t="str">
        <f t="shared" si="99"/>
        <v>CLEAN</v>
      </c>
    </row>
    <row r="609" spans="1:32">
      <c r="A609" t="s">
        <v>887</v>
      </c>
      <c r="B609" s="10">
        <v>45923</v>
      </c>
      <c r="C609" s="10">
        <v>45927</v>
      </c>
      <c r="D609">
        <f t="shared" si="90"/>
        <v>4</v>
      </c>
      <c r="E609" t="str">
        <f t="shared" si="91"/>
        <v>OK</v>
      </c>
      <c r="F609" t="s">
        <v>888</v>
      </c>
      <c r="G609" t="s">
        <v>88</v>
      </c>
      <c r="H609" t="s">
        <v>89</v>
      </c>
      <c r="I609" t="s">
        <v>37</v>
      </c>
      <c r="J609" t="s">
        <v>98</v>
      </c>
      <c r="K609" t="s">
        <v>99</v>
      </c>
      <c r="L609" t="s">
        <v>27</v>
      </c>
      <c r="M609" t="s">
        <v>152</v>
      </c>
      <c r="N609" t="s">
        <v>889</v>
      </c>
      <c r="O609" t="s">
        <v>43</v>
      </c>
      <c r="P609">
        <v>7</v>
      </c>
      <c r="Q609">
        <v>2897.12</v>
      </c>
      <c r="R609">
        <v>0.25</v>
      </c>
      <c r="S609" t="str">
        <f t="shared" si="92"/>
        <v>OK</v>
      </c>
      <c r="T609">
        <v>15209.88</v>
      </c>
      <c r="U609">
        <v>10891.15</v>
      </c>
      <c r="V609">
        <v>4318.7299999999996</v>
      </c>
      <c r="W609" t="s">
        <v>154</v>
      </c>
      <c r="X609" t="s">
        <v>102</v>
      </c>
      <c r="Y609" t="str">
        <f>IF(COUNTIF($A$2:$A$901,A609)&gt;1,
  IF(COUNTIF($A$2:A609,A609)=1,
    " ORIGINAL",
    "CONFLICTING DUPLICATE - REVIEW"),
"OK")</f>
        <v>OK</v>
      </c>
      <c r="Z609">
        <f t="shared" si="93"/>
        <v>0.25</v>
      </c>
      <c r="AA609">
        <f t="shared" si="94"/>
        <v>15209.88</v>
      </c>
      <c r="AB609">
        <f t="shared" si="95"/>
        <v>4318.7299999999996</v>
      </c>
      <c r="AC609">
        <f t="shared" si="96"/>
        <v>0.28389999999999999</v>
      </c>
      <c r="AD609">
        <f t="shared" si="97"/>
        <v>9</v>
      </c>
      <c r="AE609">
        <f t="shared" si="98"/>
        <v>2025</v>
      </c>
      <c r="AF609" t="str">
        <f t="shared" si="99"/>
        <v>INVALID</v>
      </c>
    </row>
    <row r="610" spans="1:32">
      <c r="A610" t="s">
        <v>890</v>
      </c>
      <c r="B610" s="10">
        <v>45826</v>
      </c>
      <c r="C610" s="10">
        <v>45832</v>
      </c>
      <c r="D610">
        <f t="shared" si="90"/>
        <v>6</v>
      </c>
      <c r="E610" t="str">
        <f t="shared" si="91"/>
        <v>OK</v>
      </c>
      <c r="F610" t="s">
        <v>891</v>
      </c>
      <c r="G610" t="s">
        <v>131</v>
      </c>
      <c r="H610" t="s">
        <v>89</v>
      </c>
      <c r="I610" t="s">
        <v>24</v>
      </c>
      <c r="J610" t="s">
        <v>25</v>
      </c>
      <c r="K610" t="s">
        <v>26</v>
      </c>
      <c r="L610" t="s">
        <v>27</v>
      </c>
      <c r="M610" t="s">
        <v>90</v>
      </c>
      <c r="N610" t="s">
        <v>892</v>
      </c>
      <c r="O610" t="s">
        <v>58</v>
      </c>
      <c r="P610">
        <v>3</v>
      </c>
      <c r="Q610">
        <v>686.74</v>
      </c>
      <c r="R610">
        <v>0.2</v>
      </c>
      <c r="S610" t="str">
        <f t="shared" si="92"/>
        <v>OK</v>
      </c>
      <c r="T610">
        <v>1648.18</v>
      </c>
      <c r="U610">
        <v>987.91</v>
      </c>
      <c r="V610">
        <v>660.27</v>
      </c>
      <c r="W610" t="s">
        <v>154</v>
      </c>
      <c r="X610" t="s">
        <v>67</v>
      </c>
      <c r="Y610" t="str">
        <f>IF(COUNTIF($A$2:$A$901,A610)&gt;1,
  IF(COUNTIF($A$2:A610,A610)=1,
    " ORIGINAL",
    "CONFLICTING DUPLICATE - REVIEW"),
"OK")</f>
        <v>OK</v>
      </c>
      <c r="Z610">
        <f t="shared" si="93"/>
        <v>0.2</v>
      </c>
      <c r="AA610">
        <f t="shared" si="94"/>
        <v>1648.18</v>
      </c>
      <c r="AB610">
        <f t="shared" si="95"/>
        <v>660.27</v>
      </c>
      <c r="AC610">
        <f t="shared" si="96"/>
        <v>0.40060000000000001</v>
      </c>
      <c r="AD610">
        <f t="shared" si="97"/>
        <v>6</v>
      </c>
      <c r="AE610">
        <f t="shared" si="98"/>
        <v>2025</v>
      </c>
      <c r="AF610" t="str">
        <f t="shared" si="99"/>
        <v>INVALID</v>
      </c>
    </row>
    <row r="611" spans="1:32">
      <c r="A611" t="s">
        <v>893</v>
      </c>
      <c r="B611" s="10">
        <v>45803</v>
      </c>
      <c r="C611" s="10">
        <v>45809</v>
      </c>
      <c r="D611">
        <f t="shared" si="90"/>
        <v>6</v>
      </c>
      <c r="E611" t="str">
        <f t="shared" si="91"/>
        <v>OK</v>
      </c>
      <c r="F611" t="s">
        <v>628</v>
      </c>
      <c r="G611" t="s">
        <v>52</v>
      </c>
      <c r="H611" t="s">
        <v>36</v>
      </c>
      <c r="I611" t="s">
        <v>24</v>
      </c>
      <c r="J611" t="s">
        <v>349</v>
      </c>
      <c r="K611" t="s">
        <v>350</v>
      </c>
      <c r="L611" t="s">
        <v>73</v>
      </c>
      <c r="M611" t="s">
        <v>170</v>
      </c>
      <c r="N611" t="s">
        <v>894</v>
      </c>
      <c r="O611" t="s">
        <v>43</v>
      </c>
      <c r="P611">
        <v>4</v>
      </c>
      <c r="Q611">
        <v>3349.86</v>
      </c>
      <c r="R611">
        <v>0</v>
      </c>
      <c r="S611" t="str">
        <f t="shared" si="92"/>
        <v>OK</v>
      </c>
      <c r="T611">
        <v>13399.44</v>
      </c>
      <c r="U611">
        <v>8581.35</v>
      </c>
      <c r="V611">
        <v>4818.09</v>
      </c>
      <c r="W611" t="s">
        <v>110</v>
      </c>
      <c r="X611" t="s">
        <v>102</v>
      </c>
      <c r="Y611" t="str">
        <f>IF(COUNTIF($A$2:$A$901,A611)&gt;1,
  IF(COUNTIF($A$2:A611,A611)=1,
    " ORIGINAL",
    "CONFLICTING DUPLICATE - REVIEW"),
"OK")</f>
        <v>OK</v>
      </c>
      <c r="Z611">
        <f t="shared" si="93"/>
        <v>0</v>
      </c>
      <c r="AA611">
        <f t="shared" si="94"/>
        <v>13399.44</v>
      </c>
      <c r="AB611">
        <f t="shared" si="95"/>
        <v>4818.09</v>
      </c>
      <c r="AC611">
        <f t="shared" si="96"/>
        <v>0.35959999999999998</v>
      </c>
      <c r="AD611">
        <f t="shared" si="97"/>
        <v>5</v>
      </c>
      <c r="AE611">
        <f t="shared" si="98"/>
        <v>2025</v>
      </c>
      <c r="AF611" t="str">
        <f t="shared" si="99"/>
        <v>CLEAN</v>
      </c>
    </row>
    <row r="612" spans="1:32">
      <c r="A612" t="s">
        <v>895</v>
      </c>
      <c r="B612" s="10">
        <v>45875</v>
      </c>
      <c r="C612" s="10">
        <v>45938</v>
      </c>
      <c r="D612">
        <f t="shared" si="90"/>
        <v>63</v>
      </c>
      <c r="E612" t="str">
        <f t="shared" si="91"/>
        <v>OK</v>
      </c>
      <c r="F612" t="s">
        <v>896</v>
      </c>
      <c r="G612" t="s">
        <v>140</v>
      </c>
      <c r="H612" t="s">
        <v>36</v>
      </c>
      <c r="I612" t="s">
        <v>24</v>
      </c>
      <c r="J612" t="s">
        <v>349</v>
      </c>
      <c r="K612" t="s">
        <v>350</v>
      </c>
      <c r="L612" t="s">
        <v>27</v>
      </c>
      <c r="M612" t="s">
        <v>152</v>
      </c>
      <c r="N612" t="s">
        <v>897</v>
      </c>
      <c r="O612" t="s">
        <v>30</v>
      </c>
      <c r="P612">
        <v>9</v>
      </c>
      <c r="Q612">
        <v>4042.45</v>
      </c>
      <c r="R612">
        <v>0.1</v>
      </c>
      <c r="S612" t="str">
        <f t="shared" si="92"/>
        <v>OK</v>
      </c>
      <c r="T612">
        <v>32743.84</v>
      </c>
      <c r="U612">
        <v>22452.05</v>
      </c>
      <c r="V612">
        <v>10291.790000000001</v>
      </c>
      <c r="W612" t="s">
        <v>110</v>
      </c>
      <c r="X612" t="s">
        <v>102</v>
      </c>
      <c r="Y612" t="str">
        <f>IF(COUNTIF($A$2:$A$901,A612)&gt;1,
  IF(COUNTIF($A$2:A612,A612)=1,
    " ORIGINAL",
    "CONFLICTING DUPLICATE - REVIEW"),
"OK")</f>
        <v>OK</v>
      </c>
      <c r="Z612">
        <f t="shared" si="93"/>
        <v>0.1</v>
      </c>
      <c r="AA612">
        <f t="shared" si="94"/>
        <v>32743.85</v>
      </c>
      <c r="AB612">
        <f t="shared" si="95"/>
        <v>10291.799999999999</v>
      </c>
      <c r="AC612">
        <f t="shared" si="96"/>
        <v>0.31430000000000002</v>
      </c>
      <c r="AD612">
        <f t="shared" si="97"/>
        <v>8</v>
      </c>
      <c r="AE612">
        <f t="shared" si="98"/>
        <v>2025</v>
      </c>
      <c r="AF612" t="str">
        <f t="shared" si="99"/>
        <v>CLEAN</v>
      </c>
    </row>
    <row r="613" spans="1:32">
      <c r="A613" t="s">
        <v>904</v>
      </c>
      <c r="B613" s="10">
        <v>45780</v>
      </c>
      <c r="C613" s="10">
        <v>45787</v>
      </c>
      <c r="D613">
        <f t="shared" si="90"/>
        <v>7</v>
      </c>
      <c r="E613" t="str">
        <f t="shared" si="91"/>
        <v>OK</v>
      </c>
      <c r="F613" t="s">
        <v>905</v>
      </c>
      <c r="G613" t="s">
        <v>78</v>
      </c>
      <c r="H613" t="s">
        <v>94</v>
      </c>
      <c r="I613" t="s">
        <v>62</v>
      </c>
      <c r="J613" t="s">
        <v>63</v>
      </c>
      <c r="K613" t="s">
        <v>64</v>
      </c>
      <c r="L613" t="s">
        <v>27</v>
      </c>
      <c r="M613" t="s">
        <v>123</v>
      </c>
      <c r="N613" t="s">
        <v>906</v>
      </c>
      <c r="O613" t="s">
        <v>30</v>
      </c>
      <c r="P613">
        <v>3</v>
      </c>
      <c r="Q613">
        <v>4339.24</v>
      </c>
      <c r="R613">
        <v>0</v>
      </c>
      <c r="S613" t="str">
        <f t="shared" si="92"/>
        <v>OK</v>
      </c>
      <c r="T613">
        <v>13017.72</v>
      </c>
      <c r="U613">
        <v>10170.57</v>
      </c>
      <c r="V613">
        <v>2847.15</v>
      </c>
      <c r="W613" t="s">
        <v>31</v>
      </c>
      <c r="X613" t="s">
        <v>32</v>
      </c>
      <c r="Y613" t="str">
        <f>IF(COUNTIF($A$2:$A$901,A613)&gt;1,
  IF(COUNTIF($A$2:A613,A613)=1,
    " ORIGINAL",
    "CONFLICTING DUPLICATE - REVIEW"),
"OK")</f>
        <v>OK</v>
      </c>
      <c r="Z613">
        <f t="shared" si="93"/>
        <v>0</v>
      </c>
      <c r="AA613">
        <f t="shared" si="94"/>
        <v>13017.72</v>
      </c>
      <c r="AB613">
        <f t="shared" si="95"/>
        <v>2847.15</v>
      </c>
      <c r="AC613">
        <f t="shared" si="96"/>
        <v>0.21870000000000001</v>
      </c>
      <c r="AD613">
        <f t="shared" si="97"/>
        <v>5</v>
      </c>
      <c r="AE613">
        <f t="shared" si="98"/>
        <v>2025</v>
      </c>
      <c r="AF613" t="str">
        <f t="shared" si="99"/>
        <v>CLEAN</v>
      </c>
    </row>
    <row r="614" spans="1:32">
      <c r="A614" t="s">
        <v>907</v>
      </c>
      <c r="B614" s="10">
        <v>45805</v>
      </c>
      <c r="C614" s="10">
        <v>45753</v>
      </c>
      <c r="D614">
        <f t="shared" si="90"/>
        <v>-52</v>
      </c>
      <c r="E614" t="str">
        <f t="shared" si="91"/>
        <v>INVALID</v>
      </c>
      <c r="F614" t="s">
        <v>908</v>
      </c>
      <c r="G614" t="s">
        <v>161</v>
      </c>
      <c r="H614" t="s">
        <v>89</v>
      </c>
      <c r="I614" t="s">
        <v>37</v>
      </c>
      <c r="J614" t="s">
        <v>227</v>
      </c>
      <c r="K614" t="s">
        <v>228</v>
      </c>
      <c r="L614" t="s">
        <v>40</v>
      </c>
      <c r="M614" t="s">
        <v>56</v>
      </c>
      <c r="N614" t="s">
        <v>909</v>
      </c>
      <c r="O614" t="s">
        <v>49</v>
      </c>
      <c r="P614">
        <v>4</v>
      </c>
      <c r="Q614">
        <v>261.8</v>
      </c>
      <c r="R614">
        <v>0.25</v>
      </c>
      <c r="S614" t="str">
        <f t="shared" si="92"/>
        <v>OK</v>
      </c>
      <c r="T614">
        <v>785.4</v>
      </c>
      <c r="U614">
        <v>557.22</v>
      </c>
      <c r="V614">
        <v>228.18</v>
      </c>
      <c r="W614" t="s">
        <v>31</v>
      </c>
      <c r="X614" t="s">
        <v>32</v>
      </c>
      <c r="Y614" t="str">
        <f>IF(COUNTIF($A$2:$A$901,A614)&gt;1,
  IF(COUNTIF($A$2:A614,A614)=1,
    " ORIGINAL",
    "CONFLICTING DUPLICATE - REVIEW"),
"OK")</f>
        <v>OK</v>
      </c>
      <c r="Z614">
        <f t="shared" si="93"/>
        <v>0.25</v>
      </c>
      <c r="AA614">
        <f t="shared" si="94"/>
        <v>785.4</v>
      </c>
      <c r="AB614">
        <f t="shared" si="95"/>
        <v>228.18</v>
      </c>
      <c r="AC614">
        <f t="shared" si="96"/>
        <v>0.29049999999999998</v>
      </c>
      <c r="AD614">
        <f t="shared" si="97"/>
        <v>5</v>
      </c>
      <c r="AE614">
        <f t="shared" si="98"/>
        <v>2025</v>
      </c>
      <c r="AF614" t="str">
        <f t="shared" si="99"/>
        <v>INVALID</v>
      </c>
    </row>
    <row r="615" spans="1:32">
      <c r="A615" t="s">
        <v>910</v>
      </c>
      <c r="B615" s="10">
        <v>45886</v>
      </c>
      <c r="C615" s="10">
        <v>45886</v>
      </c>
      <c r="D615">
        <f t="shared" si="90"/>
        <v>0</v>
      </c>
      <c r="E615" t="str">
        <f t="shared" si="91"/>
        <v>OK</v>
      </c>
      <c r="F615" t="s">
        <v>911</v>
      </c>
      <c r="G615" t="s">
        <v>127</v>
      </c>
      <c r="H615" t="s">
        <v>94</v>
      </c>
      <c r="I615" t="s">
        <v>24</v>
      </c>
      <c r="J615" t="s">
        <v>121</v>
      </c>
      <c r="K615" t="s">
        <v>122</v>
      </c>
      <c r="L615" t="s">
        <v>73</v>
      </c>
      <c r="M615" t="s">
        <v>74</v>
      </c>
      <c r="N615" t="s">
        <v>912</v>
      </c>
      <c r="O615" t="s">
        <v>49</v>
      </c>
      <c r="P615">
        <v>7</v>
      </c>
      <c r="Q615">
        <v>632.20000000000005</v>
      </c>
      <c r="R615">
        <v>0.25</v>
      </c>
      <c r="S615" t="str">
        <f t="shared" si="92"/>
        <v>OK</v>
      </c>
      <c r="T615">
        <v>3319.05</v>
      </c>
      <c r="U615">
        <v>2124.6</v>
      </c>
      <c r="V615">
        <v>1194.45</v>
      </c>
      <c r="W615" t="s">
        <v>31</v>
      </c>
      <c r="X615" t="s">
        <v>32</v>
      </c>
      <c r="Y615" t="str">
        <f>IF(COUNTIF($A$2:$A$901,A615)&gt;1,
  IF(COUNTIF($A$2:A615,A615)=1,
    " ORIGINAL",
    "CONFLICTING DUPLICATE - REVIEW"),
"OK")</f>
        <v>OK</v>
      </c>
      <c r="Z615">
        <f t="shared" si="93"/>
        <v>0.25</v>
      </c>
      <c r="AA615">
        <f t="shared" si="94"/>
        <v>3319.05</v>
      </c>
      <c r="AB615">
        <f t="shared" si="95"/>
        <v>1194.45</v>
      </c>
      <c r="AC615">
        <f t="shared" si="96"/>
        <v>0.3599</v>
      </c>
      <c r="AD615">
        <f t="shared" si="97"/>
        <v>8</v>
      </c>
      <c r="AE615">
        <f t="shared" si="98"/>
        <v>2025</v>
      </c>
      <c r="AF615" t="str">
        <f t="shared" si="99"/>
        <v>CLEAN</v>
      </c>
    </row>
    <row r="616" spans="1:32">
      <c r="A616" t="s">
        <v>913</v>
      </c>
      <c r="B616" s="10">
        <v>45698</v>
      </c>
      <c r="C616" s="10">
        <v>45700</v>
      </c>
      <c r="D616">
        <f t="shared" si="90"/>
        <v>2</v>
      </c>
      <c r="E616" t="str">
        <f t="shared" si="91"/>
        <v>OK</v>
      </c>
      <c r="F616" t="s">
        <v>914</v>
      </c>
      <c r="G616" t="s">
        <v>117</v>
      </c>
      <c r="H616" t="s">
        <v>36</v>
      </c>
      <c r="I616" t="s">
        <v>62</v>
      </c>
      <c r="J616" t="s">
        <v>25</v>
      </c>
      <c r="K616" t="s">
        <v>108</v>
      </c>
      <c r="L616" t="s">
        <v>40</v>
      </c>
      <c r="M616" t="s">
        <v>41</v>
      </c>
      <c r="N616" t="s">
        <v>915</v>
      </c>
      <c r="O616" t="s">
        <v>43</v>
      </c>
      <c r="P616">
        <v>1</v>
      </c>
      <c r="Q616">
        <v>1925.86</v>
      </c>
      <c r="R616">
        <v>0</v>
      </c>
      <c r="S616" t="str">
        <f t="shared" si="92"/>
        <v>OK</v>
      </c>
      <c r="T616">
        <v>1925.86</v>
      </c>
      <c r="U616">
        <v>1321.89</v>
      </c>
      <c r="V616">
        <v>603.97</v>
      </c>
      <c r="W616" t="s">
        <v>31</v>
      </c>
      <c r="X616" t="s">
        <v>32</v>
      </c>
      <c r="Y616" t="str">
        <f>IF(COUNTIF($A$2:$A$901,A616)&gt;1,
  IF(COUNTIF($A$2:A616,A616)=1,
    " ORIGINAL",
    "CONFLICTING DUPLICATE - REVIEW"),
"OK")</f>
        <v>OK</v>
      </c>
      <c r="Z616">
        <f t="shared" si="93"/>
        <v>0</v>
      </c>
      <c r="AA616">
        <f t="shared" si="94"/>
        <v>1925.86</v>
      </c>
      <c r="AB616">
        <f t="shared" si="95"/>
        <v>603.97</v>
      </c>
      <c r="AC616">
        <f t="shared" si="96"/>
        <v>0.31359999999999999</v>
      </c>
      <c r="AD616">
        <f t="shared" si="97"/>
        <v>2</v>
      </c>
      <c r="AE616">
        <f t="shared" si="98"/>
        <v>2025</v>
      </c>
      <c r="AF616" t="str">
        <f t="shared" si="99"/>
        <v>CLEAN</v>
      </c>
    </row>
    <row r="617" spans="1:32">
      <c r="A617" t="s">
        <v>925</v>
      </c>
      <c r="B617" s="10">
        <v>45701</v>
      </c>
      <c r="C617" s="10">
        <v>45701</v>
      </c>
      <c r="D617">
        <f t="shared" si="90"/>
        <v>0</v>
      </c>
      <c r="E617" t="str">
        <f t="shared" si="91"/>
        <v>OK</v>
      </c>
      <c r="F617" t="s">
        <v>926</v>
      </c>
      <c r="G617" t="s">
        <v>46</v>
      </c>
      <c r="H617" t="s">
        <v>23</v>
      </c>
      <c r="I617" t="s">
        <v>37</v>
      </c>
      <c r="J617" t="s">
        <v>144</v>
      </c>
      <c r="K617" t="s">
        <v>145</v>
      </c>
      <c r="L617" t="s">
        <v>27</v>
      </c>
      <c r="M617" t="s">
        <v>28</v>
      </c>
      <c r="N617" t="s">
        <v>927</v>
      </c>
      <c r="O617" t="s">
        <v>30</v>
      </c>
      <c r="P617">
        <v>9</v>
      </c>
      <c r="Q617">
        <v>2521.63</v>
      </c>
      <c r="R617">
        <v>0</v>
      </c>
      <c r="S617" t="str">
        <f t="shared" si="92"/>
        <v>OK</v>
      </c>
      <c r="T617">
        <v>22694.67</v>
      </c>
      <c r="U617">
        <v>15405.36</v>
      </c>
      <c r="V617">
        <v>7289.31</v>
      </c>
      <c r="W617" t="s">
        <v>31</v>
      </c>
      <c r="X617" t="s">
        <v>102</v>
      </c>
      <c r="Y617" t="str">
        <f>IF(COUNTIF($A$2:$A$901,A617)&gt;1,
  IF(COUNTIF($A$2:A617,A617)=1,
    " ORIGINAL",
    "CONFLICTING DUPLICATE - REVIEW"),
"OK")</f>
        <v>OK</v>
      </c>
      <c r="Z617">
        <f t="shared" si="93"/>
        <v>0</v>
      </c>
      <c r="AA617">
        <f t="shared" si="94"/>
        <v>22694.67</v>
      </c>
      <c r="AB617">
        <f t="shared" si="95"/>
        <v>7289.31</v>
      </c>
      <c r="AC617">
        <f t="shared" si="96"/>
        <v>0.32119999999999999</v>
      </c>
      <c r="AD617">
        <f t="shared" si="97"/>
        <v>2</v>
      </c>
      <c r="AE617">
        <f t="shared" si="98"/>
        <v>2025</v>
      </c>
      <c r="AF617" t="str">
        <f t="shared" si="99"/>
        <v>CLEAN</v>
      </c>
    </row>
    <row r="618" spans="1:32">
      <c r="A618" t="s">
        <v>937</v>
      </c>
      <c r="B618" s="10">
        <v>45812</v>
      </c>
      <c r="C618" s="10">
        <v>45812</v>
      </c>
      <c r="D618">
        <f t="shared" si="90"/>
        <v>0</v>
      </c>
      <c r="E618" t="str">
        <f t="shared" si="91"/>
        <v>OK</v>
      </c>
      <c r="F618" t="s">
        <v>789</v>
      </c>
      <c r="G618" t="s">
        <v>46</v>
      </c>
      <c r="H618" t="s">
        <v>89</v>
      </c>
      <c r="I618" t="s">
        <v>24</v>
      </c>
      <c r="J618" t="s">
        <v>235</v>
      </c>
      <c r="K618" t="s">
        <v>236</v>
      </c>
      <c r="L618" t="s">
        <v>73</v>
      </c>
      <c r="M618" t="s">
        <v>74</v>
      </c>
      <c r="N618" t="s">
        <v>938</v>
      </c>
      <c r="O618" t="s">
        <v>30</v>
      </c>
      <c r="P618">
        <v>1</v>
      </c>
      <c r="Q618">
        <v>2133.73</v>
      </c>
      <c r="R618">
        <v>0.15</v>
      </c>
      <c r="S618" t="str">
        <f t="shared" si="92"/>
        <v>OK</v>
      </c>
      <c r="T618">
        <v>2008.39</v>
      </c>
      <c r="U618">
        <v>1002.57</v>
      </c>
      <c r="V618">
        <v>811.1</v>
      </c>
      <c r="W618" t="s">
        <v>110</v>
      </c>
      <c r="X618" t="s">
        <v>67</v>
      </c>
      <c r="Y618" t="str">
        <f>IF(COUNTIF($A$2:$A$901,A618)&gt;1,
  IF(COUNTIF($A$2:A618,A618)=1,
    " ORIGINAL",
    "CONFLICTING DUPLICATE - REVIEW"),
"OK")</f>
        <v>OK</v>
      </c>
      <c r="Z618">
        <f t="shared" si="93"/>
        <v>0.15</v>
      </c>
      <c r="AA618">
        <f t="shared" si="94"/>
        <v>1813.67</v>
      </c>
      <c r="AB618">
        <f t="shared" si="95"/>
        <v>811.1</v>
      </c>
      <c r="AC618">
        <f t="shared" si="96"/>
        <v>0.44719999999999999</v>
      </c>
      <c r="AD618">
        <f t="shared" si="97"/>
        <v>6</v>
      </c>
      <c r="AE618">
        <f t="shared" si="98"/>
        <v>2025</v>
      </c>
      <c r="AF618" t="str">
        <f t="shared" si="99"/>
        <v>CLEAN</v>
      </c>
    </row>
    <row r="619" spans="1:32">
      <c r="A619" t="s">
        <v>939</v>
      </c>
      <c r="B619" s="10">
        <v>45841</v>
      </c>
      <c r="C619" s="10">
        <v>45730</v>
      </c>
      <c r="D619">
        <f t="shared" si="90"/>
        <v>-111</v>
      </c>
      <c r="E619" t="str">
        <f t="shared" si="91"/>
        <v>INVALID</v>
      </c>
      <c r="F619" t="s">
        <v>940</v>
      </c>
      <c r="G619" t="s">
        <v>113</v>
      </c>
      <c r="H619" t="s">
        <v>36</v>
      </c>
      <c r="I619" t="s">
        <v>24</v>
      </c>
      <c r="J619" t="s">
        <v>349</v>
      </c>
      <c r="K619" t="s">
        <v>350</v>
      </c>
      <c r="L619" t="s">
        <v>73</v>
      </c>
      <c r="M619" t="s">
        <v>74</v>
      </c>
      <c r="N619" t="s">
        <v>941</v>
      </c>
      <c r="O619" t="s">
        <v>43</v>
      </c>
      <c r="P619">
        <v>1</v>
      </c>
      <c r="Q619">
        <v>3979.64</v>
      </c>
      <c r="R619">
        <v>0.05</v>
      </c>
      <c r="S619" t="str">
        <f t="shared" si="92"/>
        <v>OK</v>
      </c>
      <c r="T619">
        <v>3780.66</v>
      </c>
      <c r="U619">
        <v>2148.31</v>
      </c>
      <c r="V619">
        <v>1632.35</v>
      </c>
      <c r="W619" t="s">
        <v>31</v>
      </c>
      <c r="X619" t="s">
        <v>102</v>
      </c>
      <c r="Y619" t="str">
        <f>IF(COUNTIF($A$2:$A$901,A619)&gt;1,
  IF(COUNTIF($A$2:A619,A619)=1,
    " ORIGINAL",
    "CONFLICTING DUPLICATE - REVIEW"),
"OK")</f>
        <v>OK</v>
      </c>
      <c r="Z619">
        <f t="shared" si="93"/>
        <v>0.05</v>
      </c>
      <c r="AA619">
        <f t="shared" si="94"/>
        <v>3780.66</v>
      </c>
      <c r="AB619">
        <f t="shared" si="95"/>
        <v>1632.35</v>
      </c>
      <c r="AC619">
        <f t="shared" si="96"/>
        <v>0.43180000000000002</v>
      </c>
      <c r="AD619">
        <f t="shared" si="97"/>
        <v>7</v>
      </c>
      <c r="AE619">
        <f t="shared" si="98"/>
        <v>2025</v>
      </c>
      <c r="AF619" t="str">
        <f t="shared" si="99"/>
        <v>INVALID</v>
      </c>
    </row>
    <row r="620" spans="1:32">
      <c r="A620" t="s">
        <v>948</v>
      </c>
      <c r="B620" s="10">
        <v>45863</v>
      </c>
      <c r="C620" s="10">
        <v>45865</v>
      </c>
      <c r="D620">
        <f t="shared" si="90"/>
        <v>2</v>
      </c>
      <c r="E620" t="str">
        <f t="shared" si="91"/>
        <v>OK</v>
      </c>
      <c r="F620" t="s">
        <v>949</v>
      </c>
      <c r="G620" t="s">
        <v>263</v>
      </c>
      <c r="H620" t="s">
        <v>23</v>
      </c>
      <c r="I620" t="s">
        <v>37</v>
      </c>
      <c r="J620" t="s">
        <v>227</v>
      </c>
      <c r="K620" t="s">
        <v>228</v>
      </c>
      <c r="L620" t="s">
        <v>27</v>
      </c>
      <c r="M620" t="s">
        <v>152</v>
      </c>
      <c r="N620" t="s">
        <v>950</v>
      </c>
      <c r="O620" t="s">
        <v>30</v>
      </c>
      <c r="P620">
        <v>6</v>
      </c>
      <c r="Q620">
        <v>3438.38</v>
      </c>
      <c r="R620">
        <v>0.2</v>
      </c>
      <c r="S620" t="str">
        <f t="shared" si="92"/>
        <v>OK</v>
      </c>
      <c r="T620">
        <v>16504.22</v>
      </c>
      <c r="U620">
        <v>11262.71</v>
      </c>
      <c r="V620">
        <v>5241.51</v>
      </c>
      <c r="W620" t="s">
        <v>31</v>
      </c>
      <c r="X620" t="s">
        <v>32</v>
      </c>
      <c r="Y620" t="str">
        <f>IF(COUNTIF($A$2:$A$901,A620)&gt;1,
  IF(COUNTIF($A$2:A620,A620)=1,
    " ORIGINAL",
    "CONFLICTING DUPLICATE - REVIEW"),
"OK")</f>
        <v>OK</v>
      </c>
      <c r="Z620">
        <f t="shared" si="93"/>
        <v>0.2</v>
      </c>
      <c r="AA620">
        <f t="shared" si="94"/>
        <v>16504.22</v>
      </c>
      <c r="AB620">
        <f t="shared" si="95"/>
        <v>5241.51</v>
      </c>
      <c r="AC620">
        <f t="shared" si="96"/>
        <v>0.31759999999999999</v>
      </c>
      <c r="AD620">
        <f t="shared" si="97"/>
        <v>7</v>
      </c>
      <c r="AE620">
        <f t="shared" si="98"/>
        <v>2025</v>
      </c>
      <c r="AF620" t="str">
        <f t="shared" si="99"/>
        <v>CLEAN</v>
      </c>
    </row>
    <row r="621" spans="1:32">
      <c r="A621" t="s">
        <v>954</v>
      </c>
      <c r="B621" s="10">
        <v>45729</v>
      </c>
      <c r="C621" s="10">
        <v>45736</v>
      </c>
      <c r="D621">
        <f t="shared" si="90"/>
        <v>7</v>
      </c>
      <c r="E621" t="str">
        <f t="shared" si="91"/>
        <v>OK</v>
      </c>
      <c r="F621" t="s">
        <v>955</v>
      </c>
      <c r="G621" t="s">
        <v>70</v>
      </c>
      <c r="H621" t="s">
        <v>23</v>
      </c>
      <c r="I621" t="s">
        <v>62</v>
      </c>
      <c r="J621" t="s">
        <v>63</v>
      </c>
      <c r="K621" t="s">
        <v>64</v>
      </c>
      <c r="L621" t="s">
        <v>40</v>
      </c>
      <c r="M621" t="s">
        <v>56</v>
      </c>
      <c r="N621" t="s">
        <v>956</v>
      </c>
      <c r="O621" t="s">
        <v>49</v>
      </c>
      <c r="P621">
        <v>1</v>
      </c>
      <c r="Q621">
        <v>1814.01</v>
      </c>
      <c r="R621">
        <v>0</v>
      </c>
      <c r="S621" t="str">
        <f t="shared" si="92"/>
        <v>OK</v>
      </c>
      <c r="T621">
        <v>1814.01</v>
      </c>
      <c r="U621">
        <v>1033.47</v>
      </c>
      <c r="V621">
        <v>780.54</v>
      </c>
      <c r="W621" t="s">
        <v>31</v>
      </c>
      <c r="X621" t="s">
        <v>32</v>
      </c>
      <c r="Y621" t="str">
        <f>IF(COUNTIF($A$2:$A$901,A621)&gt;1,
  IF(COUNTIF($A$2:A621,A621)=1,
    " ORIGINAL",
    "CONFLICTING DUPLICATE - REVIEW"),
"OK")</f>
        <v>OK</v>
      </c>
      <c r="Z621">
        <f t="shared" si="93"/>
        <v>0</v>
      </c>
      <c r="AA621">
        <f t="shared" si="94"/>
        <v>1814.01</v>
      </c>
      <c r="AB621">
        <f t="shared" si="95"/>
        <v>780.54</v>
      </c>
      <c r="AC621">
        <f t="shared" si="96"/>
        <v>0.43030000000000002</v>
      </c>
      <c r="AD621">
        <f t="shared" si="97"/>
        <v>3</v>
      </c>
      <c r="AE621">
        <f t="shared" si="98"/>
        <v>2025</v>
      </c>
      <c r="AF621" t="str">
        <f t="shared" si="99"/>
        <v>CLEAN</v>
      </c>
    </row>
    <row r="622" spans="1:32">
      <c r="A622" t="s">
        <v>960</v>
      </c>
      <c r="B622" s="10">
        <v>45884</v>
      </c>
      <c r="C622" s="10">
        <v>45889</v>
      </c>
      <c r="D622">
        <f t="shared" si="90"/>
        <v>5</v>
      </c>
      <c r="E622" t="str">
        <f t="shared" si="91"/>
        <v>OK</v>
      </c>
      <c r="F622" t="s">
        <v>961</v>
      </c>
      <c r="G622" t="s">
        <v>78</v>
      </c>
      <c r="H622" t="s">
        <v>94</v>
      </c>
      <c r="I622" t="s">
        <v>24</v>
      </c>
      <c r="J622" t="s">
        <v>25</v>
      </c>
      <c r="K622" t="s">
        <v>26</v>
      </c>
      <c r="L622" t="s">
        <v>27</v>
      </c>
      <c r="M622" t="s">
        <v>123</v>
      </c>
      <c r="N622" t="s">
        <v>962</v>
      </c>
      <c r="O622" t="s">
        <v>58</v>
      </c>
      <c r="P622">
        <v>9</v>
      </c>
      <c r="Q622">
        <v>4081.77</v>
      </c>
      <c r="R622">
        <v>0</v>
      </c>
      <c r="S622" t="str">
        <f t="shared" si="92"/>
        <v>OK</v>
      </c>
      <c r="T622">
        <v>36735.93</v>
      </c>
      <c r="U622">
        <v>30820.84</v>
      </c>
      <c r="V622">
        <v>5915.09</v>
      </c>
      <c r="W622" t="s">
        <v>31</v>
      </c>
      <c r="X622" t="s">
        <v>32</v>
      </c>
      <c r="Y622" t="str">
        <f>IF(COUNTIF($A$2:$A$901,A622)&gt;1,
  IF(COUNTIF($A$2:A622,A622)=1,
    " ORIGINAL",
    "CONFLICTING DUPLICATE - REVIEW"),
"OK")</f>
        <v>OK</v>
      </c>
      <c r="Z622">
        <f t="shared" si="93"/>
        <v>0</v>
      </c>
      <c r="AA622">
        <f t="shared" si="94"/>
        <v>36735.93</v>
      </c>
      <c r="AB622">
        <f t="shared" si="95"/>
        <v>5915.09</v>
      </c>
      <c r="AC622">
        <f t="shared" si="96"/>
        <v>0.161</v>
      </c>
      <c r="AD622">
        <f t="shared" si="97"/>
        <v>8</v>
      </c>
      <c r="AE622">
        <f t="shared" si="98"/>
        <v>2025</v>
      </c>
      <c r="AF622" t="str">
        <f t="shared" si="99"/>
        <v>CLEAN</v>
      </c>
    </row>
    <row r="623" spans="1:32">
      <c r="A623" t="s">
        <v>972</v>
      </c>
      <c r="B623" s="10">
        <v>45827</v>
      </c>
      <c r="C623" s="10">
        <v>45835</v>
      </c>
      <c r="D623">
        <f t="shared" si="90"/>
        <v>8</v>
      </c>
      <c r="E623" t="str">
        <f t="shared" si="91"/>
        <v>OK</v>
      </c>
      <c r="F623" t="s">
        <v>973</v>
      </c>
      <c r="G623" t="s">
        <v>22</v>
      </c>
      <c r="H623" t="s">
        <v>94</v>
      </c>
      <c r="I623" t="s">
        <v>53</v>
      </c>
      <c r="J623" t="s">
        <v>246</v>
      </c>
      <c r="K623" t="s">
        <v>247</v>
      </c>
      <c r="L623" t="s">
        <v>40</v>
      </c>
      <c r="M623" t="s">
        <v>157</v>
      </c>
      <c r="N623" t="s">
        <v>974</v>
      </c>
      <c r="O623" t="s">
        <v>49</v>
      </c>
      <c r="P623">
        <v>2</v>
      </c>
      <c r="Q623">
        <v>4346.6899999999996</v>
      </c>
      <c r="R623">
        <v>0.05</v>
      </c>
      <c r="S623" t="str">
        <f t="shared" si="92"/>
        <v>OK</v>
      </c>
      <c r="T623">
        <v>8258.7099999999991</v>
      </c>
      <c r="U623">
        <v>7018.97</v>
      </c>
      <c r="V623">
        <v>1239.74</v>
      </c>
      <c r="W623" t="s">
        <v>31</v>
      </c>
      <c r="X623" t="s">
        <v>32</v>
      </c>
      <c r="Y623" t="str">
        <f>IF(COUNTIF($A$2:$A$901,A623)&gt;1,
  IF(COUNTIF($A$2:A623,A623)=1,
    " ORIGINAL",
    "CONFLICTING DUPLICATE - REVIEW"),
"OK")</f>
        <v>OK</v>
      </c>
      <c r="Z623">
        <f t="shared" si="93"/>
        <v>0.05</v>
      </c>
      <c r="AA623">
        <f t="shared" si="94"/>
        <v>8258.7099999999991</v>
      </c>
      <c r="AB623">
        <f t="shared" si="95"/>
        <v>1239.74</v>
      </c>
      <c r="AC623">
        <f t="shared" si="96"/>
        <v>0.15010000000000001</v>
      </c>
      <c r="AD623">
        <f t="shared" si="97"/>
        <v>6</v>
      </c>
      <c r="AE623">
        <f t="shared" si="98"/>
        <v>2025</v>
      </c>
      <c r="AF623" t="str">
        <f t="shared" si="99"/>
        <v>CLEAN</v>
      </c>
    </row>
    <row r="624" spans="1:32">
      <c r="A624" t="s">
        <v>975</v>
      </c>
      <c r="B624" s="10">
        <v>45891</v>
      </c>
      <c r="C624" s="10">
        <v>45895</v>
      </c>
      <c r="D624">
        <f t="shared" si="90"/>
        <v>4</v>
      </c>
      <c r="E624" t="str">
        <f t="shared" si="91"/>
        <v>OK</v>
      </c>
      <c r="F624" t="s">
        <v>976</v>
      </c>
      <c r="G624" t="s">
        <v>161</v>
      </c>
      <c r="H624" t="s">
        <v>94</v>
      </c>
      <c r="I624" t="s">
        <v>37</v>
      </c>
      <c r="J624" t="s">
        <v>227</v>
      </c>
      <c r="K624" t="s">
        <v>228</v>
      </c>
      <c r="L624" t="s">
        <v>40</v>
      </c>
      <c r="M624" t="s">
        <v>41</v>
      </c>
      <c r="N624" t="s">
        <v>977</v>
      </c>
      <c r="O624" t="s">
        <v>58</v>
      </c>
      <c r="P624">
        <v>1</v>
      </c>
      <c r="Q624">
        <v>1842.63</v>
      </c>
      <c r="R624">
        <v>0.1</v>
      </c>
      <c r="S624" t="str">
        <f t="shared" si="92"/>
        <v>OK</v>
      </c>
      <c r="T624">
        <v>1658.37</v>
      </c>
      <c r="U624">
        <v>971.12</v>
      </c>
      <c r="V624">
        <v>687.25</v>
      </c>
      <c r="W624" t="s">
        <v>31</v>
      </c>
      <c r="X624" t="s">
        <v>32</v>
      </c>
      <c r="Y624" t="str">
        <f>IF(COUNTIF($A$2:$A$901,A624)&gt;1,
  IF(COUNTIF($A$2:A624,A624)=1,
    " ORIGINAL",
    "CONFLICTING DUPLICATE - REVIEW"),
"OK")</f>
        <v>OK</v>
      </c>
      <c r="Z624">
        <f t="shared" si="93"/>
        <v>0.1</v>
      </c>
      <c r="AA624">
        <f t="shared" si="94"/>
        <v>1658.37</v>
      </c>
      <c r="AB624">
        <f t="shared" si="95"/>
        <v>687.25</v>
      </c>
      <c r="AC624">
        <f t="shared" si="96"/>
        <v>0.41439999999999999</v>
      </c>
      <c r="AD624">
        <f t="shared" si="97"/>
        <v>8</v>
      </c>
      <c r="AE624">
        <f t="shared" si="98"/>
        <v>2025</v>
      </c>
      <c r="AF624" t="str">
        <f t="shared" si="99"/>
        <v>CLEAN</v>
      </c>
    </row>
    <row r="625" spans="1:32">
      <c r="A625" t="s">
        <v>981</v>
      </c>
      <c r="B625" s="10">
        <v>45716</v>
      </c>
      <c r="C625" s="10">
        <v>45719</v>
      </c>
      <c r="D625">
        <f t="shared" si="90"/>
        <v>3</v>
      </c>
      <c r="E625" t="str">
        <f t="shared" si="91"/>
        <v>OK</v>
      </c>
      <c r="F625" t="s">
        <v>982</v>
      </c>
      <c r="G625" t="s">
        <v>263</v>
      </c>
      <c r="H625" t="s">
        <v>94</v>
      </c>
      <c r="I625" t="s">
        <v>24</v>
      </c>
      <c r="J625" t="s">
        <v>235</v>
      </c>
      <c r="K625" t="s">
        <v>236</v>
      </c>
      <c r="L625" t="s">
        <v>27</v>
      </c>
      <c r="M625" t="s">
        <v>47</v>
      </c>
      <c r="N625" t="s">
        <v>983</v>
      </c>
      <c r="O625" t="s">
        <v>43</v>
      </c>
      <c r="P625">
        <v>9</v>
      </c>
      <c r="Q625">
        <v>3748.95</v>
      </c>
      <c r="R625">
        <v>0</v>
      </c>
      <c r="S625" t="str">
        <f t="shared" si="92"/>
        <v>OK</v>
      </c>
      <c r="T625">
        <v>33740.550000000003</v>
      </c>
      <c r="U625">
        <v>24621.89</v>
      </c>
      <c r="V625">
        <v>9118.66</v>
      </c>
      <c r="W625" t="s">
        <v>110</v>
      </c>
      <c r="X625" t="s">
        <v>67</v>
      </c>
      <c r="Y625" t="str">
        <f>IF(COUNTIF($A$2:$A$901,A625)&gt;1,
  IF(COUNTIF($A$2:A625,A625)=1,
    " ORIGINAL",
    "CONFLICTING DUPLICATE - REVIEW"),
"OK")</f>
        <v>OK</v>
      </c>
      <c r="Z625">
        <f t="shared" si="93"/>
        <v>0</v>
      </c>
      <c r="AA625">
        <f t="shared" si="94"/>
        <v>33740.550000000003</v>
      </c>
      <c r="AB625">
        <f t="shared" si="95"/>
        <v>9118.66</v>
      </c>
      <c r="AC625">
        <f t="shared" si="96"/>
        <v>0.27029999999999998</v>
      </c>
      <c r="AD625">
        <f t="shared" si="97"/>
        <v>2</v>
      </c>
      <c r="AE625">
        <f t="shared" si="98"/>
        <v>2025</v>
      </c>
      <c r="AF625" t="str">
        <f t="shared" si="99"/>
        <v>CLEAN</v>
      </c>
    </row>
    <row r="626" spans="1:32">
      <c r="A626" t="s">
        <v>987</v>
      </c>
      <c r="B626" s="10">
        <v>45854</v>
      </c>
      <c r="C626" s="10">
        <v>45860</v>
      </c>
      <c r="D626">
        <f t="shared" si="90"/>
        <v>6</v>
      </c>
      <c r="E626" t="str">
        <f t="shared" si="91"/>
        <v>OK</v>
      </c>
      <c r="F626" t="s">
        <v>988</v>
      </c>
      <c r="G626" t="s">
        <v>113</v>
      </c>
      <c r="H626" t="s">
        <v>23</v>
      </c>
      <c r="I626" t="s">
        <v>37</v>
      </c>
      <c r="J626" t="s">
        <v>38</v>
      </c>
      <c r="K626" t="s">
        <v>39</v>
      </c>
      <c r="L626" t="s">
        <v>73</v>
      </c>
      <c r="M626" t="s">
        <v>170</v>
      </c>
      <c r="N626" t="s">
        <v>989</v>
      </c>
      <c r="O626" t="s">
        <v>30</v>
      </c>
      <c r="P626">
        <v>6</v>
      </c>
      <c r="Q626">
        <v>4159.33</v>
      </c>
      <c r="R626">
        <v>0.25</v>
      </c>
      <c r="S626" t="str">
        <f t="shared" si="92"/>
        <v>OK</v>
      </c>
      <c r="T626">
        <v>18716.990000000002</v>
      </c>
      <c r="U626">
        <v>12282.43</v>
      </c>
      <c r="V626">
        <v>6434.56</v>
      </c>
      <c r="W626" t="s">
        <v>31</v>
      </c>
      <c r="X626" t="s">
        <v>102</v>
      </c>
      <c r="Y626" t="str">
        <f>IF(COUNTIF($A$2:$A$901,A626)&gt;1,
  IF(COUNTIF($A$2:A626,A626)=1,
    " ORIGINAL",
    "CONFLICTING DUPLICATE - REVIEW"),
"OK")</f>
        <v>OK</v>
      </c>
      <c r="Z626">
        <f t="shared" si="93"/>
        <v>0.25</v>
      </c>
      <c r="AA626">
        <f t="shared" si="94"/>
        <v>18716.990000000002</v>
      </c>
      <c r="AB626">
        <f t="shared" si="95"/>
        <v>6434.56</v>
      </c>
      <c r="AC626">
        <f t="shared" si="96"/>
        <v>0.34379999999999999</v>
      </c>
      <c r="AD626">
        <f t="shared" si="97"/>
        <v>7</v>
      </c>
      <c r="AE626">
        <f t="shared" si="98"/>
        <v>2025</v>
      </c>
      <c r="AF626" t="str">
        <f t="shared" si="99"/>
        <v>CLEAN</v>
      </c>
    </row>
    <row r="627" spans="1:32">
      <c r="A627" t="s">
        <v>990</v>
      </c>
      <c r="B627" s="10">
        <v>45833</v>
      </c>
      <c r="C627" s="10">
        <v>45836</v>
      </c>
      <c r="D627">
        <f t="shared" si="90"/>
        <v>3</v>
      </c>
      <c r="E627" t="str">
        <f t="shared" si="91"/>
        <v>OK</v>
      </c>
      <c r="F627" t="s">
        <v>991</v>
      </c>
      <c r="G627" t="s">
        <v>88</v>
      </c>
      <c r="H627" t="s">
        <v>36</v>
      </c>
      <c r="I627" t="s">
        <v>37</v>
      </c>
      <c r="J627" t="s">
        <v>165</v>
      </c>
      <c r="K627" t="s">
        <v>166</v>
      </c>
      <c r="L627" t="s">
        <v>27</v>
      </c>
      <c r="M627" t="s">
        <v>152</v>
      </c>
      <c r="N627" t="s">
        <v>992</v>
      </c>
      <c r="O627" t="s">
        <v>58</v>
      </c>
      <c r="P627">
        <v>3</v>
      </c>
      <c r="Q627">
        <v>3476.05</v>
      </c>
      <c r="R627">
        <v>0.1</v>
      </c>
      <c r="S627" t="str">
        <f t="shared" si="92"/>
        <v>OK</v>
      </c>
      <c r="T627">
        <v>9385.34</v>
      </c>
      <c r="U627">
        <v>5828.54</v>
      </c>
      <c r="V627">
        <v>3556.8</v>
      </c>
      <c r="W627" t="s">
        <v>31</v>
      </c>
      <c r="X627" t="s">
        <v>32</v>
      </c>
      <c r="Y627" t="str">
        <f>IF(COUNTIF($A$2:$A$901,A627)&gt;1,
  IF(COUNTIF($A$2:A627,A627)=1,
    " ORIGINAL",
    "CONFLICTING DUPLICATE - REVIEW"),
"OK")</f>
        <v>OK</v>
      </c>
      <c r="Z627">
        <f t="shared" si="93"/>
        <v>0.1</v>
      </c>
      <c r="AA627">
        <f t="shared" si="94"/>
        <v>9385.34</v>
      </c>
      <c r="AB627">
        <f t="shared" si="95"/>
        <v>3556.8</v>
      </c>
      <c r="AC627">
        <f t="shared" si="96"/>
        <v>0.379</v>
      </c>
      <c r="AD627">
        <f t="shared" si="97"/>
        <v>6</v>
      </c>
      <c r="AE627">
        <f t="shared" si="98"/>
        <v>2025</v>
      </c>
      <c r="AF627" t="str">
        <f t="shared" si="99"/>
        <v>CLEAN</v>
      </c>
    </row>
    <row r="628" spans="1:32">
      <c r="A628" t="s">
        <v>993</v>
      </c>
      <c r="B628" s="10">
        <v>45801</v>
      </c>
      <c r="C628" s="10">
        <v>45803</v>
      </c>
      <c r="D628">
        <f t="shared" si="90"/>
        <v>2</v>
      </c>
      <c r="E628" t="str">
        <f t="shared" si="91"/>
        <v>OK</v>
      </c>
      <c r="F628" t="s">
        <v>994</v>
      </c>
      <c r="G628" t="s">
        <v>88</v>
      </c>
      <c r="H628" t="s">
        <v>94</v>
      </c>
      <c r="I628" t="s">
        <v>24</v>
      </c>
      <c r="J628" t="s">
        <v>235</v>
      </c>
      <c r="K628" t="s">
        <v>236</v>
      </c>
      <c r="L628" t="s">
        <v>40</v>
      </c>
      <c r="M628" t="s">
        <v>56</v>
      </c>
      <c r="N628" t="s">
        <v>995</v>
      </c>
      <c r="O628" t="s">
        <v>43</v>
      </c>
      <c r="P628">
        <v>6</v>
      </c>
      <c r="Q628">
        <v>3495.41</v>
      </c>
      <c r="R628">
        <v>0.15</v>
      </c>
      <c r="S628" t="str">
        <f t="shared" si="92"/>
        <v>OK</v>
      </c>
      <c r="T628">
        <v>17826.59</v>
      </c>
      <c r="U628">
        <v>10855.35</v>
      </c>
      <c r="V628">
        <v>6971.24</v>
      </c>
      <c r="W628" t="s">
        <v>31</v>
      </c>
      <c r="X628" t="s">
        <v>32</v>
      </c>
      <c r="Y628" t="str">
        <f>IF(COUNTIF($A$2:$A$901,A628)&gt;1,
  IF(COUNTIF($A$2:A628,A628)=1,
    " ORIGINAL",
    "CONFLICTING DUPLICATE - REVIEW"),
"OK")</f>
        <v>OK</v>
      </c>
      <c r="Z628">
        <f t="shared" si="93"/>
        <v>0.15</v>
      </c>
      <c r="AA628">
        <f t="shared" si="94"/>
        <v>17826.59</v>
      </c>
      <c r="AB628">
        <f t="shared" si="95"/>
        <v>6971.24</v>
      </c>
      <c r="AC628">
        <f t="shared" si="96"/>
        <v>0.3911</v>
      </c>
      <c r="AD628">
        <f t="shared" si="97"/>
        <v>5</v>
      </c>
      <c r="AE628">
        <f t="shared" si="98"/>
        <v>2025</v>
      </c>
      <c r="AF628" t="str">
        <f t="shared" si="99"/>
        <v>CLEAN</v>
      </c>
    </row>
    <row r="629" spans="1:32">
      <c r="A629" t="s">
        <v>999</v>
      </c>
      <c r="B629" s="10">
        <v>45680</v>
      </c>
      <c r="C629" s="10">
        <v>45683</v>
      </c>
      <c r="D629">
        <f t="shared" si="90"/>
        <v>3</v>
      </c>
      <c r="E629" t="str">
        <f t="shared" si="91"/>
        <v>OK</v>
      </c>
      <c r="F629" t="s">
        <v>1000</v>
      </c>
      <c r="G629" t="s">
        <v>46</v>
      </c>
      <c r="H629" t="s">
        <v>23</v>
      </c>
      <c r="I629" t="s">
        <v>53</v>
      </c>
      <c r="J629" t="s">
        <v>184</v>
      </c>
      <c r="K629" t="s">
        <v>185</v>
      </c>
      <c r="L629" t="s">
        <v>73</v>
      </c>
      <c r="M629" t="s">
        <v>79</v>
      </c>
      <c r="N629" t="s">
        <v>1001</v>
      </c>
      <c r="O629" t="s">
        <v>49</v>
      </c>
      <c r="P629">
        <v>7</v>
      </c>
      <c r="Q629">
        <v>348.49</v>
      </c>
      <c r="R629">
        <v>0.2</v>
      </c>
      <c r="S629" t="str">
        <f t="shared" si="92"/>
        <v>OK</v>
      </c>
      <c r="T629">
        <v>1951.54</v>
      </c>
      <c r="U629">
        <v>1609.95</v>
      </c>
      <c r="V629">
        <v>341.59</v>
      </c>
      <c r="W629" t="s">
        <v>154</v>
      </c>
      <c r="X629" t="s">
        <v>102</v>
      </c>
      <c r="Y629" t="str">
        <f>IF(COUNTIF($A$2:$A$901,A629)&gt;1,
  IF(COUNTIF($A$2:A629,A629)=1,
    " ORIGINAL",
    "CONFLICTING DUPLICATE - REVIEW"),
"OK")</f>
        <v>OK</v>
      </c>
      <c r="Z629">
        <f t="shared" si="93"/>
        <v>0.2</v>
      </c>
      <c r="AA629">
        <f t="shared" si="94"/>
        <v>1951.54</v>
      </c>
      <c r="AB629">
        <f t="shared" si="95"/>
        <v>341.59</v>
      </c>
      <c r="AC629">
        <f t="shared" si="96"/>
        <v>0.17499999999999999</v>
      </c>
      <c r="AD629">
        <f t="shared" si="97"/>
        <v>1</v>
      </c>
      <c r="AE629">
        <f t="shared" si="98"/>
        <v>2025</v>
      </c>
      <c r="AF629" t="str">
        <f t="shared" si="99"/>
        <v>INVALID</v>
      </c>
    </row>
    <row r="630" spans="1:32">
      <c r="A630" t="s">
        <v>1008</v>
      </c>
      <c r="B630" s="10">
        <v>45805</v>
      </c>
      <c r="C630" s="10">
        <v>45663</v>
      </c>
      <c r="D630">
        <f t="shared" si="90"/>
        <v>-142</v>
      </c>
      <c r="E630" t="str">
        <f t="shared" si="91"/>
        <v>INVALID</v>
      </c>
      <c r="F630" t="s">
        <v>1009</v>
      </c>
      <c r="G630" t="s">
        <v>46</v>
      </c>
      <c r="H630" t="s">
        <v>94</v>
      </c>
      <c r="I630" t="s">
        <v>37</v>
      </c>
      <c r="J630" t="s">
        <v>144</v>
      </c>
      <c r="K630" t="s">
        <v>145</v>
      </c>
      <c r="L630" t="s">
        <v>73</v>
      </c>
      <c r="M630" t="s">
        <v>170</v>
      </c>
      <c r="N630" t="s">
        <v>1010</v>
      </c>
      <c r="O630" t="s">
        <v>43</v>
      </c>
      <c r="P630">
        <v>4</v>
      </c>
      <c r="Q630">
        <v>1654.11</v>
      </c>
      <c r="R630">
        <v>0.05</v>
      </c>
      <c r="S630" t="str">
        <f t="shared" si="92"/>
        <v>OK</v>
      </c>
      <c r="T630">
        <v>6285.62</v>
      </c>
      <c r="U630">
        <v>3705.38</v>
      </c>
      <c r="V630">
        <v>2580.2399999999998</v>
      </c>
      <c r="W630" t="s">
        <v>31</v>
      </c>
      <c r="X630" t="s">
        <v>32</v>
      </c>
      <c r="Y630" t="str">
        <f>IF(COUNTIF($A$2:$A$901,A630)&gt;1,
  IF(COUNTIF($A$2:A630,A630)=1,
    " ORIGINAL",
    "CONFLICTING DUPLICATE - REVIEW"),
"OK")</f>
        <v>OK</v>
      </c>
      <c r="Z630">
        <f t="shared" si="93"/>
        <v>0.05</v>
      </c>
      <c r="AA630">
        <f t="shared" si="94"/>
        <v>6285.62</v>
      </c>
      <c r="AB630">
        <f t="shared" si="95"/>
        <v>2580.2399999999998</v>
      </c>
      <c r="AC630">
        <f t="shared" si="96"/>
        <v>0.41049999999999998</v>
      </c>
      <c r="AD630">
        <f t="shared" si="97"/>
        <v>5</v>
      </c>
      <c r="AE630">
        <f t="shared" si="98"/>
        <v>2025</v>
      </c>
      <c r="AF630" t="str">
        <f t="shared" si="99"/>
        <v>INVALID</v>
      </c>
    </row>
    <row r="631" spans="1:32">
      <c r="A631" t="s">
        <v>1011</v>
      </c>
      <c r="B631" s="10">
        <v>45753</v>
      </c>
      <c r="C631" s="10">
        <v>45820</v>
      </c>
      <c r="D631">
        <f t="shared" si="90"/>
        <v>67</v>
      </c>
      <c r="E631" t="str">
        <f t="shared" si="91"/>
        <v>OK</v>
      </c>
      <c r="F631" t="s">
        <v>1012</v>
      </c>
      <c r="G631" t="s">
        <v>78</v>
      </c>
      <c r="H631" t="s">
        <v>23</v>
      </c>
      <c r="I631" t="s">
        <v>62</v>
      </c>
      <c r="J631" t="s">
        <v>189</v>
      </c>
      <c r="K631" t="s">
        <v>190</v>
      </c>
      <c r="L631" t="s">
        <v>27</v>
      </c>
      <c r="M631" t="s">
        <v>123</v>
      </c>
      <c r="N631" t="s">
        <v>1013</v>
      </c>
      <c r="O631" t="s">
        <v>43</v>
      </c>
      <c r="P631">
        <v>2</v>
      </c>
      <c r="Q631">
        <v>2703.28</v>
      </c>
      <c r="R631">
        <v>0.25</v>
      </c>
      <c r="S631" t="str">
        <f t="shared" si="92"/>
        <v>OK</v>
      </c>
      <c r="T631">
        <v>4054.92</v>
      </c>
      <c r="U631">
        <v>2424.83</v>
      </c>
      <c r="V631">
        <v>1630.09</v>
      </c>
      <c r="W631" t="s">
        <v>31</v>
      </c>
      <c r="X631" t="s">
        <v>32</v>
      </c>
      <c r="Y631" t="str">
        <f>IF(COUNTIF($A$2:$A$901,A631)&gt;1,
  IF(COUNTIF($A$2:A631,A631)=1,
    " ORIGINAL",
    "CONFLICTING DUPLICATE - REVIEW"),
"OK")</f>
        <v>OK</v>
      </c>
      <c r="Z631">
        <f t="shared" si="93"/>
        <v>0.25</v>
      </c>
      <c r="AA631">
        <f t="shared" si="94"/>
        <v>4054.92</v>
      </c>
      <c r="AB631">
        <f t="shared" si="95"/>
        <v>1630.09</v>
      </c>
      <c r="AC631">
        <f t="shared" si="96"/>
        <v>0.40200000000000002</v>
      </c>
      <c r="AD631">
        <f t="shared" si="97"/>
        <v>4</v>
      </c>
      <c r="AE631">
        <f t="shared" si="98"/>
        <v>2025</v>
      </c>
      <c r="AF631" t="str">
        <f t="shared" si="99"/>
        <v>CLEAN</v>
      </c>
    </row>
    <row r="632" spans="1:32">
      <c r="A632" t="s">
        <v>1023</v>
      </c>
      <c r="B632" s="10">
        <v>45708</v>
      </c>
      <c r="C632" s="10">
        <v>45711</v>
      </c>
      <c r="D632">
        <f t="shared" si="90"/>
        <v>3</v>
      </c>
      <c r="E632" t="str">
        <f t="shared" si="91"/>
        <v>OK</v>
      </c>
      <c r="F632" t="s">
        <v>1024</v>
      </c>
      <c r="G632" t="s">
        <v>127</v>
      </c>
      <c r="H632" t="s">
        <v>23</v>
      </c>
      <c r="I632" t="s">
        <v>24</v>
      </c>
      <c r="J632" t="s">
        <v>25</v>
      </c>
      <c r="K632" t="s">
        <v>26</v>
      </c>
      <c r="L632" t="s">
        <v>73</v>
      </c>
      <c r="M632" t="s">
        <v>170</v>
      </c>
      <c r="N632" t="s">
        <v>1025</v>
      </c>
      <c r="O632" t="s">
        <v>30</v>
      </c>
      <c r="P632">
        <v>4</v>
      </c>
      <c r="Q632">
        <v>3673.11</v>
      </c>
      <c r="R632">
        <v>0</v>
      </c>
      <c r="S632" t="str">
        <f t="shared" si="92"/>
        <v>OK</v>
      </c>
      <c r="T632">
        <v>14692.44</v>
      </c>
      <c r="U632">
        <v>10082.19</v>
      </c>
      <c r="V632">
        <v>4610.25</v>
      </c>
      <c r="W632" t="s">
        <v>31</v>
      </c>
      <c r="X632" t="s">
        <v>32</v>
      </c>
      <c r="Y632" t="str">
        <f>IF(COUNTIF($A$2:$A$901,A632)&gt;1,
  IF(COUNTIF($A$2:A632,A632)=1,
    " ORIGINAL",
    "CONFLICTING DUPLICATE - REVIEW"),
"OK")</f>
        <v>OK</v>
      </c>
      <c r="Z632">
        <f t="shared" si="93"/>
        <v>0</v>
      </c>
      <c r="AA632">
        <f t="shared" si="94"/>
        <v>14692.44</v>
      </c>
      <c r="AB632">
        <f t="shared" si="95"/>
        <v>4610.25</v>
      </c>
      <c r="AC632">
        <f t="shared" si="96"/>
        <v>0.31380000000000002</v>
      </c>
      <c r="AD632">
        <f t="shared" si="97"/>
        <v>2</v>
      </c>
      <c r="AE632">
        <f t="shared" si="98"/>
        <v>2025</v>
      </c>
      <c r="AF632" t="str">
        <f t="shared" si="99"/>
        <v>CLEAN</v>
      </c>
    </row>
    <row r="633" spans="1:32">
      <c r="A633" t="s">
        <v>1026</v>
      </c>
      <c r="B633" s="10">
        <v>45850</v>
      </c>
      <c r="C633" s="10">
        <v>45857</v>
      </c>
      <c r="D633">
        <f t="shared" si="90"/>
        <v>7</v>
      </c>
      <c r="E633" t="str">
        <f t="shared" si="91"/>
        <v>OK</v>
      </c>
      <c r="F633" t="s">
        <v>1027</v>
      </c>
      <c r="G633" t="s">
        <v>61</v>
      </c>
      <c r="H633" t="s">
        <v>89</v>
      </c>
      <c r="I633" t="s">
        <v>24</v>
      </c>
      <c r="J633" t="s">
        <v>135</v>
      </c>
      <c r="K633" t="s">
        <v>136</v>
      </c>
      <c r="L633" t="s">
        <v>40</v>
      </c>
      <c r="M633" t="s">
        <v>41</v>
      </c>
      <c r="N633" t="s">
        <v>1028</v>
      </c>
      <c r="O633" t="s">
        <v>49</v>
      </c>
      <c r="P633">
        <v>9</v>
      </c>
      <c r="Q633">
        <v>4093.04</v>
      </c>
      <c r="R633">
        <v>0.2</v>
      </c>
      <c r="S633" t="str">
        <f t="shared" si="92"/>
        <v>OK</v>
      </c>
      <c r="T633">
        <v>29469.89</v>
      </c>
      <c r="U633">
        <v>18935.509999999998</v>
      </c>
      <c r="V633">
        <v>10534.38</v>
      </c>
      <c r="W633" t="s">
        <v>110</v>
      </c>
      <c r="X633" t="s">
        <v>67</v>
      </c>
      <c r="Y633" t="str">
        <f>IF(COUNTIF($A$2:$A$901,A633)&gt;1,
  IF(COUNTIF($A$2:A633,A633)=1,
    " ORIGINAL",
    "CONFLICTING DUPLICATE - REVIEW"),
"OK")</f>
        <v>OK</v>
      </c>
      <c r="Z633">
        <f t="shared" si="93"/>
        <v>0.2</v>
      </c>
      <c r="AA633">
        <f t="shared" si="94"/>
        <v>29469.89</v>
      </c>
      <c r="AB633">
        <f t="shared" si="95"/>
        <v>10534.38</v>
      </c>
      <c r="AC633">
        <f t="shared" si="96"/>
        <v>0.35749999999999998</v>
      </c>
      <c r="AD633">
        <f t="shared" si="97"/>
        <v>7</v>
      </c>
      <c r="AE633">
        <f t="shared" si="98"/>
        <v>2025</v>
      </c>
      <c r="AF633" t="str">
        <f t="shared" si="99"/>
        <v>CLEAN</v>
      </c>
    </row>
    <row r="634" spans="1:32">
      <c r="A634" t="s">
        <v>1029</v>
      </c>
      <c r="B634" s="10">
        <v>45821</v>
      </c>
      <c r="C634" s="10">
        <v>45827</v>
      </c>
      <c r="D634">
        <f t="shared" si="90"/>
        <v>6</v>
      </c>
      <c r="E634" t="str">
        <f t="shared" si="91"/>
        <v>OK</v>
      </c>
      <c r="F634" t="s">
        <v>1030</v>
      </c>
      <c r="G634" t="s">
        <v>140</v>
      </c>
      <c r="H634" t="s">
        <v>23</v>
      </c>
      <c r="I634" t="s">
        <v>24</v>
      </c>
      <c r="J634" t="s">
        <v>25</v>
      </c>
      <c r="K634" t="s">
        <v>26</v>
      </c>
      <c r="L634" t="s">
        <v>40</v>
      </c>
      <c r="M634" t="s">
        <v>41</v>
      </c>
      <c r="N634" t="s">
        <v>1031</v>
      </c>
      <c r="O634" t="s">
        <v>49</v>
      </c>
      <c r="P634">
        <v>4</v>
      </c>
      <c r="Q634">
        <v>731.57</v>
      </c>
      <c r="R634">
        <v>0.2</v>
      </c>
      <c r="S634" t="str">
        <f t="shared" si="92"/>
        <v>OK</v>
      </c>
      <c r="T634">
        <v>2341.02</v>
      </c>
      <c r="U634">
        <v>1565.49</v>
      </c>
      <c r="V634">
        <v>775.53</v>
      </c>
      <c r="W634" t="s">
        <v>31</v>
      </c>
      <c r="X634" t="s">
        <v>32</v>
      </c>
      <c r="Y634" t="str">
        <f>IF(COUNTIF($A$2:$A$901,A634)&gt;1,
  IF(COUNTIF($A$2:A634,A634)=1,
    " ORIGINAL",
    "CONFLICTING DUPLICATE - REVIEW"),
"OK")</f>
        <v>OK</v>
      </c>
      <c r="Z634">
        <f t="shared" si="93"/>
        <v>0.2</v>
      </c>
      <c r="AA634">
        <f t="shared" si="94"/>
        <v>2341.02</v>
      </c>
      <c r="AB634">
        <f t="shared" si="95"/>
        <v>775.53</v>
      </c>
      <c r="AC634">
        <f t="shared" si="96"/>
        <v>0.33129999999999998</v>
      </c>
      <c r="AD634">
        <f t="shared" si="97"/>
        <v>6</v>
      </c>
      <c r="AE634">
        <f t="shared" si="98"/>
        <v>2025</v>
      </c>
      <c r="AF634" t="str">
        <f t="shared" si="99"/>
        <v>CLEAN</v>
      </c>
    </row>
    <row r="635" spans="1:32">
      <c r="A635" t="s">
        <v>1044</v>
      </c>
      <c r="B635" s="10">
        <v>45807</v>
      </c>
      <c r="C635" s="10">
        <v>45808</v>
      </c>
      <c r="D635">
        <f t="shared" si="90"/>
        <v>1</v>
      </c>
      <c r="E635" t="str">
        <f t="shared" si="91"/>
        <v>OK</v>
      </c>
      <c r="F635" t="s">
        <v>1045</v>
      </c>
      <c r="G635" t="s">
        <v>117</v>
      </c>
      <c r="H635" t="s">
        <v>89</v>
      </c>
      <c r="I635" t="s">
        <v>24</v>
      </c>
      <c r="J635" t="s">
        <v>135</v>
      </c>
      <c r="K635" t="s">
        <v>136</v>
      </c>
      <c r="L635" t="s">
        <v>73</v>
      </c>
      <c r="M635" t="s">
        <v>170</v>
      </c>
      <c r="N635" t="s">
        <v>1046</v>
      </c>
      <c r="O635" t="s">
        <v>49</v>
      </c>
      <c r="P635">
        <v>8</v>
      </c>
      <c r="Q635">
        <v>2081.4299999999998</v>
      </c>
      <c r="R635">
        <v>0.25</v>
      </c>
      <c r="S635" t="str">
        <f t="shared" si="92"/>
        <v>OK</v>
      </c>
      <c r="T635">
        <v>12488.58</v>
      </c>
      <c r="U635">
        <v>10717.4</v>
      </c>
      <c r="V635">
        <v>1771.18</v>
      </c>
      <c r="W635" t="s">
        <v>101</v>
      </c>
      <c r="X635" t="s">
        <v>67</v>
      </c>
      <c r="Y635" t="str">
        <f>IF(COUNTIF($A$2:$A$901,A635)&gt;1,
  IF(COUNTIF($A$2:A635,A635)=1,
    " ORIGINAL",
    "CONFLICTING DUPLICATE - REVIEW"),
"OK")</f>
        <v>OK</v>
      </c>
      <c r="Z635">
        <f t="shared" si="93"/>
        <v>0.25</v>
      </c>
      <c r="AA635">
        <f t="shared" si="94"/>
        <v>12488.58</v>
      </c>
      <c r="AB635">
        <f t="shared" si="95"/>
        <v>1771.18</v>
      </c>
      <c r="AC635">
        <f t="shared" si="96"/>
        <v>0.14180000000000001</v>
      </c>
      <c r="AD635">
        <f t="shared" si="97"/>
        <v>5</v>
      </c>
      <c r="AE635">
        <f t="shared" si="98"/>
        <v>2025</v>
      </c>
      <c r="AF635" t="str">
        <f t="shared" si="99"/>
        <v>CLEAN</v>
      </c>
    </row>
    <row r="636" spans="1:32">
      <c r="A636" t="s">
        <v>1047</v>
      </c>
      <c r="B636" s="10">
        <v>45795</v>
      </c>
      <c r="C636" s="10">
        <v>45797</v>
      </c>
      <c r="D636">
        <f t="shared" si="90"/>
        <v>2</v>
      </c>
      <c r="E636" t="str">
        <f t="shared" si="91"/>
        <v>OK</v>
      </c>
      <c r="F636" t="s">
        <v>1048</v>
      </c>
      <c r="G636" t="s">
        <v>46</v>
      </c>
      <c r="H636" t="s">
        <v>89</v>
      </c>
      <c r="I636" t="s">
        <v>62</v>
      </c>
      <c r="J636" t="s">
        <v>71</v>
      </c>
      <c r="K636" t="s">
        <v>72</v>
      </c>
      <c r="L636" t="s">
        <v>27</v>
      </c>
      <c r="M636" t="s">
        <v>90</v>
      </c>
      <c r="N636" t="s">
        <v>1049</v>
      </c>
      <c r="O636" t="s">
        <v>58</v>
      </c>
      <c r="P636">
        <v>9</v>
      </c>
      <c r="Q636">
        <v>847.76</v>
      </c>
      <c r="R636">
        <v>0.15</v>
      </c>
      <c r="S636" t="str">
        <f t="shared" si="92"/>
        <v>OK</v>
      </c>
      <c r="T636">
        <v>6485.36</v>
      </c>
      <c r="U636">
        <v>5376.17</v>
      </c>
      <c r="V636">
        <v>1109.19</v>
      </c>
      <c r="W636" t="s">
        <v>154</v>
      </c>
      <c r="X636" t="s">
        <v>102</v>
      </c>
      <c r="Y636" t="str">
        <f>IF(COUNTIF($A$2:$A$901,A636)&gt;1,
  IF(COUNTIF($A$2:A636,A636)=1,
    " ORIGINAL",
    "CONFLICTING DUPLICATE - REVIEW"),
"OK")</f>
        <v xml:space="preserve"> ORIGINAL</v>
      </c>
      <c r="Z636">
        <f t="shared" si="93"/>
        <v>0.15</v>
      </c>
      <c r="AA636">
        <f t="shared" si="94"/>
        <v>6485.36</v>
      </c>
      <c r="AB636">
        <f t="shared" si="95"/>
        <v>1109.19</v>
      </c>
      <c r="AC636">
        <f t="shared" si="96"/>
        <v>0.17100000000000001</v>
      </c>
      <c r="AD636">
        <f t="shared" si="97"/>
        <v>5</v>
      </c>
      <c r="AE636">
        <f t="shared" si="98"/>
        <v>2025</v>
      </c>
      <c r="AF636" t="str">
        <f t="shared" si="99"/>
        <v>INVALID</v>
      </c>
    </row>
    <row r="637" spans="1:32">
      <c r="A637" t="s">
        <v>1047</v>
      </c>
      <c r="B637" s="10">
        <v>45795</v>
      </c>
      <c r="C637" s="10">
        <v>45797</v>
      </c>
      <c r="D637">
        <f t="shared" si="90"/>
        <v>2</v>
      </c>
      <c r="E637" t="str">
        <f t="shared" si="91"/>
        <v>OK</v>
      </c>
      <c r="F637" t="s">
        <v>1048</v>
      </c>
      <c r="G637" t="s">
        <v>46</v>
      </c>
      <c r="H637" t="s">
        <v>89</v>
      </c>
      <c r="I637" t="s">
        <v>62</v>
      </c>
      <c r="J637" t="s">
        <v>71</v>
      </c>
      <c r="K637" t="s">
        <v>72</v>
      </c>
      <c r="L637" t="s">
        <v>27</v>
      </c>
      <c r="M637" t="s">
        <v>90</v>
      </c>
      <c r="N637" t="s">
        <v>1049</v>
      </c>
      <c r="O637" t="s">
        <v>58</v>
      </c>
      <c r="P637">
        <v>9</v>
      </c>
      <c r="Q637">
        <v>847.76</v>
      </c>
      <c r="R637">
        <v>0.15</v>
      </c>
      <c r="S637" t="str">
        <f t="shared" si="92"/>
        <v>OK</v>
      </c>
      <c r="T637">
        <v>6589.37</v>
      </c>
      <c r="U637">
        <v>5376.17</v>
      </c>
      <c r="V637">
        <v>1109.19</v>
      </c>
      <c r="W637" t="s">
        <v>154</v>
      </c>
      <c r="X637" t="s">
        <v>32</v>
      </c>
      <c r="Y637" t="str">
        <f>IF(COUNTIF($A$2:$A$901,A637)&gt;1,
  IF(COUNTIF($A$2:A637,A637)=1,
    " ORIGINAL",
    "CONFLICTING DUPLICATE - REVIEW"),
"OK")</f>
        <v>CONFLICTING DUPLICATE - REVIEW</v>
      </c>
      <c r="Z637">
        <f t="shared" si="93"/>
        <v>0.15</v>
      </c>
      <c r="AA637">
        <f t="shared" si="94"/>
        <v>6485.36</v>
      </c>
      <c r="AB637">
        <f t="shared" si="95"/>
        <v>1109.19</v>
      </c>
      <c r="AC637">
        <f t="shared" si="96"/>
        <v>0.17100000000000001</v>
      </c>
      <c r="AD637">
        <f t="shared" si="97"/>
        <v>5</v>
      </c>
      <c r="AE637">
        <f t="shared" si="98"/>
        <v>2025</v>
      </c>
      <c r="AF637" t="str">
        <f t="shared" si="99"/>
        <v>INVALID</v>
      </c>
    </row>
    <row r="638" spans="1:32">
      <c r="A638" t="s">
        <v>1056</v>
      </c>
      <c r="B638" s="10">
        <v>45898</v>
      </c>
      <c r="C638" s="10">
        <v>45904</v>
      </c>
      <c r="D638">
        <f t="shared" si="90"/>
        <v>6</v>
      </c>
      <c r="E638" t="str">
        <f t="shared" si="91"/>
        <v>OK</v>
      </c>
      <c r="F638" t="s">
        <v>1057</v>
      </c>
      <c r="G638" t="s">
        <v>78</v>
      </c>
      <c r="H638" t="s">
        <v>89</v>
      </c>
      <c r="I638" t="s">
        <v>53</v>
      </c>
      <c r="J638" t="s">
        <v>184</v>
      </c>
      <c r="K638" t="s">
        <v>185</v>
      </c>
      <c r="L638" t="s">
        <v>40</v>
      </c>
      <c r="M638" t="s">
        <v>41</v>
      </c>
      <c r="N638" t="s">
        <v>1058</v>
      </c>
      <c r="O638" t="s">
        <v>49</v>
      </c>
      <c r="P638">
        <v>9</v>
      </c>
      <c r="Q638">
        <v>2996.97</v>
      </c>
      <c r="R638">
        <v>0.15</v>
      </c>
      <c r="S638" t="str">
        <f t="shared" si="92"/>
        <v>OK</v>
      </c>
      <c r="T638">
        <v>22926.82</v>
      </c>
      <c r="U638">
        <v>14621.59</v>
      </c>
      <c r="V638">
        <v>8305.23</v>
      </c>
      <c r="W638" t="s">
        <v>31</v>
      </c>
      <c r="X638" t="s">
        <v>32</v>
      </c>
      <c r="Y638" t="str">
        <f>IF(COUNTIF($A$2:$A$901,A638)&gt;1,
  IF(COUNTIF($A$2:A638,A638)=1,
    " ORIGINAL",
    "CONFLICTING DUPLICATE - REVIEW"),
"OK")</f>
        <v>OK</v>
      </c>
      <c r="Z638">
        <f t="shared" si="93"/>
        <v>0.15</v>
      </c>
      <c r="AA638">
        <f t="shared" si="94"/>
        <v>22926.82</v>
      </c>
      <c r="AB638">
        <f t="shared" si="95"/>
        <v>8305.23</v>
      </c>
      <c r="AC638">
        <f t="shared" si="96"/>
        <v>0.36220000000000002</v>
      </c>
      <c r="AD638">
        <f t="shared" si="97"/>
        <v>8</v>
      </c>
      <c r="AE638">
        <f t="shared" si="98"/>
        <v>2025</v>
      </c>
      <c r="AF638" t="str">
        <f t="shared" si="99"/>
        <v>CLEAN</v>
      </c>
    </row>
    <row r="639" spans="1:32">
      <c r="A639" t="s">
        <v>1076</v>
      </c>
      <c r="B639" s="10">
        <v>45869</v>
      </c>
      <c r="C639" s="10">
        <v>45696</v>
      </c>
      <c r="D639">
        <f t="shared" si="90"/>
        <v>-173</v>
      </c>
      <c r="E639" t="str">
        <f t="shared" si="91"/>
        <v>INVALID</v>
      </c>
      <c r="F639" t="s">
        <v>1077</v>
      </c>
      <c r="G639" t="s">
        <v>140</v>
      </c>
      <c r="H639" t="s">
        <v>94</v>
      </c>
      <c r="I639" t="s">
        <v>53</v>
      </c>
      <c r="J639" t="s">
        <v>83</v>
      </c>
      <c r="K639" t="s">
        <v>84</v>
      </c>
      <c r="L639" t="s">
        <v>27</v>
      </c>
      <c r="M639" t="s">
        <v>90</v>
      </c>
      <c r="N639" t="s">
        <v>1078</v>
      </c>
      <c r="O639" t="s">
        <v>43</v>
      </c>
      <c r="P639">
        <v>1</v>
      </c>
      <c r="Q639">
        <v>1947.88</v>
      </c>
      <c r="R639">
        <v>0.15</v>
      </c>
      <c r="S639" t="str">
        <f t="shared" si="92"/>
        <v>OK</v>
      </c>
      <c r="T639">
        <v>1655.7</v>
      </c>
      <c r="U639">
        <v>1354.8</v>
      </c>
      <c r="V639">
        <v>300.89999999999998</v>
      </c>
      <c r="W639" t="s">
        <v>31</v>
      </c>
      <c r="X639" t="s">
        <v>102</v>
      </c>
      <c r="Y639" t="str">
        <f>IF(COUNTIF($A$2:$A$901,A639)&gt;1,
  IF(COUNTIF($A$2:A639,A639)=1,
    " ORIGINAL",
    "CONFLICTING DUPLICATE - REVIEW"),
"OK")</f>
        <v>OK</v>
      </c>
      <c r="Z639">
        <f t="shared" si="93"/>
        <v>0.15</v>
      </c>
      <c r="AA639">
        <f t="shared" si="94"/>
        <v>1655.7</v>
      </c>
      <c r="AB639">
        <f t="shared" si="95"/>
        <v>300.89999999999998</v>
      </c>
      <c r="AC639">
        <f t="shared" si="96"/>
        <v>0.1817</v>
      </c>
      <c r="AD639">
        <f t="shared" si="97"/>
        <v>7</v>
      </c>
      <c r="AE639">
        <f t="shared" si="98"/>
        <v>2025</v>
      </c>
      <c r="AF639" t="str">
        <f t="shared" si="99"/>
        <v>INVALID</v>
      </c>
    </row>
    <row r="640" spans="1:32">
      <c r="A640" t="s">
        <v>1079</v>
      </c>
      <c r="B640" s="10">
        <v>45916</v>
      </c>
      <c r="C640" s="10">
        <v>45922</v>
      </c>
      <c r="D640">
        <f t="shared" si="90"/>
        <v>6</v>
      </c>
      <c r="E640" t="str">
        <f t="shared" si="91"/>
        <v>OK</v>
      </c>
      <c r="F640" t="s">
        <v>1080</v>
      </c>
      <c r="G640" t="s">
        <v>131</v>
      </c>
      <c r="H640" t="s">
        <v>94</v>
      </c>
      <c r="I640" t="s">
        <v>37</v>
      </c>
      <c r="J640" t="s">
        <v>98</v>
      </c>
      <c r="K640" t="s">
        <v>99</v>
      </c>
      <c r="L640" t="s">
        <v>73</v>
      </c>
      <c r="M640" t="s">
        <v>79</v>
      </c>
      <c r="N640" t="s">
        <v>1081</v>
      </c>
      <c r="O640" t="s">
        <v>30</v>
      </c>
      <c r="P640">
        <v>5</v>
      </c>
      <c r="Q640">
        <v>3671.2</v>
      </c>
      <c r="R640">
        <v>0.15</v>
      </c>
      <c r="S640" t="str">
        <f t="shared" si="92"/>
        <v>OK</v>
      </c>
      <c r="T640">
        <v>15602.6</v>
      </c>
      <c r="U640">
        <v>11908.52</v>
      </c>
      <c r="V640">
        <v>3694.08</v>
      </c>
      <c r="W640" t="s">
        <v>31</v>
      </c>
      <c r="X640" t="s">
        <v>32</v>
      </c>
      <c r="Y640" t="str">
        <f>IF(COUNTIF($A$2:$A$901,A640)&gt;1,
  IF(COUNTIF($A$2:A640,A640)=1,
    " ORIGINAL",
    "CONFLICTING DUPLICATE - REVIEW"),
"OK")</f>
        <v>OK</v>
      </c>
      <c r="Z640">
        <f t="shared" si="93"/>
        <v>0.15</v>
      </c>
      <c r="AA640">
        <f t="shared" si="94"/>
        <v>15602.6</v>
      </c>
      <c r="AB640">
        <f t="shared" si="95"/>
        <v>3694.08</v>
      </c>
      <c r="AC640">
        <f t="shared" si="96"/>
        <v>0.23680000000000001</v>
      </c>
      <c r="AD640">
        <f t="shared" si="97"/>
        <v>9</v>
      </c>
      <c r="AE640">
        <f t="shared" si="98"/>
        <v>2025</v>
      </c>
      <c r="AF640" t="str">
        <f t="shared" si="99"/>
        <v>CLEAN</v>
      </c>
    </row>
    <row r="641" spans="1:32">
      <c r="A641" t="s">
        <v>1082</v>
      </c>
      <c r="B641" s="10">
        <v>45860</v>
      </c>
      <c r="C641" s="10">
        <v>45860</v>
      </c>
      <c r="D641">
        <f t="shared" si="90"/>
        <v>0</v>
      </c>
      <c r="E641" t="str">
        <f t="shared" si="91"/>
        <v>OK</v>
      </c>
      <c r="F641" t="s">
        <v>1083</v>
      </c>
      <c r="G641" t="s">
        <v>131</v>
      </c>
      <c r="H641" t="s">
        <v>89</v>
      </c>
      <c r="I641" t="s">
        <v>37</v>
      </c>
      <c r="J641" t="s">
        <v>227</v>
      </c>
      <c r="K641" t="s">
        <v>228</v>
      </c>
      <c r="L641" t="s">
        <v>40</v>
      </c>
      <c r="M641" t="s">
        <v>56</v>
      </c>
      <c r="N641" t="s">
        <v>1084</v>
      </c>
      <c r="O641" t="s">
        <v>43</v>
      </c>
      <c r="P641">
        <v>5</v>
      </c>
      <c r="Q641">
        <v>3187.05</v>
      </c>
      <c r="R641">
        <v>0.05</v>
      </c>
      <c r="S641" t="str">
        <f t="shared" si="92"/>
        <v>OK</v>
      </c>
      <c r="T641">
        <v>15138.49</v>
      </c>
      <c r="U641">
        <v>11235.72</v>
      </c>
      <c r="V641">
        <v>3902.77</v>
      </c>
      <c r="W641" t="s">
        <v>31</v>
      </c>
      <c r="X641" t="s">
        <v>32</v>
      </c>
      <c r="Y641" t="str">
        <f>IF(COUNTIF($A$2:$A$901,A641)&gt;1,
  IF(COUNTIF($A$2:A641,A641)=1,
    " ORIGINAL",
    "CONFLICTING DUPLICATE - REVIEW"),
"OK")</f>
        <v>OK</v>
      </c>
      <c r="Z641">
        <f t="shared" si="93"/>
        <v>0.05</v>
      </c>
      <c r="AA641">
        <f t="shared" si="94"/>
        <v>15138.49</v>
      </c>
      <c r="AB641">
        <f t="shared" si="95"/>
        <v>3902.77</v>
      </c>
      <c r="AC641">
        <f t="shared" si="96"/>
        <v>0.25779999999999997</v>
      </c>
      <c r="AD641">
        <f t="shared" si="97"/>
        <v>7</v>
      </c>
      <c r="AE641">
        <f t="shared" si="98"/>
        <v>2025</v>
      </c>
      <c r="AF641" t="str">
        <f t="shared" si="99"/>
        <v>CLEAN</v>
      </c>
    </row>
    <row r="642" spans="1:32">
      <c r="A642" t="s">
        <v>1088</v>
      </c>
      <c r="B642" s="10">
        <v>45806</v>
      </c>
      <c r="C642" s="10">
        <v>45812</v>
      </c>
      <c r="D642">
        <f t="shared" ref="D642:D705" si="100">C642-B642</f>
        <v>6</v>
      </c>
      <c r="E642" t="str">
        <f t="shared" ref="E642:E705" si="101">IF(D642&lt;0,"INVALID","OK")</f>
        <v>OK</v>
      </c>
      <c r="F642" t="s">
        <v>1089</v>
      </c>
      <c r="G642" t="s">
        <v>161</v>
      </c>
      <c r="H642" t="s">
        <v>23</v>
      </c>
      <c r="I642" t="s">
        <v>62</v>
      </c>
      <c r="J642" t="s">
        <v>63</v>
      </c>
      <c r="K642" t="s">
        <v>64</v>
      </c>
      <c r="L642" t="s">
        <v>27</v>
      </c>
      <c r="M642" t="s">
        <v>123</v>
      </c>
      <c r="N642" t="s">
        <v>1090</v>
      </c>
      <c r="O642" t="s">
        <v>49</v>
      </c>
      <c r="P642">
        <v>6</v>
      </c>
      <c r="Q642">
        <v>3100.68</v>
      </c>
      <c r="R642">
        <v>0</v>
      </c>
      <c r="S642" t="str">
        <f t="shared" si="92"/>
        <v>OK</v>
      </c>
      <c r="T642">
        <v>18604.080000000002</v>
      </c>
      <c r="U642">
        <v>15834.3</v>
      </c>
      <c r="V642">
        <v>2769.78</v>
      </c>
      <c r="W642" t="s">
        <v>31</v>
      </c>
      <c r="X642" t="s">
        <v>32</v>
      </c>
      <c r="Y642" t="str">
        <f>IF(COUNTIF($A$2:$A$901,A642)&gt;1,
  IF(COUNTIF($A$2:A642,A642)=1,
    " ORIGINAL",
    "CONFLICTING DUPLICATE - REVIEW"),
"OK")</f>
        <v>OK</v>
      </c>
      <c r="Z642">
        <f t="shared" si="93"/>
        <v>0</v>
      </c>
      <c r="AA642">
        <f t="shared" si="94"/>
        <v>18604.080000000002</v>
      </c>
      <c r="AB642">
        <f t="shared" si="95"/>
        <v>2769.78</v>
      </c>
      <c r="AC642">
        <f t="shared" si="96"/>
        <v>0.1489</v>
      </c>
      <c r="AD642">
        <f t="shared" si="97"/>
        <v>5</v>
      </c>
      <c r="AE642">
        <f t="shared" si="98"/>
        <v>2025</v>
      </c>
      <c r="AF642" t="str">
        <f t="shared" si="99"/>
        <v>CLEAN</v>
      </c>
    </row>
    <row r="643" spans="1:32">
      <c r="A643" t="s">
        <v>1091</v>
      </c>
      <c r="B643" s="10">
        <v>45789</v>
      </c>
      <c r="C643" s="10">
        <v>45795</v>
      </c>
      <c r="D643">
        <f t="shared" si="100"/>
        <v>6</v>
      </c>
      <c r="E643" t="str">
        <f t="shared" si="101"/>
        <v>OK</v>
      </c>
      <c r="F643" t="s">
        <v>1092</v>
      </c>
      <c r="G643" t="s">
        <v>78</v>
      </c>
      <c r="H643" t="s">
        <v>36</v>
      </c>
      <c r="I643" t="s">
        <v>62</v>
      </c>
      <c r="J643" t="s">
        <v>63</v>
      </c>
      <c r="K643" t="s">
        <v>64</v>
      </c>
      <c r="L643" t="s">
        <v>27</v>
      </c>
      <c r="M643" t="s">
        <v>123</v>
      </c>
      <c r="N643" t="s">
        <v>1093</v>
      </c>
      <c r="O643" t="s">
        <v>58</v>
      </c>
      <c r="P643">
        <v>4</v>
      </c>
      <c r="Q643">
        <v>4053.03</v>
      </c>
      <c r="R643">
        <v>0.05</v>
      </c>
      <c r="S643" t="str">
        <f t="shared" ref="S643:S706" si="102">IF(R643&lt;0,"INVALID-NEGATIVE",IF(R643&gt;1,"INVALID-ABOVE","OK"))</f>
        <v>OK</v>
      </c>
      <c r="T643">
        <v>15401.51</v>
      </c>
      <c r="U643">
        <v>8650.42</v>
      </c>
      <c r="V643">
        <v>6751.09</v>
      </c>
      <c r="W643" t="s">
        <v>31</v>
      </c>
      <c r="X643" t="s">
        <v>32</v>
      </c>
      <c r="Y643" t="str">
        <f>IF(COUNTIF($A$2:$A$901,A643)&gt;1,
  IF(COUNTIF($A$2:A643,A643)=1,
    " ORIGINAL",
    "CONFLICTING DUPLICATE - REVIEW"),
"OK")</f>
        <v>OK</v>
      </c>
      <c r="Z643">
        <f t="shared" ref="Z643:Z706" si="103">IF(R643&lt;0, 0,
  IF(ISNUMBER(R643), R643,
    IFERROR(VALUE(SUBSTITUTE(R643,"%",""))/100, 0)))</f>
        <v>0.05</v>
      </c>
      <c r="AA643">
        <f t="shared" ref="AA643:AA706" si="104">ROUND(P643*Q643*(1-Z643),2)</f>
        <v>15401.51</v>
      </c>
      <c r="AB643">
        <f t="shared" ref="AB643:AB706" si="105">ROUND(AA643-U643,2)</f>
        <v>6751.09</v>
      </c>
      <c r="AC643">
        <f t="shared" ref="AC643:AC706" si="106">IFERROR(ROUND(AB643/AA643,4),0)</f>
        <v>0.43830000000000002</v>
      </c>
      <c r="AD643">
        <f t="shared" ref="AD643:AD706" si="107">IFERROR(MONTH(B643),"INVALID")</f>
        <v>5</v>
      </c>
      <c r="AE643">
        <f t="shared" ref="AE643:AE706" si="108">IFERROR(YEAR(B643),"INVALID")</f>
        <v>2025</v>
      </c>
      <c r="AF643" t="str">
        <f t="shared" ref="AF643:AF706" si="109">IF(OR(R643&lt;0,NOT(ISNUMBER(R643)),D643&lt;0,W643="Failed"),"INVALID",IF(OR(I643="Unknown",O643="Unknown",R643&gt;1,AA643&lt;0),"WARNING","CLEAN"))</f>
        <v>CLEAN</v>
      </c>
    </row>
    <row r="644" spans="1:32">
      <c r="A644" t="s">
        <v>1100</v>
      </c>
      <c r="B644" s="10">
        <v>45804</v>
      </c>
      <c r="C644" s="10">
        <v>45805</v>
      </c>
      <c r="D644">
        <f t="shared" si="100"/>
        <v>1</v>
      </c>
      <c r="E644" t="str">
        <f t="shared" si="101"/>
        <v>OK</v>
      </c>
      <c r="F644" t="s">
        <v>1101</v>
      </c>
      <c r="G644" t="s">
        <v>127</v>
      </c>
      <c r="H644" t="s">
        <v>23</v>
      </c>
      <c r="I644" t="s">
        <v>53</v>
      </c>
      <c r="J644" t="s">
        <v>83</v>
      </c>
      <c r="K644" t="s">
        <v>84</v>
      </c>
      <c r="L644" t="s">
        <v>73</v>
      </c>
      <c r="M644" t="s">
        <v>273</v>
      </c>
      <c r="N644" t="s">
        <v>1102</v>
      </c>
      <c r="O644" t="s">
        <v>30</v>
      </c>
      <c r="P644">
        <v>2</v>
      </c>
      <c r="Q644">
        <v>3911.96</v>
      </c>
      <c r="R644">
        <v>0</v>
      </c>
      <c r="S644" t="str">
        <f t="shared" si="102"/>
        <v>OK</v>
      </c>
      <c r="T644">
        <v>7823.92</v>
      </c>
      <c r="U644">
        <v>6034.63</v>
      </c>
      <c r="V644">
        <v>1789.29</v>
      </c>
      <c r="W644" t="s">
        <v>31</v>
      </c>
      <c r="X644" t="s">
        <v>32</v>
      </c>
      <c r="Y644" t="str">
        <f>IF(COUNTIF($A$2:$A$901,A644)&gt;1,
  IF(COUNTIF($A$2:A644,A644)=1,
    " ORIGINAL",
    "CONFLICTING DUPLICATE - REVIEW"),
"OK")</f>
        <v>OK</v>
      </c>
      <c r="Z644">
        <f t="shared" si="103"/>
        <v>0</v>
      </c>
      <c r="AA644">
        <f t="shared" si="104"/>
        <v>7823.92</v>
      </c>
      <c r="AB644">
        <f t="shared" si="105"/>
        <v>1789.29</v>
      </c>
      <c r="AC644">
        <f t="shared" si="106"/>
        <v>0.22869999999999999</v>
      </c>
      <c r="AD644">
        <f t="shared" si="107"/>
        <v>5</v>
      </c>
      <c r="AE644">
        <f t="shared" si="108"/>
        <v>2025</v>
      </c>
      <c r="AF644" t="str">
        <f t="shared" si="109"/>
        <v>CLEAN</v>
      </c>
    </row>
    <row r="645" spans="1:32">
      <c r="A645" t="s">
        <v>1103</v>
      </c>
      <c r="B645" s="10">
        <v>45830</v>
      </c>
      <c r="C645" s="10">
        <v>45835</v>
      </c>
      <c r="D645">
        <f t="shared" si="100"/>
        <v>5</v>
      </c>
      <c r="E645" t="str">
        <f t="shared" si="101"/>
        <v>OK</v>
      </c>
      <c r="F645" t="s">
        <v>1104</v>
      </c>
      <c r="G645" t="s">
        <v>140</v>
      </c>
      <c r="H645" t="s">
        <v>94</v>
      </c>
      <c r="I645" t="s">
        <v>2762</v>
      </c>
      <c r="J645" t="s">
        <v>349</v>
      </c>
      <c r="K645" t="s">
        <v>350</v>
      </c>
      <c r="L645" t="s">
        <v>73</v>
      </c>
      <c r="M645" t="s">
        <v>170</v>
      </c>
      <c r="N645" t="s">
        <v>1105</v>
      </c>
      <c r="O645" t="s">
        <v>49</v>
      </c>
      <c r="P645">
        <v>2</v>
      </c>
      <c r="Q645">
        <v>1468.05</v>
      </c>
      <c r="R645">
        <v>0</v>
      </c>
      <c r="S645" t="str">
        <f t="shared" si="102"/>
        <v>OK</v>
      </c>
      <c r="T645">
        <v>2936.1</v>
      </c>
      <c r="U645">
        <v>1923.1</v>
      </c>
      <c r="V645">
        <v>1013</v>
      </c>
      <c r="W645" t="s">
        <v>31</v>
      </c>
      <c r="X645" t="s">
        <v>32</v>
      </c>
      <c r="Y645" t="str">
        <f>IF(COUNTIF($A$2:$A$901,A645)&gt;1,
  IF(COUNTIF($A$2:A645,A645)=1,
    " ORIGINAL",
    "CONFLICTING DUPLICATE - REVIEW"),
"OK")</f>
        <v>OK</v>
      </c>
      <c r="Z645">
        <f t="shared" si="103"/>
        <v>0</v>
      </c>
      <c r="AA645">
        <f t="shared" si="104"/>
        <v>2936.1</v>
      </c>
      <c r="AB645">
        <f t="shared" si="105"/>
        <v>1013</v>
      </c>
      <c r="AC645">
        <f t="shared" si="106"/>
        <v>0.34499999999999997</v>
      </c>
      <c r="AD645">
        <f t="shared" si="107"/>
        <v>6</v>
      </c>
      <c r="AE645">
        <f t="shared" si="108"/>
        <v>2025</v>
      </c>
      <c r="AF645" t="str">
        <f t="shared" si="109"/>
        <v>WARNING</v>
      </c>
    </row>
    <row r="646" spans="1:32">
      <c r="A646" t="s">
        <v>1109</v>
      </c>
      <c r="B646" s="10">
        <v>45824</v>
      </c>
      <c r="C646" s="10">
        <v>45826</v>
      </c>
      <c r="D646">
        <f t="shared" si="100"/>
        <v>2</v>
      </c>
      <c r="E646" t="str">
        <f t="shared" si="101"/>
        <v>OK</v>
      </c>
      <c r="F646" t="s">
        <v>1110</v>
      </c>
      <c r="G646" t="s">
        <v>117</v>
      </c>
      <c r="H646" t="s">
        <v>94</v>
      </c>
      <c r="I646" t="s">
        <v>62</v>
      </c>
      <c r="J646" t="s">
        <v>71</v>
      </c>
      <c r="K646" t="s">
        <v>72</v>
      </c>
      <c r="L646" t="s">
        <v>27</v>
      </c>
      <c r="M646" t="s">
        <v>28</v>
      </c>
      <c r="N646" t="s">
        <v>1111</v>
      </c>
      <c r="O646" t="s">
        <v>49</v>
      </c>
      <c r="P646">
        <v>3</v>
      </c>
      <c r="Q646">
        <v>4289.37</v>
      </c>
      <c r="R646">
        <v>0.1</v>
      </c>
      <c r="S646" t="str">
        <f t="shared" si="102"/>
        <v>OK</v>
      </c>
      <c r="T646">
        <v>11581.3</v>
      </c>
      <c r="U646">
        <v>6829.43</v>
      </c>
      <c r="V646">
        <v>4751.87</v>
      </c>
      <c r="W646" t="s">
        <v>31</v>
      </c>
      <c r="X646" t="s">
        <v>32</v>
      </c>
      <c r="Y646" t="str">
        <f>IF(COUNTIF($A$2:$A$901,A646)&gt;1,
  IF(COUNTIF($A$2:A646,A646)=1,
    " ORIGINAL",
    "CONFLICTING DUPLICATE - REVIEW"),
"OK")</f>
        <v xml:space="preserve"> ORIGINAL</v>
      </c>
      <c r="Z646">
        <f t="shared" si="103"/>
        <v>0.1</v>
      </c>
      <c r="AA646">
        <f t="shared" si="104"/>
        <v>11581.3</v>
      </c>
      <c r="AB646">
        <f t="shared" si="105"/>
        <v>4751.87</v>
      </c>
      <c r="AC646">
        <f t="shared" si="106"/>
        <v>0.4103</v>
      </c>
      <c r="AD646">
        <f t="shared" si="107"/>
        <v>6</v>
      </c>
      <c r="AE646">
        <f t="shared" si="108"/>
        <v>2025</v>
      </c>
      <c r="AF646" t="str">
        <f t="shared" si="109"/>
        <v>CLEAN</v>
      </c>
    </row>
    <row r="647" spans="1:32">
      <c r="A647" t="s">
        <v>1109</v>
      </c>
      <c r="B647" s="10">
        <v>45824</v>
      </c>
      <c r="C647" s="10">
        <v>45826</v>
      </c>
      <c r="D647">
        <f t="shared" si="100"/>
        <v>2</v>
      </c>
      <c r="E647" t="str">
        <f t="shared" si="101"/>
        <v>OK</v>
      </c>
      <c r="F647" t="s">
        <v>1110</v>
      </c>
      <c r="G647" t="s">
        <v>117</v>
      </c>
      <c r="H647" t="s">
        <v>94</v>
      </c>
      <c r="I647" t="s">
        <v>62</v>
      </c>
      <c r="J647" t="s">
        <v>71</v>
      </c>
      <c r="K647" t="s">
        <v>72</v>
      </c>
      <c r="L647" t="s">
        <v>27</v>
      </c>
      <c r="M647" t="s">
        <v>28</v>
      </c>
      <c r="N647" t="s">
        <v>1111</v>
      </c>
      <c r="O647" t="s">
        <v>49</v>
      </c>
      <c r="P647">
        <v>3</v>
      </c>
      <c r="Q647">
        <v>4289.37</v>
      </c>
      <c r="R647">
        <v>0.1</v>
      </c>
      <c r="S647" t="str">
        <f t="shared" si="102"/>
        <v>OK</v>
      </c>
      <c r="T647">
        <v>11778.71</v>
      </c>
      <c r="U647">
        <v>6829.43</v>
      </c>
      <c r="V647">
        <v>4751.87</v>
      </c>
      <c r="W647" t="s">
        <v>31</v>
      </c>
      <c r="X647" t="s">
        <v>102</v>
      </c>
      <c r="Y647" t="str">
        <f>IF(COUNTIF($A$2:$A$901,A647)&gt;1,
  IF(COUNTIF($A$2:A647,A647)=1,
    " ORIGINAL",
    "CONFLICTING DUPLICATE - REVIEW"),
"OK")</f>
        <v>CONFLICTING DUPLICATE - REVIEW</v>
      </c>
      <c r="Z647">
        <f t="shared" si="103"/>
        <v>0.1</v>
      </c>
      <c r="AA647">
        <f t="shared" si="104"/>
        <v>11581.3</v>
      </c>
      <c r="AB647">
        <f t="shared" si="105"/>
        <v>4751.87</v>
      </c>
      <c r="AC647">
        <f t="shared" si="106"/>
        <v>0.4103</v>
      </c>
      <c r="AD647">
        <f t="shared" si="107"/>
        <v>6</v>
      </c>
      <c r="AE647">
        <f t="shared" si="108"/>
        <v>2025</v>
      </c>
      <c r="AF647" t="str">
        <f t="shared" si="109"/>
        <v>CLEAN</v>
      </c>
    </row>
    <row r="648" spans="1:32">
      <c r="A648" t="s">
        <v>1120</v>
      </c>
      <c r="B648" s="10">
        <v>45708</v>
      </c>
      <c r="C648" s="10">
        <v>45710</v>
      </c>
      <c r="D648">
        <f t="shared" si="100"/>
        <v>2</v>
      </c>
      <c r="E648" t="str">
        <f t="shared" si="101"/>
        <v>OK</v>
      </c>
      <c r="F648" t="s">
        <v>1121</v>
      </c>
      <c r="G648" t="s">
        <v>78</v>
      </c>
      <c r="H648" t="s">
        <v>89</v>
      </c>
      <c r="I648" t="s">
        <v>37</v>
      </c>
      <c r="J648" t="s">
        <v>227</v>
      </c>
      <c r="K648" t="s">
        <v>228</v>
      </c>
      <c r="L648" t="s">
        <v>40</v>
      </c>
      <c r="M648" t="s">
        <v>157</v>
      </c>
      <c r="N648" t="s">
        <v>1122</v>
      </c>
      <c r="O648" t="s">
        <v>58</v>
      </c>
      <c r="P648">
        <v>8</v>
      </c>
      <c r="Q648">
        <v>3265.76</v>
      </c>
      <c r="R648">
        <v>0.2</v>
      </c>
      <c r="S648" t="str">
        <f t="shared" si="102"/>
        <v>OK</v>
      </c>
      <c r="T648">
        <v>20900.86</v>
      </c>
      <c r="U648">
        <v>12513.14</v>
      </c>
      <c r="V648">
        <v>8387.7199999999993</v>
      </c>
      <c r="W648" t="s">
        <v>31</v>
      </c>
      <c r="X648" t="s">
        <v>32</v>
      </c>
      <c r="Y648" t="str">
        <f>IF(COUNTIF($A$2:$A$901,A648)&gt;1,
  IF(COUNTIF($A$2:A648,A648)=1,
    " ORIGINAL",
    "CONFLICTING DUPLICATE - REVIEW"),
"OK")</f>
        <v>OK</v>
      </c>
      <c r="Z648">
        <f t="shared" si="103"/>
        <v>0.2</v>
      </c>
      <c r="AA648">
        <f t="shared" si="104"/>
        <v>20900.86</v>
      </c>
      <c r="AB648">
        <f t="shared" si="105"/>
        <v>8387.7199999999993</v>
      </c>
      <c r="AC648">
        <f t="shared" si="106"/>
        <v>0.40129999999999999</v>
      </c>
      <c r="AD648">
        <f t="shared" si="107"/>
        <v>2</v>
      </c>
      <c r="AE648">
        <f t="shared" si="108"/>
        <v>2025</v>
      </c>
      <c r="AF648" t="str">
        <f t="shared" si="109"/>
        <v>CLEAN</v>
      </c>
    </row>
    <row r="649" spans="1:32">
      <c r="A649" t="s">
        <v>1126</v>
      </c>
      <c r="B649" s="10">
        <v>45908</v>
      </c>
      <c r="C649" s="10">
        <v>45909</v>
      </c>
      <c r="D649">
        <f t="shared" si="100"/>
        <v>1</v>
      </c>
      <c r="E649" t="str">
        <f t="shared" si="101"/>
        <v>OK</v>
      </c>
      <c r="F649" t="s">
        <v>1127</v>
      </c>
      <c r="G649" t="s">
        <v>140</v>
      </c>
      <c r="H649" t="s">
        <v>94</v>
      </c>
      <c r="I649" t="s">
        <v>62</v>
      </c>
      <c r="J649" t="s">
        <v>179</v>
      </c>
      <c r="K649" t="s">
        <v>180</v>
      </c>
      <c r="L649" t="s">
        <v>40</v>
      </c>
      <c r="M649" t="s">
        <v>65</v>
      </c>
      <c r="N649" t="s">
        <v>1128</v>
      </c>
      <c r="O649" t="s">
        <v>30</v>
      </c>
      <c r="P649">
        <v>2</v>
      </c>
      <c r="Q649">
        <v>3960.33</v>
      </c>
      <c r="R649">
        <v>0.05</v>
      </c>
      <c r="S649" t="str">
        <f t="shared" si="102"/>
        <v>OK</v>
      </c>
      <c r="T649">
        <v>7524.63</v>
      </c>
      <c r="U649">
        <v>6229.6</v>
      </c>
      <c r="V649">
        <v>1295.03</v>
      </c>
      <c r="W649" t="s">
        <v>31</v>
      </c>
      <c r="X649" t="s">
        <v>32</v>
      </c>
      <c r="Y649" t="str">
        <f>IF(COUNTIF($A$2:$A$901,A649)&gt;1,
  IF(COUNTIF($A$2:A649,A649)=1,
    " ORIGINAL",
    "CONFLICTING DUPLICATE - REVIEW"),
"OK")</f>
        <v>OK</v>
      </c>
      <c r="Z649">
        <f t="shared" si="103"/>
        <v>0.05</v>
      </c>
      <c r="AA649">
        <f t="shared" si="104"/>
        <v>7524.63</v>
      </c>
      <c r="AB649">
        <f t="shared" si="105"/>
        <v>1295.03</v>
      </c>
      <c r="AC649">
        <f t="shared" si="106"/>
        <v>0.1721</v>
      </c>
      <c r="AD649">
        <f t="shared" si="107"/>
        <v>9</v>
      </c>
      <c r="AE649">
        <f t="shared" si="108"/>
        <v>2025</v>
      </c>
      <c r="AF649" t="str">
        <f t="shared" si="109"/>
        <v>CLEAN</v>
      </c>
    </row>
    <row r="650" spans="1:32">
      <c r="A650" t="s">
        <v>1129</v>
      </c>
      <c r="B650" s="10">
        <v>45862</v>
      </c>
      <c r="C650" s="10">
        <v>45665</v>
      </c>
      <c r="D650">
        <f t="shared" si="100"/>
        <v>-197</v>
      </c>
      <c r="E650" t="str">
        <f t="shared" si="101"/>
        <v>INVALID</v>
      </c>
      <c r="F650" t="s">
        <v>1130</v>
      </c>
      <c r="G650" t="s">
        <v>263</v>
      </c>
      <c r="H650" t="s">
        <v>36</v>
      </c>
      <c r="I650" t="s">
        <v>37</v>
      </c>
      <c r="J650" t="s">
        <v>227</v>
      </c>
      <c r="K650" t="s">
        <v>228</v>
      </c>
      <c r="L650" t="s">
        <v>27</v>
      </c>
      <c r="M650" t="s">
        <v>152</v>
      </c>
      <c r="N650" t="s">
        <v>1131</v>
      </c>
      <c r="O650" t="s">
        <v>49</v>
      </c>
      <c r="P650">
        <v>8</v>
      </c>
      <c r="Q650">
        <v>1528.92</v>
      </c>
      <c r="R650">
        <v>0</v>
      </c>
      <c r="S650" t="str">
        <f t="shared" si="102"/>
        <v>OK</v>
      </c>
      <c r="T650">
        <v>12231.36</v>
      </c>
      <c r="U650">
        <v>8766.9</v>
      </c>
      <c r="V650">
        <v>3464.46</v>
      </c>
      <c r="W650" t="s">
        <v>31</v>
      </c>
      <c r="X650" t="s">
        <v>32</v>
      </c>
      <c r="Y650" t="str">
        <f>IF(COUNTIF($A$2:$A$901,A650)&gt;1,
  IF(COUNTIF($A$2:A650,A650)=1,
    " ORIGINAL",
    "CONFLICTING DUPLICATE - REVIEW"),
"OK")</f>
        <v>OK</v>
      </c>
      <c r="Z650">
        <f t="shared" si="103"/>
        <v>0</v>
      </c>
      <c r="AA650">
        <f t="shared" si="104"/>
        <v>12231.36</v>
      </c>
      <c r="AB650">
        <f t="shared" si="105"/>
        <v>3464.46</v>
      </c>
      <c r="AC650">
        <f t="shared" si="106"/>
        <v>0.28320000000000001</v>
      </c>
      <c r="AD650">
        <f t="shared" si="107"/>
        <v>7</v>
      </c>
      <c r="AE650">
        <f t="shared" si="108"/>
        <v>2025</v>
      </c>
      <c r="AF650" t="str">
        <f t="shared" si="109"/>
        <v>INVALID</v>
      </c>
    </row>
    <row r="651" spans="1:32">
      <c r="A651" t="s">
        <v>1132</v>
      </c>
      <c r="B651" s="10">
        <v>45933</v>
      </c>
      <c r="C651" s="10">
        <v>45938</v>
      </c>
      <c r="D651">
        <f t="shared" si="100"/>
        <v>5</v>
      </c>
      <c r="E651" t="str">
        <f t="shared" si="101"/>
        <v>OK</v>
      </c>
      <c r="F651" t="s">
        <v>1133</v>
      </c>
      <c r="G651" t="s">
        <v>127</v>
      </c>
      <c r="H651" t="s">
        <v>89</v>
      </c>
      <c r="I651" t="s">
        <v>62</v>
      </c>
      <c r="J651" t="s">
        <v>71</v>
      </c>
      <c r="K651" t="s">
        <v>72</v>
      </c>
      <c r="L651" t="s">
        <v>73</v>
      </c>
      <c r="M651" t="s">
        <v>273</v>
      </c>
      <c r="N651" t="s">
        <v>1134</v>
      </c>
      <c r="O651" t="s">
        <v>43</v>
      </c>
      <c r="P651">
        <v>9</v>
      </c>
      <c r="Q651">
        <v>3837</v>
      </c>
      <c r="R651">
        <v>0.1</v>
      </c>
      <c r="S651" t="str">
        <f t="shared" si="102"/>
        <v>OK</v>
      </c>
      <c r="T651">
        <v>31079.7</v>
      </c>
      <c r="U651">
        <v>17758.25</v>
      </c>
      <c r="V651">
        <v>13321.45</v>
      </c>
      <c r="W651" t="s">
        <v>31</v>
      </c>
      <c r="X651" t="s">
        <v>32</v>
      </c>
      <c r="Y651" t="str">
        <f>IF(COUNTIF($A$2:$A$901,A651)&gt;1,
  IF(COUNTIF($A$2:A651,A651)=1,
    " ORIGINAL",
    "CONFLICTING DUPLICATE - REVIEW"),
"OK")</f>
        <v>OK</v>
      </c>
      <c r="Z651">
        <f t="shared" si="103"/>
        <v>0.1</v>
      </c>
      <c r="AA651">
        <f t="shared" si="104"/>
        <v>31079.7</v>
      </c>
      <c r="AB651">
        <f t="shared" si="105"/>
        <v>13321.45</v>
      </c>
      <c r="AC651">
        <f t="shared" si="106"/>
        <v>0.42859999999999998</v>
      </c>
      <c r="AD651">
        <f t="shared" si="107"/>
        <v>10</v>
      </c>
      <c r="AE651">
        <f t="shared" si="108"/>
        <v>2025</v>
      </c>
      <c r="AF651" t="str">
        <f t="shared" si="109"/>
        <v>CLEAN</v>
      </c>
    </row>
    <row r="652" spans="1:32">
      <c r="A652" t="s">
        <v>1141</v>
      </c>
      <c r="B652" s="10">
        <v>45860</v>
      </c>
      <c r="C652" s="10">
        <v>45866</v>
      </c>
      <c r="D652">
        <f t="shared" si="100"/>
        <v>6</v>
      </c>
      <c r="E652" t="str">
        <f t="shared" si="101"/>
        <v>OK</v>
      </c>
      <c r="F652" t="s">
        <v>1142</v>
      </c>
      <c r="G652" t="s">
        <v>117</v>
      </c>
      <c r="H652" t="s">
        <v>89</v>
      </c>
      <c r="I652" t="s">
        <v>53</v>
      </c>
      <c r="J652" t="s">
        <v>184</v>
      </c>
      <c r="K652" t="s">
        <v>185</v>
      </c>
      <c r="L652" t="s">
        <v>40</v>
      </c>
      <c r="M652" t="s">
        <v>65</v>
      </c>
      <c r="N652" t="s">
        <v>1143</v>
      </c>
      <c r="O652" t="s">
        <v>30</v>
      </c>
      <c r="P652">
        <v>6</v>
      </c>
      <c r="Q652">
        <v>1607.46</v>
      </c>
      <c r="R652">
        <v>0.2</v>
      </c>
      <c r="S652" t="str">
        <f t="shared" si="102"/>
        <v>OK</v>
      </c>
      <c r="T652">
        <v>7715.81</v>
      </c>
      <c r="U652">
        <v>4258.42</v>
      </c>
      <c r="V652">
        <v>3457.39</v>
      </c>
      <c r="W652" t="s">
        <v>31</v>
      </c>
      <c r="X652" t="s">
        <v>32</v>
      </c>
      <c r="Y652" t="str">
        <f>IF(COUNTIF($A$2:$A$901,A652)&gt;1,
  IF(COUNTIF($A$2:A652,A652)=1,
    " ORIGINAL",
    "CONFLICTING DUPLICATE - REVIEW"),
"OK")</f>
        <v>OK</v>
      </c>
      <c r="Z652">
        <f t="shared" si="103"/>
        <v>0.2</v>
      </c>
      <c r="AA652">
        <f t="shared" si="104"/>
        <v>7715.81</v>
      </c>
      <c r="AB652">
        <f t="shared" si="105"/>
        <v>3457.39</v>
      </c>
      <c r="AC652">
        <f t="shared" si="106"/>
        <v>0.4481</v>
      </c>
      <c r="AD652">
        <f t="shared" si="107"/>
        <v>7</v>
      </c>
      <c r="AE652">
        <f t="shared" si="108"/>
        <v>2025</v>
      </c>
      <c r="AF652" t="str">
        <f t="shared" si="109"/>
        <v>CLEAN</v>
      </c>
    </row>
    <row r="653" spans="1:32">
      <c r="A653" t="s">
        <v>1150</v>
      </c>
      <c r="B653" s="10">
        <v>45927</v>
      </c>
      <c r="C653" s="10">
        <v>45929</v>
      </c>
      <c r="D653">
        <f t="shared" si="100"/>
        <v>2</v>
      </c>
      <c r="E653" t="str">
        <f t="shared" si="101"/>
        <v>OK</v>
      </c>
      <c r="F653" t="s">
        <v>1151</v>
      </c>
      <c r="G653" t="s">
        <v>263</v>
      </c>
      <c r="H653" t="s">
        <v>94</v>
      </c>
      <c r="I653" t="s">
        <v>37</v>
      </c>
      <c r="J653" t="s">
        <v>227</v>
      </c>
      <c r="K653" t="s">
        <v>228</v>
      </c>
      <c r="L653" t="s">
        <v>40</v>
      </c>
      <c r="M653" t="s">
        <v>56</v>
      </c>
      <c r="N653" t="s">
        <v>1152</v>
      </c>
      <c r="O653" t="s">
        <v>30</v>
      </c>
      <c r="P653">
        <v>9</v>
      </c>
      <c r="Q653">
        <v>2867.55</v>
      </c>
      <c r="R653">
        <v>0.25</v>
      </c>
      <c r="S653" t="str">
        <f t="shared" si="102"/>
        <v>OK</v>
      </c>
      <c r="T653">
        <v>19355.96</v>
      </c>
      <c r="U653">
        <v>15012.45</v>
      </c>
      <c r="V653">
        <v>4017.4</v>
      </c>
      <c r="W653" t="s">
        <v>31</v>
      </c>
      <c r="X653" t="s">
        <v>32</v>
      </c>
      <c r="Y653" t="str">
        <f>IF(COUNTIF($A$2:$A$901,A653)&gt;1,
  IF(COUNTIF($A$2:A653,A653)=1,
    " ORIGINAL",
    "CONFLICTING DUPLICATE - REVIEW"),
"OK")</f>
        <v>OK</v>
      </c>
      <c r="Z653">
        <f t="shared" si="103"/>
        <v>0.25</v>
      </c>
      <c r="AA653">
        <f t="shared" si="104"/>
        <v>19355.96</v>
      </c>
      <c r="AB653">
        <f t="shared" si="105"/>
        <v>4343.51</v>
      </c>
      <c r="AC653">
        <f t="shared" si="106"/>
        <v>0.22439999999999999</v>
      </c>
      <c r="AD653">
        <f t="shared" si="107"/>
        <v>9</v>
      </c>
      <c r="AE653">
        <f t="shared" si="108"/>
        <v>2025</v>
      </c>
      <c r="AF653" t="str">
        <f t="shared" si="109"/>
        <v>CLEAN</v>
      </c>
    </row>
    <row r="654" spans="1:32">
      <c r="A654" t="s">
        <v>1156</v>
      </c>
      <c r="B654" s="10">
        <v>45800</v>
      </c>
      <c r="C654" s="10">
        <v>45804</v>
      </c>
      <c r="D654">
        <f t="shared" si="100"/>
        <v>4</v>
      </c>
      <c r="E654" t="str">
        <f t="shared" si="101"/>
        <v>OK</v>
      </c>
      <c r="F654" t="s">
        <v>1157</v>
      </c>
      <c r="G654" t="s">
        <v>70</v>
      </c>
      <c r="H654" t="s">
        <v>36</v>
      </c>
      <c r="I654" t="s">
        <v>53</v>
      </c>
      <c r="J654" t="s">
        <v>54</v>
      </c>
      <c r="K654" t="s">
        <v>55</v>
      </c>
      <c r="L654" t="s">
        <v>27</v>
      </c>
      <c r="M654" t="s">
        <v>123</v>
      </c>
      <c r="N654" t="s">
        <v>1158</v>
      </c>
      <c r="O654" t="s">
        <v>49</v>
      </c>
      <c r="P654">
        <v>6</v>
      </c>
      <c r="Q654">
        <v>719.44</v>
      </c>
      <c r="R654">
        <v>0.25</v>
      </c>
      <c r="S654" t="str">
        <f t="shared" si="102"/>
        <v>OK</v>
      </c>
      <c r="T654">
        <v>3237.48</v>
      </c>
      <c r="U654">
        <v>2118.34</v>
      </c>
      <c r="V654">
        <v>1119.1400000000001</v>
      </c>
      <c r="W654" t="s">
        <v>110</v>
      </c>
      <c r="X654" t="s">
        <v>67</v>
      </c>
      <c r="Y654" t="str">
        <f>IF(COUNTIF($A$2:$A$901,A654)&gt;1,
  IF(COUNTIF($A$2:A654,A654)=1,
    " ORIGINAL",
    "CONFLICTING DUPLICATE - REVIEW"),
"OK")</f>
        <v>OK</v>
      </c>
      <c r="Z654">
        <f t="shared" si="103"/>
        <v>0.25</v>
      </c>
      <c r="AA654">
        <f t="shared" si="104"/>
        <v>3237.48</v>
      </c>
      <c r="AB654">
        <f t="shared" si="105"/>
        <v>1119.1400000000001</v>
      </c>
      <c r="AC654">
        <f t="shared" si="106"/>
        <v>0.34570000000000001</v>
      </c>
      <c r="AD654">
        <f t="shared" si="107"/>
        <v>5</v>
      </c>
      <c r="AE654">
        <f t="shared" si="108"/>
        <v>2025</v>
      </c>
      <c r="AF654" t="str">
        <f t="shared" si="109"/>
        <v>CLEAN</v>
      </c>
    </row>
    <row r="655" spans="1:32">
      <c r="A655" t="s">
        <v>1159</v>
      </c>
      <c r="B655" s="10">
        <v>45884</v>
      </c>
      <c r="C655" s="10">
        <v>45886</v>
      </c>
      <c r="D655">
        <f t="shared" si="100"/>
        <v>2</v>
      </c>
      <c r="E655" t="str">
        <f t="shared" si="101"/>
        <v>OK</v>
      </c>
      <c r="F655" t="s">
        <v>1160</v>
      </c>
      <c r="G655" t="s">
        <v>161</v>
      </c>
      <c r="H655" t="s">
        <v>36</v>
      </c>
      <c r="I655" t="s">
        <v>37</v>
      </c>
      <c r="J655" t="s">
        <v>165</v>
      </c>
      <c r="K655" t="s">
        <v>166</v>
      </c>
      <c r="L655" t="s">
        <v>73</v>
      </c>
      <c r="M655" t="s">
        <v>79</v>
      </c>
      <c r="N655" t="s">
        <v>1161</v>
      </c>
      <c r="O655" t="s">
        <v>49</v>
      </c>
      <c r="P655">
        <v>5</v>
      </c>
      <c r="Q655">
        <v>2862.6</v>
      </c>
      <c r="R655">
        <v>0.25</v>
      </c>
      <c r="S655" t="str">
        <f t="shared" si="102"/>
        <v>OK</v>
      </c>
      <c r="T655">
        <v>10734.75</v>
      </c>
      <c r="U655">
        <v>6475.73</v>
      </c>
      <c r="V655">
        <v>4259.0200000000004</v>
      </c>
      <c r="W655" t="s">
        <v>31</v>
      </c>
      <c r="X655" t="s">
        <v>32</v>
      </c>
      <c r="Y655" t="str">
        <f>IF(COUNTIF($A$2:$A$901,A655)&gt;1,
  IF(COUNTIF($A$2:A655,A655)=1,
    " ORIGINAL",
    "CONFLICTING DUPLICATE - REVIEW"),
"OK")</f>
        <v>OK</v>
      </c>
      <c r="Z655">
        <f t="shared" si="103"/>
        <v>0.25</v>
      </c>
      <c r="AA655">
        <f t="shared" si="104"/>
        <v>10734.75</v>
      </c>
      <c r="AB655">
        <f t="shared" si="105"/>
        <v>4259.0200000000004</v>
      </c>
      <c r="AC655">
        <f t="shared" si="106"/>
        <v>0.39679999999999999</v>
      </c>
      <c r="AD655">
        <f t="shared" si="107"/>
        <v>8</v>
      </c>
      <c r="AE655">
        <f t="shared" si="108"/>
        <v>2025</v>
      </c>
      <c r="AF655" t="str">
        <f t="shared" si="109"/>
        <v>CLEAN</v>
      </c>
    </row>
    <row r="656" spans="1:32">
      <c r="A656" t="s">
        <v>1162</v>
      </c>
      <c r="B656" s="10">
        <v>45709</v>
      </c>
      <c r="C656" s="10">
        <v>45715</v>
      </c>
      <c r="D656">
        <f t="shared" si="100"/>
        <v>6</v>
      </c>
      <c r="E656" t="str">
        <f t="shared" si="101"/>
        <v>OK</v>
      </c>
      <c r="F656" t="s">
        <v>1163</v>
      </c>
      <c r="G656" t="s">
        <v>61</v>
      </c>
      <c r="H656" t="s">
        <v>23</v>
      </c>
      <c r="I656" t="s">
        <v>24</v>
      </c>
      <c r="J656" t="s">
        <v>25</v>
      </c>
      <c r="K656" t="s">
        <v>26</v>
      </c>
      <c r="L656" t="s">
        <v>27</v>
      </c>
      <c r="M656" t="s">
        <v>47</v>
      </c>
      <c r="N656" t="s">
        <v>1164</v>
      </c>
      <c r="O656" t="s">
        <v>43</v>
      </c>
      <c r="P656">
        <v>9</v>
      </c>
      <c r="Q656">
        <v>1431.67</v>
      </c>
      <c r="R656">
        <v>0.2</v>
      </c>
      <c r="S656" t="str">
        <f t="shared" si="102"/>
        <v>OK</v>
      </c>
      <c r="T656">
        <v>10308.02</v>
      </c>
      <c r="U656">
        <v>5822.31</v>
      </c>
      <c r="V656">
        <v>4485.71</v>
      </c>
      <c r="W656" t="s">
        <v>31</v>
      </c>
      <c r="X656" t="s">
        <v>32</v>
      </c>
      <c r="Y656" t="str">
        <f>IF(COUNTIF($A$2:$A$901,A656)&gt;1,
  IF(COUNTIF($A$2:A656,A656)=1,
    " ORIGINAL",
    "CONFLICTING DUPLICATE - REVIEW"),
"OK")</f>
        <v>OK</v>
      </c>
      <c r="Z656">
        <f t="shared" si="103"/>
        <v>0.2</v>
      </c>
      <c r="AA656">
        <f t="shared" si="104"/>
        <v>10308.02</v>
      </c>
      <c r="AB656">
        <f t="shared" si="105"/>
        <v>4485.71</v>
      </c>
      <c r="AC656">
        <f t="shared" si="106"/>
        <v>0.43519999999999998</v>
      </c>
      <c r="AD656">
        <f t="shared" si="107"/>
        <v>2</v>
      </c>
      <c r="AE656">
        <f t="shared" si="108"/>
        <v>2025</v>
      </c>
      <c r="AF656" t="str">
        <f t="shared" si="109"/>
        <v>CLEAN</v>
      </c>
    </row>
    <row r="657" spans="1:32">
      <c r="A657" t="s">
        <v>1171</v>
      </c>
      <c r="B657" s="10">
        <v>45835</v>
      </c>
      <c r="C657" s="10">
        <v>45837</v>
      </c>
      <c r="D657">
        <f t="shared" si="100"/>
        <v>2</v>
      </c>
      <c r="E657" t="str">
        <f t="shared" si="101"/>
        <v>OK</v>
      </c>
      <c r="F657" t="s">
        <v>1172</v>
      </c>
      <c r="G657" t="s">
        <v>140</v>
      </c>
      <c r="H657" t="s">
        <v>94</v>
      </c>
      <c r="I657" t="s">
        <v>53</v>
      </c>
      <c r="J657" t="s">
        <v>54</v>
      </c>
      <c r="K657" t="s">
        <v>55</v>
      </c>
      <c r="L657" t="s">
        <v>40</v>
      </c>
      <c r="M657" t="s">
        <v>65</v>
      </c>
      <c r="N657" t="s">
        <v>1173</v>
      </c>
      <c r="O657" t="s">
        <v>49</v>
      </c>
      <c r="P657">
        <v>5</v>
      </c>
      <c r="Q657">
        <v>621.70000000000005</v>
      </c>
      <c r="R657">
        <v>0.2</v>
      </c>
      <c r="S657" t="str">
        <f t="shared" si="102"/>
        <v>OK</v>
      </c>
      <c r="T657">
        <v>2486.8000000000002</v>
      </c>
      <c r="U657">
        <v>2131.73</v>
      </c>
      <c r="V657">
        <v>355.07</v>
      </c>
      <c r="W657" t="s">
        <v>110</v>
      </c>
      <c r="X657" t="s">
        <v>102</v>
      </c>
      <c r="Y657" t="str">
        <f>IF(COUNTIF($A$2:$A$901,A657)&gt;1,
  IF(COUNTIF($A$2:A657,A657)=1,
    " ORIGINAL",
    "CONFLICTING DUPLICATE - REVIEW"),
"OK")</f>
        <v>OK</v>
      </c>
      <c r="Z657">
        <f t="shared" si="103"/>
        <v>0.2</v>
      </c>
      <c r="AA657">
        <f t="shared" si="104"/>
        <v>2486.8000000000002</v>
      </c>
      <c r="AB657">
        <f t="shared" si="105"/>
        <v>355.07</v>
      </c>
      <c r="AC657">
        <f t="shared" si="106"/>
        <v>0.14280000000000001</v>
      </c>
      <c r="AD657">
        <f t="shared" si="107"/>
        <v>6</v>
      </c>
      <c r="AE657">
        <f t="shared" si="108"/>
        <v>2025</v>
      </c>
      <c r="AF657" t="str">
        <f t="shared" si="109"/>
        <v>CLEAN</v>
      </c>
    </row>
    <row r="658" spans="1:32">
      <c r="A658" t="s">
        <v>1174</v>
      </c>
      <c r="B658" s="10">
        <v>45678</v>
      </c>
      <c r="C658" s="10">
        <v>45686</v>
      </c>
      <c r="D658">
        <f t="shared" si="100"/>
        <v>8</v>
      </c>
      <c r="E658" t="str">
        <f t="shared" si="101"/>
        <v>OK</v>
      </c>
      <c r="F658" t="s">
        <v>1175</v>
      </c>
      <c r="G658" t="s">
        <v>35</v>
      </c>
      <c r="H658" t="s">
        <v>94</v>
      </c>
      <c r="I658" t="s">
        <v>53</v>
      </c>
      <c r="J658" t="s">
        <v>83</v>
      </c>
      <c r="K658" t="s">
        <v>84</v>
      </c>
      <c r="L658" t="s">
        <v>73</v>
      </c>
      <c r="M658" t="s">
        <v>273</v>
      </c>
      <c r="N658" t="s">
        <v>1176</v>
      </c>
      <c r="O658" t="s">
        <v>30</v>
      </c>
      <c r="P658">
        <v>8</v>
      </c>
      <c r="Q658">
        <v>546.13</v>
      </c>
      <c r="R658">
        <v>0</v>
      </c>
      <c r="S658" t="str">
        <f t="shared" si="102"/>
        <v>OK</v>
      </c>
      <c r="T658">
        <v>4369.04</v>
      </c>
      <c r="U658">
        <v>3716.88</v>
      </c>
      <c r="V658">
        <v>652.16</v>
      </c>
      <c r="W658" t="s">
        <v>31</v>
      </c>
      <c r="X658" t="s">
        <v>67</v>
      </c>
      <c r="Y658" t="str">
        <f>IF(COUNTIF($A$2:$A$901,A658)&gt;1,
  IF(COUNTIF($A$2:A658,A658)=1,
    " ORIGINAL",
    "CONFLICTING DUPLICATE - REVIEW"),
"OK")</f>
        <v>OK</v>
      </c>
      <c r="Z658">
        <f t="shared" si="103"/>
        <v>0</v>
      </c>
      <c r="AA658">
        <f t="shared" si="104"/>
        <v>4369.04</v>
      </c>
      <c r="AB658">
        <f t="shared" si="105"/>
        <v>652.16</v>
      </c>
      <c r="AC658">
        <f t="shared" si="106"/>
        <v>0.14929999999999999</v>
      </c>
      <c r="AD658">
        <f t="shared" si="107"/>
        <v>1</v>
      </c>
      <c r="AE658">
        <f t="shared" si="108"/>
        <v>2025</v>
      </c>
      <c r="AF658" t="str">
        <f t="shared" si="109"/>
        <v>CLEAN</v>
      </c>
    </row>
    <row r="659" spans="1:32">
      <c r="A659" t="s">
        <v>1177</v>
      </c>
      <c r="B659" s="10">
        <v>45878</v>
      </c>
      <c r="C659" s="10">
        <v>45876</v>
      </c>
      <c r="D659">
        <f t="shared" si="100"/>
        <v>-2</v>
      </c>
      <c r="E659" t="str">
        <f t="shared" si="101"/>
        <v>INVALID</v>
      </c>
      <c r="F659" t="s">
        <v>1178</v>
      </c>
      <c r="G659" t="s">
        <v>70</v>
      </c>
      <c r="H659" t="s">
        <v>94</v>
      </c>
      <c r="I659" t="s">
        <v>62</v>
      </c>
      <c r="J659" t="s">
        <v>179</v>
      </c>
      <c r="K659" t="s">
        <v>180</v>
      </c>
      <c r="L659" t="s">
        <v>40</v>
      </c>
      <c r="M659" t="s">
        <v>157</v>
      </c>
      <c r="N659" t="s">
        <v>1179</v>
      </c>
      <c r="O659" t="s">
        <v>30</v>
      </c>
      <c r="P659">
        <v>5</v>
      </c>
      <c r="Q659">
        <v>1253.92</v>
      </c>
      <c r="R659">
        <v>0.05</v>
      </c>
      <c r="S659" t="str">
        <f t="shared" si="102"/>
        <v>OK</v>
      </c>
      <c r="T659">
        <v>5956.12</v>
      </c>
      <c r="U659">
        <v>4379.18</v>
      </c>
      <c r="V659">
        <v>1576.94</v>
      </c>
      <c r="W659" t="s">
        <v>110</v>
      </c>
      <c r="X659" t="s">
        <v>102</v>
      </c>
      <c r="Y659" t="str">
        <f>IF(COUNTIF($A$2:$A$901,A659)&gt;1,
  IF(COUNTIF($A$2:A659,A659)=1,
    " ORIGINAL",
    "CONFLICTING DUPLICATE - REVIEW"),
"OK")</f>
        <v>OK</v>
      </c>
      <c r="Z659">
        <f t="shared" si="103"/>
        <v>0.05</v>
      </c>
      <c r="AA659">
        <f t="shared" si="104"/>
        <v>5956.12</v>
      </c>
      <c r="AB659">
        <f t="shared" si="105"/>
        <v>1576.94</v>
      </c>
      <c r="AC659">
        <f t="shared" si="106"/>
        <v>0.26479999999999998</v>
      </c>
      <c r="AD659">
        <f t="shared" si="107"/>
        <v>8</v>
      </c>
      <c r="AE659">
        <f t="shared" si="108"/>
        <v>2025</v>
      </c>
      <c r="AF659" t="str">
        <f t="shared" si="109"/>
        <v>INVALID</v>
      </c>
    </row>
    <row r="660" spans="1:32">
      <c r="A660" t="s">
        <v>1186</v>
      </c>
      <c r="B660" s="10">
        <v>45661</v>
      </c>
      <c r="C660" s="10">
        <v>45749</v>
      </c>
      <c r="D660">
        <f t="shared" si="100"/>
        <v>88</v>
      </c>
      <c r="E660" t="str">
        <f t="shared" si="101"/>
        <v>OK</v>
      </c>
      <c r="F660" t="s">
        <v>1187</v>
      </c>
      <c r="G660" t="s">
        <v>140</v>
      </c>
      <c r="H660" t="s">
        <v>89</v>
      </c>
      <c r="I660" t="s">
        <v>37</v>
      </c>
      <c r="J660" t="s">
        <v>38</v>
      </c>
      <c r="K660" t="s">
        <v>39</v>
      </c>
      <c r="L660" t="s">
        <v>40</v>
      </c>
      <c r="M660" t="s">
        <v>65</v>
      </c>
      <c r="N660" t="s">
        <v>1188</v>
      </c>
      <c r="O660" t="s">
        <v>30</v>
      </c>
      <c r="P660">
        <v>9</v>
      </c>
      <c r="Q660">
        <v>4165.58</v>
      </c>
      <c r="R660">
        <v>0.05</v>
      </c>
      <c r="S660" t="str">
        <f t="shared" si="102"/>
        <v>OK</v>
      </c>
      <c r="T660">
        <v>35615.71</v>
      </c>
      <c r="U660">
        <v>20389.71</v>
      </c>
      <c r="V660">
        <v>15226</v>
      </c>
      <c r="W660" t="s">
        <v>110</v>
      </c>
      <c r="X660" t="s">
        <v>102</v>
      </c>
      <c r="Y660" t="str">
        <f>IF(COUNTIF($A$2:$A$901,A660)&gt;1,
  IF(COUNTIF($A$2:A660,A660)=1,
    " ORIGINAL",
    "CONFLICTING DUPLICATE - REVIEW"),
"OK")</f>
        <v>OK</v>
      </c>
      <c r="Z660">
        <f t="shared" si="103"/>
        <v>0.05</v>
      </c>
      <c r="AA660">
        <f t="shared" si="104"/>
        <v>35615.71</v>
      </c>
      <c r="AB660">
        <f t="shared" si="105"/>
        <v>15226</v>
      </c>
      <c r="AC660">
        <f t="shared" si="106"/>
        <v>0.42749999999999999</v>
      </c>
      <c r="AD660">
        <f t="shared" si="107"/>
        <v>1</v>
      </c>
      <c r="AE660">
        <f t="shared" si="108"/>
        <v>2025</v>
      </c>
      <c r="AF660" t="str">
        <f t="shared" si="109"/>
        <v>CLEAN</v>
      </c>
    </row>
    <row r="661" spans="1:32">
      <c r="A661" t="s">
        <v>1192</v>
      </c>
      <c r="B661" s="10">
        <v>45845</v>
      </c>
      <c r="C661" s="10">
        <v>45850</v>
      </c>
      <c r="D661">
        <f t="shared" si="100"/>
        <v>5</v>
      </c>
      <c r="E661" t="str">
        <f t="shared" si="101"/>
        <v>OK</v>
      </c>
      <c r="F661" t="s">
        <v>1193</v>
      </c>
      <c r="G661" t="s">
        <v>161</v>
      </c>
      <c r="H661" t="s">
        <v>89</v>
      </c>
      <c r="I661" t="s">
        <v>37</v>
      </c>
      <c r="J661" t="s">
        <v>98</v>
      </c>
      <c r="K661" t="s">
        <v>99</v>
      </c>
      <c r="L661" t="s">
        <v>40</v>
      </c>
      <c r="M661" t="s">
        <v>41</v>
      </c>
      <c r="N661" t="s">
        <v>1194</v>
      </c>
      <c r="O661" t="s">
        <v>30</v>
      </c>
      <c r="P661">
        <v>5</v>
      </c>
      <c r="Q661">
        <v>1831.37</v>
      </c>
      <c r="R661">
        <v>0.25</v>
      </c>
      <c r="S661" t="str">
        <f t="shared" si="102"/>
        <v>OK</v>
      </c>
      <c r="T661">
        <v>6867.64</v>
      </c>
      <c r="U661">
        <v>5205.3599999999997</v>
      </c>
      <c r="V661">
        <v>1662.28</v>
      </c>
      <c r="W661" t="s">
        <v>31</v>
      </c>
      <c r="X661" t="s">
        <v>32</v>
      </c>
      <c r="Y661" t="str">
        <f>IF(COUNTIF($A$2:$A$901,A661)&gt;1,
  IF(COUNTIF($A$2:A661,A661)=1,
    " ORIGINAL",
    "CONFLICTING DUPLICATE - REVIEW"),
"OK")</f>
        <v>OK</v>
      </c>
      <c r="Z661">
        <f t="shared" si="103"/>
        <v>0.25</v>
      </c>
      <c r="AA661">
        <f t="shared" si="104"/>
        <v>6867.64</v>
      </c>
      <c r="AB661">
        <f t="shared" si="105"/>
        <v>1662.28</v>
      </c>
      <c r="AC661">
        <f t="shared" si="106"/>
        <v>0.24199999999999999</v>
      </c>
      <c r="AD661">
        <f t="shared" si="107"/>
        <v>7</v>
      </c>
      <c r="AE661">
        <f t="shared" si="108"/>
        <v>2025</v>
      </c>
      <c r="AF661" t="str">
        <f t="shared" si="109"/>
        <v>CLEAN</v>
      </c>
    </row>
    <row r="662" spans="1:32">
      <c r="A662" t="s">
        <v>1195</v>
      </c>
      <c r="B662" s="10">
        <v>45737</v>
      </c>
      <c r="C662" s="10">
        <v>45740</v>
      </c>
      <c r="D662">
        <f t="shared" si="100"/>
        <v>3</v>
      </c>
      <c r="E662" t="str">
        <f t="shared" si="101"/>
        <v>OK</v>
      </c>
      <c r="F662" t="s">
        <v>1196</v>
      </c>
      <c r="G662" t="s">
        <v>127</v>
      </c>
      <c r="H662" t="s">
        <v>36</v>
      </c>
      <c r="I662" t="s">
        <v>53</v>
      </c>
      <c r="J662" t="s">
        <v>83</v>
      </c>
      <c r="K662" t="s">
        <v>84</v>
      </c>
      <c r="L662" t="s">
        <v>40</v>
      </c>
      <c r="M662" t="s">
        <v>65</v>
      </c>
      <c r="N662" t="s">
        <v>1197</v>
      </c>
      <c r="O662" t="s">
        <v>30</v>
      </c>
      <c r="P662">
        <v>5</v>
      </c>
      <c r="Q662">
        <v>1239.1500000000001</v>
      </c>
      <c r="R662">
        <v>0</v>
      </c>
      <c r="S662" t="str">
        <f t="shared" si="102"/>
        <v>OK</v>
      </c>
      <c r="T662">
        <v>6195.75</v>
      </c>
      <c r="U662">
        <v>3967.02</v>
      </c>
      <c r="V662">
        <v>2228.73</v>
      </c>
      <c r="W662" t="s">
        <v>31</v>
      </c>
      <c r="X662" t="s">
        <v>32</v>
      </c>
      <c r="Y662" t="str">
        <f>IF(COUNTIF($A$2:$A$901,A662)&gt;1,
  IF(COUNTIF($A$2:A662,A662)=1,
    " ORIGINAL",
    "CONFLICTING DUPLICATE - REVIEW"),
"OK")</f>
        <v>OK</v>
      </c>
      <c r="Z662">
        <f t="shared" si="103"/>
        <v>0</v>
      </c>
      <c r="AA662">
        <f t="shared" si="104"/>
        <v>6195.75</v>
      </c>
      <c r="AB662">
        <f t="shared" si="105"/>
        <v>2228.73</v>
      </c>
      <c r="AC662">
        <f t="shared" si="106"/>
        <v>0.35970000000000002</v>
      </c>
      <c r="AD662">
        <f t="shared" si="107"/>
        <v>3</v>
      </c>
      <c r="AE662">
        <f t="shared" si="108"/>
        <v>2025</v>
      </c>
      <c r="AF662" t="str">
        <f t="shared" si="109"/>
        <v>CLEAN</v>
      </c>
    </row>
    <row r="663" spans="1:32">
      <c r="A663" t="s">
        <v>1201</v>
      </c>
      <c r="B663" s="10">
        <v>45673</v>
      </c>
      <c r="C663" s="10">
        <v>45679</v>
      </c>
      <c r="D663">
        <f t="shared" si="100"/>
        <v>6</v>
      </c>
      <c r="E663" t="str">
        <f t="shared" si="101"/>
        <v>OK</v>
      </c>
      <c r="F663" t="s">
        <v>1202</v>
      </c>
      <c r="G663" t="s">
        <v>131</v>
      </c>
      <c r="H663" t="s">
        <v>89</v>
      </c>
      <c r="I663" t="s">
        <v>24</v>
      </c>
      <c r="J663" t="s">
        <v>25</v>
      </c>
      <c r="K663" t="s">
        <v>26</v>
      </c>
      <c r="L663" t="s">
        <v>40</v>
      </c>
      <c r="M663" t="s">
        <v>41</v>
      </c>
      <c r="N663" t="s">
        <v>1203</v>
      </c>
      <c r="O663" t="s">
        <v>43</v>
      </c>
      <c r="P663">
        <v>2</v>
      </c>
      <c r="Q663">
        <v>4418.28</v>
      </c>
      <c r="R663">
        <v>0</v>
      </c>
      <c r="S663" t="str">
        <f t="shared" si="102"/>
        <v>OK</v>
      </c>
      <c r="T663">
        <v>8836.56</v>
      </c>
      <c r="U663">
        <v>5867.75</v>
      </c>
      <c r="V663">
        <v>2968.81</v>
      </c>
      <c r="W663" t="s">
        <v>31</v>
      </c>
      <c r="X663" t="s">
        <v>32</v>
      </c>
      <c r="Y663" t="str">
        <f>IF(COUNTIF($A$2:$A$901,A663)&gt;1,
  IF(COUNTIF($A$2:A663,A663)=1,
    " ORIGINAL",
    "CONFLICTING DUPLICATE - REVIEW"),
"OK")</f>
        <v>OK</v>
      </c>
      <c r="Z663">
        <f t="shared" si="103"/>
        <v>0</v>
      </c>
      <c r="AA663">
        <f t="shared" si="104"/>
        <v>8836.56</v>
      </c>
      <c r="AB663">
        <f t="shared" si="105"/>
        <v>2968.81</v>
      </c>
      <c r="AC663">
        <f t="shared" si="106"/>
        <v>0.33600000000000002</v>
      </c>
      <c r="AD663">
        <f t="shared" si="107"/>
        <v>1</v>
      </c>
      <c r="AE663">
        <f t="shared" si="108"/>
        <v>2025</v>
      </c>
      <c r="AF663" t="str">
        <f t="shared" si="109"/>
        <v>CLEAN</v>
      </c>
    </row>
    <row r="664" spans="1:32">
      <c r="A664" t="s">
        <v>1207</v>
      </c>
      <c r="B664" s="10">
        <v>45815</v>
      </c>
      <c r="C664" s="10">
        <v>45815</v>
      </c>
      <c r="D664">
        <f t="shared" si="100"/>
        <v>0</v>
      </c>
      <c r="E664" t="str">
        <f t="shared" si="101"/>
        <v>OK</v>
      </c>
      <c r="F664" t="s">
        <v>1208</v>
      </c>
      <c r="G664" t="s">
        <v>127</v>
      </c>
      <c r="H664" t="s">
        <v>94</v>
      </c>
      <c r="I664" t="s">
        <v>24</v>
      </c>
      <c r="J664" t="s">
        <v>25</v>
      </c>
      <c r="K664" t="s">
        <v>26</v>
      </c>
      <c r="L664" t="s">
        <v>73</v>
      </c>
      <c r="M664" t="s">
        <v>74</v>
      </c>
      <c r="N664" t="s">
        <v>1209</v>
      </c>
      <c r="O664" t="s">
        <v>43</v>
      </c>
      <c r="P664">
        <v>9</v>
      </c>
      <c r="Q664">
        <v>243.19</v>
      </c>
      <c r="R664">
        <v>0.05</v>
      </c>
      <c r="S664" t="str">
        <f t="shared" si="102"/>
        <v>OK</v>
      </c>
      <c r="T664">
        <v>2079.27</v>
      </c>
      <c r="U664">
        <v>1512.17</v>
      </c>
      <c r="V664">
        <v>567.1</v>
      </c>
      <c r="W664" t="s">
        <v>101</v>
      </c>
      <c r="X664" t="s">
        <v>102</v>
      </c>
      <c r="Y664" t="str">
        <f>IF(COUNTIF($A$2:$A$901,A664)&gt;1,
  IF(COUNTIF($A$2:A664,A664)=1,
    " ORIGINAL",
    "CONFLICTING DUPLICATE - REVIEW"),
"OK")</f>
        <v>OK</v>
      </c>
      <c r="Z664">
        <f t="shared" si="103"/>
        <v>0.05</v>
      </c>
      <c r="AA664">
        <f t="shared" si="104"/>
        <v>2079.27</v>
      </c>
      <c r="AB664">
        <f t="shared" si="105"/>
        <v>567.1</v>
      </c>
      <c r="AC664">
        <f t="shared" si="106"/>
        <v>0.2727</v>
      </c>
      <c r="AD664">
        <f t="shared" si="107"/>
        <v>6</v>
      </c>
      <c r="AE664">
        <f t="shared" si="108"/>
        <v>2025</v>
      </c>
      <c r="AF664" t="str">
        <f t="shared" si="109"/>
        <v>CLEAN</v>
      </c>
    </row>
    <row r="665" spans="1:32">
      <c r="A665" t="s">
        <v>1210</v>
      </c>
      <c r="B665" s="10">
        <v>45680</v>
      </c>
      <c r="C665" s="10">
        <v>45687</v>
      </c>
      <c r="D665">
        <f t="shared" si="100"/>
        <v>7</v>
      </c>
      <c r="E665" t="str">
        <f t="shared" si="101"/>
        <v>OK</v>
      </c>
      <c r="F665" t="s">
        <v>1211</v>
      </c>
      <c r="G665" t="s">
        <v>113</v>
      </c>
      <c r="H665" t="s">
        <v>23</v>
      </c>
      <c r="I665" t="s">
        <v>24</v>
      </c>
      <c r="J665" t="s">
        <v>349</v>
      </c>
      <c r="K665" t="s">
        <v>350</v>
      </c>
      <c r="L665" t="s">
        <v>27</v>
      </c>
      <c r="M665" t="s">
        <v>90</v>
      </c>
      <c r="N665" t="s">
        <v>1212</v>
      </c>
      <c r="O665" t="s">
        <v>58</v>
      </c>
      <c r="P665">
        <v>9</v>
      </c>
      <c r="Q665">
        <v>1169.3699999999999</v>
      </c>
      <c r="R665">
        <v>0.15</v>
      </c>
      <c r="S665" t="str">
        <f t="shared" si="102"/>
        <v>OK</v>
      </c>
      <c r="T665">
        <v>8945.68</v>
      </c>
      <c r="U665">
        <v>6740.35</v>
      </c>
      <c r="V665">
        <v>2205.33</v>
      </c>
      <c r="W665" t="s">
        <v>31</v>
      </c>
      <c r="X665" t="s">
        <v>32</v>
      </c>
      <c r="Y665" t="str">
        <f>IF(COUNTIF($A$2:$A$901,A665)&gt;1,
  IF(COUNTIF($A$2:A665,A665)=1,
    " ORIGINAL",
    "CONFLICTING DUPLICATE - REVIEW"),
"OK")</f>
        <v>OK</v>
      </c>
      <c r="Z665">
        <f t="shared" si="103"/>
        <v>0.15</v>
      </c>
      <c r="AA665">
        <f t="shared" si="104"/>
        <v>8945.68</v>
      </c>
      <c r="AB665">
        <f t="shared" si="105"/>
        <v>2205.33</v>
      </c>
      <c r="AC665">
        <f t="shared" si="106"/>
        <v>0.2465</v>
      </c>
      <c r="AD665">
        <f t="shared" si="107"/>
        <v>1</v>
      </c>
      <c r="AE665">
        <f t="shared" si="108"/>
        <v>2025</v>
      </c>
      <c r="AF665" t="str">
        <f t="shared" si="109"/>
        <v>CLEAN</v>
      </c>
    </row>
    <row r="666" spans="1:32">
      <c r="A666" t="s">
        <v>1219</v>
      </c>
      <c r="B666" s="10">
        <v>45885</v>
      </c>
      <c r="C666" s="10">
        <v>45887</v>
      </c>
      <c r="D666">
        <f t="shared" si="100"/>
        <v>2</v>
      </c>
      <c r="E666" t="str">
        <f t="shared" si="101"/>
        <v>OK</v>
      </c>
      <c r="F666" t="s">
        <v>640</v>
      </c>
      <c r="G666" t="s">
        <v>263</v>
      </c>
      <c r="H666" t="s">
        <v>23</v>
      </c>
      <c r="I666" t="s">
        <v>37</v>
      </c>
      <c r="J666" t="s">
        <v>227</v>
      </c>
      <c r="K666" t="s">
        <v>228</v>
      </c>
      <c r="L666" t="s">
        <v>40</v>
      </c>
      <c r="M666" t="s">
        <v>65</v>
      </c>
      <c r="N666" t="s">
        <v>1220</v>
      </c>
      <c r="O666" t="s">
        <v>43</v>
      </c>
      <c r="P666">
        <v>5</v>
      </c>
      <c r="Q666">
        <v>1530.36</v>
      </c>
      <c r="R666">
        <v>0</v>
      </c>
      <c r="S666" t="str">
        <f t="shared" si="102"/>
        <v>OK</v>
      </c>
      <c r="T666">
        <v>7651.8</v>
      </c>
      <c r="U666">
        <v>5171.78</v>
      </c>
      <c r="V666">
        <v>2480.02</v>
      </c>
      <c r="W666" t="s">
        <v>31</v>
      </c>
      <c r="X666" t="s">
        <v>32</v>
      </c>
      <c r="Y666" t="str">
        <f>IF(COUNTIF($A$2:$A$901,A666)&gt;1,
  IF(COUNTIF($A$2:A666,A666)=1,
    " ORIGINAL",
    "CONFLICTING DUPLICATE - REVIEW"),
"OK")</f>
        <v>OK</v>
      </c>
      <c r="Z666">
        <f t="shared" si="103"/>
        <v>0</v>
      </c>
      <c r="AA666">
        <f t="shared" si="104"/>
        <v>7651.8</v>
      </c>
      <c r="AB666">
        <f t="shared" si="105"/>
        <v>2480.02</v>
      </c>
      <c r="AC666">
        <f t="shared" si="106"/>
        <v>0.3241</v>
      </c>
      <c r="AD666">
        <f t="shared" si="107"/>
        <v>8</v>
      </c>
      <c r="AE666">
        <f t="shared" si="108"/>
        <v>2025</v>
      </c>
      <c r="AF666" t="str">
        <f t="shared" si="109"/>
        <v>CLEAN</v>
      </c>
    </row>
    <row r="667" spans="1:32">
      <c r="A667" t="s">
        <v>1221</v>
      </c>
      <c r="B667" s="10">
        <v>45760</v>
      </c>
      <c r="C667" s="10">
        <v>45760</v>
      </c>
      <c r="D667">
        <f t="shared" si="100"/>
        <v>0</v>
      </c>
      <c r="E667" t="str">
        <f t="shared" si="101"/>
        <v>OK</v>
      </c>
      <c r="F667" t="s">
        <v>1222</v>
      </c>
      <c r="G667" t="s">
        <v>131</v>
      </c>
      <c r="H667" t="s">
        <v>36</v>
      </c>
      <c r="I667" t="s">
        <v>24</v>
      </c>
      <c r="J667" t="s">
        <v>135</v>
      </c>
      <c r="K667" t="s">
        <v>136</v>
      </c>
      <c r="L667" t="s">
        <v>27</v>
      </c>
      <c r="M667" t="s">
        <v>123</v>
      </c>
      <c r="N667" t="s">
        <v>1223</v>
      </c>
      <c r="O667" t="s">
        <v>30</v>
      </c>
      <c r="P667">
        <v>9</v>
      </c>
      <c r="Q667">
        <v>1118.68</v>
      </c>
      <c r="R667">
        <v>0</v>
      </c>
      <c r="S667" t="str">
        <f t="shared" si="102"/>
        <v>OK</v>
      </c>
      <c r="T667">
        <v>10068.120000000001</v>
      </c>
      <c r="U667">
        <v>8595.3700000000008</v>
      </c>
      <c r="V667">
        <v>1472.75</v>
      </c>
      <c r="W667" t="s">
        <v>31</v>
      </c>
      <c r="X667" t="s">
        <v>32</v>
      </c>
      <c r="Y667" t="str">
        <f>IF(COUNTIF($A$2:$A$901,A667)&gt;1,
  IF(COUNTIF($A$2:A667,A667)=1,
    " ORIGINAL",
    "CONFLICTING DUPLICATE - REVIEW"),
"OK")</f>
        <v xml:space="preserve"> ORIGINAL</v>
      </c>
      <c r="Z667">
        <f t="shared" si="103"/>
        <v>0</v>
      </c>
      <c r="AA667">
        <f t="shared" si="104"/>
        <v>10068.120000000001</v>
      </c>
      <c r="AB667">
        <f t="shared" si="105"/>
        <v>1472.75</v>
      </c>
      <c r="AC667">
        <f t="shared" si="106"/>
        <v>0.14630000000000001</v>
      </c>
      <c r="AD667">
        <f t="shared" si="107"/>
        <v>4</v>
      </c>
      <c r="AE667">
        <f t="shared" si="108"/>
        <v>2025</v>
      </c>
      <c r="AF667" t="str">
        <f t="shared" si="109"/>
        <v>CLEAN</v>
      </c>
    </row>
    <row r="668" spans="1:32">
      <c r="A668" t="s">
        <v>1221</v>
      </c>
      <c r="B668" s="10">
        <v>45760</v>
      </c>
      <c r="C668" s="10">
        <v>45760</v>
      </c>
      <c r="D668">
        <f t="shared" si="100"/>
        <v>0</v>
      </c>
      <c r="E668" t="str">
        <f t="shared" si="101"/>
        <v>OK</v>
      </c>
      <c r="F668" t="s">
        <v>1222</v>
      </c>
      <c r="G668" t="s">
        <v>131</v>
      </c>
      <c r="H668" t="s">
        <v>36</v>
      </c>
      <c r="I668" t="s">
        <v>24</v>
      </c>
      <c r="J668" t="s">
        <v>135</v>
      </c>
      <c r="K668" t="s">
        <v>136</v>
      </c>
      <c r="L668" t="s">
        <v>27</v>
      </c>
      <c r="M668" t="s">
        <v>123</v>
      </c>
      <c r="N668" t="s">
        <v>1223</v>
      </c>
      <c r="O668" t="s">
        <v>30</v>
      </c>
      <c r="P668">
        <v>9</v>
      </c>
      <c r="Q668">
        <v>1118.68</v>
      </c>
      <c r="R668">
        <v>0</v>
      </c>
      <c r="S668" t="str">
        <f t="shared" si="102"/>
        <v>OK</v>
      </c>
      <c r="T668">
        <v>10348.43</v>
      </c>
      <c r="U668">
        <v>8595.3700000000008</v>
      </c>
      <c r="V668">
        <v>1472.75</v>
      </c>
      <c r="W668" t="s">
        <v>31</v>
      </c>
      <c r="X668" t="s">
        <v>102</v>
      </c>
      <c r="Y668" t="str">
        <f>IF(COUNTIF($A$2:$A$901,A668)&gt;1,
  IF(COUNTIF($A$2:A668,A668)=1,
    " ORIGINAL",
    "CONFLICTING DUPLICATE - REVIEW"),
"OK")</f>
        <v>CONFLICTING DUPLICATE - REVIEW</v>
      </c>
      <c r="Z668">
        <f t="shared" si="103"/>
        <v>0</v>
      </c>
      <c r="AA668">
        <f t="shared" si="104"/>
        <v>10068.120000000001</v>
      </c>
      <c r="AB668">
        <f t="shared" si="105"/>
        <v>1472.75</v>
      </c>
      <c r="AC668">
        <f t="shared" si="106"/>
        <v>0.14630000000000001</v>
      </c>
      <c r="AD668">
        <f t="shared" si="107"/>
        <v>4</v>
      </c>
      <c r="AE668">
        <f t="shared" si="108"/>
        <v>2025</v>
      </c>
      <c r="AF668" t="str">
        <f t="shared" si="109"/>
        <v>CLEAN</v>
      </c>
    </row>
    <row r="669" spans="1:32">
      <c r="A669" t="s">
        <v>1224</v>
      </c>
      <c r="B669" s="10">
        <v>45715</v>
      </c>
      <c r="C669" s="10">
        <v>45716</v>
      </c>
      <c r="D669">
        <f t="shared" si="100"/>
        <v>1</v>
      </c>
      <c r="E669" t="str">
        <f t="shared" si="101"/>
        <v>OK</v>
      </c>
      <c r="F669" t="s">
        <v>1225</v>
      </c>
      <c r="G669" t="s">
        <v>88</v>
      </c>
      <c r="H669" t="s">
        <v>36</v>
      </c>
      <c r="I669" t="s">
        <v>24</v>
      </c>
      <c r="J669" t="s">
        <v>135</v>
      </c>
      <c r="K669" t="s">
        <v>136</v>
      </c>
      <c r="L669" t="s">
        <v>27</v>
      </c>
      <c r="M669" t="s">
        <v>90</v>
      </c>
      <c r="N669" t="s">
        <v>1226</v>
      </c>
      <c r="O669" t="s">
        <v>58</v>
      </c>
      <c r="P669">
        <v>6</v>
      </c>
      <c r="Q669">
        <v>2393.25</v>
      </c>
      <c r="R669">
        <v>0</v>
      </c>
      <c r="S669" t="str">
        <f t="shared" si="102"/>
        <v>OK</v>
      </c>
      <c r="T669">
        <v>14359.5</v>
      </c>
      <c r="U669">
        <v>8117.71</v>
      </c>
      <c r="V669">
        <v>6241.79</v>
      </c>
      <c r="W669" t="s">
        <v>31</v>
      </c>
      <c r="X669" t="s">
        <v>32</v>
      </c>
      <c r="Y669" t="str">
        <f>IF(COUNTIF($A$2:$A$901,A669)&gt;1,
  IF(COUNTIF($A$2:A669,A669)=1,
    " ORIGINAL",
    "CONFLICTING DUPLICATE - REVIEW"),
"OK")</f>
        <v>OK</v>
      </c>
      <c r="Z669">
        <f t="shared" si="103"/>
        <v>0</v>
      </c>
      <c r="AA669">
        <f t="shared" si="104"/>
        <v>14359.5</v>
      </c>
      <c r="AB669">
        <f t="shared" si="105"/>
        <v>6241.79</v>
      </c>
      <c r="AC669">
        <f t="shared" si="106"/>
        <v>0.43469999999999998</v>
      </c>
      <c r="AD669">
        <f t="shared" si="107"/>
        <v>2</v>
      </c>
      <c r="AE669">
        <f t="shared" si="108"/>
        <v>2025</v>
      </c>
      <c r="AF669" t="str">
        <f t="shared" si="109"/>
        <v>CLEAN</v>
      </c>
    </row>
    <row r="670" spans="1:32">
      <c r="A670" t="s">
        <v>1233</v>
      </c>
      <c r="B670" s="10">
        <v>45801</v>
      </c>
      <c r="C670" s="10">
        <v>45807</v>
      </c>
      <c r="D670">
        <f t="shared" si="100"/>
        <v>6</v>
      </c>
      <c r="E670" t="str">
        <f t="shared" si="101"/>
        <v>OK</v>
      </c>
      <c r="F670" t="s">
        <v>1234</v>
      </c>
      <c r="G670" t="s">
        <v>263</v>
      </c>
      <c r="H670" t="s">
        <v>36</v>
      </c>
      <c r="I670" t="s">
        <v>37</v>
      </c>
      <c r="J670" t="s">
        <v>38</v>
      </c>
      <c r="K670" t="s">
        <v>39</v>
      </c>
      <c r="L670" t="s">
        <v>27</v>
      </c>
      <c r="M670" t="s">
        <v>123</v>
      </c>
      <c r="N670" t="s">
        <v>1235</v>
      </c>
      <c r="O670" t="s">
        <v>43</v>
      </c>
      <c r="P670">
        <v>1</v>
      </c>
      <c r="Q670">
        <v>2564.7399999999998</v>
      </c>
      <c r="R670">
        <v>0</v>
      </c>
      <c r="S670" t="str">
        <f t="shared" si="102"/>
        <v>OK</v>
      </c>
      <c r="T670">
        <v>2564.7399999999998</v>
      </c>
      <c r="U670">
        <v>1754.58</v>
      </c>
      <c r="V670">
        <v>810.16</v>
      </c>
      <c r="W670" t="s">
        <v>31</v>
      </c>
      <c r="X670" t="s">
        <v>32</v>
      </c>
      <c r="Y670" t="str">
        <f>IF(COUNTIF($A$2:$A$901,A670)&gt;1,
  IF(COUNTIF($A$2:A670,A670)=1,
    " ORIGINAL",
    "CONFLICTING DUPLICATE - REVIEW"),
"OK")</f>
        <v>OK</v>
      </c>
      <c r="Z670">
        <f t="shared" si="103"/>
        <v>0</v>
      </c>
      <c r="AA670">
        <f t="shared" si="104"/>
        <v>2564.7399999999998</v>
      </c>
      <c r="AB670">
        <f t="shared" si="105"/>
        <v>810.16</v>
      </c>
      <c r="AC670">
        <f t="shared" si="106"/>
        <v>0.31590000000000001</v>
      </c>
      <c r="AD670">
        <f t="shared" si="107"/>
        <v>5</v>
      </c>
      <c r="AE670">
        <f t="shared" si="108"/>
        <v>2025</v>
      </c>
      <c r="AF670" t="str">
        <f t="shared" si="109"/>
        <v>CLEAN</v>
      </c>
    </row>
    <row r="671" spans="1:32">
      <c r="A671" t="s">
        <v>1236</v>
      </c>
      <c r="B671" s="10">
        <v>45799</v>
      </c>
      <c r="C671" s="10">
        <v>45799</v>
      </c>
      <c r="D671">
        <f t="shared" si="100"/>
        <v>0</v>
      </c>
      <c r="E671" t="str">
        <f t="shared" si="101"/>
        <v>OK</v>
      </c>
      <c r="F671" t="s">
        <v>1237</v>
      </c>
      <c r="G671" t="s">
        <v>35</v>
      </c>
      <c r="H671" t="s">
        <v>23</v>
      </c>
      <c r="I671" t="s">
        <v>62</v>
      </c>
      <c r="J671" t="s">
        <v>189</v>
      </c>
      <c r="K671" t="s">
        <v>190</v>
      </c>
      <c r="L671" t="s">
        <v>73</v>
      </c>
      <c r="M671" t="s">
        <v>74</v>
      </c>
      <c r="N671" t="s">
        <v>1238</v>
      </c>
      <c r="O671" t="s">
        <v>58</v>
      </c>
      <c r="P671">
        <v>2</v>
      </c>
      <c r="Q671">
        <v>3910.61</v>
      </c>
      <c r="R671">
        <v>0</v>
      </c>
      <c r="S671" t="str">
        <f t="shared" si="102"/>
        <v>OK</v>
      </c>
      <c r="T671">
        <v>7821.22</v>
      </c>
      <c r="U671">
        <v>4994.46</v>
      </c>
      <c r="V671">
        <v>2826.76</v>
      </c>
      <c r="W671" t="s">
        <v>31</v>
      </c>
      <c r="X671" t="s">
        <v>32</v>
      </c>
      <c r="Y671" t="str">
        <f>IF(COUNTIF($A$2:$A$901,A671)&gt;1,
  IF(COUNTIF($A$2:A671,A671)=1,
    " ORIGINAL",
    "CONFLICTING DUPLICATE - REVIEW"),
"OK")</f>
        <v>OK</v>
      </c>
      <c r="Z671">
        <f t="shared" si="103"/>
        <v>0</v>
      </c>
      <c r="AA671">
        <f t="shared" si="104"/>
        <v>7821.22</v>
      </c>
      <c r="AB671">
        <f t="shared" si="105"/>
        <v>2826.76</v>
      </c>
      <c r="AC671">
        <f t="shared" si="106"/>
        <v>0.3614</v>
      </c>
      <c r="AD671">
        <f t="shared" si="107"/>
        <v>5</v>
      </c>
      <c r="AE671">
        <f t="shared" si="108"/>
        <v>2025</v>
      </c>
      <c r="AF671" t="str">
        <f t="shared" si="109"/>
        <v>CLEAN</v>
      </c>
    </row>
    <row r="672" spans="1:32">
      <c r="A672" t="s">
        <v>1245</v>
      </c>
      <c r="B672" s="10">
        <v>45919</v>
      </c>
      <c r="C672" s="10">
        <v>45923</v>
      </c>
      <c r="D672">
        <f t="shared" si="100"/>
        <v>4</v>
      </c>
      <c r="E672" t="str">
        <f t="shared" si="101"/>
        <v>OK</v>
      </c>
      <c r="F672" t="s">
        <v>1246</v>
      </c>
      <c r="G672" t="s">
        <v>52</v>
      </c>
      <c r="H672" t="s">
        <v>94</v>
      </c>
      <c r="I672" t="s">
        <v>24</v>
      </c>
      <c r="J672" t="s">
        <v>349</v>
      </c>
      <c r="K672" t="s">
        <v>350</v>
      </c>
      <c r="L672" t="s">
        <v>27</v>
      </c>
      <c r="M672" t="s">
        <v>152</v>
      </c>
      <c r="N672" t="s">
        <v>1247</v>
      </c>
      <c r="O672" t="s">
        <v>58</v>
      </c>
      <c r="P672">
        <v>4</v>
      </c>
      <c r="Q672">
        <v>4387.1499999999996</v>
      </c>
      <c r="R672">
        <v>0.05</v>
      </c>
      <c r="S672" t="str">
        <f t="shared" si="102"/>
        <v>OK</v>
      </c>
      <c r="T672">
        <v>16671.169999999998</v>
      </c>
      <c r="U672">
        <v>10833.19</v>
      </c>
      <c r="V672">
        <v>5837.98</v>
      </c>
      <c r="W672" t="s">
        <v>154</v>
      </c>
      <c r="X672" t="s">
        <v>67</v>
      </c>
      <c r="Y672" t="str">
        <f>IF(COUNTIF($A$2:$A$901,A672)&gt;1,
  IF(COUNTIF($A$2:A672,A672)=1,
    " ORIGINAL",
    "CONFLICTING DUPLICATE - REVIEW"),
"OK")</f>
        <v>OK</v>
      </c>
      <c r="Z672">
        <f t="shared" si="103"/>
        <v>0.05</v>
      </c>
      <c r="AA672">
        <f t="shared" si="104"/>
        <v>16671.169999999998</v>
      </c>
      <c r="AB672">
        <f t="shared" si="105"/>
        <v>5837.98</v>
      </c>
      <c r="AC672">
        <f t="shared" si="106"/>
        <v>0.35020000000000001</v>
      </c>
      <c r="AD672">
        <f t="shared" si="107"/>
        <v>9</v>
      </c>
      <c r="AE672">
        <f t="shared" si="108"/>
        <v>2025</v>
      </c>
      <c r="AF672" t="str">
        <f t="shared" si="109"/>
        <v>INVALID</v>
      </c>
    </row>
    <row r="673" spans="1:32">
      <c r="A673" t="s">
        <v>1248</v>
      </c>
      <c r="B673" s="10">
        <v>45720</v>
      </c>
      <c r="C673" s="10">
        <v>45724</v>
      </c>
      <c r="D673">
        <f t="shared" si="100"/>
        <v>4</v>
      </c>
      <c r="E673" t="str">
        <f t="shared" si="101"/>
        <v>OK</v>
      </c>
      <c r="F673" t="s">
        <v>156</v>
      </c>
      <c r="G673" t="s">
        <v>52</v>
      </c>
      <c r="H673" t="s">
        <v>36</v>
      </c>
      <c r="I673" t="s">
        <v>37</v>
      </c>
      <c r="J673" t="s">
        <v>144</v>
      </c>
      <c r="K673" t="s">
        <v>145</v>
      </c>
      <c r="L673" t="s">
        <v>73</v>
      </c>
      <c r="M673" t="s">
        <v>170</v>
      </c>
      <c r="N673" t="s">
        <v>1249</v>
      </c>
      <c r="O673" t="s">
        <v>49</v>
      </c>
      <c r="P673">
        <v>3</v>
      </c>
      <c r="Q673">
        <v>4361.8500000000004</v>
      </c>
      <c r="R673">
        <v>0.2</v>
      </c>
      <c r="S673" t="str">
        <f t="shared" si="102"/>
        <v>OK</v>
      </c>
      <c r="T673">
        <v>10468.44</v>
      </c>
      <c r="U673">
        <v>8399.8700000000008</v>
      </c>
      <c r="V673">
        <v>2068.5700000000002</v>
      </c>
      <c r="W673" t="s">
        <v>31</v>
      </c>
      <c r="X673" t="s">
        <v>32</v>
      </c>
      <c r="Y673" t="str">
        <f>IF(COUNTIF($A$2:$A$901,A673)&gt;1,
  IF(COUNTIF($A$2:A673,A673)=1,
    " ORIGINAL",
    "CONFLICTING DUPLICATE - REVIEW"),
"OK")</f>
        <v>OK</v>
      </c>
      <c r="Z673">
        <f t="shared" si="103"/>
        <v>0.2</v>
      </c>
      <c r="AA673">
        <f t="shared" si="104"/>
        <v>10468.44</v>
      </c>
      <c r="AB673">
        <f t="shared" si="105"/>
        <v>2068.5700000000002</v>
      </c>
      <c r="AC673">
        <f t="shared" si="106"/>
        <v>0.1976</v>
      </c>
      <c r="AD673">
        <f t="shared" si="107"/>
        <v>3</v>
      </c>
      <c r="AE673">
        <f t="shared" si="108"/>
        <v>2025</v>
      </c>
      <c r="AF673" t="str">
        <f t="shared" si="109"/>
        <v>CLEAN</v>
      </c>
    </row>
    <row r="674" spans="1:32">
      <c r="A674" t="s">
        <v>1250</v>
      </c>
      <c r="B674" s="10">
        <v>45836</v>
      </c>
      <c r="C674" s="10">
        <v>45843</v>
      </c>
      <c r="D674">
        <f t="shared" si="100"/>
        <v>7</v>
      </c>
      <c r="E674" t="str">
        <f t="shared" si="101"/>
        <v>OK</v>
      </c>
      <c r="F674" t="s">
        <v>1251</v>
      </c>
      <c r="G674" t="s">
        <v>70</v>
      </c>
      <c r="H674" t="s">
        <v>89</v>
      </c>
      <c r="I674" t="s">
        <v>37</v>
      </c>
      <c r="J674" t="s">
        <v>98</v>
      </c>
      <c r="K674" t="s">
        <v>99</v>
      </c>
      <c r="L674" t="s">
        <v>27</v>
      </c>
      <c r="M674" t="s">
        <v>47</v>
      </c>
      <c r="N674" t="s">
        <v>1252</v>
      </c>
      <c r="O674" t="s">
        <v>49</v>
      </c>
      <c r="P674">
        <v>2</v>
      </c>
      <c r="Q674">
        <v>2242.75</v>
      </c>
      <c r="R674">
        <v>0</v>
      </c>
      <c r="S674" t="str">
        <f t="shared" si="102"/>
        <v>OK</v>
      </c>
      <c r="T674">
        <v>4485.5</v>
      </c>
      <c r="U674">
        <v>3131.86</v>
      </c>
      <c r="V674">
        <v>1353.64</v>
      </c>
      <c r="W674" t="s">
        <v>31</v>
      </c>
      <c r="X674" t="s">
        <v>67</v>
      </c>
      <c r="Y674" t="str">
        <f>IF(COUNTIF($A$2:$A$901,A674)&gt;1,
  IF(COUNTIF($A$2:A674,A674)=1,
    " ORIGINAL",
    "CONFLICTING DUPLICATE - REVIEW"),
"OK")</f>
        <v>OK</v>
      </c>
      <c r="Z674">
        <f t="shared" si="103"/>
        <v>0</v>
      </c>
      <c r="AA674">
        <f t="shared" si="104"/>
        <v>4485.5</v>
      </c>
      <c r="AB674">
        <f t="shared" si="105"/>
        <v>1353.64</v>
      </c>
      <c r="AC674">
        <f t="shared" si="106"/>
        <v>0.30180000000000001</v>
      </c>
      <c r="AD674">
        <f t="shared" si="107"/>
        <v>6</v>
      </c>
      <c r="AE674">
        <f t="shared" si="108"/>
        <v>2025</v>
      </c>
      <c r="AF674" t="str">
        <f t="shared" si="109"/>
        <v>CLEAN</v>
      </c>
    </row>
    <row r="675" spans="1:32">
      <c r="A675" t="s">
        <v>1256</v>
      </c>
      <c r="B675" s="10">
        <v>45832</v>
      </c>
      <c r="C675" s="10">
        <v>45838</v>
      </c>
      <c r="D675">
        <f t="shared" si="100"/>
        <v>6</v>
      </c>
      <c r="E675" t="str">
        <f t="shared" si="101"/>
        <v>OK</v>
      </c>
      <c r="F675" t="s">
        <v>1257</v>
      </c>
      <c r="G675" t="s">
        <v>52</v>
      </c>
      <c r="H675" t="s">
        <v>23</v>
      </c>
      <c r="I675" t="s">
        <v>24</v>
      </c>
      <c r="J675" t="s">
        <v>235</v>
      </c>
      <c r="K675" t="s">
        <v>236</v>
      </c>
      <c r="L675" t="s">
        <v>27</v>
      </c>
      <c r="M675" t="s">
        <v>90</v>
      </c>
      <c r="N675" t="s">
        <v>1258</v>
      </c>
      <c r="O675" t="s">
        <v>58</v>
      </c>
      <c r="P675">
        <v>6</v>
      </c>
      <c r="Q675">
        <v>365.76</v>
      </c>
      <c r="R675">
        <v>0.1</v>
      </c>
      <c r="S675" t="str">
        <f t="shared" si="102"/>
        <v>OK</v>
      </c>
      <c r="T675">
        <v>1975.1</v>
      </c>
      <c r="U675">
        <v>1115.3499999999999</v>
      </c>
      <c r="V675">
        <v>859.75</v>
      </c>
      <c r="W675" t="s">
        <v>31</v>
      </c>
      <c r="X675" t="s">
        <v>32</v>
      </c>
      <c r="Y675" t="str">
        <f>IF(COUNTIF($A$2:$A$901,A675)&gt;1,
  IF(COUNTIF($A$2:A675,A675)=1,
    " ORIGINAL",
    "CONFLICTING DUPLICATE - REVIEW"),
"OK")</f>
        <v>OK</v>
      </c>
      <c r="Z675">
        <f t="shared" si="103"/>
        <v>0.1</v>
      </c>
      <c r="AA675">
        <f t="shared" si="104"/>
        <v>1975.1</v>
      </c>
      <c r="AB675">
        <f t="shared" si="105"/>
        <v>859.75</v>
      </c>
      <c r="AC675">
        <f t="shared" si="106"/>
        <v>0.43530000000000002</v>
      </c>
      <c r="AD675">
        <f t="shared" si="107"/>
        <v>6</v>
      </c>
      <c r="AE675">
        <f t="shared" si="108"/>
        <v>2025</v>
      </c>
      <c r="AF675" t="str">
        <f t="shared" si="109"/>
        <v>CLEAN</v>
      </c>
    </row>
    <row r="676" spans="1:32">
      <c r="A676" t="s">
        <v>1259</v>
      </c>
      <c r="B676" s="10">
        <v>45700</v>
      </c>
      <c r="C676" s="10">
        <v>45702</v>
      </c>
      <c r="D676">
        <f t="shared" si="100"/>
        <v>2</v>
      </c>
      <c r="E676" t="str">
        <f t="shared" si="101"/>
        <v>OK</v>
      </c>
      <c r="F676" t="s">
        <v>1260</v>
      </c>
      <c r="G676" t="s">
        <v>131</v>
      </c>
      <c r="H676" t="s">
        <v>23</v>
      </c>
      <c r="I676" t="s">
        <v>62</v>
      </c>
      <c r="J676" t="s">
        <v>63</v>
      </c>
      <c r="K676" t="s">
        <v>64</v>
      </c>
      <c r="L676" t="s">
        <v>40</v>
      </c>
      <c r="M676" t="s">
        <v>56</v>
      </c>
      <c r="N676" t="s">
        <v>1261</v>
      </c>
      <c r="O676" t="s">
        <v>30</v>
      </c>
      <c r="P676">
        <v>8</v>
      </c>
      <c r="Q676">
        <v>2786.66</v>
      </c>
      <c r="R676">
        <v>0.1</v>
      </c>
      <c r="S676" t="str">
        <f t="shared" si="102"/>
        <v>OK</v>
      </c>
      <c r="T676">
        <v>20063.95</v>
      </c>
      <c r="U676">
        <v>14363.38</v>
      </c>
      <c r="V676">
        <v>5700.57</v>
      </c>
      <c r="W676" t="s">
        <v>31</v>
      </c>
      <c r="X676" t="s">
        <v>32</v>
      </c>
      <c r="Y676" t="str">
        <f>IF(COUNTIF($A$2:$A$901,A676)&gt;1,
  IF(COUNTIF($A$2:A676,A676)=1,
    " ORIGINAL",
    "CONFLICTING DUPLICATE - REVIEW"),
"OK")</f>
        <v>OK</v>
      </c>
      <c r="Z676">
        <f t="shared" si="103"/>
        <v>0.1</v>
      </c>
      <c r="AA676">
        <f t="shared" si="104"/>
        <v>20063.95</v>
      </c>
      <c r="AB676">
        <f t="shared" si="105"/>
        <v>5700.57</v>
      </c>
      <c r="AC676">
        <f t="shared" si="106"/>
        <v>0.28410000000000002</v>
      </c>
      <c r="AD676">
        <f t="shared" si="107"/>
        <v>2</v>
      </c>
      <c r="AE676">
        <f t="shared" si="108"/>
        <v>2025</v>
      </c>
      <c r="AF676" t="str">
        <f t="shared" si="109"/>
        <v>CLEAN</v>
      </c>
    </row>
    <row r="677" spans="1:32">
      <c r="A677" t="s">
        <v>1262</v>
      </c>
      <c r="B677" s="10">
        <v>45938</v>
      </c>
      <c r="C677" s="10">
        <v>45882</v>
      </c>
      <c r="D677">
        <f t="shared" si="100"/>
        <v>-56</v>
      </c>
      <c r="E677" t="str">
        <f t="shared" si="101"/>
        <v>INVALID</v>
      </c>
      <c r="F677" t="s">
        <v>1263</v>
      </c>
      <c r="G677" t="s">
        <v>113</v>
      </c>
      <c r="H677" t="s">
        <v>36</v>
      </c>
      <c r="I677" t="s">
        <v>62</v>
      </c>
      <c r="J677" t="s">
        <v>71</v>
      </c>
      <c r="K677" t="s">
        <v>72</v>
      </c>
      <c r="L677" t="s">
        <v>40</v>
      </c>
      <c r="M677" t="s">
        <v>65</v>
      </c>
      <c r="N677" t="s">
        <v>1264</v>
      </c>
      <c r="O677" t="s">
        <v>58</v>
      </c>
      <c r="P677">
        <v>5</v>
      </c>
      <c r="Q677">
        <v>352.86</v>
      </c>
      <c r="R677">
        <v>0</v>
      </c>
      <c r="S677" t="str">
        <f t="shared" si="102"/>
        <v>OK</v>
      </c>
      <c r="T677">
        <v>1764.3</v>
      </c>
      <c r="U677">
        <v>1332.49</v>
      </c>
      <c r="V677">
        <v>431.81</v>
      </c>
      <c r="W677" t="s">
        <v>110</v>
      </c>
      <c r="X677" t="s">
        <v>67</v>
      </c>
      <c r="Y677" t="str">
        <f>IF(COUNTIF($A$2:$A$901,A677)&gt;1,
  IF(COUNTIF($A$2:A677,A677)=1,
    " ORIGINAL",
    "CONFLICTING DUPLICATE - REVIEW"),
"OK")</f>
        <v>OK</v>
      </c>
      <c r="Z677">
        <f t="shared" si="103"/>
        <v>0</v>
      </c>
      <c r="AA677">
        <f t="shared" si="104"/>
        <v>1764.3</v>
      </c>
      <c r="AB677">
        <f t="shared" si="105"/>
        <v>431.81</v>
      </c>
      <c r="AC677">
        <f t="shared" si="106"/>
        <v>0.2447</v>
      </c>
      <c r="AD677">
        <f t="shared" si="107"/>
        <v>10</v>
      </c>
      <c r="AE677">
        <f t="shared" si="108"/>
        <v>2025</v>
      </c>
      <c r="AF677" t="str">
        <f t="shared" si="109"/>
        <v>INVALID</v>
      </c>
    </row>
    <row r="678" spans="1:32">
      <c r="A678" t="s">
        <v>1274</v>
      </c>
      <c r="B678" s="10">
        <v>45702</v>
      </c>
      <c r="C678" s="10">
        <v>45702</v>
      </c>
      <c r="D678">
        <f t="shared" si="100"/>
        <v>0</v>
      </c>
      <c r="E678" t="str">
        <f t="shared" si="101"/>
        <v>OK</v>
      </c>
      <c r="F678" t="s">
        <v>1275</v>
      </c>
      <c r="G678" t="s">
        <v>161</v>
      </c>
      <c r="H678" t="s">
        <v>23</v>
      </c>
      <c r="I678" t="s">
        <v>53</v>
      </c>
      <c r="J678" t="s">
        <v>174</v>
      </c>
      <c r="K678" t="s">
        <v>175</v>
      </c>
      <c r="L678" t="s">
        <v>27</v>
      </c>
      <c r="M678" t="s">
        <v>123</v>
      </c>
      <c r="N678" t="s">
        <v>1276</v>
      </c>
      <c r="O678" t="s">
        <v>49</v>
      </c>
      <c r="P678">
        <v>1</v>
      </c>
      <c r="Q678">
        <v>714.43</v>
      </c>
      <c r="R678">
        <v>0</v>
      </c>
      <c r="S678" t="str">
        <f t="shared" si="102"/>
        <v>OK</v>
      </c>
      <c r="T678">
        <v>714.43</v>
      </c>
      <c r="U678">
        <v>565.44000000000005</v>
      </c>
      <c r="V678">
        <v>148.99</v>
      </c>
      <c r="W678" t="s">
        <v>31</v>
      </c>
      <c r="X678" t="s">
        <v>32</v>
      </c>
      <c r="Y678" t="str">
        <f>IF(COUNTIF($A$2:$A$901,A678)&gt;1,
  IF(COUNTIF($A$2:A678,A678)=1,
    " ORIGINAL",
    "CONFLICTING DUPLICATE - REVIEW"),
"OK")</f>
        <v>OK</v>
      </c>
      <c r="Z678">
        <f t="shared" si="103"/>
        <v>0</v>
      </c>
      <c r="AA678">
        <f t="shared" si="104"/>
        <v>714.43</v>
      </c>
      <c r="AB678">
        <f t="shared" si="105"/>
        <v>148.99</v>
      </c>
      <c r="AC678">
        <f t="shared" si="106"/>
        <v>0.20849999999999999</v>
      </c>
      <c r="AD678">
        <f t="shared" si="107"/>
        <v>2</v>
      </c>
      <c r="AE678">
        <f t="shared" si="108"/>
        <v>2025</v>
      </c>
      <c r="AF678" t="str">
        <f t="shared" si="109"/>
        <v>CLEAN</v>
      </c>
    </row>
    <row r="679" spans="1:32">
      <c r="A679" t="s">
        <v>1289</v>
      </c>
      <c r="B679" s="10">
        <v>45761</v>
      </c>
      <c r="C679" s="10">
        <v>45769</v>
      </c>
      <c r="D679">
        <f t="shared" si="100"/>
        <v>8</v>
      </c>
      <c r="E679" t="str">
        <f t="shared" si="101"/>
        <v>OK</v>
      </c>
      <c r="F679" t="s">
        <v>1290</v>
      </c>
      <c r="G679" t="s">
        <v>88</v>
      </c>
      <c r="H679" t="s">
        <v>36</v>
      </c>
      <c r="I679" t="s">
        <v>53</v>
      </c>
      <c r="J679" t="s">
        <v>174</v>
      </c>
      <c r="K679" t="s">
        <v>175</v>
      </c>
      <c r="L679" t="s">
        <v>73</v>
      </c>
      <c r="M679" t="s">
        <v>273</v>
      </c>
      <c r="N679" t="s">
        <v>1291</v>
      </c>
      <c r="O679" t="s">
        <v>58</v>
      </c>
      <c r="P679">
        <v>2</v>
      </c>
      <c r="Q679">
        <v>638.73</v>
      </c>
      <c r="R679">
        <v>0.05</v>
      </c>
      <c r="S679" t="str">
        <f t="shared" si="102"/>
        <v>OK</v>
      </c>
      <c r="T679">
        <v>1213.5899999999999</v>
      </c>
      <c r="U679">
        <v>956.22</v>
      </c>
      <c r="V679">
        <v>257.37</v>
      </c>
      <c r="W679" t="s">
        <v>31</v>
      </c>
      <c r="X679" t="s">
        <v>32</v>
      </c>
      <c r="Y679" t="str">
        <f>IF(COUNTIF($A$2:$A$901,A679)&gt;1,
  IF(COUNTIF($A$2:A679,A679)=1,
    " ORIGINAL",
    "CONFLICTING DUPLICATE - REVIEW"),
"OK")</f>
        <v>OK</v>
      </c>
      <c r="Z679">
        <f t="shared" si="103"/>
        <v>0.05</v>
      </c>
      <c r="AA679">
        <f t="shared" si="104"/>
        <v>1213.5899999999999</v>
      </c>
      <c r="AB679">
        <f t="shared" si="105"/>
        <v>257.37</v>
      </c>
      <c r="AC679">
        <f t="shared" si="106"/>
        <v>0.21210000000000001</v>
      </c>
      <c r="AD679">
        <f t="shared" si="107"/>
        <v>4</v>
      </c>
      <c r="AE679">
        <f t="shared" si="108"/>
        <v>2025</v>
      </c>
      <c r="AF679" t="str">
        <f t="shared" si="109"/>
        <v>CLEAN</v>
      </c>
    </row>
    <row r="680" spans="1:32">
      <c r="A680" t="s">
        <v>1292</v>
      </c>
      <c r="B680" s="10">
        <v>45817</v>
      </c>
      <c r="C680" s="10">
        <v>45818</v>
      </c>
      <c r="D680">
        <f t="shared" si="100"/>
        <v>1</v>
      </c>
      <c r="E680" t="str">
        <f t="shared" si="101"/>
        <v>OK</v>
      </c>
      <c r="F680" t="s">
        <v>1293</v>
      </c>
      <c r="G680" t="s">
        <v>131</v>
      </c>
      <c r="H680" t="s">
        <v>36</v>
      </c>
      <c r="I680" t="s">
        <v>24</v>
      </c>
      <c r="J680" t="s">
        <v>135</v>
      </c>
      <c r="K680" t="s">
        <v>136</v>
      </c>
      <c r="L680" t="s">
        <v>40</v>
      </c>
      <c r="M680" t="s">
        <v>41</v>
      </c>
      <c r="N680" t="s">
        <v>1294</v>
      </c>
      <c r="O680" t="s">
        <v>30</v>
      </c>
      <c r="P680">
        <v>2</v>
      </c>
      <c r="Q680">
        <v>1731.88</v>
      </c>
      <c r="R680">
        <v>0</v>
      </c>
      <c r="S680" t="str">
        <f t="shared" si="102"/>
        <v>OK</v>
      </c>
      <c r="T680">
        <v>3463.76</v>
      </c>
      <c r="U680">
        <v>2143.7399999999998</v>
      </c>
      <c r="V680">
        <v>1320.02</v>
      </c>
      <c r="W680" t="s">
        <v>31</v>
      </c>
      <c r="X680" t="s">
        <v>32</v>
      </c>
      <c r="Y680" t="str">
        <f>IF(COUNTIF($A$2:$A$901,A680)&gt;1,
  IF(COUNTIF($A$2:A680,A680)=1,
    " ORIGINAL",
    "CONFLICTING DUPLICATE - REVIEW"),
"OK")</f>
        <v>OK</v>
      </c>
      <c r="Z680">
        <f t="shared" si="103"/>
        <v>0</v>
      </c>
      <c r="AA680">
        <f t="shared" si="104"/>
        <v>3463.76</v>
      </c>
      <c r="AB680">
        <f t="shared" si="105"/>
        <v>1320.02</v>
      </c>
      <c r="AC680">
        <f t="shared" si="106"/>
        <v>0.38109999999999999</v>
      </c>
      <c r="AD680">
        <f t="shared" si="107"/>
        <v>6</v>
      </c>
      <c r="AE680">
        <f t="shared" si="108"/>
        <v>2025</v>
      </c>
      <c r="AF680" t="str">
        <f t="shared" si="109"/>
        <v>CLEAN</v>
      </c>
    </row>
    <row r="681" spans="1:32">
      <c r="A681" t="s">
        <v>1298</v>
      </c>
      <c r="B681" s="10">
        <v>45771</v>
      </c>
      <c r="C681" s="10">
        <v>45776</v>
      </c>
      <c r="D681">
        <f t="shared" si="100"/>
        <v>5</v>
      </c>
      <c r="E681" t="str">
        <f t="shared" si="101"/>
        <v>OK</v>
      </c>
      <c r="F681" t="s">
        <v>1299</v>
      </c>
      <c r="G681" t="s">
        <v>161</v>
      </c>
      <c r="H681" t="s">
        <v>36</v>
      </c>
      <c r="I681" t="s">
        <v>53</v>
      </c>
      <c r="J681" t="s">
        <v>83</v>
      </c>
      <c r="K681" t="s">
        <v>84</v>
      </c>
      <c r="L681" t="s">
        <v>27</v>
      </c>
      <c r="M681" t="s">
        <v>28</v>
      </c>
      <c r="N681" t="s">
        <v>1300</v>
      </c>
      <c r="O681" t="s">
        <v>43</v>
      </c>
      <c r="P681">
        <v>1</v>
      </c>
      <c r="Q681">
        <v>4358.5</v>
      </c>
      <c r="R681">
        <v>0.25</v>
      </c>
      <c r="S681" t="str">
        <f t="shared" si="102"/>
        <v>OK</v>
      </c>
      <c r="T681">
        <v>3268.88</v>
      </c>
      <c r="U681">
        <v>1993.74</v>
      </c>
      <c r="V681">
        <v>1275.1400000000001</v>
      </c>
      <c r="W681" t="s">
        <v>31</v>
      </c>
      <c r="X681" t="s">
        <v>32</v>
      </c>
      <c r="Y681" t="str">
        <f>IF(COUNTIF($A$2:$A$901,A681)&gt;1,
  IF(COUNTIF($A$2:A681,A681)=1,
    " ORIGINAL",
    "CONFLICTING DUPLICATE - REVIEW"),
"OK")</f>
        <v>OK</v>
      </c>
      <c r="Z681">
        <f t="shared" si="103"/>
        <v>0.25</v>
      </c>
      <c r="AA681">
        <f t="shared" si="104"/>
        <v>3268.88</v>
      </c>
      <c r="AB681">
        <f t="shared" si="105"/>
        <v>1275.1400000000001</v>
      </c>
      <c r="AC681">
        <f t="shared" si="106"/>
        <v>0.3901</v>
      </c>
      <c r="AD681">
        <f t="shared" si="107"/>
        <v>4</v>
      </c>
      <c r="AE681">
        <f t="shared" si="108"/>
        <v>2025</v>
      </c>
      <c r="AF681" t="str">
        <f t="shared" si="109"/>
        <v>CLEAN</v>
      </c>
    </row>
    <row r="682" spans="1:32">
      <c r="A682" t="s">
        <v>1301</v>
      </c>
      <c r="B682" s="10">
        <v>45814</v>
      </c>
      <c r="C682" s="10">
        <v>45819</v>
      </c>
      <c r="D682">
        <f t="shared" si="100"/>
        <v>5</v>
      </c>
      <c r="E682" t="str">
        <f t="shared" si="101"/>
        <v>OK</v>
      </c>
      <c r="F682" t="s">
        <v>1302</v>
      </c>
      <c r="G682" t="s">
        <v>131</v>
      </c>
      <c r="H682" t="s">
        <v>36</v>
      </c>
      <c r="I682" t="s">
        <v>24</v>
      </c>
      <c r="J682" t="s">
        <v>135</v>
      </c>
      <c r="K682" t="s">
        <v>136</v>
      </c>
      <c r="L682" t="s">
        <v>27</v>
      </c>
      <c r="M682" t="s">
        <v>28</v>
      </c>
      <c r="N682" t="s">
        <v>1303</v>
      </c>
      <c r="O682" t="s">
        <v>43</v>
      </c>
      <c r="P682">
        <v>7</v>
      </c>
      <c r="Q682">
        <v>878.09</v>
      </c>
      <c r="R682">
        <v>-0.1</v>
      </c>
      <c r="S682" t="str">
        <f t="shared" si="102"/>
        <v>INVALID-NEGATIVE</v>
      </c>
      <c r="T682">
        <v>5839.3</v>
      </c>
      <c r="U682">
        <v>4877.38</v>
      </c>
      <c r="V682">
        <v>961.92</v>
      </c>
      <c r="W682" t="s">
        <v>31</v>
      </c>
      <c r="X682" t="s">
        <v>32</v>
      </c>
      <c r="Y682" t="str">
        <f>IF(COUNTIF($A$2:$A$901,A682)&gt;1,
  IF(COUNTIF($A$2:A682,A682)=1,
    " ORIGINAL",
    "CONFLICTING DUPLICATE - REVIEW"),
"OK")</f>
        <v>OK</v>
      </c>
      <c r="Z682">
        <f t="shared" si="103"/>
        <v>0</v>
      </c>
      <c r="AA682">
        <f t="shared" si="104"/>
        <v>6146.63</v>
      </c>
      <c r="AB682">
        <f t="shared" si="105"/>
        <v>1269.25</v>
      </c>
      <c r="AC682">
        <f t="shared" si="106"/>
        <v>0.20649999999999999</v>
      </c>
      <c r="AD682">
        <f t="shared" si="107"/>
        <v>6</v>
      </c>
      <c r="AE682">
        <f t="shared" si="108"/>
        <v>2025</v>
      </c>
      <c r="AF682" t="str">
        <f t="shared" si="109"/>
        <v>INVALID</v>
      </c>
    </row>
    <row r="683" spans="1:32">
      <c r="A683" t="s">
        <v>1304</v>
      </c>
      <c r="B683" s="10">
        <v>45725</v>
      </c>
      <c r="C683" s="10">
        <v>45732</v>
      </c>
      <c r="D683">
        <f t="shared" si="100"/>
        <v>7</v>
      </c>
      <c r="E683" t="str">
        <f t="shared" si="101"/>
        <v>OK</v>
      </c>
      <c r="F683" t="s">
        <v>1305</v>
      </c>
      <c r="G683" t="s">
        <v>52</v>
      </c>
      <c r="H683" t="s">
        <v>36</v>
      </c>
      <c r="I683" t="s">
        <v>37</v>
      </c>
      <c r="J683" t="s">
        <v>227</v>
      </c>
      <c r="K683" t="s">
        <v>228</v>
      </c>
      <c r="L683" t="s">
        <v>40</v>
      </c>
      <c r="M683" t="s">
        <v>41</v>
      </c>
      <c r="N683" t="s">
        <v>1306</v>
      </c>
      <c r="O683" t="s">
        <v>43</v>
      </c>
      <c r="P683">
        <v>3</v>
      </c>
      <c r="Q683">
        <v>2625.85</v>
      </c>
      <c r="R683">
        <v>0</v>
      </c>
      <c r="S683" t="str">
        <f t="shared" si="102"/>
        <v>OK</v>
      </c>
      <c r="T683">
        <v>7877.55</v>
      </c>
      <c r="U683">
        <v>5562.77</v>
      </c>
      <c r="V683">
        <v>2314.7800000000002</v>
      </c>
      <c r="W683" t="s">
        <v>31</v>
      </c>
      <c r="X683" t="s">
        <v>32</v>
      </c>
      <c r="Y683" t="str">
        <f>IF(COUNTIF($A$2:$A$901,A683)&gt;1,
  IF(COUNTIF($A$2:A683,A683)=1,
    " ORIGINAL",
    "CONFLICTING DUPLICATE - REVIEW"),
"OK")</f>
        <v>OK</v>
      </c>
      <c r="Z683">
        <f t="shared" si="103"/>
        <v>0</v>
      </c>
      <c r="AA683">
        <f t="shared" si="104"/>
        <v>7877.55</v>
      </c>
      <c r="AB683">
        <f t="shared" si="105"/>
        <v>2314.7800000000002</v>
      </c>
      <c r="AC683">
        <f t="shared" si="106"/>
        <v>0.29380000000000001</v>
      </c>
      <c r="AD683">
        <f t="shared" si="107"/>
        <v>3</v>
      </c>
      <c r="AE683">
        <f t="shared" si="108"/>
        <v>2025</v>
      </c>
      <c r="AF683" t="str">
        <f t="shared" si="109"/>
        <v>CLEAN</v>
      </c>
    </row>
    <row r="684" spans="1:32">
      <c r="A684" t="s">
        <v>1319</v>
      </c>
      <c r="B684" s="10">
        <v>45713</v>
      </c>
      <c r="C684" s="10">
        <v>45713</v>
      </c>
      <c r="D684">
        <f t="shared" si="100"/>
        <v>0</v>
      </c>
      <c r="E684" t="str">
        <f t="shared" si="101"/>
        <v>OK</v>
      </c>
      <c r="F684" t="s">
        <v>1320</v>
      </c>
      <c r="G684" t="s">
        <v>263</v>
      </c>
      <c r="H684" t="s">
        <v>36</v>
      </c>
      <c r="I684" t="s">
        <v>62</v>
      </c>
      <c r="J684" t="s">
        <v>189</v>
      </c>
      <c r="K684" t="s">
        <v>190</v>
      </c>
      <c r="L684" t="s">
        <v>40</v>
      </c>
      <c r="M684" t="s">
        <v>56</v>
      </c>
      <c r="N684" t="s">
        <v>1321</v>
      </c>
      <c r="O684" t="s">
        <v>58</v>
      </c>
      <c r="P684">
        <v>2</v>
      </c>
      <c r="Q684">
        <v>3924.2</v>
      </c>
      <c r="R684">
        <v>0.25</v>
      </c>
      <c r="S684" t="str">
        <f t="shared" si="102"/>
        <v>OK</v>
      </c>
      <c r="T684">
        <v>5886.3</v>
      </c>
      <c r="U684">
        <v>3621.76</v>
      </c>
      <c r="V684">
        <v>2264.54</v>
      </c>
      <c r="W684" t="s">
        <v>110</v>
      </c>
      <c r="X684" t="s">
        <v>102</v>
      </c>
      <c r="Y684" t="str">
        <f>IF(COUNTIF($A$2:$A$901,A684)&gt;1,
  IF(COUNTIF($A$2:A684,A684)=1,
    " ORIGINAL",
    "CONFLICTING DUPLICATE - REVIEW"),
"OK")</f>
        <v>OK</v>
      </c>
      <c r="Z684">
        <f t="shared" si="103"/>
        <v>0.25</v>
      </c>
      <c r="AA684">
        <f t="shared" si="104"/>
        <v>5886.3</v>
      </c>
      <c r="AB684">
        <f t="shared" si="105"/>
        <v>2264.54</v>
      </c>
      <c r="AC684">
        <f t="shared" si="106"/>
        <v>0.38469999999999999</v>
      </c>
      <c r="AD684">
        <f t="shared" si="107"/>
        <v>2</v>
      </c>
      <c r="AE684">
        <f t="shared" si="108"/>
        <v>2025</v>
      </c>
      <c r="AF684" t="str">
        <f t="shared" si="109"/>
        <v>CLEAN</v>
      </c>
    </row>
    <row r="685" spans="1:32">
      <c r="A685" t="s">
        <v>1325</v>
      </c>
      <c r="B685" s="10">
        <v>45870</v>
      </c>
      <c r="C685" s="10">
        <v>45872</v>
      </c>
      <c r="D685">
        <f t="shared" si="100"/>
        <v>2</v>
      </c>
      <c r="E685" t="str">
        <f t="shared" si="101"/>
        <v>OK</v>
      </c>
      <c r="F685" t="s">
        <v>1326</v>
      </c>
      <c r="G685" t="s">
        <v>131</v>
      </c>
      <c r="H685" t="s">
        <v>23</v>
      </c>
      <c r="I685" t="s">
        <v>62</v>
      </c>
      <c r="J685" t="s">
        <v>63</v>
      </c>
      <c r="K685" t="s">
        <v>64</v>
      </c>
      <c r="L685" t="s">
        <v>40</v>
      </c>
      <c r="M685" t="s">
        <v>65</v>
      </c>
      <c r="N685" t="s">
        <v>1327</v>
      </c>
      <c r="O685" t="s">
        <v>49</v>
      </c>
      <c r="P685">
        <v>4</v>
      </c>
      <c r="Q685">
        <v>1773.46</v>
      </c>
      <c r="R685">
        <v>0</v>
      </c>
      <c r="S685" t="str">
        <f t="shared" si="102"/>
        <v>OK</v>
      </c>
      <c r="T685">
        <v>7093.84</v>
      </c>
      <c r="U685">
        <v>4587.49</v>
      </c>
      <c r="V685">
        <v>2506.35</v>
      </c>
      <c r="W685" t="s">
        <v>154</v>
      </c>
      <c r="X685" t="s">
        <v>102</v>
      </c>
      <c r="Y685" t="str">
        <f>IF(COUNTIF($A$2:$A$901,A685)&gt;1,
  IF(COUNTIF($A$2:A685,A685)=1,
    " ORIGINAL",
    "CONFLICTING DUPLICATE - REVIEW"),
"OK")</f>
        <v>OK</v>
      </c>
      <c r="Z685">
        <f t="shared" si="103"/>
        <v>0</v>
      </c>
      <c r="AA685">
        <f t="shared" si="104"/>
        <v>7093.84</v>
      </c>
      <c r="AB685">
        <f t="shared" si="105"/>
        <v>2506.35</v>
      </c>
      <c r="AC685">
        <f t="shared" si="106"/>
        <v>0.3533</v>
      </c>
      <c r="AD685">
        <f t="shared" si="107"/>
        <v>8</v>
      </c>
      <c r="AE685">
        <f t="shared" si="108"/>
        <v>2025</v>
      </c>
      <c r="AF685" t="str">
        <f t="shared" si="109"/>
        <v>INVALID</v>
      </c>
    </row>
    <row r="686" spans="1:32">
      <c r="A686" t="s">
        <v>1328</v>
      </c>
      <c r="B686" s="10">
        <v>45701</v>
      </c>
      <c r="C686" s="10">
        <v>45703</v>
      </c>
      <c r="D686">
        <f t="shared" si="100"/>
        <v>2</v>
      </c>
      <c r="E686" t="str">
        <f t="shared" si="101"/>
        <v>OK</v>
      </c>
      <c r="F686" t="s">
        <v>1329</v>
      </c>
      <c r="G686" t="s">
        <v>22</v>
      </c>
      <c r="H686" t="s">
        <v>23</v>
      </c>
      <c r="I686" t="s">
        <v>37</v>
      </c>
      <c r="J686" t="s">
        <v>165</v>
      </c>
      <c r="K686" t="s">
        <v>166</v>
      </c>
      <c r="L686" t="s">
        <v>73</v>
      </c>
      <c r="M686" t="s">
        <v>74</v>
      </c>
      <c r="N686" t="s">
        <v>1330</v>
      </c>
      <c r="O686" t="s">
        <v>43</v>
      </c>
      <c r="P686">
        <v>1</v>
      </c>
      <c r="Q686">
        <v>3025.46</v>
      </c>
      <c r="R686">
        <v>0.25</v>
      </c>
      <c r="S686" t="str">
        <f t="shared" si="102"/>
        <v>OK</v>
      </c>
      <c r="T686">
        <v>2269.1</v>
      </c>
      <c r="U686">
        <v>1593.59</v>
      </c>
      <c r="V686">
        <v>675.51</v>
      </c>
      <c r="W686" t="s">
        <v>101</v>
      </c>
      <c r="X686" t="s">
        <v>102</v>
      </c>
      <c r="Y686" t="str">
        <f>IF(COUNTIF($A$2:$A$901,A686)&gt;1,
  IF(COUNTIF($A$2:A686,A686)=1,
    " ORIGINAL",
    "CONFLICTING DUPLICATE - REVIEW"),
"OK")</f>
        <v>OK</v>
      </c>
      <c r="Z686">
        <f t="shared" si="103"/>
        <v>0.25</v>
      </c>
      <c r="AA686">
        <f t="shared" si="104"/>
        <v>2269.1</v>
      </c>
      <c r="AB686">
        <f t="shared" si="105"/>
        <v>675.51</v>
      </c>
      <c r="AC686">
        <f t="shared" si="106"/>
        <v>0.29770000000000002</v>
      </c>
      <c r="AD686">
        <f t="shared" si="107"/>
        <v>2</v>
      </c>
      <c r="AE686">
        <f t="shared" si="108"/>
        <v>2025</v>
      </c>
      <c r="AF686" t="str">
        <f t="shared" si="109"/>
        <v>CLEAN</v>
      </c>
    </row>
    <row r="687" spans="1:32">
      <c r="A687" t="s">
        <v>1334</v>
      </c>
      <c r="B687" s="10">
        <v>45892</v>
      </c>
      <c r="C687" s="10">
        <v>45897</v>
      </c>
      <c r="D687">
        <f t="shared" si="100"/>
        <v>5</v>
      </c>
      <c r="E687" t="str">
        <f t="shared" si="101"/>
        <v>OK</v>
      </c>
      <c r="F687" t="s">
        <v>1335</v>
      </c>
      <c r="G687" t="s">
        <v>52</v>
      </c>
      <c r="H687" t="s">
        <v>94</v>
      </c>
      <c r="I687" t="s">
        <v>62</v>
      </c>
      <c r="J687" t="s">
        <v>25</v>
      </c>
      <c r="K687" t="s">
        <v>108</v>
      </c>
      <c r="L687" t="s">
        <v>40</v>
      </c>
      <c r="M687" t="s">
        <v>41</v>
      </c>
      <c r="N687" t="s">
        <v>1336</v>
      </c>
      <c r="O687" t="s">
        <v>49</v>
      </c>
      <c r="P687">
        <v>1</v>
      </c>
      <c r="Q687">
        <v>4167.8100000000004</v>
      </c>
      <c r="R687">
        <v>0.2</v>
      </c>
      <c r="S687" t="str">
        <f t="shared" si="102"/>
        <v>OK</v>
      </c>
      <c r="T687">
        <v>3334.25</v>
      </c>
      <c r="U687">
        <v>2768.77</v>
      </c>
      <c r="V687">
        <v>565.48</v>
      </c>
      <c r="W687" t="s">
        <v>154</v>
      </c>
      <c r="X687" t="s">
        <v>102</v>
      </c>
      <c r="Y687" t="str">
        <f>IF(COUNTIF($A$2:$A$901,A687)&gt;1,
  IF(COUNTIF($A$2:A687,A687)=1,
    " ORIGINAL",
    "CONFLICTING DUPLICATE - REVIEW"),
"OK")</f>
        <v>OK</v>
      </c>
      <c r="Z687">
        <f t="shared" si="103"/>
        <v>0.2</v>
      </c>
      <c r="AA687">
        <f t="shared" si="104"/>
        <v>3334.25</v>
      </c>
      <c r="AB687">
        <f t="shared" si="105"/>
        <v>565.48</v>
      </c>
      <c r="AC687">
        <f t="shared" si="106"/>
        <v>0.1696</v>
      </c>
      <c r="AD687">
        <f t="shared" si="107"/>
        <v>8</v>
      </c>
      <c r="AE687">
        <f t="shared" si="108"/>
        <v>2025</v>
      </c>
      <c r="AF687" t="str">
        <f t="shared" si="109"/>
        <v>INVALID</v>
      </c>
    </row>
    <row r="688" spans="1:32">
      <c r="A688" t="s">
        <v>1340</v>
      </c>
      <c r="B688" s="10">
        <v>45882</v>
      </c>
      <c r="C688" s="10">
        <v>45886</v>
      </c>
      <c r="D688">
        <f t="shared" si="100"/>
        <v>4</v>
      </c>
      <c r="E688" t="str">
        <f t="shared" si="101"/>
        <v>OK</v>
      </c>
      <c r="F688" t="s">
        <v>1341</v>
      </c>
      <c r="G688" t="s">
        <v>78</v>
      </c>
      <c r="H688" t="s">
        <v>94</v>
      </c>
      <c r="I688" t="s">
        <v>62</v>
      </c>
      <c r="J688" t="s">
        <v>71</v>
      </c>
      <c r="K688" t="s">
        <v>72</v>
      </c>
      <c r="L688" t="s">
        <v>73</v>
      </c>
      <c r="M688" t="s">
        <v>74</v>
      </c>
      <c r="N688" t="s">
        <v>1342</v>
      </c>
      <c r="O688" t="s">
        <v>30</v>
      </c>
      <c r="P688">
        <v>8</v>
      </c>
      <c r="Q688">
        <v>1918.23</v>
      </c>
      <c r="R688">
        <v>0</v>
      </c>
      <c r="S688" t="str">
        <f t="shared" si="102"/>
        <v>OK</v>
      </c>
      <c r="T688">
        <v>15345.84</v>
      </c>
      <c r="U688">
        <v>10735.33</v>
      </c>
      <c r="V688">
        <v>4610.51</v>
      </c>
      <c r="W688" t="s">
        <v>110</v>
      </c>
      <c r="X688" t="s">
        <v>67</v>
      </c>
      <c r="Y688" t="str">
        <f>IF(COUNTIF($A$2:$A$901,A688)&gt;1,
  IF(COUNTIF($A$2:A688,A688)=1,
    " ORIGINAL",
    "CONFLICTING DUPLICATE - REVIEW"),
"OK")</f>
        <v>OK</v>
      </c>
      <c r="Z688">
        <f t="shared" si="103"/>
        <v>0</v>
      </c>
      <c r="AA688">
        <f t="shared" si="104"/>
        <v>15345.84</v>
      </c>
      <c r="AB688">
        <f t="shared" si="105"/>
        <v>4610.51</v>
      </c>
      <c r="AC688">
        <f t="shared" si="106"/>
        <v>0.3004</v>
      </c>
      <c r="AD688">
        <f t="shared" si="107"/>
        <v>8</v>
      </c>
      <c r="AE688">
        <f t="shared" si="108"/>
        <v>2025</v>
      </c>
      <c r="AF688" t="str">
        <f t="shared" si="109"/>
        <v>CLEAN</v>
      </c>
    </row>
    <row r="689" spans="1:32">
      <c r="A689" t="s">
        <v>1349</v>
      </c>
      <c r="B689" s="10">
        <v>45665</v>
      </c>
      <c r="C689" s="10">
        <v>45673</v>
      </c>
      <c r="D689">
        <f t="shared" si="100"/>
        <v>8</v>
      </c>
      <c r="E689" t="str">
        <f t="shared" si="101"/>
        <v>OK</v>
      </c>
      <c r="F689" t="s">
        <v>1350</v>
      </c>
      <c r="G689" t="s">
        <v>78</v>
      </c>
      <c r="H689" t="s">
        <v>23</v>
      </c>
      <c r="I689" t="s">
        <v>53</v>
      </c>
      <c r="J689" t="s">
        <v>54</v>
      </c>
      <c r="K689" t="s">
        <v>55</v>
      </c>
      <c r="L689" t="s">
        <v>40</v>
      </c>
      <c r="M689" t="s">
        <v>56</v>
      </c>
      <c r="N689" t="s">
        <v>1351</v>
      </c>
      <c r="O689" t="s">
        <v>49</v>
      </c>
      <c r="P689">
        <v>8</v>
      </c>
      <c r="Q689">
        <v>638.95000000000005</v>
      </c>
      <c r="R689">
        <v>0.25</v>
      </c>
      <c r="S689" t="str">
        <f t="shared" si="102"/>
        <v>OK</v>
      </c>
      <c r="T689">
        <v>3833.7</v>
      </c>
      <c r="U689">
        <v>2886.35</v>
      </c>
      <c r="V689">
        <v>947.35</v>
      </c>
      <c r="W689" t="s">
        <v>31</v>
      </c>
      <c r="X689" t="s">
        <v>32</v>
      </c>
      <c r="Y689" t="str">
        <f>IF(COUNTIF($A$2:$A$901,A689)&gt;1,
  IF(COUNTIF($A$2:A689,A689)=1,
    " ORIGINAL",
    "CONFLICTING DUPLICATE - REVIEW"),
"OK")</f>
        <v>OK</v>
      </c>
      <c r="Z689">
        <f t="shared" si="103"/>
        <v>0.25</v>
      </c>
      <c r="AA689">
        <f t="shared" si="104"/>
        <v>3833.7</v>
      </c>
      <c r="AB689">
        <f t="shared" si="105"/>
        <v>947.35</v>
      </c>
      <c r="AC689">
        <f t="shared" si="106"/>
        <v>0.24709999999999999</v>
      </c>
      <c r="AD689">
        <f t="shared" si="107"/>
        <v>1</v>
      </c>
      <c r="AE689">
        <f t="shared" si="108"/>
        <v>2025</v>
      </c>
      <c r="AF689" t="str">
        <f t="shared" si="109"/>
        <v>CLEAN</v>
      </c>
    </row>
    <row r="690" spans="1:32">
      <c r="A690" t="s">
        <v>1352</v>
      </c>
      <c r="B690" s="10">
        <v>45686</v>
      </c>
      <c r="C690" s="10">
        <v>45693</v>
      </c>
      <c r="D690">
        <f t="shared" si="100"/>
        <v>7</v>
      </c>
      <c r="E690" t="str">
        <f t="shared" si="101"/>
        <v>OK</v>
      </c>
      <c r="F690" t="s">
        <v>1353</v>
      </c>
      <c r="G690" t="s">
        <v>35</v>
      </c>
      <c r="H690" t="s">
        <v>23</v>
      </c>
      <c r="I690" t="s">
        <v>62</v>
      </c>
      <c r="J690" t="s">
        <v>179</v>
      </c>
      <c r="K690" t="s">
        <v>180</v>
      </c>
      <c r="L690" t="s">
        <v>27</v>
      </c>
      <c r="M690" t="s">
        <v>47</v>
      </c>
      <c r="N690" t="s">
        <v>1354</v>
      </c>
      <c r="O690" t="s">
        <v>49</v>
      </c>
      <c r="P690">
        <v>6</v>
      </c>
      <c r="Q690">
        <v>3863</v>
      </c>
      <c r="R690">
        <v>0.2</v>
      </c>
      <c r="S690" t="str">
        <f t="shared" si="102"/>
        <v>OK</v>
      </c>
      <c r="T690">
        <v>18542.400000000001</v>
      </c>
      <c r="U690">
        <v>11193.75</v>
      </c>
      <c r="V690">
        <v>7348.65</v>
      </c>
      <c r="W690" t="s">
        <v>31</v>
      </c>
      <c r="X690" t="s">
        <v>32</v>
      </c>
      <c r="Y690" t="str">
        <f>IF(COUNTIF($A$2:$A$901,A690)&gt;1,
  IF(COUNTIF($A$2:A690,A690)=1,
    " ORIGINAL",
    "CONFLICTING DUPLICATE - REVIEW"),
"OK")</f>
        <v>OK</v>
      </c>
      <c r="Z690">
        <f t="shared" si="103"/>
        <v>0.2</v>
      </c>
      <c r="AA690">
        <f t="shared" si="104"/>
        <v>18542.400000000001</v>
      </c>
      <c r="AB690">
        <f t="shared" si="105"/>
        <v>7348.65</v>
      </c>
      <c r="AC690">
        <f t="shared" si="106"/>
        <v>0.39629999999999999</v>
      </c>
      <c r="AD690">
        <f t="shared" si="107"/>
        <v>1</v>
      </c>
      <c r="AE690">
        <f t="shared" si="108"/>
        <v>2025</v>
      </c>
      <c r="AF690" t="str">
        <f t="shared" si="109"/>
        <v>CLEAN</v>
      </c>
    </row>
    <row r="691" spans="1:32">
      <c r="A691" t="s">
        <v>1358</v>
      </c>
      <c r="B691" s="10">
        <v>45926</v>
      </c>
      <c r="C691" s="10">
        <v>45930</v>
      </c>
      <c r="D691">
        <f t="shared" si="100"/>
        <v>4</v>
      </c>
      <c r="E691" t="str">
        <f t="shared" si="101"/>
        <v>OK</v>
      </c>
      <c r="F691" t="s">
        <v>1359</v>
      </c>
      <c r="G691" t="s">
        <v>131</v>
      </c>
      <c r="H691" t="s">
        <v>94</v>
      </c>
      <c r="I691" t="s">
        <v>24</v>
      </c>
      <c r="J691" t="s">
        <v>235</v>
      </c>
      <c r="K691" t="s">
        <v>236</v>
      </c>
      <c r="L691" t="s">
        <v>73</v>
      </c>
      <c r="M691" t="s">
        <v>170</v>
      </c>
      <c r="N691" t="s">
        <v>1360</v>
      </c>
      <c r="O691" t="s">
        <v>43</v>
      </c>
      <c r="P691">
        <v>2</v>
      </c>
      <c r="Q691">
        <v>688.83</v>
      </c>
      <c r="R691">
        <v>0.05</v>
      </c>
      <c r="S691" t="str">
        <f t="shared" si="102"/>
        <v>OK</v>
      </c>
      <c r="T691">
        <v>1308.78</v>
      </c>
      <c r="U691">
        <v>843</v>
      </c>
      <c r="V691">
        <v>465.78</v>
      </c>
      <c r="W691" t="s">
        <v>31</v>
      </c>
      <c r="X691" t="s">
        <v>32</v>
      </c>
      <c r="Y691" t="str">
        <f>IF(COUNTIF($A$2:$A$901,A691)&gt;1,
  IF(COUNTIF($A$2:A691,A691)=1,
    " ORIGINAL",
    "CONFLICTING DUPLICATE - REVIEW"),
"OK")</f>
        <v>OK</v>
      </c>
      <c r="Z691">
        <f t="shared" si="103"/>
        <v>0.05</v>
      </c>
      <c r="AA691">
        <f t="shared" si="104"/>
        <v>1308.78</v>
      </c>
      <c r="AB691">
        <f t="shared" si="105"/>
        <v>465.78</v>
      </c>
      <c r="AC691">
        <f t="shared" si="106"/>
        <v>0.35589999999999999</v>
      </c>
      <c r="AD691">
        <f t="shared" si="107"/>
        <v>9</v>
      </c>
      <c r="AE691">
        <f t="shared" si="108"/>
        <v>2025</v>
      </c>
      <c r="AF691" t="str">
        <f t="shared" si="109"/>
        <v>CLEAN</v>
      </c>
    </row>
    <row r="692" spans="1:32">
      <c r="A692" t="s">
        <v>1361</v>
      </c>
      <c r="B692" s="10">
        <v>45734</v>
      </c>
      <c r="C692" s="10">
        <v>45735</v>
      </c>
      <c r="D692">
        <f t="shared" si="100"/>
        <v>1</v>
      </c>
      <c r="E692" t="str">
        <f t="shared" si="101"/>
        <v>OK</v>
      </c>
      <c r="F692" t="s">
        <v>1362</v>
      </c>
      <c r="G692" t="s">
        <v>46</v>
      </c>
      <c r="H692" t="s">
        <v>89</v>
      </c>
      <c r="I692" t="s">
        <v>53</v>
      </c>
      <c r="J692" t="s">
        <v>246</v>
      </c>
      <c r="K692" t="s">
        <v>247</v>
      </c>
      <c r="L692" t="s">
        <v>73</v>
      </c>
      <c r="M692" t="s">
        <v>273</v>
      </c>
      <c r="N692" t="s">
        <v>1363</v>
      </c>
      <c r="O692" t="s">
        <v>58</v>
      </c>
      <c r="P692">
        <v>2</v>
      </c>
      <c r="Q692">
        <v>1209.99</v>
      </c>
      <c r="R692">
        <v>0.25</v>
      </c>
      <c r="S692" t="str">
        <f t="shared" si="102"/>
        <v>OK</v>
      </c>
      <c r="T692">
        <v>1814.99</v>
      </c>
      <c r="U692">
        <v>1120.06</v>
      </c>
      <c r="V692">
        <v>694.93</v>
      </c>
      <c r="W692" t="s">
        <v>110</v>
      </c>
      <c r="X692" t="s">
        <v>67</v>
      </c>
      <c r="Y692" t="str">
        <f>IF(COUNTIF($A$2:$A$901,A692)&gt;1,
  IF(COUNTIF($A$2:A692,A692)=1,
    " ORIGINAL",
    "CONFLICTING DUPLICATE - REVIEW"),
"OK")</f>
        <v>OK</v>
      </c>
      <c r="Z692">
        <f t="shared" si="103"/>
        <v>0.25</v>
      </c>
      <c r="AA692">
        <f t="shared" si="104"/>
        <v>1814.99</v>
      </c>
      <c r="AB692">
        <f t="shared" si="105"/>
        <v>694.93</v>
      </c>
      <c r="AC692">
        <f t="shared" si="106"/>
        <v>0.38290000000000002</v>
      </c>
      <c r="AD692">
        <f t="shared" si="107"/>
        <v>3</v>
      </c>
      <c r="AE692">
        <f t="shared" si="108"/>
        <v>2025</v>
      </c>
      <c r="AF692" t="str">
        <f t="shared" si="109"/>
        <v>CLEAN</v>
      </c>
    </row>
    <row r="693" spans="1:32">
      <c r="A693" t="s">
        <v>1364</v>
      </c>
      <c r="B693" s="10">
        <v>45822</v>
      </c>
      <c r="C693" s="10">
        <v>45827</v>
      </c>
      <c r="D693">
        <f t="shared" si="100"/>
        <v>5</v>
      </c>
      <c r="E693" t="str">
        <f t="shared" si="101"/>
        <v>OK</v>
      </c>
      <c r="F693" t="s">
        <v>1365</v>
      </c>
      <c r="G693" t="s">
        <v>140</v>
      </c>
      <c r="H693" t="s">
        <v>36</v>
      </c>
      <c r="I693" t="s">
        <v>24</v>
      </c>
      <c r="J693" t="s">
        <v>349</v>
      </c>
      <c r="K693" t="s">
        <v>350</v>
      </c>
      <c r="L693" t="s">
        <v>27</v>
      </c>
      <c r="M693" t="s">
        <v>152</v>
      </c>
      <c r="N693" t="s">
        <v>1366</v>
      </c>
      <c r="O693" t="s">
        <v>43</v>
      </c>
      <c r="P693">
        <v>3</v>
      </c>
      <c r="Q693">
        <v>1037.45</v>
      </c>
      <c r="R693">
        <v>0.2</v>
      </c>
      <c r="S693" t="str">
        <f t="shared" si="102"/>
        <v>OK</v>
      </c>
      <c r="T693">
        <v>2489.88</v>
      </c>
      <c r="U693">
        <v>1707.52</v>
      </c>
      <c r="V693">
        <v>782.36</v>
      </c>
      <c r="W693" t="s">
        <v>110</v>
      </c>
      <c r="X693" t="s">
        <v>102</v>
      </c>
      <c r="Y693" t="str">
        <f>IF(COUNTIF($A$2:$A$901,A693)&gt;1,
  IF(COUNTIF($A$2:A693,A693)=1,
    " ORIGINAL",
    "CONFLICTING DUPLICATE - REVIEW"),
"OK")</f>
        <v>OK</v>
      </c>
      <c r="Z693">
        <f t="shared" si="103"/>
        <v>0.2</v>
      </c>
      <c r="AA693">
        <f t="shared" si="104"/>
        <v>2489.88</v>
      </c>
      <c r="AB693">
        <f t="shared" si="105"/>
        <v>782.36</v>
      </c>
      <c r="AC693">
        <f t="shared" si="106"/>
        <v>0.31419999999999998</v>
      </c>
      <c r="AD693">
        <f t="shared" si="107"/>
        <v>6</v>
      </c>
      <c r="AE693">
        <f t="shared" si="108"/>
        <v>2025</v>
      </c>
      <c r="AF693" t="str">
        <f t="shared" si="109"/>
        <v>CLEAN</v>
      </c>
    </row>
    <row r="694" spans="1:32">
      <c r="A694" t="s">
        <v>1367</v>
      </c>
      <c r="B694" s="10">
        <v>45903</v>
      </c>
      <c r="C694" s="10">
        <v>45906</v>
      </c>
      <c r="D694">
        <f t="shared" si="100"/>
        <v>3</v>
      </c>
      <c r="E694" t="str">
        <f t="shared" si="101"/>
        <v>OK</v>
      </c>
      <c r="F694" t="s">
        <v>1368</v>
      </c>
      <c r="G694" t="s">
        <v>263</v>
      </c>
      <c r="H694" t="s">
        <v>23</v>
      </c>
      <c r="I694" t="s">
        <v>62</v>
      </c>
      <c r="J694" t="s">
        <v>71</v>
      </c>
      <c r="K694" t="s">
        <v>72</v>
      </c>
      <c r="L694" t="s">
        <v>73</v>
      </c>
      <c r="M694" t="s">
        <v>79</v>
      </c>
      <c r="N694" t="s">
        <v>1369</v>
      </c>
      <c r="O694" t="s">
        <v>43</v>
      </c>
      <c r="P694">
        <v>7</v>
      </c>
      <c r="Q694">
        <v>688.85</v>
      </c>
      <c r="R694">
        <v>0.15</v>
      </c>
      <c r="S694" t="str">
        <f t="shared" si="102"/>
        <v>OK</v>
      </c>
      <c r="T694">
        <v>4098.66</v>
      </c>
      <c r="U694">
        <v>2678.06</v>
      </c>
      <c r="V694">
        <v>1420.6</v>
      </c>
      <c r="W694" t="s">
        <v>31</v>
      </c>
      <c r="X694" t="s">
        <v>32</v>
      </c>
      <c r="Y694" t="str">
        <f>IF(COUNTIF($A$2:$A$901,A694)&gt;1,
  IF(COUNTIF($A$2:A694,A694)=1,
    " ORIGINAL",
    "CONFLICTING DUPLICATE - REVIEW"),
"OK")</f>
        <v>OK</v>
      </c>
      <c r="Z694">
        <f t="shared" si="103"/>
        <v>0.15</v>
      </c>
      <c r="AA694">
        <f t="shared" si="104"/>
        <v>4098.66</v>
      </c>
      <c r="AB694">
        <f t="shared" si="105"/>
        <v>1420.6</v>
      </c>
      <c r="AC694">
        <f t="shared" si="106"/>
        <v>0.34660000000000002</v>
      </c>
      <c r="AD694">
        <f t="shared" si="107"/>
        <v>9</v>
      </c>
      <c r="AE694">
        <f t="shared" si="108"/>
        <v>2025</v>
      </c>
      <c r="AF694" t="str">
        <f t="shared" si="109"/>
        <v>CLEAN</v>
      </c>
    </row>
    <row r="695" spans="1:32">
      <c r="A695" t="s">
        <v>1382</v>
      </c>
      <c r="B695" s="10">
        <v>45769</v>
      </c>
      <c r="C695" s="10">
        <v>45771</v>
      </c>
      <c r="D695">
        <f t="shared" si="100"/>
        <v>2</v>
      </c>
      <c r="E695" t="str">
        <f t="shared" si="101"/>
        <v>OK</v>
      </c>
      <c r="F695" t="s">
        <v>1383</v>
      </c>
      <c r="G695" t="s">
        <v>46</v>
      </c>
      <c r="H695" t="s">
        <v>89</v>
      </c>
      <c r="I695" t="s">
        <v>2762</v>
      </c>
      <c r="J695" t="s">
        <v>227</v>
      </c>
      <c r="K695" t="s">
        <v>228</v>
      </c>
      <c r="L695" t="s">
        <v>73</v>
      </c>
      <c r="M695" t="s">
        <v>74</v>
      </c>
      <c r="N695" t="s">
        <v>1384</v>
      </c>
      <c r="O695" t="s">
        <v>58</v>
      </c>
      <c r="P695">
        <v>9</v>
      </c>
      <c r="Q695">
        <v>2939.44</v>
      </c>
      <c r="R695">
        <v>0</v>
      </c>
      <c r="S695" t="str">
        <f t="shared" si="102"/>
        <v>OK</v>
      </c>
      <c r="T695">
        <v>26454.959999999999</v>
      </c>
      <c r="U695">
        <v>17630.25</v>
      </c>
      <c r="V695">
        <v>8824.7099999999991</v>
      </c>
      <c r="W695" t="s">
        <v>31</v>
      </c>
      <c r="X695" t="s">
        <v>32</v>
      </c>
      <c r="Y695" t="str">
        <f>IF(COUNTIF($A$2:$A$901,A695)&gt;1,
  IF(COUNTIF($A$2:A695,A695)=1,
    " ORIGINAL",
    "CONFLICTING DUPLICATE - REVIEW"),
"OK")</f>
        <v>OK</v>
      </c>
      <c r="Z695">
        <f t="shared" si="103"/>
        <v>0</v>
      </c>
      <c r="AA695">
        <f t="shared" si="104"/>
        <v>26454.959999999999</v>
      </c>
      <c r="AB695">
        <f t="shared" si="105"/>
        <v>8824.7099999999991</v>
      </c>
      <c r="AC695">
        <f t="shared" si="106"/>
        <v>0.33360000000000001</v>
      </c>
      <c r="AD695">
        <f t="shared" si="107"/>
        <v>4</v>
      </c>
      <c r="AE695">
        <f t="shared" si="108"/>
        <v>2025</v>
      </c>
      <c r="AF695" t="str">
        <f t="shared" si="109"/>
        <v>WARNING</v>
      </c>
    </row>
    <row r="696" spans="1:32">
      <c r="A696" t="s">
        <v>1385</v>
      </c>
      <c r="B696" s="10">
        <v>45731</v>
      </c>
      <c r="C696" s="10">
        <v>45738</v>
      </c>
      <c r="D696">
        <f t="shared" si="100"/>
        <v>7</v>
      </c>
      <c r="E696" t="str">
        <f t="shared" si="101"/>
        <v>OK</v>
      </c>
      <c r="F696" t="s">
        <v>1386</v>
      </c>
      <c r="G696" t="s">
        <v>22</v>
      </c>
      <c r="H696" t="s">
        <v>36</v>
      </c>
      <c r="I696" t="s">
        <v>37</v>
      </c>
      <c r="J696" t="s">
        <v>98</v>
      </c>
      <c r="K696" t="s">
        <v>99</v>
      </c>
      <c r="L696" t="s">
        <v>73</v>
      </c>
      <c r="M696" t="s">
        <v>170</v>
      </c>
      <c r="N696" t="s">
        <v>1387</v>
      </c>
      <c r="O696" t="s">
        <v>43</v>
      </c>
      <c r="P696">
        <v>2</v>
      </c>
      <c r="Q696">
        <v>1235.93</v>
      </c>
      <c r="R696">
        <v>0.25</v>
      </c>
      <c r="S696" t="str">
        <f t="shared" si="102"/>
        <v>OK</v>
      </c>
      <c r="T696">
        <v>1853.89</v>
      </c>
      <c r="U696">
        <v>1101.23</v>
      </c>
      <c r="V696">
        <v>752.66</v>
      </c>
      <c r="W696" t="s">
        <v>110</v>
      </c>
      <c r="X696" t="s">
        <v>67</v>
      </c>
      <c r="Y696" t="str">
        <f>IF(COUNTIF($A$2:$A$901,A696)&gt;1,
  IF(COUNTIF($A$2:A696,A696)=1,
    " ORIGINAL",
    "CONFLICTING DUPLICATE - REVIEW"),
"OK")</f>
        <v>OK</v>
      </c>
      <c r="Z696">
        <f t="shared" si="103"/>
        <v>0.25</v>
      </c>
      <c r="AA696">
        <f t="shared" si="104"/>
        <v>1853.9</v>
      </c>
      <c r="AB696">
        <f t="shared" si="105"/>
        <v>752.67</v>
      </c>
      <c r="AC696">
        <f t="shared" si="106"/>
        <v>0.40600000000000003</v>
      </c>
      <c r="AD696">
        <f t="shared" si="107"/>
        <v>3</v>
      </c>
      <c r="AE696">
        <f t="shared" si="108"/>
        <v>2025</v>
      </c>
      <c r="AF696" t="str">
        <f t="shared" si="109"/>
        <v>CLEAN</v>
      </c>
    </row>
    <row r="697" spans="1:32">
      <c r="A697" t="s">
        <v>1388</v>
      </c>
      <c r="B697" s="10">
        <v>45717</v>
      </c>
      <c r="C697" s="10">
        <v>45872</v>
      </c>
      <c r="D697">
        <f t="shared" si="100"/>
        <v>155</v>
      </c>
      <c r="E697" t="str">
        <f t="shared" si="101"/>
        <v>OK</v>
      </c>
      <c r="F697" t="s">
        <v>1389</v>
      </c>
      <c r="G697" t="s">
        <v>78</v>
      </c>
      <c r="H697" t="s">
        <v>94</v>
      </c>
      <c r="I697" t="s">
        <v>24</v>
      </c>
      <c r="J697" t="s">
        <v>25</v>
      </c>
      <c r="K697" t="s">
        <v>26</v>
      </c>
      <c r="L697" t="s">
        <v>73</v>
      </c>
      <c r="M697" t="s">
        <v>79</v>
      </c>
      <c r="N697" t="s">
        <v>1390</v>
      </c>
      <c r="O697" t="s">
        <v>43</v>
      </c>
      <c r="P697">
        <v>8</v>
      </c>
      <c r="Q697">
        <v>2943.1</v>
      </c>
      <c r="R697">
        <v>0.25</v>
      </c>
      <c r="S697" t="str">
        <f t="shared" si="102"/>
        <v>OK</v>
      </c>
      <c r="T697">
        <v>17658.599999999999</v>
      </c>
      <c r="U697">
        <v>13842.48</v>
      </c>
      <c r="V697">
        <v>3816.12</v>
      </c>
      <c r="W697" t="s">
        <v>31</v>
      </c>
      <c r="X697" t="s">
        <v>32</v>
      </c>
      <c r="Y697" t="str">
        <f>IF(COUNTIF($A$2:$A$901,A697)&gt;1,
  IF(COUNTIF($A$2:A697,A697)=1,
    " ORIGINAL",
    "CONFLICTING DUPLICATE - REVIEW"),
"OK")</f>
        <v>OK</v>
      </c>
      <c r="Z697">
        <f t="shared" si="103"/>
        <v>0.25</v>
      </c>
      <c r="AA697">
        <f t="shared" si="104"/>
        <v>17658.599999999999</v>
      </c>
      <c r="AB697">
        <f t="shared" si="105"/>
        <v>3816.12</v>
      </c>
      <c r="AC697">
        <f t="shared" si="106"/>
        <v>0.21609999999999999</v>
      </c>
      <c r="AD697">
        <f t="shared" si="107"/>
        <v>3</v>
      </c>
      <c r="AE697">
        <f t="shared" si="108"/>
        <v>2025</v>
      </c>
      <c r="AF697" t="str">
        <f t="shared" si="109"/>
        <v>CLEAN</v>
      </c>
    </row>
    <row r="698" spans="1:32">
      <c r="A698" t="s">
        <v>1403</v>
      </c>
      <c r="B698" s="10">
        <v>45758</v>
      </c>
      <c r="C698" s="10">
        <v>45762</v>
      </c>
      <c r="D698">
        <f t="shared" si="100"/>
        <v>4</v>
      </c>
      <c r="E698" t="str">
        <f t="shared" si="101"/>
        <v>OK</v>
      </c>
      <c r="F698" t="s">
        <v>1404</v>
      </c>
      <c r="G698" t="s">
        <v>35</v>
      </c>
      <c r="H698" t="s">
        <v>94</v>
      </c>
      <c r="I698" t="s">
        <v>24</v>
      </c>
      <c r="J698" t="s">
        <v>135</v>
      </c>
      <c r="K698" t="s">
        <v>136</v>
      </c>
      <c r="L698" t="s">
        <v>73</v>
      </c>
      <c r="M698" t="s">
        <v>74</v>
      </c>
      <c r="N698" t="s">
        <v>1405</v>
      </c>
      <c r="O698" t="s">
        <v>30</v>
      </c>
      <c r="P698">
        <v>5</v>
      </c>
      <c r="Q698">
        <v>652.78</v>
      </c>
      <c r="R698">
        <v>0</v>
      </c>
      <c r="S698" t="str">
        <f t="shared" si="102"/>
        <v>OK</v>
      </c>
      <c r="T698">
        <v>3263.9</v>
      </c>
      <c r="U698">
        <v>2068.44</v>
      </c>
      <c r="V698">
        <v>1195.46</v>
      </c>
      <c r="W698" t="s">
        <v>31</v>
      </c>
      <c r="X698" t="s">
        <v>32</v>
      </c>
      <c r="Y698" t="str">
        <f>IF(COUNTIF($A$2:$A$901,A698)&gt;1,
  IF(COUNTIF($A$2:A698,A698)=1,
    " ORIGINAL",
    "CONFLICTING DUPLICATE - REVIEW"),
"OK")</f>
        <v>OK</v>
      </c>
      <c r="Z698">
        <f t="shared" si="103"/>
        <v>0</v>
      </c>
      <c r="AA698">
        <f t="shared" si="104"/>
        <v>3263.9</v>
      </c>
      <c r="AB698">
        <f t="shared" si="105"/>
        <v>1195.46</v>
      </c>
      <c r="AC698">
        <f t="shared" si="106"/>
        <v>0.36630000000000001</v>
      </c>
      <c r="AD698">
        <f t="shared" si="107"/>
        <v>4</v>
      </c>
      <c r="AE698">
        <f t="shared" si="108"/>
        <v>2025</v>
      </c>
      <c r="AF698" t="str">
        <f t="shared" si="109"/>
        <v>CLEAN</v>
      </c>
    </row>
    <row r="699" spans="1:32">
      <c r="A699" t="s">
        <v>1406</v>
      </c>
      <c r="B699" s="10">
        <v>45759</v>
      </c>
      <c r="C699" s="10">
        <v>45767</v>
      </c>
      <c r="D699">
        <f t="shared" si="100"/>
        <v>8</v>
      </c>
      <c r="E699" t="str">
        <f t="shared" si="101"/>
        <v>OK</v>
      </c>
      <c r="F699" t="s">
        <v>1407</v>
      </c>
      <c r="G699" t="s">
        <v>263</v>
      </c>
      <c r="H699" t="s">
        <v>94</v>
      </c>
      <c r="I699" t="s">
        <v>24</v>
      </c>
      <c r="J699" t="s">
        <v>349</v>
      </c>
      <c r="K699" t="s">
        <v>350</v>
      </c>
      <c r="L699" t="s">
        <v>73</v>
      </c>
      <c r="M699" t="s">
        <v>273</v>
      </c>
      <c r="N699" t="s">
        <v>1408</v>
      </c>
      <c r="O699" t="s">
        <v>58</v>
      </c>
      <c r="P699">
        <v>1</v>
      </c>
      <c r="Q699">
        <v>2737.71</v>
      </c>
      <c r="R699">
        <v>0.15</v>
      </c>
      <c r="S699" t="str">
        <f t="shared" si="102"/>
        <v>OK</v>
      </c>
      <c r="T699">
        <v>2327.0500000000002</v>
      </c>
      <c r="U699">
        <v>1919.42</v>
      </c>
      <c r="V699">
        <v>407.63</v>
      </c>
      <c r="W699" t="s">
        <v>31</v>
      </c>
      <c r="X699" t="s">
        <v>67</v>
      </c>
      <c r="Y699" t="str">
        <f>IF(COUNTIF($A$2:$A$901,A699)&gt;1,
  IF(COUNTIF($A$2:A699,A699)=1,
    " ORIGINAL",
    "CONFLICTING DUPLICATE - REVIEW"),
"OK")</f>
        <v>OK</v>
      </c>
      <c r="Z699">
        <f t="shared" si="103"/>
        <v>0.15</v>
      </c>
      <c r="AA699">
        <f t="shared" si="104"/>
        <v>2327.0500000000002</v>
      </c>
      <c r="AB699">
        <f t="shared" si="105"/>
        <v>407.63</v>
      </c>
      <c r="AC699">
        <f t="shared" si="106"/>
        <v>0.17519999999999999</v>
      </c>
      <c r="AD699">
        <f t="shared" si="107"/>
        <v>4</v>
      </c>
      <c r="AE699">
        <f t="shared" si="108"/>
        <v>2025</v>
      </c>
      <c r="AF699" t="str">
        <f t="shared" si="109"/>
        <v>CLEAN</v>
      </c>
    </row>
    <row r="700" spans="1:32">
      <c r="A700" t="s">
        <v>1415</v>
      </c>
      <c r="B700" s="10">
        <v>45784</v>
      </c>
      <c r="C700" s="10">
        <v>45782</v>
      </c>
      <c r="D700">
        <f t="shared" si="100"/>
        <v>-2</v>
      </c>
      <c r="E700" t="str">
        <f t="shared" si="101"/>
        <v>INVALID</v>
      </c>
      <c r="F700" t="s">
        <v>1416</v>
      </c>
      <c r="G700" t="s">
        <v>78</v>
      </c>
      <c r="H700" t="s">
        <v>89</v>
      </c>
      <c r="I700" t="s">
        <v>37</v>
      </c>
      <c r="J700" t="s">
        <v>227</v>
      </c>
      <c r="K700" t="s">
        <v>228</v>
      </c>
      <c r="L700" t="s">
        <v>73</v>
      </c>
      <c r="M700" t="s">
        <v>170</v>
      </c>
      <c r="N700" t="s">
        <v>1417</v>
      </c>
      <c r="O700" t="s">
        <v>58</v>
      </c>
      <c r="P700">
        <v>1</v>
      </c>
      <c r="Q700">
        <v>2266.4699999999998</v>
      </c>
      <c r="R700">
        <v>0.2</v>
      </c>
      <c r="S700" t="str">
        <f t="shared" si="102"/>
        <v>OK</v>
      </c>
      <c r="T700">
        <v>1813.18</v>
      </c>
      <c r="U700">
        <v>1363.64</v>
      </c>
      <c r="V700">
        <v>449.54</v>
      </c>
      <c r="W700" t="s">
        <v>31</v>
      </c>
      <c r="X700" t="s">
        <v>32</v>
      </c>
      <c r="Y700" t="str">
        <f>IF(COUNTIF($A$2:$A$901,A700)&gt;1,
  IF(COUNTIF($A$2:A700,A700)=1,
    " ORIGINAL",
    "CONFLICTING DUPLICATE - REVIEW"),
"OK")</f>
        <v>OK</v>
      </c>
      <c r="Z700">
        <f t="shared" si="103"/>
        <v>0.2</v>
      </c>
      <c r="AA700">
        <f t="shared" si="104"/>
        <v>1813.18</v>
      </c>
      <c r="AB700">
        <f t="shared" si="105"/>
        <v>449.54</v>
      </c>
      <c r="AC700">
        <f t="shared" si="106"/>
        <v>0.24790000000000001</v>
      </c>
      <c r="AD700">
        <f t="shared" si="107"/>
        <v>5</v>
      </c>
      <c r="AE700">
        <f t="shared" si="108"/>
        <v>2025</v>
      </c>
      <c r="AF700" t="str">
        <f t="shared" si="109"/>
        <v>INVALID</v>
      </c>
    </row>
    <row r="701" spans="1:32">
      <c r="A701" t="s">
        <v>1418</v>
      </c>
      <c r="B701" s="10">
        <v>45838</v>
      </c>
      <c r="C701" s="10">
        <v>45841</v>
      </c>
      <c r="D701">
        <f t="shared" si="100"/>
        <v>3</v>
      </c>
      <c r="E701" t="str">
        <f t="shared" si="101"/>
        <v>OK</v>
      </c>
      <c r="F701" t="s">
        <v>1419</v>
      </c>
      <c r="G701" t="s">
        <v>127</v>
      </c>
      <c r="H701" t="s">
        <v>94</v>
      </c>
      <c r="I701" t="s">
        <v>62</v>
      </c>
      <c r="J701" t="s">
        <v>189</v>
      </c>
      <c r="K701" t="s">
        <v>190</v>
      </c>
      <c r="L701" t="s">
        <v>27</v>
      </c>
      <c r="M701" t="s">
        <v>123</v>
      </c>
      <c r="N701" t="s">
        <v>1420</v>
      </c>
      <c r="O701" t="s">
        <v>43</v>
      </c>
      <c r="P701">
        <v>5</v>
      </c>
      <c r="Q701">
        <v>665.25</v>
      </c>
      <c r="R701">
        <v>0</v>
      </c>
      <c r="S701" t="str">
        <f t="shared" si="102"/>
        <v>OK</v>
      </c>
      <c r="T701">
        <v>3326.25</v>
      </c>
      <c r="U701">
        <v>2689.36</v>
      </c>
      <c r="V701">
        <v>636.89</v>
      </c>
      <c r="W701" t="s">
        <v>101</v>
      </c>
      <c r="X701" t="s">
        <v>102</v>
      </c>
      <c r="Y701" t="str">
        <f>IF(COUNTIF($A$2:$A$901,A701)&gt;1,
  IF(COUNTIF($A$2:A701,A701)=1,
    " ORIGINAL",
    "CONFLICTING DUPLICATE - REVIEW"),
"OK")</f>
        <v>OK</v>
      </c>
      <c r="Z701">
        <f t="shared" si="103"/>
        <v>0</v>
      </c>
      <c r="AA701">
        <f t="shared" si="104"/>
        <v>3326.25</v>
      </c>
      <c r="AB701">
        <f t="shared" si="105"/>
        <v>636.89</v>
      </c>
      <c r="AC701">
        <f t="shared" si="106"/>
        <v>0.1915</v>
      </c>
      <c r="AD701">
        <f t="shared" si="107"/>
        <v>6</v>
      </c>
      <c r="AE701">
        <f t="shared" si="108"/>
        <v>2025</v>
      </c>
      <c r="AF701" t="str">
        <f t="shared" si="109"/>
        <v>CLEAN</v>
      </c>
    </row>
    <row r="702" spans="1:32">
      <c r="A702" t="s">
        <v>1426</v>
      </c>
      <c r="B702" s="10">
        <v>45669</v>
      </c>
      <c r="C702" s="10">
        <v>45676</v>
      </c>
      <c r="D702">
        <f t="shared" si="100"/>
        <v>7</v>
      </c>
      <c r="E702" t="str">
        <f t="shared" si="101"/>
        <v>OK</v>
      </c>
      <c r="F702" t="s">
        <v>1427</v>
      </c>
      <c r="G702" t="s">
        <v>127</v>
      </c>
      <c r="H702" t="s">
        <v>23</v>
      </c>
      <c r="I702" t="s">
        <v>37</v>
      </c>
      <c r="J702" t="s">
        <v>227</v>
      </c>
      <c r="K702" t="s">
        <v>228</v>
      </c>
      <c r="L702" t="s">
        <v>40</v>
      </c>
      <c r="M702" t="s">
        <v>41</v>
      </c>
      <c r="N702" t="s">
        <v>1428</v>
      </c>
      <c r="O702" t="s">
        <v>49</v>
      </c>
      <c r="P702">
        <v>1</v>
      </c>
      <c r="Q702">
        <v>1842.31</v>
      </c>
      <c r="R702">
        <v>0</v>
      </c>
      <c r="S702" t="str">
        <f t="shared" si="102"/>
        <v>OK</v>
      </c>
      <c r="T702">
        <v>1842.31</v>
      </c>
      <c r="U702">
        <v>1019.17</v>
      </c>
      <c r="V702">
        <v>823.14</v>
      </c>
      <c r="W702" t="s">
        <v>31</v>
      </c>
      <c r="X702" t="s">
        <v>32</v>
      </c>
      <c r="Y702" t="str">
        <f>IF(COUNTIF($A$2:$A$901,A702)&gt;1,
  IF(COUNTIF($A$2:A702,A702)=1,
    " ORIGINAL",
    "CONFLICTING DUPLICATE - REVIEW"),
"OK")</f>
        <v>OK</v>
      </c>
      <c r="Z702">
        <f t="shared" si="103"/>
        <v>0</v>
      </c>
      <c r="AA702">
        <f t="shared" si="104"/>
        <v>1842.31</v>
      </c>
      <c r="AB702">
        <f t="shared" si="105"/>
        <v>823.14</v>
      </c>
      <c r="AC702">
        <f t="shared" si="106"/>
        <v>0.44679999999999997</v>
      </c>
      <c r="AD702">
        <f t="shared" si="107"/>
        <v>1</v>
      </c>
      <c r="AE702">
        <f t="shared" si="108"/>
        <v>2025</v>
      </c>
      <c r="AF702" t="str">
        <f t="shared" si="109"/>
        <v>CLEAN</v>
      </c>
    </row>
    <row r="703" spans="1:32">
      <c r="A703" t="s">
        <v>1432</v>
      </c>
      <c r="B703" s="10">
        <v>45881</v>
      </c>
      <c r="C703" s="10">
        <v>45885</v>
      </c>
      <c r="D703">
        <f t="shared" si="100"/>
        <v>4</v>
      </c>
      <c r="E703" t="str">
        <f t="shared" si="101"/>
        <v>OK</v>
      </c>
      <c r="F703" t="s">
        <v>1433</v>
      </c>
      <c r="G703" t="s">
        <v>61</v>
      </c>
      <c r="H703" t="s">
        <v>23</v>
      </c>
      <c r="I703" t="s">
        <v>37</v>
      </c>
      <c r="J703" t="s">
        <v>165</v>
      </c>
      <c r="K703" t="s">
        <v>166</v>
      </c>
      <c r="L703" t="s">
        <v>73</v>
      </c>
      <c r="M703" t="s">
        <v>74</v>
      </c>
      <c r="N703" t="s">
        <v>1434</v>
      </c>
      <c r="O703" t="s">
        <v>43</v>
      </c>
      <c r="P703">
        <v>9</v>
      </c>
      <c r="Q703">
        <v>2379.2399999999998</v>
      </c>
      <c r="R703">
        <v>0.05</v>
      </c>
      <c r="S703" t="str">
        <f t="shared" si="102"/>
        <v>OK</v>
      </c>
      <c r="T703">
        <v>20342.5</v>
      </c>
      <c r="U703">
        <v>12407.51</v>
      </c>
      <c r="V703">
        <v>7934.99</v>
      </c>
      <c r="W703" t="s">
        <v>31</v>
      </c>
      <c r="X703" t="s">
        <v>32</v>
      </c>
      <c r="Y703" t="str">
        <f>IF(COUNTIF($A$2:$A$901,A703)&gt;1,
  IF(COUNTIF($A$2:A703,A703)=1,
    " ORIGINAL",
    "CONFLICTING DUPLICATE - REVIEW"),
"OK")</f>
        <v>OK</v>
      </c>
      <c r="Z703">
        <f t="shared" si="103"/>
        <v>0.05</v>
      </c>
      <c r="AA703">
        <f t="shared" si="104"/>
        <v>20342.5</v>
      </c>
      <c r="AB703">
        <f t="shared" si="105"/>
        <v>7934.99</v>
      </c>
      <c r="AC703">
        <f t="shared" si="106"/>
        <v>0.3901</v>
      </c>
      <c r="AD703">
        <f t="shared" si="107"/>
        <v>8</v>
      </c>
      <c r="AE703">
        <f t="shared" si="108"/>
        <v>2025</v>
      </c>
      <c r="AF703" t="str">
        <f t="shared" si="109"/>
        <v>CLEAN</v>
      </c>
    </row>
    <row r="704" spans="1:32">
      <c r="A704" t="s">
        <v>1438</v>
      </c>
      <c r="B704" s="10">
        <v>45918</v>
      </c>
      <c r="C704" s="10">
        <v>45919</v>
      </c>
      <c r="D704">
        <f t="shared" si="100"/>
        <v>1</v>
      </c>
      <c r="E704" t="str">
        <f t="shared" si="101"/>
        <v>OK</v>
      </c>
      <c r="F704" t="s">
        <v>1439</v>
      </c>
      <c r="G704" t="s">
        <v>131</v>
      </c>
      <c r="H704" t="s">
        <v>94</v>
      </c>
      <c r="I704" t="s">
        <v>53</v>
      </c>
      <c r="J704" t="s">
        <v>83</v>
      </c>
      <c r="K704" t="s">
        <v>84</v>
      </c>
      <c r="L704" t="s">
        <v>27</v>
      </c>
      <c r="M704" t="s">
        <v>123</v>
      </c>
      <c r="N704" t="s">
        <v>1440</v>
      </c>
      <c r="O704" t="s">
        <v>43</v>
      </c>
      <c r="P704">
        <v>8</v>
      </c>
      <c r="Q704">
        <v>4242.51</v>
      </c>
      <c r="R704">
        <v>0</v>
      </c>
      <c r="S704" t="str">
        <f t="shared" si="102"/>
        <v>OK</v>
      </c>
      <c r="T704">
        <v>33940.080000000002</v>
      </c>
      <c r="U704">
        <v>23754.19</v>
      </c>
      <c r="V704">
        <v>10185.89</v>
      </c>
      <c r="W704" t="s">
        <v>31</v>
      </c>
      <c r="X704" t="s">
        <v>32</v>
      </c>
      <c r="Y704" t="str">
        <f>IF(COUNTIF($A$2:$A$901,A704)&gt;1,
  IF(COUNTIF($A$2:A704,A704)=1,
    " ORIGINAL",
    "CONFLICTING DUPLICATE - REVIEW"),
"OK")</f>
        <v>OK</v>
      </c>
      <c r="Z704">
        <f t="shared" si="103"/>
        <v>0</v>
      </c>
      <c r="AA704">
        <f t="shared" si="104"/>
        <v>33940.080000000002</v>
      </c>
      <c r="AB704">
        <f t="shared" si="105"/>
        <v>10185.89</v>
      </c>
      <c r="AC704">
        <f t="shared" si="106"/>
        <v>0.30009999999999998</v>
      </c>
      <c r="AD704">
        <f t="shared" si="107"/>
        <v>9</v>
      </c>
      <c r="AE704">
        <f t="shared" si="108"/>
        <v>2025</v>
      </c>
      <c r="AF704" t="str">
        <f t="shared" si="109"/>
        <v>CLEAN</v>
      </c>
    </row>
    <row r="705" spans="1:32">
      <c r="A705" t="s">
        <v>1441</v>
      </c>
      <c r="B705" s="10">
        <v>45938</v>
      </c>
      <c r="C705" s="10">
        <v>45879</v>
      </c>
      <c r="D705">
        <f t="shared" si="100"/>
        <v>-59</v>
      </c>
      <c r="E705" t="str">
        <f t="shared" si="101"/>
        <v>INVALID</v>
      </c>
      <c r="F705" t="s">
        <v>1442</v>
      </c>
      <c r="G705" t="s">
        <v>140</v>
      </c>
      <c r="H705" t="s">
        <v>94</v>
      </c>
      <c r="I705" t="s">
        <v>53</v>
      </c>
      <c r="J705" t="s">
        <v>54</v>
      </c>
      <c r="K705" t="s">
        <v>55</v>
      </c>
      <c r="L705" t="s">
        <v>40</v>
      </c>
      <c r="M705" t="s">
        <v>157</v>
      </c>
      <c r="N705" t="s">
        <v>1443</v>
      </c>
      <c r="O705" t="s">
        <v>58</v>
      </c>
      <c r="P705">
        <v>6</v>
      </c>
      <c r="Q705">
        <v>4288.7</v>
      </c>
      <c r="R705">
        <v>0.15</v>
      </c>
      <c r="S705" t="str">
        <f t="shared" si="102"/>
        <v>OK</v>
      </c>
      <c r="T705">
        <v>21872.37</v>
      </c>
      <c r="U705">
        <v>13829.5</v>
      </c>
      <c r="V705">
        <v>8042.87</v>
      </c>
      <c r="W705" t="s">
        <v>110</v>
      </c>
      <c r="X705" t="s">
        <v>102</v>
      </c>
      <c r="Y705" t="str">
        <f>IF(COUNTIF($A$2:$A$901,A705)&gt;1,
  IF(COUNTIF($A$2:A705,A705)=1,
    " ORIGINAL",
    "CONFLICTING DUPLICATE - REVIEW"),
"OK")</f>
        <v>OK</v>
      </c>
      <c r="Z705">
        <f t="shared" si="103"/>
        <v>0.15</v>
      </c>
      <c r="AA705">
        <f t="shared" si="104"/>
        <v>21872.37</v>
      </c>
      <c r="AB705">
        <f t="shared" si="105"/>
        <v>8042.87</v>
      </c>
      <c r="AC705">
        <f t="shared" si="106"/>
        <v>0.36770000000000003</v>
      </c>
      <c r="AD705">
        <f t="shared" si="107"/>
        <v>10</v>
      </c>
      <c r="AE705">
        <f t="shared" si="108"/>
        <v>2025</v>
      </c>
      <c r="AF705" t="str">
        <f t="shared" si="109"/>
        <v>INVALID</v>
      </c>
    </row>
    <row r="706" spans="1:32">
      <c r="A706" t="s">
        <v>1449</v>
      </c>
      <c r="B706" s="10">
        <v>45820</v>
      </c>
      <c r="C706" s="10">
        <v>45827</v>
      </c>
      <c r="D706">
        <f t="shared" ref="D706:D769" si="110">C706-B706</f>
        <v>7</v>
      </c>
      <c r="E706" t="str">
        <f t="shared" ref="E706:E769" si="111">IF(D706&lt;0,"INVALID","OK")</f>
        <v>OK</v>
      </c>
      <c r="F706" t="s">
        <v>1450</v>
      </c>
      <c r="G706" t="s">
        <v>61</v>
      </c>
      <c r="H706" t="s">
        <v>89</v>
      </c>
      <c r="I706" t="s">
        <v>24</v>
      </c>
      <c r="J706" t="s">
        <v>349</v>
      </c>
      <c r="K706" t="s">
        <v>350</v>
      </c>
      <c r="L706" t="s">
        <v>40</v>
      </c>
      <c r="M706" t="s">
        <v>65</v>
      </c>
      <c r="N706" t="s">
        <v>1451</v>
      </c>
      <c r="O706" t="s">
        <v>58</v>
      </c>
      <c r="P706">
        <v>9</v>
      </c>
      <c r="Q706">
        <v>2278.5700000000002</v>
      </c>
      <c r="R706">
        <v>0.25</v>
      </c>
      <c r="S706" t="str">
        <f t="shared" si="102"/>
        <v>OK</v>
      </c>
      <c r="T706">
        <v>15380.35</v>
      </c>
      <c r="U706">
        <v>9907.3700000000008</v>
      </c>
      <c r="V706">
        <v>5472.98</v>
      </c>
      <c r="W706" t="s">
        <v>31</v>
      </c>
      <c r="X706" t="s">
        <v>32</v>
      </c>
      <c r="Y706" t="str">
        <f>IF(COUNTIF($A$2:$A$901,A706)&gt;1,
  IF(COUNTIF($A$2:A706,A706)=1,
    " ORIGINAL",
    "CONFLICTING DUPLICATE - REVIEW"),
"OK")</f>
        <v>OK</v>
      </c>
      <c r="Z706">
        <f t="shared" si="103"/>
        <v>0.25</v>
      </c>
      <c r="AA706">
        <f t="shared" si="104"/>
        <v>15380.35</v>
      </c>
      <c r="AB706">
        <f t="shared" si="105"/>
        <v>5472.98</v>
      </c>
      <c r="AC706">
        <f t="shared" si="106"/>
        <v>0.35580000000000001</v>
      </c>
      <c r="AD706">
        <f t="shared" si="107"/>
        <v>6</v>
      </c>
      <c r="AE706">
        <f t="shared" si="108"/>
        <v>2025</v>
      </c>
      <c r="AF706" t="str">
        <f t="shared" si="109"/>
        <v>CLEAN</v>
      </c>
    </row>
    <row r="707" spans="1:32">
      <c r="A707" t="s">
        <v>1458</v>
      </c>
      <c r="B707" s="10">
        <v>45780</v>
      </c>
      <c r="C707" s="10">
        <v>45788</v>
      </c>
      <c r="D707">
        <f t="shared" si="110"/>
        <v>8</v>
      </c>
      <c r="E707" t="str">
        <f t="shared" si="111"/>
        <v>OK</v>
      </c>
      <c r="F707" t="s">
        <v>1459</v>
      </c>
      <c r="G707" t="s">
        <v>140</v>
      </c>
      <c r="H707" t="s">
        <v>36</v>
      </c>
      <c r="I707" t="s">
        <v>62</v>
      </c>
      <c r="J707" t="s">
        <v>71</v>
      </c>
      <c r="K707" t="s">
        <v>72</v>
      </c>
      <c r="L707" t="s">
        <v>27</v>
      </c>
      <c r="M707" t="s">
        <v>90</v>
      </c>
      <c r="N707" t="s">
        <v>1460</v>
      </c>
      <c r="O707" t="s">
        <v>43</v>
      </c>
      <c r="P707">
        <v>5</v>
      </c>
      <c r="Q707">
        <v>1483.52</v>
      </c>
      <c r="R707">
        <v>0</v>
      </c>
      <c r="S707" t="str">
        <f t="shared" ref="S707:S770" si="112">IF(R707&lt;0,"INVALID-NEGATIVE",IF(R707&gt;1,"INVALID-ABOVE","OK"))</f>
        <v>OK</v>
      </c>
      <c r="T707">
        <v>7417.6</v>
      </c>
      <c r="U707">
        <v>4955.8599999999997</v>
      </c>
      <c r="V707">
        <v>2461.7399999999998</v>
      </c>
      <c r="W707" t="s">
        <v>31</v>
      </c>
      <c r="X707" t="s">
        <v>32</v>
      </c>
      <c r="Y707" t="str">
        <f>IF(COUNTIF($A$2:$A$901,A707)&gt;1,
  IF(COUNTIF($A$2:A707,A707)=1,
    " ORIGINAL",
    "CONFLICTING DUPLICATE - REVIEW"),
"OK")</f>
        <v>OK</v>
      </c>
      <c r="Z707">
        <f t="shared" ref="Z707:Z770" si="113">IF(R707&lt;0, 0,
  IF(ISNUMBER(R707), R707,
    IFERROR(VALUE(SUBSTITUTE(R707,"%",""))/100, 0)))</f>
        <v>0</v>
      </c>
      <c r="AA707">
        <f t="shared" ref="AA707:AA770" si="114">ROUND(P707*Q707*(1-Z707),2)</f>
        <v>7417.6</v>
      </c>
      <c r="AB707">
        <f t="shared" ref="AB707:AB770" si="115">ROUND(AA707-U707,2)</f>
        <v>2461.7399999999998</v>
      </c>
      <c r="AC707">
        <f t="shared" ref="AC707:AC770" si="116">IFERROR(ROUND(AB707/AA707,4),0)</f>
        <v>0.33189999999999997</v>
      </c>
      <c r="AD707">
        <f t="shared" ref="AD707:AD770" si="117">IFERROR(MONTH(B707),"INVALID")</f>
        <v>5</v>
      </c>
      <c r="AE707">
        <f t="shared" ref="AE707:AE770" si="118">IFERROR(YEAR(B707),"INVALID")</f>
        <v>2025</v>
      </c>
      <c r="AF707" t="str">
        <f t="shared" ref="AF707:AF770" si="119">IF(OR(R707&lt;0,NOT(ISNUMBER(R707)),D707&lt;0,W707="Failed"),"INVALID",IF(OR(I707="Unknown",O707="Unknown",R707&gt;1,AA707&lt;0),"WARNING","CLEAN"))</f>
        <v>CLEAN</v>
      </c>
    </row>
    <row r="708" spans="1:32">
      <c r="A708" t="s">
        <v>1461</v>
      </c>
      <c r="B708" s="10">
        <v>45739</v>
      </c>
      <c r="C708" s="10">
        <v>45744</v>
      </c>
      <c r="D708">
        <f t="shared" si="110"/>
        <v>5</v>
      </c>
      <c r="E708" t="str">
        <f t="shared" si="111"/>
        <v>OK</v>
      </c>
      <c r="F708" t="s">
        <v>1462</v>
      </c>
      <c r="G708" t="s">
        <v>70</v>
      </c>
      <c r="H708" t="s">
        <v>36</v>
      </c>
      <c r="I708" t="s">
        <v>24</v>
      </c>
      <c r="J708" t="s">
        <v>25</v>
      </c>
      <c r="K708" t="s">
        <v>26</v>
      </c>
      <c r="L708" t="s">
        <v>40</v>
      </c>
      <c r="M708" t="s">
        <v>56</v>
      </c>
      <c r="N708" t="s">
        <v>1463</v>
      </c>
      <c r="O708" t="s">
        <v>58</v>
      </c>
      <c r="P708">
        <v>9</v>
      </c>
      <c r="Q708">
        <v>3298</v>
      </c>
      <c r="R708">
        <v>0.15</v>
      </c>
      <c r="S708" t="str">
        <f t="shared" si="112"/>
        <v>OK</v>
      </c>
      <c r="T708">
        <v>25229.7</v>
      </c>
      <c r="U708">
        <v>20170.43</v>
      </c>
      <c r="V708">
        <v>5059.2700000000004</v>
      </c>
      <c r="W708" t="s">
        <v>31</v>
      </c>
      <c r="X708" t="s">
        <v>32</v>
      </c>
      <c r="Y708" t="str">
        <f>IF(COUNTIF($A$2:$A$901,A708)&gt;1,
  IF(COUNTIF($A$2:A708,A708)=1,
    " ORIGINAL",
    "CONFLICTING DUPLICATE - REVIEW"),
"OK")</f>
        <v>OK</v>
      </c>
      <c r="Z708">
        <f t="shared" si="113"/>
        <v>0.15</v>
      </c>
      <c r="AA708">
        <f t="shared" si="114"/>
        <v>25229.7</v>
      </c>
      <c r="AB708">
        <f t="shared" si="115"/>
        <v>5059.2700000000004</v>
      </c>
      <c r="AC708">
        <f t="shared" si="116"/>
        <v>0.20050000000000001</v>
      </c>
      <c r="AD708">
        <f t="shared" si="117"/>
        <v>3</v>
      </c>
      <c r="AE708">
        <f t="shared" si="118"/>
        <v>2025</v>
      </c>
      <c r="AF708" t="str">
        <f t="shared" si="119"/>
        <v>CLEAN</v>
      </c>
    </row>
    <row r="709" spans="1:32">
      <c r="A709" t="s">
        <v>1479</v>
      </c>
      <c r="B709" s="10">
        <v>45930</v>
      </c>
      <c r="C709" s="10">
        <v>45936</v>
      </c>
      <c r="D709">
        <f t="shared" si="110"/>
        <v>6</v>
      </c>
      <c r="E709" t="str">
        <f t="shared" si="111"/>
        <v>OK</v>
      </c>
      <c r="F709" t="s">
        <v>1480</v>
      </c>
      <c r="G709" t="s">
        <v>127</v>
      </c>
      <c r="H709" t="s">
        <v>89</v>
      </c>
      <c r="I709" t="s">
        <v>2762</v>
      </c>
      <c r="J709" t="s">
        <v>25</v>
      </c>
      <c r="K709" t="s">
        <v>26</v>
      </c>
      <c r="L709" t="s">
        <v>73</v>
      </c>
      <c r="M709" t="s">
        <v>79</v>
      </c>
      <c r="N709" t="s">
        <v>1481</v>
      </c>
      <c r="O709" t="s">
        <v>30</v>
      </c>
      <c r="P709">
        <v>9</v>
      </c>
      <c r="Q709">
        <v>1359.88</v>
      </c>
      <c r="R709">
        <v>0.05</v>
      </c>
      <c r="S709" t="str">
        <f t="shared" si="112"/>
        <v>OK</v>
      </c>
      <c r="T709">
        <v>11626.97</v>
      </c>
      <c r="U709">
        <v>7394.07</v>
      </c>
      <c r="V709">
        <v>4232.8999999999996</v>
      </c>
      <c r="W709" t="s">
        <v>31</v>
      </c>
      <c r="X709" t="s">
        <v>32</v>
      </c>
      <c r="Y709" t="str">
        <f>IF(COUNTIF($A$2:$A$901,A709)&gt;1,
  IF(COUNTIF($A$2:A709,A709)=1,
    " ORIGINAL",
    "CONFLICTING DUPLICATE - REVIEW"),
"OK")</f>
        <v>OK</v>
      </c>
      <c r="Z709">
        <f t="shared" si="113"/>
        <v>0.05</v>
      </c>
      <c r="AA709">
        <f t="shared" si="114"/>
        <v>11626.97</v>
      </c>
      <c r="AB709">
        <f t="shared" si="115"/>
        <v>4232.8999999999996</v>
      </c>
      <c r="AC709">
        <f t="shared" si="116"/>
        <v>0.36409999999999998</v>
      </c>
      <c r="AD709">
        <f t="shared" si="117"/>
        <v>9</v>
      </c>
      <c r="AE709">
        <f t="shared" si="118"/>
        <v>2025</v>
      </c>
      <c r="AF709" t="str">
        <f t="shared" si="119"/>
        <v>WARNING</v>
      </c>
    </row>
    <row r="710" spans="1:32">
      <c r="A710" t="s">
        <v>1482</v>
      </c>
      <c r="B710" s="10">
        <v>45802</v>
      </c>
      <c r="C710" s="10">
        <v>45803</v>
      </c>
      <c r="D710">
        <f t="shared" si="110"/>
        <v>1</v>
      </c>
      <c r="E710" t="str">
        <f t="shared" si="111"/>
        <v>OK</v>
      </c>
      <c r="F710" t="s">
        <v>1483</v>
      </c>
      <c r="G710" t="s">
        <v>78</v>
      </c>
      <c r="H710" t="s">
        <v>89</v>
      </c>
      <c r="I710" t="s">
        <v>53</v>
      </c>
      <c r="J710" t="s">
        <v>83</v>
      </c>
      <c r="K710" t="s">
        <v>84</v>
      </c>
      <c r="L710" t="s">
        <v>27</v>
      </c>
      <c r="M710" t="s">
        <v>28</v>
      </c>
      <c r="N710" t="s">
        <v>1484</v>
      </c>
      <c r="O710" t="s">
        <v>58</v>
      </c>
      <c r="P710">
        <v>3</v>
      </c>
      <c r="Q710">
        <v>3378.15</v>
      </c>
      <c r="R710">
        <v>0.15</v>
      </c>
      <c r="S710" t="str">
        <f t="shared" si="112"/>
        <v>OK</v>
      </c>
      <c r="T710">
        <v>8614.2800000000007</v>
      </c>
      <c r="U710">
        <v>7052.08</v>
      </c>
      <c r="V710">
        <v>1562.2</v>
      </c>
      <c r="W710" t="s">
        <v>31</v>
      </c>
      <c r="X710" t="s">
        <v>32</v>
      </c>
      <c r="Y710" t="str">
        <f>IF(COUNTIF($A$2:$A$901,A710)&gt;1,
  IF(COUNTIF($A$2:A710,A710)=1,
    " ORIGINAL",
    "CONFLICTING DUPLICATE - REVIEW"),
"OK")</f>
        <v>OK</v>
      </c>
      <c r="Z710">
        <f t="shared" si="113"/>
        <v>0.15</v>
      </c>
      <c r="AA710">
        <f t="shared" si="114"/>
        <v>8614.2800000000007</v>
      </c>
      <c r="AB710">
        <f t="shared" si="115"/>
        <v>1562.2</v>
      </c>
      <c r="AC710">
        <f t="shared" si="116"/>
        <v>0.18140000000000001</v>
      </c>
      <c r="AD710">
        <f t="shared" si="117"/>
        <v>5</v>
      </c>
      <c r="AE710">
        <f t="shared" si="118"/>
        <v>2025</v>
      </c>
      <c r="AF710" t="str">
        <f t="shared" si="119"/>
        <v>CLEAN</v>
      </c>
    </row>
    <row r="711" spans="1:32">
      <c r="A711" t="s">
        <v>1488</v>
      </c>
      <c r="B711" s="10">
        <v>45840</v>
      </c>
      <c r="C711" s="10">
        <v>45696</v>
      </c>
      <c r="D711">
        <f t="shared" si="110"/>
        <v>-144</v>
      </c>
      <c r="E711" t="str">
        <f t="shared" si="111"/>
        <v>INVALID</v>
      </c>
      <c r="F711" t="s">
        <v>1489</v>
      </c>
      <c r="G711" t="s">
        <v>52</v>
      </c>
      <c r="H711" t="s">
        <v>89</v>
      </c>
      <c r="I711" t="s">
        <v>62</v>
      </c>
      <c r="J711" t="s">
        <v>71</v>
      </c>
      <c r="K711" t="s">
        <v>72</v>
      </c>
      <c r="L711" t="s">
        <v>73</v>
      </c>
      <c r="M711" t="s">
        <v>170</v>
      </c>
      <c r="N711" t="s">
        <v>1490</v>
      </c>
      <c r="O711" t="s">
        <v>58</v>
      </c>
      <c r="P711">
        <v>4</v>
      </c>
      <c r="Q711">
        <v>889.5</v>
      </c>
      <c r="R711">
        <v>0.2</v>
      </c>
      <c r="S711" t="str">
        <f t="shared" si="112"/>
        <v>OK</v>
      </c>
      <c r="T711">
        <v>2846.4</v>
      </c>
      <c r="U711">
        <v>2132.37</v>
      </c>
      <c r="V711">
        <v>714.03</v>
      </c>
      <c r="W711" t="s">
        <v>31</v>
      </c>
      <c r="X711" t="s">
        <v>32</v>
      </c>
      <c r="Y711" t="str">
        <f>IF(COUNTIF($A$2:$A$901,A711)&gt;1,
  IF(COUNTIF($A$2:A711,A711)=1,
    " ORIGINAL",
    "CONFLICTING DUPLICATE - REVIEW"),
"OK")</f>
        <v>OK</v>
      </c>
      <c r="Z711">
        <f t="shared" si="113"/>
        <v>0.2</v>
      </c>
      <c r="AA711">
        <f t="shared" si="114"/>
        <v>2846.4</v>
      </c>
      <c r="AB711">
        <f t="shared" si="115"/>
        <v>714.03</v>
      </c>
      <c r="AC711">
        <f t="shared" si="116"/>
        <v>0.25090000000000001</v>
      </c>
      <c r="AD711">
        <f t="shared" si="117"/>
        <v>7</v>
      </c>
      <c r="AE711">
        <f t="shared" si="118"/>
        <v>2025</v>
      </c>
      <c r="AF711" t="str">
        <f t="shared" si="119"/>
        <v>INVALID</v>
      </c>
    </row>
    <row r="712" spans="1:32">
      <c r="A712" t="s">
        <v>1491</v>
      </c>
      <c r="B712" s="10">
        <v>45964</v>
      </c>
      <c r="C712" s="10">
        <v>45731</v>
      </c>
      <c r="D712">
        <f t="shared" si="110"/>
        <v>-233</v>
      </c>
      <c r="E712" t="str">
        <f t="shared" si="111"/>
        <v>INVALID</v>
      </c>
      <c r="F712" t="s">
        <v>1492</v>
      </c>
      <c r="G712" t="s">
        <v>52</v>
      </c>
      <c r="H712" t="s">
        <v>89</v>
      </c>
      <c r="I712" t="s">
        <v>37</v>
      </c>
      <c r="J712" t="s">
        <v>144</v>
      </c>
      <c r="K712" t="s">
        <v>145</v>
      </c>
      <c r="L712" t="s">
        <v>27</v>
      </c>
      <c r="M712" t="s">
        <v>28</v>
      </c>
      <c r="N712" t="s">
        <v>1493</v>
      </c>
      <c r="O712" t="s">
        <v>43</v>
      </c>
      <c r="P712">
        <v>3</v>
      </c>
      <c r="Q712">
        <v>3625.08</v>
      </c>
      <c r="R712">
        <v>0.05</v>
      </c>
      <c r="S712" t="str">
        <f t="shared" si="112"/>
        <v>OK</v>
      </c>
      <c r="T712">
        <v>10331.48</v>
      </c>
      <c r="U712">
        <v>7131.91</v>
      </c>
      <c r="V712">
        <v>3199.57</v>
      </c>
      <c r="W712" t="s">
        <v>110</v>
      </c>
      <c r="X712" t="s">
        <v>67</v>
      </c>
      <c r="Y712" t="str">
        <f>IF(COUNTIF($A$2:$A$901,A712)&gt;1,
  IF(COUNTIF($A$2:A712,A712)=1,
    " ORIGINAL",
    "CONFLICTING DUPLICATE - REVIEW"),
"OK")</f>
        <v>OK</v>
      </c>
      <c r="Z712">
        <f t="shared" si="113"/>
        <v>0.05</v>
      </c>
      <c r="AA712">
        <f t="shared" si="114"/>
        <v>10331.48</v>
      </c>
      <c r="AB712">
        <f t="shared" si="115"/>
        <v>3199.57</v>
      </c>
      <c r="AC712">
        <f t="shared" si="116"/>
        <v>0.30969999999999998</v>
      </c>
      <c r="AD712">
        <f t="shared" si="117"/>
        <v>11</v>
      </c>
      <c r="AE712">
        <f t="shared" si="118"/>
        <v>2025</v>
      </c>
      <c r="AF712" t="str">
        <f t="shared" si="119"/>
        <v>INVALID</v>
      </c>
    </row>
    <row r="713" spans="1:32">
      <c r="A713" t="s">
        <v>1503</v>
      </c>
      <c r="B713" s="10">
        <v>45666</v>
      </c>
      <c r="C713" s="10">
        <v>45664</v>
      </c>
      <c r="D713">
        <f t="shared" si="110"/>
        <v>-2</v>
      </c>
      <c r="E713" t="str">
        <f t="shared" si="111"/>
        <v>INVALID</v>
      </c>
      <c r="F713" t="s">
        <v>1504</v>
      </c>
      <c r="G713" t="s">
        <v>127</v>
      </c>
      <c r="H713" t="s">
        <v>94</v>
      </c>
      <c r="I713" t="s">
        <v>37</v>
      </c>
      <c r="J713" t="s">
        <v>98</v>
      </c>
      <c r="K713" t="s">
        <v>99</v>
      </c>
      <c r="L713" t="s">
        <v>27</v>
      </c>
      <c r="M713" t="s">
        <v>152</v>
      </c>
      <c r="N713" t="s">
        <v>1505</v>
      </c>
      <c r="O713" t="s">
        <v>30</v>
      </c>
      <c r="P713">
        <v>3</v>
      </c>
      <c r="Q713">
        <v>2188.33</v>
      </c>
      <c r="R713">
        <v>0</v>
      </c>
      <c r="S713" t="str">
        <f t="shared" si="112"/>
        <v>OK</v>
      </c>
      <c r="T713">
        <v>6564.99</v>
      </c>
      <c r="U713">
        <v>5407.24</v>
      </c>
      <c r="V713">
        <v>1157.75</v>
      </c>
      <c r="W713" t="s">
        <v>31</v>
      </c>
      <c r="X713" t="s">
        <v>32</v>
      </c>
      <c r="Y713" t="str">
        <f>IF(COUNTIF($A$2:$A$901,A713)&gt;1,
  IF(COUNTIF($A$2:A713,A713)=1,
    " ORIGINAL",
    "CONFLICTING DUPLICATE - REVIEW"),
"OK")</f>
        <v>OK</v>
      </c>
      <c r="Z713">
        <f t="shared" si="113"/>
        <v>0</v>
      </c>
      <c r="AA713">
        <f t="shared" si="114"/>
        <v>6564.99</v>
      </c>
      <c r="AB713">
        <f t="shared" si="115"/>
        <v>1157.75</v>
      </c>
      <c r="AC713">
        <f t="shared" si="116"/>
        <v>0.1764</v>
      </c>
      <c r="AD713">
        <f t="shared" si="117"/>
        <v>1</v>
      </c>
      <c r="AE713">
        <f t="shared" si="118"/>
        <v>2025</v>
      </c>
      <c r="AF713" t="str">
        <f t="shared" si="119"/>
        <v>INVALID</v>
      </c>
    </row>
    <row r="714" spans="1:32">
      <c r="A714" t="s">
        <v>1524</v>
      </c>
      <c r="B714" s="10">
        <v>45717</v>
      </c>
      <c r="C714" s="10">
        <v>45724</v>
      </c>
      <c r="D714">
        <f t="shared" si="110"/>
        <v>7</v>
      </c>
      <c r="E714" t="str">
        <f t="shared" si="111"/>
        <v>OK</v>
      </c>
      <c r="F714" t="s">
        <v>1525</v>
      </c>
      <c r="G714" t="s">
        <v>70</v>
      </c>
      <c r="H714" t="s">
        <v>23</v>
      </c>
      <c r="I714" t="s">
        <v>37</v>
      </c>
      <c r="J714" t="s">
        <v>98</v>
      </c>
      <c r="K714" t="s">
        <v>99</v>
      </c>
      <c r="L714" t="s">
        <v>40</v>
      </c>
      <c r="M714" t="s">
        <v>65</v>
      </c>
      <c r="N714" t="s">
        <v>1526</v>
      </c>
      <c r="O714" t="s">
        <v>43</v>
      </c>
      <c r="P714">
        <v>8</v>
      </c>
      <c r="Q714">
        <v>3378.82</v>
      </c>
      <c r="R714">
        <v>0.25</v>
      </c>
      <c r="S714" t="str">
        <f t="shared" si="112"/>
        <v>OK</v>
      </c>
      <c r="T714">
        <v>20272.919999999998</v>
      </c>
      <c r="U714">
        <v>15873.38</v>
      </c>
      <c r="V714">
        <v>4399.54</v>
      </c>
      <c r="W714" t="s">
        <v>110</v>
      </c>
      <c r="X714" t="s">
        <v>102</v>
      </c>
      <c r="Y714" t="str">
        <f>IF(COUNTIF($A$2:$A$901,A714)&gt;1,
  IF(COUNTIF($A$2:A714,A714)=1,
    " ORIGINAL",
    "CONFLICTING DUPLICATE - REVIEW"),
"OK")</f>
        <v>OK</v>
      </c>
      <c r="Z714">
        <f t="shared" si="113"/>
        <v>0.25</v>
      </c>
      <c r="AA714">
        <f t="shared" si="114"/>
        <v>20272.919999999998</v>
      </c>
      <c r="AB714">
        <f t="shared" si="115"/>
        <v>4399.54</v>
      </c>
      <c r="AC714">
        <f t="shared" si="116"/>
        <v>0.217</v>
      </c>
      <c r="AD714">
        <f t="shared" si="117"/>
        <v>3</v>
      </c>
      <c r="AE714">
        <f t="shared" si="118"/>
        <v>2025</v>
      </c>
      <c r="AF714" t="str">
        <f t="shared" si="119"/>
        <v>CLEAN</v>
      </c>
    </row>
    <row r="715" spans="1:32">
      <c r="A715" t="s">
        <v>1530</v>
      </c>
      <c r="B715" s="10">
        <v>45892</v>
      </c>
      <c r="C715" s="10">
        <v>45897</v>
      </c>
      <c r="D715">
        <f t="shared" si="110"/>
        <v>5</v>
      </c>
      <c r="E715" t="str">
        <f t="shared" si="111"/>
        <v>OK</v>
      </c>
      <c r="F715" t="s">
        <v>1531</v>
      </c>
      <c r="G715" t="s">
        <v>70</v>
      </c>
      <c r="H715" t="s">
        <v>89</v>
      </c>
      <c r="I715" t="s">
        <v>62</v>
      </c>
      <c r="J715" t="s">
        <v>179</v>
      </c>
      <c r="K715" t="s">
        <v>180</v>
      </c>
      <c r="L715" t="s">
        <v>40</v>
      </c>
      <c r="M715" t="s">
        <v>65</v>
      </c>
      <c r="N715" t="s">
        <v>1532</v>
      </c>
      <c r="O715" t="s">
        <v>58</v>
      </c>
      <c r="P715">
        <v>6</v>
      </c>
      <c r="Q715">
        <v>2193.23</v>
      </c>
      <c r="R715">
        <v>0.1</v>
      </c>
      <c r="S715" t="str">
        <f t="shared" si="112"/>
        <v>OK</v>
      </c>
      <c r="T715">
        <v>11843.44</v>
      </c>
      <c r="U715">
        <v>9356.8799999999992</v>
      </c>
      <c r="V715">
        <v>2486.56</v>
      </c>
      <c r="W715" t="s">
        <v>31</v>
      </c>
      <c r="X715" t="s">
        <v>67</v>
      </c>
      <c r="Y715" t="str">
        <f>IF(COUNTIF($A$2:$A$901,A715)&gt;1,
  IF(COUNTIF($A$2:A715,A715)=1,
    " ORIGINAL",
    "CONFLICTING DUPLICATE - REVIEW"),
"OK")</f>
        <v>OK</v>
      </c>
      <c r="Z715">
        <f t="shared" si="113"/>
        <v>0.1</v>
      </c>
      <c r="AA715">
        <f t="shared" si="114"/>
        <v>11843.44</v>
      </c>
      <c r="AB715">
        <f t="shared" si="115"/>
        <v>2486.56</v>
      </c>
      <c r="AC715">
        <f t="shared" si="116"/>
        <v>0.21</v>
      </c>
      <c r="AD715">
        <f t="shared" si="117"/>
        <v>8</v>
      </c>
      <c r="AE715">
        <f t="shared" si="118"/>
        <v>2025</v>
      </c>
      <c r="AF715" t="str">
        <f t="shared" si="119"/>
        <v>CLEAN</v>
      </c>
    </row>
    <row r="716" spans="1:32">
      <c r="A716" t="s">
        <v>1539</v>
      </c>
      <c r="B716" s="10">
        <v>45662</v>
      </c>
      <c r="C716" s="10">
        <v>45666</v>
      </c>
      <c r="D716">
        <f t="shared" si="110"/>
        <v>4</v>
      </c>
      <c r="E716" t="str">
        <f t="shared" si="111"/>
        <v>OK</v>
      </c>
      <c r="F716" t="s">
        <v>1540</v>
      </c>
      <c r="G716" t="s">
        <v>78</v>
      </c>
      <c r="H716" t="s">
        <v>36</v>
      </c>
      <c r="I716" t="s">
        <v>53</v>
      </c>
      <c r="J716" t="s">
        <v>246</v>
      </c>
      <c r="K716" t="s">
        <v>247</v>
      </c>
      <c r="L716" t="s">
        <v>27</v>
      </c>
      <c r="M716" t="s">
        <v>123</v>
      </c>
      <c r="N716" t="s">
        <v>1541</v>
      </c>
      <c r="O716" t="s">
        <v>2762</v>
      </c>
      <c r="P716">
        <v>5</v>
      </c>
      <c r="Q716">
        <v>905.16</v>
      </c>
      <c r="R716">
        <v>0</v>
      </c>
      <c r="S716" t="str">
        <f t="shared" si="112"/>
        <v>OK</v>
      </c>
      <c r="T716">
        <v>4525.8</v>
      </c>
      <c r="U716">
        <v>2714.51</v>
      </c>
      <c r="V716">
        <v>1811.29</v>
      </c>
      <c r="W716" t="s">
        <v>31</v>
      </c>
      <c r="X716" t="s">
        <v>32</v>
      </c>
      <c r="Y716" t="str">
        <f>IF(COUNTIF($A$2:$A$901,A716)&gt;1,
  IF(COUNTIF($A$2:A716,A716)=1,
    " ORIGINAL",
    "CONFLICTING DUPLICATE - REVIEW"),
"OK")</f>
        <v>OK</v>
      </c>
      <c r="Z716">
        <f t="shared" si="113"/>
        <v>0</v>
      </c>
      <c r="AA716">
        <f t="shared" si="114"/>
        <v>4525.8</v>
      </c>
      <c r="AB716">
        <f t="shared" si="115"/>
        <v>1811.29</v>
      </c>
      <c r="AC716">
        <f t="shared" si="116"/>
        <v>0.4002</v>
      </c>
      <c r="AD716">
        <f t="shared" si="117"/>
        <v>1</v>
      </c>
      <c r="AE716">
        <f t="shared" si="118"/>
        <v>2025</v>
      </c>
      <c r="AF716" t="str">
        <f t="shared" si="119"/>
        <v>WARNING</v>
      </c>
    </row>
    <row r="717" spans="1:32">
      <c r="A717" t="s">
        <v>1542</v>
      </c>
      <c r="B717" s="10">
        <v>45813</v>
      </c>
      <c r="C717" s="10">
        <v>45821</v>
      </c>
      <c r="D717">
        <f t="shared" si="110"/>
        <v>8</v>
      </c>
      <c r="E717" t="str">
        <f t="shared" si="111"/>
        <v>OK</v>
      </c>
      <c r="F717" t="s">
        <v>1543</v>
      </c>
      <c r="G717" t="s">
        <v>46</v>
      </c>
      <c r="H717" t="s">
        <v>23</v>
      </c>
      <c r="I717" t="s">
        <v>24</v>
      </c>
      <c r="J717" t="s">
        <v>135</v>
      </c>
      <c r="K717" t="s">
        <v>136</v>
      </c>
      <c r="L717" t="s">
        <v>73</v>
      </c>
      <c r="M717" t="s">
        <v>273</v>
      </c>
      <c r="N717" t="s">
        <v>1544</v>
      </c>
      <c r="O717" t="s">
        <v>43</v>
      </c>
      <c r="P717">
        <v>4</v>
      </c>
      <c r="Q717">
        <v>2793.88</v>
      </c>
      <c r="R717" t="s">
        <v>766</v>
      </c>
      <c r="S717" t="str">
        <f t="shared" si="112"/>
        <v>INVALID-ABOVE</v>
      </c>
      <c r="T717">
        <v>10616.74</v>
      </c>
      <c r="U717">
        <v>6353.59</v>
      </c>
      <c r="V717">
        <v>4263.1499999999996</v>
      </c>
      <c r="W717" t="s">
        <v>31</v>
      </c>
      <c r="X717" t="s">
        <v>32</v>
      </c>
      <c r="Y717" t="str">
        <f>IF(COUNTIF($A$2:$A$901,A717)&gt;1,
  IF(COUNTIF($A$2:A717,A717)=1,
    " ORIGINAL",
    "CONFLICTING DUPLICATE - REVIEW"),
"OK")</f>
        <v>OK</v>
      </c>
      <c r="Z717">
        <f t="shared" si="113"/>
        <v>0.85</v>
      </c>
      <c r="AA717">
        <f t="shared" si="114"/>
        <v>1676.33</v>
      </c>
      <c r="AB717">
        <f t="shared" si="115"/>
        <v>-4677.26</v>
      </c>
      <c r="AC717">
        <f t="shared" si="116"/>
        <v>-2.7902</v>
      </c>
      <c r="AD717">
        <f t="shared" si="117"/>
        <v>6</v>
      </c>
      <c r="AE717">
        <f t="shared" si="118"/>
        <v>2025</v>
      </c>
      <c r="AF717" t="str">
        <f t="shared" si="119"/>
        <v>INVALID</v>
      </c>
    </row>
    <row r="718" spans="1:32">
      <c r="A718" t="s">
        <v>1554</v>
      </c>
      <c r="B718" s="10">
        <v>45679</v>
      </c>
      <c r="C718" s="10">
        <v>45680</v>
      </c>
      <c r="D718">
        <f t="shared" si="110"/>
        <v>1</v>
      </c>
      <c r="E718" t="str">
        <f t="shared" si="111"/>
        <v>OK</v>
      </c>
      <c r="F718" t="s">
        <v>1555</v>
      </c>
      <c r="G718" t="s">
        <v>117</v>
      </c>
      <c r="H718" t="s">
        <v>89</v>
      </c>
      <c r="I718" t="s">
        <v>62</v>
      </c>
      <c r="J718" t="s">
        <v>189</v>
      </c>
      <c r="K718" t="s">
        <v>190</v>
      </c>
      <c r="L718" t="s">
        <v>40</v>
      </c>
      <c r="M718" t="s">
        <v>157</v>
      </c>
      <c r="N718" t="s">
        <v>1556</v>
      </c>
      <c r="O718" t="s">
        <v>58</v>
      </c>
      <c r="P718">
        <v>4</v>
      </c>
      <c r="Q718">
        <v>2555.19</v>
      </c>
      <c r="R718">
        <v>0.25</v>
      </c>
      <c r="S718" t="str">
        <f t="shared" si="112"/>
        <v>OK</v>
      </c>
      <c r="T718">
        <v>7665.57</v>
      </c>
      <c r="U718">
        <v>5595.6</v>
      </c>
      <c r="V718">
        <v>2069.9699999999998</v>
      </c>
      <c r="W718" t="s">
        <v>31</v>
      </c>
      <c r="X718" t="s">
        <v>32</v>
      </c>
      <c r="Y718" t="str">
        <f>IF(COUNTIF($A$2:$A$901,A718)&gt;1,
  IF(COUNTIF($A$2:A718,A718)=1,
    " ORIGINAL",
    "CONFLICTING DUPLICATE - REVIEW"),
"OK")</f>
        <v>OK</v>
      </c>
      <c r="Z718">
        <f t="shared" si="113"/>
        <v>0.25</v>
      </c>
      <c r="AA718">
        <f t="shared" si="114"/>
        <v>7665.57</v>
      </c>
      <c r="AB718">
        <f t="shared" si="115"/>
        <v>2069.9699999999998</v>
      </c>
      <c r="AC718">
        <f t="shared" si="116"/>
        <v>0.27</v>
      </c>
      <c r="AD718">
        <f t="shared" si="117"/>
        <v>1</v>
      </c>
      <c r="AE718">
        <f t="shared" si="118"/>
        <v>2025</v>
      </c>
      <c r="AF718" t="str">
        <f t="shared" si="119"/>
        <v>CLEAN</v>
      </c>
    </row>
    <row r="719" spans="1:32">
      <c r="A719" t="s">
        <v>1557</v>
      </c>
      <c r="B719" s="10">
        <v>45830</v>
      </c>
      <c r="C719" s="10">
        <v>45834</v>
      </c>
      <c r="D719">
        <f t="shared" si="110"/>
        <v>4</v>
      </c>
      <c r="E719" t="str">
        <f t="shared" si="111"/>
        <v>OK</v>
      </c>
      <c r="F719" t="s">
        <v>1558</v>
      </c>
      <c r="G719" t="s">
        <v>117</v>
      </c>
      <c r="H719" t="s">
        <v>89</v>
      </c>
      <c r="I719" t="s">
        <v>62</v>
      </c>
      <c r="J719" t="s">
        <v>189</v>
      </c>
      <c r="K719" t="s">
        <v>190</v>
      </c>
      <c r="L719" t="s">
        <v>40</v>
      </c>
      <c r="M719" t="s">
        <v>41</v>
      </c>
      <c r="N719" t="s">
        <v>1559</v>
      </c>
      <c r="O719" t="s">
        <v>58</v>
      </c>
      <c r="P719">
        <v>3</v>
      </c>
      <c r="Q719">
        <v>1946.18</v>
      </c>
      <c r="R719">
        <v>0.2</v>
      </c>
      <c r="S719" t="str">
        <f t="shared" si="112"/>
        <v>OK</v>
      </c>
      <c r="T719">
        <v>4670.83</v>
      </c>
      <c r="U719">
        <v>3166.49</v>
      </c>
      <c r="V719">
        <v>1504.34</v>
      </c>
      <c r="W719" t="s">
        <v>31</v>
      </c>
      <c r="X719" t="s">
        <v>32</v>
      </c>
      <c r="Y719" t="str">
        <f>IF(COUNTIF($A$2:$A$901,A719)&gt;1,
  IF(COUNTIF($A$2:A719,A719)=1,
    " ORIGINAL",
    "CONFLICTING DUPLICATE - REVIEW"),
"OK")</f>
        <v>OK</v>
      </c>
      <c r="Z719">
        <f t="shared" si="113"/>
        <v>0.2</v>
      </c>
      <c r="AA719">
        <f t="shared" si="114"/>
        <v>4670.83</v>
      </c>
      <c r="AB719">
        <f t="shared" si="115"/>
        <v>1504.34</v>
      </c>
      <c r="AC719">
        <f t="shared" si="116"/>
        <v>0.3221</v>
      </c>
      <c r="AD719">
        <f t="shared" si="117"/>
        <v>6</v>
      </c>
      <c r="AE719">
        <f t="shared" si="118"/>
        <v>2025</v>
      </c>
      <c r="AF719" t="str">
        <f t="shared" si="119"/>
        <v>CLEAN</v>
      </c>
    </row>
    <row r="720" spans="1:32">
      <c r="A720" t="s">
        <v>1560</v>
      </c>
      <c r="B720" s="10">
        <v>45818</v>
      </c>
      <c r="C720" s="10">
        <v>45825</v>
      </c>
      <c r="D720">
        <f t="shared" si="110"/>
        <v>7</v>
      </c>
      <c r="E720" t="str">
        <f t="shared" si="111"/>
        <v>OK</v>
      </c>
      <c r="F720" t="s">
        <v>1561</v>
      </c>
      <c r="G720" t="s">
        <v>117</v>
      </c>
      <c r="H720" t="s">
        <v>89</v>
      </c>
      <c r="I720" t="s">
        <v>53</v>
      </c>
      <c r="J720" t="s">
        <v>54</v>
      </c>
      <c r="K720" t="s">
        <v>55</v>
      </c>
      <c r="L720" t="s">
        <v>40</v>
      </c>
      <c r="M720" t="s">
        <v>56</v>
      </c>
      <c r="N720" t="s">
        <v>1562</v>
      </c>
      <c r="O720" t="s">
        <v>58</v>
      </c>
      <c r="P720">
        <v>5</v>
      </c>
      <c r="Q720">
        <v>1231.0999999999999</v>
      </c>
      <c r="R720">
        <v>0</v>
      </c>
      <c r="S720" t="str">
        <f t="shared" si="112"/>
        <v>OK</v>
      </c>
      <c r="T720">
        <v>6155.5</v>
      </c>
      <c r="U720">
        <v>4282.09</v>
      </c>
      <c r="V720">
        <v>1873.41</v>
      </c>
      <c r="W720" t="s">
        <v>101</v>
      </c>
      <c r="X720" t="s">
        <v>102</v>
      </c>
      <c r="Y720" t="str">
        <f>IF(COUNTIF($A$2:$A$901,A720)&gt;1,
  IF(COUNTIF($A$2:A720,A720)=1,
    " ORIGINAL",
    "CONFLICTING DUPLICATE - REVIEW"),
"OK")</f>
        <v>OK</v>
      </c>
      <c r="Z720">
        <f t="shared" si="113"/>
        <v>0</v>
      </c>
      <c r="AA720">
        <f t="shared" si="114"/>
        <v>6155.5</v>
      </c>
      <c r="AB720">
        <f t="shared" si="115"/>
        <v>1873.41</v>
      </c>
      <c r="AC720">
        <f t="shared" si="116"/>
        <v>0.30430000000000001</v>
      </c>
      <c r="AD720">
        <f t="shared" si="117"/>
        <v>6</v>
      </c>
      <c r="AE720">
        <f t="shared" si="118"/>
        <v>2025</v>
      </c>
      <c r="AF720" t="str">
        <f t="shared" si="119"/>
        <v>CLEAN</v>
      </c>
    </row>
    <row r="721" spans="1:32">
      <c r="A721" t="s">
        <v>1572</v>
      </c>
      <c r="B721" s="10">
        <v>45776</v>
      </c>
      <c r="C721" s="10">
        <v>45777</v>
      </c>
      <c r="D721">
        <f t="shared" si="110"/>
        <v>1</v>
      </c>
      <c r="E721" t="str">
        <f t="shared" si="111"/>
        <v>OK</v>
      </c>
      <c r="F721" t="s">
        <v>1573</v>
      </c>
      <c r="G721" t="s">
        <v>35</v>
      </c>
      <c r="H721" t="s">
        <v>89</v>
      </c>
      <c r="I721" t="s">
        <v>53</v>
      </c>
      <c r="J721" t="s">
        <v>184</v>
      </c>
      <c r="K721" t="s">
        <v>185</v>
      </c>
      <c r="L721" t="s">
        <v>73</v>
      </c>
      <c r="M721" t="s">
        <v>74</v>
      </c>
      <c r="N721" t="s">
        <v>1574</v>
      </c>
      <c r="O721" t="s">
        <v>58</v>
      </c>
      <c r="P721">
        <v>4</v>
      </c>
      <c r="Q721">
        <v>606.58000000000004</v>
      </c>
      <c r="R721">
        <v>0.2</v>
      </c>
      <c r="S721" t="str">
        <f t="shared" si="112"/>
        <v>OK</v>
      </c>
      <c r="T721">
        <v>1941.06</v>
      </c>
      <c r="U721">
        <v>1207.42</v>
      </c>
      <c r="V721">
        <v>733.64</v>
      </c>
      <c r="W721" t="s">
        <v>31</v>
      </c>
      <c r="X721" t="s">
        <v>32</v>
      </c>
      <c r="Y721" t="str">
        <f>IF(COUNTIF($A$2:$A$901,A721)&gt;1,
  IF(COUNTIF($A$2:A721,A721)=1,
    " ORIGINAL",
    "CONFLICTING DUPLICATE - REVIEW"),
"OK")</f>
        <v>OK</v>
      </c>
      <c r="Z721">
        <f t="shared" si="113"/>
        <v>0.2</v>
      </c>
      <c r="AA721">
        <f t="shared" si="114"/>
        <v>1941.06</v>
      </c>
      <c r="AB721">
        <f t="shared" si="115"/>
        <v>733.64</v>
      </c>
      <c r="AC721">
        <f t="shared" si="116"/>
        <v>0.378</v>
      </c>
      <c r="AD721">
        <f t="shared" si="117"/>
        <v>4</v>
      </c>
      <c r="AE721">
        <f t="shared" si="118"/>
        <v>2025</v>
      </c>
      <c r="AF721" t="str">
        <f t="shared" si="119"/>
        <v>CLEAN</v>
      </c>
    </row>
    <row r="722" spans="1:32">
      <c r="A722" t="s">
        <v>1575</v>
      </c>
      <c r="B722" s="10">
        <v>45836</v>
      </c>
      <c r="C722" s="10">
        <v>45840</v>
      </c>
      <c r="D722">
        <f t="shared" si="110"/>
        <v>4</v>
      </c>
      <c r="E722" t="str">
        <f t="shared" si="111"/>
        <v>OK</v>
      </c>
      <c r="F722" t="s">
        <v>1576</v>
      </c>
      <c r="G722" t="s">
        <v>61</v>
      </c>
      <c r="H722" t="s">
        <v>89</v>
      </c>
      <c r="I722" t="s">
        <v>53</v>
      </c>
      <c r="J722" t="s">
        <v>83</v>
      </c>
      <c r="K722" t="s">
        <v>84</v>
      </c>
      <c r="L722" t="s">
        <v>27</v>
      </c>
      <c r="M722" t="s">
        <v>123</v>
      </c>
      <c r="N722" t="s">
        <v>1577</v>
      </c>
      <c r="O722" t="s">
        <v>30</v>
      </c>
      <c r="P722">
        <v>2</v>
      </c>
      <c r="Q722">
        <v>2725.44</v>
      </c>
      <c r="R722">
        <v>0.25</v>
      </c>
      <c r="S722" t="str">
        <f t="shared" si="112"/>
        <v>OK</v>
      </c>
      <c r="T722">
        <v>4088.16</v>
      </c>
      <c r="U722">
        <v>3205.68</v>
      </c>
      <c r="V722">
        <v>882.48</v>
      </c>
      <c r="W722" t="s">
        <v>31</v>
      </c>
      <c r="X722" t="s">
        <v>32</v>
      </c>
      <c r="Y722" t="str">
        <f>IF(COUNTIF($A$2:$A$901,A722)&gt;1,
  IF(COUNTIF($A$2:A722,A722)=1,
    " ORIGINAL",
    "CONFLICTING DUPLICATE - REVIEW"),
"OK")</f>
        <v>OK</v>
      </c>
      <c r="Z722">
        <f t="shared" si="113"/>
        <v>0.25</v>
      </c>
      <c r="AA722">
        <f t="shared" si="114"/>
        <v>4088.16</v>
      </c>
      <c r="AB722">
        <f t="shared" si="115"/>
        <v>882.48</v>
      </c>
      <c r="AC722">
        <f t="shared" si="116"/>
        <v>0.21590000000000001</v>
      </c>
      <c r="AD722">
        <f t="shared" si="117"/>
        <v>6</v>
      </c>
      <c r="AE722">
        <f t="shared" si="118"/>
        <v>2025</v>
      </c>
      <c r="AF722" t="str">
        <f t="shared" si="119"/>
        <v>CLEAN</v>
      </c>
    </row>
    <row r="723" spans="1:32">
      <c r="A723" t="s">
        <v>1578</v>
      </c>
      <c r="B723" s="10">
        <v>45701</v>
      </c>
      <c r="C723" s="10">
        <v>45701</v>
      </c>
      <c r="D723">
        <f t="shared" si="110"/>
        <v>0</v>
      </c>
      <c r="E723" t="str">
        <f t="shared" si="111"/>
        <v>OK</v>
      </c>
      <c r="F723" t="s">
        <v>1579</v>
      </c>
      <c r="G723" t="s">
        <v>263</v>
      </c>
      <c r="H723" t="s">
        <v>89</v>
      </c>
      <c r="I723" t="s">
        <v>37</v>
      </c>
      <c r="J723" t="s">
        <v>38</v>
      </c>
      <c r="K723" t="s">
        <v>39</v>
      </c>
      <c r="L723" t="s">
        <v>27</v>
      </c>
      <c r="M723" t="s">
        <v>28</v>
      </c>
      <c r="N723" t="s">
        <v>1580</v>
      </c>
      <c r="O723" t="s">
        <v>30</v>
      </c>
      <c r="P723">
        <v>7</v>
      </c>
      <c r="Q723">
        <v>2296.6999999999998</v>
      </c>
      <c r="R723">
        <v>0.05</v>
      </c>
      <c r="S723" t="str">
        <f t="shared" si="112"/>
        <v>OK</v>
      </c>
      <c r="T723">
        <v>15273.05</v>
      </c>
      <c r="U723">
        <v>11088.76</v>
      </c>
      <c r="V723">
        <v>4184.29</v>
      </c>
      <c r="W723" t="s">
        <v>31</v>
      </c>
      <c r="X723" t="s">
        <v>32</v>
      </c>
      <c r="Y723" t="str">
        <f>IF(COUNTIF($A$2:$A$901,A723)&gt;1,
  IF(COUNTIF($A$2:A723,A723)=1,
    " ORIGINAL",
    "CONFLICTING DUPLICATE - REVIEW"),
"OK")</f>
        <v>OK</v>
      </c>
      <c r="Z723">
        <f t="shared" si="113"/>
        <v>0.05</v>
      </c>
      <c r="AA723">
        <f t="shared" si="114"/>
        <v>15273.06</v>
      </c>
      <c r="AB723">
        <f t="shared" si="115"/>
        <v>4184.3</v>
      </c>
      <c r="AC723">
        <f t="shared" si="116"/>
        <v>0.27400000000000002</v>
      </c>
      <c r="AD723">
        <f t="shared" si="117"/>
        <v>2</v>
      </c>
      <c r="AE723">
        <f t="shared" si="118"/>
        <v>2025</v>
      </c>
      <c r="AF723" t="str">
        <f t="shared" si="119"/>
        <v>CLEAN</v>
      </c>
    </row>
    <row r="724" spans="1:32">
      <c r="A724" t="s">
        <v>1587</v>
      </c>
      <c r="B724" s="10">
        <v>45842</v>
      </c>
      <c r="C724" s="10">
        <v>45844</v>
      </c>
      <c r="D724">
        <f t="shared" si="110"/>
        <v>2</v>
      </c>
      <c r="E724" t="str">
        <f t="shared" si="111"/>
        <v>OK</v>
      </c>
      <c r="F724" t="s">
        <v>1588</v>
      </c>
      <c r="G724" t="s">
        <v>263</v>
      </c>
      <c r="H724" t="s">
        <v>36</v>
      </c>
      <c r="I724" t="s">
        <v>37</v>
      </c>
      <c r="J724" t="s">
        <v>227</v>
      </c>
      <c r="K724" t="s">
        <v>228</v>
      </c>
      <c r="L724" t="s">
        <v>40</v>
      </c>
      <c r="M724" t="s">
        <v>65</v>
      </c>
      <c r="N724" t="s">
        <v>1589</v>
      </c>
      <c r="O724" t="s">
        <v>30</v>
      </c>
      <c r="P724">
        <v>2</v>
      </c>
      <c r="Q724">
        <v>3686.42</v>
      </c>
      <c r="R724">
        <v>0.1</v>
      </c>
      <c r="S724" t="str">
        <f t="shared" si="112"/>
        <v>OK</v>
      </c>
      <c r="T724">
        <v>6635.56</v>
      </c>
      <c r="U724">
        <v>3652.91</v>
      </c>
      <c r="V724">
        <v>2982.65</v>
      </c>
      <c r="W724" t="s">
        <v>31</v>
      </c>
      <c r="X724" t="s">
        <v>32</v>
      </c>
      <c r="Y724" t="str">
        <f>IF(COUNTIF($A$2:$A$901,A724)&gt;1,
  IF(COUNTIF($A$2:A724,A724)=1,
    " ORIGINAL",
    "CONFLICTING DUPLICATE - REVIEW"),
"OK")</f>
        <v>OK</v>
      </c>
      <c r="Z724">
        <f t="shared" si="113"/>
        <v>0.1</v>
      </c>
      <c r="AA724">
        <f t="shared" si="114"/>
        <v>6635.56</v>
      </c>
      <c r="AB724">
        <f t="shared" si="115"/>
        <v>2982.65</v>
      </c>
      <c r="AC724">
        <f t="shared" si="116"/>
        <v>0.44950000000000001</v>
      </c>
      <c r="AD724">
        <f t="shared" si="117"/>
        <v>7</v>
      </c>
      <c r="AE724">
        <f t="shared" si="118"/>
        <v>2025</v>
      </c>
      <c r="AF724" t="str">
        <f t="shared" si="119"/>
        <v>CLEAN</v>
      </c>
    </row>
    <row r="725" spans="1:32">
      <c r="A725" t="s">
        <v>1593</v>
      </c>
      <c r="B725" s="10">
        <v>45907</v>
      </c>
      <c r="C725" s="10">
        <v>45910</v>
      </c>
      <c r="D725">
        <f t="shared" si="110"/>
        <v>3</v>
      </c>
      <c r="E725" t="str">
        <f t="shared" si="111"/>
        <v>OK</v>
      </c>
      <c r="F725" t="s">
        <v>1594</v>
      </c>
      <c r="G725" t="s">
        <v>22</v>
      </c>
      <c r="H725" t="s">
        <v>23</v>
      </c>
      <c r="I725" t="s">
        <v>24</v>
      </c>
      <c r="J725" t="s">
        <v>121</v>
      </c>
      <c r="K725" t="s">
        <v>122</v>
      </c>
      <c r="L725" t="s">
        <v>40</v>
      </c>
      <c r="M725" t="s">
        <v>65</v>
      </c>
      <c r="N725" t="s">
        <v>1595</v>
      </c>
      <c r="O725" t="s">
        <v>43</v>
      </c>
      <c r="P725">
        <v>2</v>
      </c>
      <c r="Q725">
        <v>447.55</v>
      </c>
      <c r="R725">
        <v>0.05</v>
      </c>
      <c r="S725" t="str">
        <f t="shared" si="112"/>
        <v>OK</v>
      </c>
      <c r="T725">
        <v>850.35</v>
      </c>
      <c r="U725">
        <v>600.98</v>
      </c>
      <c r="V725">
        <v>249.37</v>
      </c>
      <c r="W725" t="s">
        <v>101</v>
      </c>
      <c r="X725" t="s">
        <v>67</v>
      </c>
      <c r="Y725" t="str">
        <f>IF(COUNTIF($A$2:$A$901,A725)&gt;1,
  IF(COUNTIF($A$2:A725,A725)=1,
    " ORIGINAL",
    "CONFLICTING DUPLICATE - REVIEW"),
"OK")</f>
        <v>OK</v>
      </c>
      <c r="Z725">
        <f t="shared" si="113"/>
        <v>0.05</v>
      </c>
      <c r="AA725">
        <f t="shared" si="114"/>
        <v>850.35</v>
      </c>
      <c r="AB725">
        <f t="shared" si="115"/>
        <v>249.37</v>
      </c>
      <c r="AC725">
        <f t="shared" si="116"/>
        <v>0.29330000000000001</v>
      </c>
      <c r="AD725">
        <f t="shared" si="117"/>
        <v>9</v>
      </c>
      <c r="AE725">
        <f t="shared" si="118"/>
        <v>2025</v>
      </c>
      <c r="AF725" t="str">
        <f t="shared" si="119"/>
        <v>CLEAN</v>
      </c>
    </row>
    <row r="726" spans="1:32">
      <c r="A726" t="s">
        <v>1610</v>
      </c>
      <c r="B726" s="10">
        <v>45700</v>
      </c>
      <c r="C726" s="10">
        <v>45705</v>
      </c>
      <c r="D726">
        <f t="shared" si="110"/>
        <v>5</v>
      </c>
      <c r="E726" t="str">
        <f t="shared" si="111"/>
        <v>OK</v>
      </c>
      <c r="F726" t="s">
        <v>1611</v>
      </c>
      <c r="G726" t="s">
        <v>52</v>
      </c>
      <c r="H726" t="s">
        <v>89</v>
      </c>
      <c r="I726" t="s">
        <v>62</v>
      </c>
      <c r="J726" t="s">
        <v>179</v>
      </c>
      <c r="K726" t="s">
        <v>180</v>
      </c>
      <c r="L726" t="s">
        <v>27</v>
      </c>
      <c r="M726" t="s">
        <v>47</v>
      </c>
      <c r="N726" t="s">
        <v>1612</v>
      </c>
      <c r="O726" t="s">
        <v>58</v>
      </c>
      <c r="P726">
        <v>4</v>
      </c>
      <c r="Q726">
        <v>4328.12</v>
      </c>
      <c r="R726">
        <v>0</v>
      </c>
      <c r="S726" t="str">
        <f t="shared" si="112"/>
        <v>OK</v>
      </c>
      <c r="T726">
        <v>17312.48</v>
      </c>
      <c r="U726">
        <v>14424.22</v>
      </c>
      <c r="V726">
        <v>2888.26</v>
      </c>
      <c r="W726" t="s">
        <v>31</v>
      </c>
      <c r="X726" t="s">
        <v>32</v>
      </c>
      <c r="Y726" t="str">
        <f>IF(COUNTIF($A$2:$A$901,A726)&gt;1,
  IF(COUNTIF($A$2:A726,A726)=1,
    " ORIGINAL",
    "CONFLICTING DUPLICATE - REVIEW"),
"OK")</f>
        <v>OK</v>
      </c>
      <c r="Z726">
        <f t="shared" si="113"/>
        <v>0</v>
      </c>
      <c r="AA726">
        <f t="shared" si="114"/>
        <v>17312.48</v>
      </c>
      <c r="AB726">
        <f t="shared" si="115"/>
        <v>2888.26</v>
      </c>
      <c r="AC726">
        <f t="shared" si="116"/>
        <v>0.1668</v>
      </c>
      <c r="AD726">
        <f t="shared" si="117"/>
        <v>2</v>
      </c>
      <c r="AE726">
        <f t="shared" si="118"/>
        <v>2025</v>
      </c>
      <c r="AF726" t="str">
        <f t="shared" si="119"/>
        <v>CLEAN</v>
      </c>
    </row>
    <row r="727" spans="1:32">
      <c r="A727" t="s">
        <v>1619</v>
      </c>
      <c r="B727" s="10">
        <v>45762</v>
      </c>
      <c r="C727" s="10">
        <v>45769</v>
      </c>
      <c r="D727">
        <f t="shared" si="110"/>
        <v>7</v>
      </c>
      <c r="E727" t="str">
        <f t="shared" si="111"/>
        <v>OK</v>
      </c>
      <c r="F727" t="s">
        <v>1620</v>
      </c>
      <c r="G727" t="s">
        <v>46</v>
      </c>
      <c r="H727" t="s">
        <v>36</v>
      </c>
      <c r="I727" t="s">
        <v>24</v>
      </c>
      <c r="J727" t="s">
        <v>235</v>
      </c>
      <c r="K727" t="s">
        <v>236</v>
      </c>
      <c r="L727" t="s">
        <v>27</v>
      </c>
      <c r="M727" t="s">
        <v>152</v>
      </c>
      <c r="N727" t="s">
        <v>1621</v>
      </c>
      <c r="O727" t="s">
        <v>43</v>
      </c>
      <c r="P727">
        <v>4</v>
      </c>
      <c r="Q727">
        <v>2990.42</v>
      </c>
      <c r="R727">
        <v>0.25</v>
      </c>
      <c r="S727" t="str">
        <f t="shared" si="112"/>
        <v>OK</v>
      </c>
      <c r="T727">
        <v>8971.26</v>
      </c>
      <c r="U727">
        <v>6814.35</v>
      </c>
      <c r="V727">
        <v>2156.91</v>
      </c>
      <c r="W727" t="s">
        <v>31</v>
      </c>
      <c r="X727" t="s">
        <v>32</v>
      </c>
      <c r="Y727" t="str">
        <f>IF(COUNTIF($A$2:$A$901,A727)&gt;1,
  IF(COUNTIF($A$2:A727,A727)=1,
    " ORIGINAL",
    "CONFLICTING DUPLICATE - REVIEW"),
"OK")</f>
        <v>OK</v>
      </c>
      <c r="Z727">
        <f t="shared" si="113"/>
        <v>0.25</v>
      </c>
      <c r="AA727">
        <f t="shared" si="114"/>
        <v>8971.26</v>
      </c>
      <c r="AB727">
        <f t="shared" si="115"/>
        <v>2156.91</v>
      </c>
      <c r="AC727">
        <f t="shared" si="116"/>
        <v>0.2404</v>
      </c>
      <c r="AD727">
        <f t="shared" si="117"/>
        <v>4</v>
      </c>
      <c r="AE727">
        <f t="shared" si="118"/>
        <v>2025</v>
      </c>
      <c r="AF727" t="str">
        <f t="shared" si="119"/>
        <v>CLEAN</v>
      </c>
    </row>
    <row r="728" spans="1:32">
      <c r="A728" t="s">
        <v>1625</v>
      </c>
      <c r="B728" s="10">
        <v>45789</v>
      </c>
      <c r="C728" s="10">
        <v>45791</v>
      </c>
      <c r="D728">
        <f t="shared" si="110"/>
        <v>2</v>
      </c>
      <c r="E728" t="str">
        <f t="shared" si="111"/>
        <v>OK</v>
      </c>
      <c r="F728" t="s">
        <v>1626</v>
      </c>
      <c r="G728" t="s">
        <v>78</v>
      </c>
      <c r="H728" t="s">
        <v>23</v>
      </c>
      <c r="I728" t="s">
        <v>62</v>
      </c>
      <c r="J728" t="s">
        <v>179</v>
      </c>
      <c r="K728" t="s">
        <v>180</v>
      </c>
      <c r="L728" t="s">
        <v>73</v>
      </c>
      <c r="M728" t="s">
        <v>273</v>
      </c>
      <c r="N728" t="s">
        <v>1627</v>
      </c>
      <c r="O728" t="s">
        <v>43</v>
      </c>
      <c r="P728">
        <v>8</v>
      </c>
      <c r="Q728">
        <v>3631.44</v>
      </c>
      <c r="R728">
        <v>0.2</v>
      </c>
      <c r="S728" t="str">
        <f t="shared" si="112"/>
        <v>OK</v>
      </c>
      <c r="T728">
        <v>23241.22</v>
      </c>
      <c r="U728">
        <v>17220.900000000001</v>
      </c>
      <c r="V728">
        <v>6020.32</v>
      </c>
      <c r="W728" t="s">
        <v>31</v>
      </c>
      <c r="X728" t="s">
        <v>32</v>
      </c>
      <c r="Y728" t="str">
        <f>IF(COUNTIF($A$2:$A$901,A728)&gt;1,
  IF(COUNTIF($A$2:A728,A728)=1,
    " ORIGINAL",
    "CONFLICTING DUPLICATE - REVIEW"),
"OK")</f>
        <v>OK</v>
      </c>
      <c r="Z728">
        <f t="shared" si="113"/>
        <v>0.2</v>
      </c>
      <c r="AA728">
        <f t="shared" si="114"/>
        <v>23241.22</v>
      </c>
      <c r="AB728">
        <f t="shared" si="115"/>
        <v>6020.32</v>
      </c>
      <c r="AC728">
        <f t="shared" si="116"/>
        <v>0.25900000000000001</v>
      </c>
      <c r="AD728">
        <f t="shared" si="117"/>
        <v>5</v>
      </c>
      <c r="AE728">
        <f t="shared" si="118"/>
        <v>2025</v>
      </c>
      <c r="AF728" t="str">
        <f t="shared" si="119"/>
        <v>CLEAN</v>
      </c>
    </row>
    <row r="729" spans="1:32">
      <c r="A729" t="s">
        <v>1634</v>
      </c>
      <c r="B729" s="10">
        <v>45718</v>
      </c>
      <c r="C729" s="10">
        <v>45719</v>
      </c>
      <c r="D729">
        <f t="shared" si="110"/>
        <v>1</v>
      </c>
      <c r="E729" t="str">
        <f t="shared" si="111"/>
        <v>OK</v>
      </c>
      <c r="F729" t="s">
        <v>1246</v>
      </c>
      <c r="G729" t="s">
        <v>46</v>
      </c>
      <c r="H729" t="s">
        <v>89</v>
      </c>
      <c r="I729" t="s">
        <v>53</v>
      </c>
      <c r="J729" t="s">
        <v>184</v>
      </c>
      <c r="K729" t="s">
        <v>185</v>
      </c>
      <c r="L729" t="s">
        <v>27</v>
      </c>
      <c r="M729" t="s">
        <v>90</v>
      </c>
      <c r="N729" t="s">
        <v>1635</v>
      </c>
      <c r="O729" t="s">
        <v>30</v>
      </c>
      <c r="P729">
        <v>2</v>
      </c>
      <c r="Q729">
        <v>4031.45</v>
      </c>
      <c r="R729">
        <v>0.25</v>
      </c>
      <c r="S729" t="str">
        <f t="shared" si="112"/>
        <v>OK</v>
      </c>
      <c r="T729">
        <v>6047.17</v>
      </c>
      <c r="U729">
        <v>3368.79</v>
      </c>
      <c r="V729">
        <v>2678.38</v>
      </c>
      <c r="W729" t="s">
        <v>31</v>
      </c>
      <c r="X729" t="s">
        <v>32</v>
      </c>
      <c r="Y729" t="str">
        <f>IF(COUNTIF($A$2:$A$901,A729)&gt;1,
  IF(COUNTIF($A$2:A729,A729)=1,
    " ORIGINAL",
    "CONFLICTING DUPLICATE - REVIEW"),
"OK")</f>
        <v>OK</v>
      </c>
      <c r="Z729">
        <f t="shared" si="113"/>
        <v>0.25</v>
      </c>
      <c r="AA729">
        <f t="shared" si="114"/>
        <v>6047.18</v>
      </c>
      <c r="AB729">
        <f t="shared" si="115"/>
        <v>2678.39</v>
      </c>
      <c r="AC729">
        <f t="shared" si="116"/>
        <v>0.44290000000000002</v>
      </c>
      <c r="AD729">
        <f t="shared" si="117"/>
        <v>3</v>
      </c>
      <c r="AE729">
        <f t="shared" si="118"/>
        <v>2025</v>
      </c>
      <c r="AF729" t="str">
        <f t="shared" si="119"/>
        <v>CLEAN</v>
      </c>
    </row>
    <row r="730" spans="1:32">
      <c r="A730" t="s">
        <v>1636</v>
      </c>
      <c r="B730" s="10">
        <v>45835</v>
      </c>
      <c r="C730" s="10">
        <v>45840</v>
      </c>
      <c r="D730">
        <f t="shared" si="110"/>
        <v>5</v>
      </c>
      <c r="E730" t="str">
        <f t="shared" si="111"/>
        <v>OK</v>
      </c>
      <c r="F730" t="s">
        <v>1637</v>
      </c>
      <c r="G730" t="s">
        <v>127</v>
      </c>
      <c r="H730" t="s">
        <v>89</v>
      </c>
      <c r="I730" t="s">
        <v>53</v>
      </c>
      <c r="J730" t="s">
        <v>184</v>
      </c>
      <c r="K730" t="s">
        <v>185</v>
      </c>
      <c r="L730" t="s">
        <v>73</v>
      </c>
      <c r="M730" t="s">
        <v>74</v>
      </c>
      <c r="N730" t="s">
        <v>1638</v>
      </c>
      <c r="O730" t="s">
        <v>49</v>
      </c>
      <c r="P730">
        <v>6</v>
      </c>
      <c r="Q730">
        <v>1099.49</v>
      </c>
      <c r="R730">
        <v>0.1</v>
      </c>
      <c r="S730" t="str">
        <f t="shared" si="112"/>
        <v>OK</v>
      </c>
      <c r="T730">
        <v>6212.38</v>
      </c>
      <c r="U730">
        <v>4088.46</v>
      </c>
      <c r="V730">
        <v>1848.79</v>
      </c>
      <c r="W730" t="s">
        <v>31</v>
      </c>
      <c r="X730" t="s">
        <v>32</v>
      </c>
      <c r="Y730" t="str">
        <f>IF(COUNTIF($A$2:$A$901,A730)&gt;1,
  IF(COUNTIF($A$2:A730,A730)=1,
    " ORIGINAL",
    "CONFLICTING DUPLICATE - REVIEW"),
"OK")</f>
        <v>OK</v>
      </c>
      <c r="Z730">
        <f t="shared" si="113"/>
        <v>0.1</v>
      </c>
      <c r="AA730">
        <f t="shared" si="114"/>
        <v>5937.25</v>
      </c>
      <c r="AB730">
        <f t="shared" si="115"/>
        <v>1848.79</v>
      </c>
      <c r="AC730">
        <f t="shared" si="116"/>
        <v>0.31140000000000001</v>
      </c>
      <c r="AD730">
        <f t="shared" si="117"/>
        <v>6</v>
      </c>
      <c r="AE730">
        <f t="shared" si="118"/>
        <v>2025</v>
      </c>
      <c r="AF730" t="str">
        <f t="shared" si="119"/>
        <v>CLEAN</v>
      </c>
    </row>
    <row r="731" spans="1:32">
      <c r="A731" t="s">
        <v>1642</v>
      </c>
      <c r="B731" s="10">
        <v>45758</v>
      </c>
      <c r="C731" s="10">
        <v>45758</v>
      </c>
      <c r="D731">
        <f t="shared" si="110"/>
        <v>0</v>
      </c>
      <c r="E731" t="str">
        <f t="shared" si="111"/>
        <v>OK</v>
      </c>
      <c r="F731" t="s">
        <v>1643</v>
      </c>
      <c r="G731" t="s">
        <v>117</v>
      </c>
      <c r="H731" t="s">
        <v>89</v>
      </c>
      <c r="I731" t="s">
        <v>24</v>
      </c>
      <c r="J731" t="s">
        <v>349</v>
      </c>
      <c r="K731" t="s">
        <v>350</v>
      </c>
      <c r="L731" t="s">
        <v>27</v>
      </c>
      <c r="M731" t="s">
        <v>28</v>
      </c>
      <c r="N731" t="s">
        <v>1644</v>
      </c>
      <c r="O731" t="s">
        <v>58</v>
      </c>
      <c r="P731">
        <v>1</v>
      </c>
      <c r="Q731">
        <v>4458.49</v>
      </c>
      <c r="R731">
        <v>-7.0000000000000007E-2</v>
      </c>
      <c r="S731" t="str">
        <f t="shared" si="112"/>
        <v>INVALID-NEGATIVE</v>
      </c>
      <c r="T731">
        <v>3566.79</v>
      </c>
      <c r="U731">
        <v>2083.41</v>
      </c>
      <c r="V731">
        <v>1483.38</v>
      </c>
      <c r="W731" t="s">
        <v>31</v>
      </c>
      <c r="X731" t="s">
        <v>32</v>
      </c>
      <c r="Y731" t="str">
        <f>IF(COUNTIF($A$2:$A$901,A731)&gt;1,
  IF(COUNTIF($A$2:A731,A731)=1,
    " ORIGINAL",
    "CONFLICTING DUPLICATE - REVIEW"),
"OK")</f>
        <v>OK</v>
      </c>
      <c r="Z731">
        <f t="shared" si="113"/>
        <v>0</v>
      </c>
      <c r="AA731">
        <f t="shared" si="114"/>
        <v>4458.49</v>
      </c>
      <c r="AB731">
        <f t="shared" si="115"/>
        <v>2375.08</v>
      </c>
      <c r="AC731">
        <f t="shared" si="116"/>
        <v>0.53269999999999995</v>
      </c>
      <c r="AD731">
        <f t="shared" si="117"/>
        <v>4</v>
      </c>
      <c r="AE731">
        <f t="shared" si="118"/>
        <v>2025</v>
      </c>
      <c r="AF731" t="str">
        <f t="shared" si="119"/>
        <v>INVALID</v>
      </c>
    </row>
    <row r="732" spans="1:32">
      <c r="A732" t="s">
        <v>1648</v>
      </c>
      <c r="B732" s="10">
        <v>45802</v>
      </c>
      <c r="C732" s="10">
        <v>45804</v>
      </c>
      <c r="D732">
        <f t="shared" si="110"/>
        <v>2</v>
      </c>
      <c r="E732" t="str">
        <f t="shared" si="111"/>
        <v>OK</v>
      </c>
      <c r="F732" t="s">
        <v>1649</v>
      </c>
      <c r="G732" t="s">
        <v>117</v>
      </c>
      <c r="H732" t="s">
        <v>23</v>
      </c>
      <c r="I732" t="s">
        <v>37</v>
      </c>
      <c r="J732" t="s">
        <v>38</v>
      </c>
      <c r="K732" t="s">
        <v>39</v>
      </c>
      <c r="L732" t="s">
        <v>40</v>
      </c>
      <c r="M732" t="s">
        <v>56</v>
      </c>
      <c r="N732" t="s">
        <v>1650</v>
      </c>
      <c r="O732" t="s">
        <v>30</v>
      </c>
      <c r="P732">
        <v>7</v>
      </c>
      <c r="Q732">
        <v>2123.2800000000002</v>
      </c>
      <c r="R732">
        <v>0.2</v>
      </c>
      <c r="S732" t="str">
        <f t="shared" si="112"/>
        <v>OK</v>
      </c>
      <c r="T732">
        <v>11890.37</v>
      </c>
      <c r="U732">
        <v>9234.5300000000007</v>
      </c>
      <c r="V732">
        <v>2655.84</v>
      </c>
      <c r="W732" t="s">
        <v>101</v>
      </c>
      <c r="X732" t="s">
        <v>102</v>
      </c>
      <c r="Y732" t="str">
        <f>IF(COUNTIF($A$2:$A$901,A732)&gt;1,
  IF(COUNTIF($A$2:A732,A732)=1,
    " ORIGINAL",
    "CONFLICTING DUPLICATE - REVIEW"),
"OK")</f>
        <v>OK</v>
      </c>
      <c r="Z732">
        <f t="shared" si="113"/>
        <v>0.2</v>
      </c>
      <c r="AA732">
        <f t="shared" si="114"/>
        <v>11890.37</v>
      </c>
      <c r="AB732">
        <f t="shared" si="115"/>
        <v>2655.84</v>
      </c>
      <c r="AC732">
        <f t="shared" si="116"/>
        <v>0.22339999999999999</v>
      </c>
      <c r="AD732">
        <f t="shared" si="117"/>
        <v>5</v>
      </c>
      <c r="AE732">
        <f t="shared" si="118"/>
        <v>2025</v>
      </c>
      <c r="AF732" t="str">
        <f t="shared" si="119"/>
        <v>CLEAN</v>
      </c>
    </row>
    <row r="733" spans="1:32">
      <c r="A733" t="s">
        <v>1651</v>
      </c>
      <c r="B733" s="10">
        <v>45777</v>
      </c>
      <c r="C733" s="10">
        <v>45773</v>
      </c>
      <c r="D733">
        <f t="shared" si="110"/>
        <v>-4</v>
      </c>
      <c r="E733" t="str">
        <f t="shared" si="111"/>
        <v>INVALID</v>
      </c>
      <c r="F733" t="s">
        <v>1652</v>
      </c>
      <c r="G733" t="s">
        <v>161</v>
      </c>
      <c r="H733" t="s">
        <v>89</v>
      </c>
      <c r="I733" t="s">
        <v>37</v>
      </c>
      <c r="J733" t="s">
        <v>38</v>
      </c>
      <c r="K733" t="s">
        <v>39</v>
      </c>
      <c r="L733" t="s">
        <v>40</v>
      </c>
      <c r="M733" t="s">
        <v>41</v>
      </c>
      <c r="N733" t="s">
        <v>1653</v>
      </c>
      <c r="O733" t="s">
        <v>49</v>
      </c>
      <c r="P733">
        <v>7</v>
      </c>
      <c r="Q733">
        <v>1604.13</v>
      </c>
      <c r="R733">
        <v>0.25</v>
      </c>
      <c r="S733" t="str">
        <f t="shared" si="112"/>
        <v>OK</v>
      </c>
      <c r="T733">
        <v>8421.68</v>
      </c>
      <c r="U733">
        <v>6534.47</v>
      </c>
      <c r="V733">
        <v>1887.21</v>
      </c>
      <c r="W733" t="s">
        <v>31</v>
      </c>
      <c r="X733" t="s">
        <v>67</v>
      </c>
      <c r="Y733" t="str">
        <f>IF(COUNTIF($A$2:$A$901,A733)&gt;1,
  IF(COUNTIF($A$2:A733,A733)=1,
    " ORIGINAL",
    "CONFLICTING DUPLICATE - REVIEW"),
"OK")</f>
        <v>OK</v>
      </c>
      <c r="Z733">
        <f t="shared" si="113"/>
        <v>0.25</v>
      </c>
      <c r="AA733">
        <f t="shared" si="114"/>
        <v>8421.68</v>
      </c>
      <c r="AB733">
        <f t="shared" si="115"/>
        <v>1887.21</v>
      </c>
      <c r="AC733">
        <f t="shared" si="116"/>
        <v>0.22409999999999999</v>
      </c>
      <c r="AD733">
        <f t="shared" si="117"/>
        <v>4</v>
      </c>
      <c r="AE733">
        <f t="shared" si="118"/>
        <v>2025</v>
      </c>
      <c r="AF733" t="str">
        <f t="shared" si="119"/>
        <v>INVALID</v>
      </c>
    </row>
    <row r="734" spans="1:32">
      <c r="A734" t="s">
        <v>1654</v>
      </c>
      <c r="B734" s="10">
        <v>45723</v>
      </c>
      <c r="C734" s="10">
        <v>45845</v>
      </c>
      <c r="D734">
        <f t="shared" si="110"/>
        <v>122</v>
      </c>
      <c r="E734" t="str">
        <f t="shared" si="111"/>
        <v>OK</v>
      </c>
      <c r="F734" t="s">
        <v>1655</v>
      </c>
      <c r="G734" t="s">
        <v>113</v>
      </c>
      <c r="H734" t="s">
        <v>23</v>
      </c>
      <c r="I734" t="s">
        <v>24</v>
      </c>
      <c r="J734" t="s">
        <v>135</v>
      </c>
      <c r="K734" t="s">
        <v>136</v>
      </c>
      <c r="L734" t="s">
        <v>40</v>
      </c>
      <c r="M734" t="s">
        <v>41</v>
      </c>
      <c r="N734" t="s">
        <v>1656</v>
      </c>
      <c r="O734" t="s">
        <v>58</v>
      </c>
      <c r="P734">
        <v>4</v>
      </c>
      <c r="Q734">
        <v>4365.21</v>
      </c>
      <c r="R734">
        <v>0.2</v>
      </c>
      <c r="S734" t="str">
        <f t="shared" si="112"/>
        <v>OK</v>
      </c>
      <c r="T734">
        <v>13968.67</v>
      </c>
      <c r="U734">
        <v>8857.58</v>
      </c>
      <c r="V734">
        <v>5111.09</v>
      </c>
      <c r="W734" t="s">
        <v>110</v>
      </c>
      <c r="X734" t="s">
        <v>67</v>
      </c>
      <c r="Y734" t="str">
        <f>IF(COUNTIF($A$2:$A$901,A734)&gt;1,
  IF(COUNTIF($A$2:A734,A734)=1,
    " ORIGINAL",
    "CONFLICTING DUPLICATE - REVIEW"),
"OK")</f>
        <v>OK</v>
      </c>
      <c r="Z734">
        <f t="shared" si="113"/>
        <v>0.2</v>
      </c>
      <c r="AA734">
        <f t="shared" si="114"/>
        <v>13968.67</v>
      </c>
      <c r="AB734">
        <f t="shared" si="115"/>
        <v>5111.09</v>
      </c>
      <c r="AC734">
        <f t="shared" si="116"/>
        <v>0.3659</v>
      </c>
      <c r="AD734">
        <f t="shared" si="117"/>
        <v>3</v>
      </c>
      <c r="AE734">
        <f t="shared" si="118"/>
        <v>2025</v>
      </c>
      <c r="AF734" t="str">
        <f t="shared" si="119"/>
        <v>CLEAN</v>
      </c>
    </row>
    <row r="735" spans="1:32">
      <c r="A735" t="s">
        <v>1660</v>
      </c>
      <c r="B735" s="10">
        <v>45741</v>
      </c>
      <c r="C735" s="10">
        <v>45748</v>
      </c>
      <c r="D735">
        <f t="shared" si="110"/>
        <v>7</v>
      </c>
      <c r="E735" t="str">
        <f t="shared" si="111"/>
        <v>OK</v>
      </c>
      <c r="F735" t="s">
        <v>1661</v>
      </c>
      <c r="G735" t="s">
        <v>161</v>
      </c>
      <c r="H735" t="s">
        <v>23</v>
      </c>
      <c r="I735" t="s">
        <v>24</v>
      </c>
      <c r="J735" t="s">
        <v>121</v>
      </c>
      <c r="K735" t="s">
        <v>122</v>
      </c>
      <c r="L735" t="s">
        <v>27</v>
      </c>
      <c r="M735" t="s">
        <v>90</v>
      </c>
      <c r="N735" t="s">
        <v>1662</v>
      </c>
      <c r="O735" t="s">
        <v>30</v>
      </c>
      <c r="P735">
        <v>6</v>
      </c>
      <c r="Q735">
        <v>2192.11</v>
      </c>
      <c r="R735">
        <v>0.05</v>
      </c>
      <c r="S735" t="str">
        <f t="shared" si="112"/>
        <v>OK</v>
      </c>
      <c r="T735">
        <v>12495.03</v>
      </c>
      <c r="U735">
        <v>9184.52</v>
      </c>
      <c r="V735">
        <v>3310.51</v>
      </c>
      <c r="W735" t="s">
        <v>31</v>
      </c>
      <c r="X735" t="s">
        <v>32</v>
      </c>
      <c r="Y735" t="str">
        <f>IF(COUNTIF($A$2:$A$901,A735)&gt;1,
  IF(COUNTIF($A$2:A735,A735)=1,
    " ORIGINAL",
    "CONFLICTING DUPLICATE - REVIEW"),
"OK")</f>
        <v>OK</v>
      </c>
      <c r="Z735">
        <f t="shared" si="113"/>
        <v>0.05</v>
      </c>
      <c r="AA735">
        <f t="shared" si="114"/>
        <v>12495.03</v>
      </c>
      <c r="AB735">
        <f t="shared" si="115"/>
        <v>3310.51</v>
      </c>
      <c r="AC735">
        <f t="shared" si="116"/>
        <v>0.26490000000000002</v>
      </c>
      <c r="AD735">
        <f t="shared" si="117"/>
        <v>3</v>
      </c>
      <c r="AE735">
        <f t="shared" si="118"/>
        <v>2025</v>
      </c>
      <c r="AF735" t="str">
        <f t="shared" si="119"/>
        <v>CLEAN</v>
      </c>
    </row>
    <row r="736" spans="1:32">
      <c r="A736" t="s">
        <v>1663</v>
      </c>
      <c r="B736" s="10">
        <v>45716</v>
      </c>
      <c r="C736" s="10">
        <v>45724</v>
      </c>
      <c r="D736">
        <f t="shared" si="110"/>
        <v>8</v>
      </c>
      <c r="E736" t="str">
        <f t="shared" si="111"/>
        <v>OK</v>
      </c>
      <c r="F736" t="s">
        <v>1664</v>
      </c>
      <c r="G736" t="s">
        <v>78</v>
      </c>
      <c r="H736" t="s">
        <v>36</v>
      </c>
      <c r="I736" t="s">
        <v>37</v>
      </c>
      <c r="J736" t="s">
        <v>227</v>
      </c>
      <c r="K736" t="s">
        <v>228</v>
      </c>
      <c r="L736" t="s">
        <v>73</v>
      </c>
      <c r="M736" t="s">
        <v>170</v>
      </c>
      <c r="N736" t="s">
        <v>1665</v>
      </c>
      <c r="O736" t="s">
        <v>49</v>
      </c>
      <c r="P736">
        <v>9</v>
      </c>
      <c r="Q736">
        <v>3670.54</v>
      </c>
      <c r="R736">
        <v>0</v>
      </c>
      <c r="S736" t="str">
        <f t="shared" si="112"/>
        <v>OK</v>
      </c>
      <c r="T736">
        <v>33034.86</v>
      </c>
      <c r="U736">
        <v>24539.83</v>
      </c>
      <c r="V736">
        <v>8495.0300000000007</v>
      </c>
      <c r="W736" t="s">
        <v>31</v>
      </c>
      <c r="X736" t="s">
        <v>32</v>
      </c>
      <c r="Y736" t="str">
        <f>IF(COUNTIF($A$2:$A$901,A736)&gt;1,
  IF(COUNTIF($A$2:A736,A736)=1,
    " ORIGINAL",
    "CONFLICTING DUPLICATE - REVIEW"),
"OK")</f>
        <v>OK</v>
      </c>
      <c r="Z736">
        <f t="shared" si="113"/>
        <v>0</v>
      </c>
      <c r="AA736">
        <f t="shared" si="114"/>
        <v>33034.86</v>
      </c>
      <c r="AB736">
        <f t="shared" si="115"/>
        <v>8495.0300000000007</v>
      </c>
      <c r="AC736">
        <f t="shared" si="116"/>
        <v>0.25719999999999998</v>
      </c>
      <c r="AD736">
        <f t="shared" si="117"/>
        <v>2</v>
      </c>
      <c r="AE736">
        <f t="shared" si="118"/>
        <v>2025</v>
      </c>
      <c r="AF736" t="str">
        <f t="shared" si="119"/>
        <v>CLEAN</v>
      </c>
    </row>
    <row r="737" spans="1:32">
      <c r="A737" t="s">
        <v>1675</v>
      </c>
      <c r="B737" s="10">
        <v>45856</v>
      </c>
      <c r="C737" s="10">
        <v>45859</v>
      </c>
      <c r="D737">
        <f t="shared" si="110"/>
        <v>3</v>
      </c>
      <c r="E737" t="str">
        <f t="shared" si="111"/>
        <v>OK</v>
      </c>
      <c r="F737" t="s">
        <v>1676</v>
      </c>
      <c r="G737" t="s">
        <v>113</v>
      </c>
      <c r="H737" t="s">
        <v>23</v>
      </c>
      <c r="I737" t="s">
        <v>37</v>
      </c>
      <c r="J737" t="s">
        <v>38</v>
      </c>
      <c r="K737" t="s">
        <v>39</v>
      </c>
      <c r="L737" t="s">
        <v>40</v>
      </c>
      <c r="M737" t="s">
        <v>41</v>
      </c>
      <c r="N737" t="s">
        <v>1677</v>
      </c>
      <c r="O737" t="s">
        <v>30</v>
      </c>
      <c r="P737">
        <v>4</v>
      </c>
      <c r="Q737">
        <v>284.04000000000002</v>
      </c>
      <c r="R737">
        <v>0</v>
      </c>
      <c r="S737" t="str">
        <f t="shared" si="112"/>
        <v>OK</v>
      </c>
      <c r="T737">
        <v>908.93</v>
      </c>
      <c r="U737">
        <v>572.08000000000004</v>
      </c>
      <c r="V737">
        <v>336.85</v>
      </c>
      <c r="W737" t="s">
        <v>31</v>
      </c>
      <c r="X737" t="s">
        <v>32</v>
      </c>
      <c r="Y737" t="str">
        <f>IF(COUNTIF($A$2:$A$901,A737)&gt;1,
  IF(COUNTIF($A$2:A737,A737)=1,
    " ORIGINAL",
    "CONFLICTING DUPLICATE - REVIEW"),
"OK")</f>
        <v>OK</v>
      </c>
      <c r="Z737">
        <f t="shared" si="113"/>
        <v>0</v>
      </c>
      <c r="AA737">
        <f t="shared" si="114"/>
        <v>1136.1600000000001</v>
      </c>
      <c r="AB737">
        <f t="shared" si="115"/>
        <v>564.08000000000004</v>
      </c>
      <c r="AC737">
        <f t="shared" si="116"/>
        <v>0.4965</v>
      </c>
      <c r="AD737">
        <f t="shared" si="117"/>
        <v>7</v>
      </c>
      <c r="AE737">
        <f t="shared" si="118"/>
        <v>2025</v>
      </c>
      <c r="AF737" t="str">
        <f t="shared" si="119"/>
        <v>CLEAN</v>
      </c>
    </row>
    <row r="738" spans="1:32">
      <c r="A738" t="s">
        <v>1678</v>
      </c>
      <c r="B738" s="10">
        <v>45667</v>
      </c>
      <c r="C738" s="10">
        <v>45935</v>
      </c>
      <c r="D738">
        <f t="shared" si="110"/>
        <v>268</v>
      </c>
      <c r="E738" t="str">
        <f t="shared" si="111"/>
        <v>OK</v>
      </c>
      <c r="F738" t="s">
        <v>1679</v>
      </c>
      <c r="G738" t="s">
        <v>88</v>
      </c>
      <c r="H738" t="s">
        <v>94</v>
      </c>
      <c r="I738" t="s">
        <v>24</v>
      </c>
      <c r="J738" t="s">
        <v>235</v>
      </c>
      <c r="K738" t="s">
        <v>236</v>
      </c>
      <c r="L738" t="s">
        <v>27</v>
      </c>
      <c r="M738" t="s">
        <v>28</v>
      </c>
      <c r="N738" t="s">
        <v>1680</v>
      </c>
      <c r="O738" t="s">
        <v>49</v>
      </c>
      <c r="P738">
        <v>5</v>
      </c>
      <c r="Q738">
        <v>3247.56</v>
      </c>
      <c r="R738">
        <v>0.15</v>
      </c>
      <c r="S738" t="str">
        <f t="shared" si="112"/>
        <v>OK</v>
      </c>
      <c r="T738">
        <v>13802.13</v>
      </c>
      <c r="U738">
        <v>10075.93</v>
      </c>
      <c r="V738">
        <v>3726.2</v>
      </c>
      <c r="W738" t="s">
        <v>31</v>
      </c>
      <c r="X738" t="s">
        <v>32</v>
      </c>
      <c r="Y738" t="str">
        <f>IF(COUNTIF($A$2:$A$901,A738)&gt;1,
  IF(COUNTIF($A$2:A738,A738)=1,
    " ORIGINAL",
    "CONFLICTING DUPLICATE - REVIEW"),
"OK")</f>
        <v>OK</v>
      </c>
      <c r="Z738">
        <f t="shared" si="113"/>
        <v>0.15</v>
      </c>
      <c r="AA738">
        <f t="shared" si="114"/>
        <v>13802.13</v>
      </c>
      <c r="AB738">
        <f t="shared" si="115"/>
        <v>3726.2</v>
      </c>
      <c r="AC738">
        <f t="shared" si="116"/>
        <v>0.27</v>
      </c>
      <c r="AD738">
        <f t="shared" si="117"/>
        <v>1</v>
      </c>
      <c r="AE738">
        <f t="shared" si="118"/>
        <v>2025</v>
      </c>
      <c r="AF738" t="str">
        <f t="shared" si="119"/>
        <v>CLEAN</v>
      </c>
    </row>
    <row r="739" spans="1:32">
      <c r="A739" t="s">
        <v>1686</v>
      </c>
      <c r="B739" s="10">
        <v>45807</v>
      </c>
      <c r="C739" s="10">
        <v>45809</v>
      </c>
      <c r="D739">
        <f t="shared" si="110"/>
        <v>2</v>
      </c>
      <c r="E739" t="str">
        <f t="shared" si="111"/>
        <v>OK</v>
      </c>
      <c r="F739" t="s">
        <v>1687</v>
      </c>
      <c r="G739" t="s">
        <v>117</v>
      </c>
      <c r="H739" t="s">
        <v>94</v>
      </c>
      <c r="I739" t="s">
        <v>53</v>
      </c>
      <c r="J739" t="s">
        <v>246</v>
      </c>
      <c r="K739" t="s">
        <v>247</v>
      </c>
      <c r="L739" t="s">
        <v>27</v>
      </c>
      <c r="M739" t="s">
        <v>152</v>
      </c>
      <c r="N739" t="s">
        <v>1688</v>
      </c>
      <c r="O739" t="s">
        <v>58</v>
      </c>
      <c r="P739">
        <v>9</v>
      </c>
      <c r="Q739">
        <v>1994.51</v>
      </c>
      <c r="R739">
        <v>0.05</v>
      </c>
      <c r="S739" t="str">
        <f t="shared" si="112"/>
        <v>OK</v>
      </c>
      <c r="T739">
        <v>17053.060000000001</v>
      </c>
      <c r="U739">
        <v>10742.38</v>
      </c>
      <c r="V739">
        <v>6310.68</v>
      </c>
      <c r="W739" t="s">
        <v>31</v>
      </c>
      <c r="X739" t="s">
        <v>32</v>
      </c>
      <c r="Y739" t="str">
        <f>IF(COUNTIF($A$2:$A$901,A739)&gt;1,
  IF(COUNTIF($A$2:A739,A739)=1,
    " ORIGINAL",
    "CONFLICTING DUPLICATE - REVIEW"),
"OK")</f>
        <v>OK</v>
      </c>
      <c r="Z739">
        <f t="shared" si="113"/>
        <v>0.05</v>
      </c>
      <c r="AA739">
        <f t="shared" si="114"/>
        <v>17053.060000000001</v>
      </c>
      <c r="AB739">
        <f t="shared" si="115"/>
        <v>6310.68</v>
      </c>
      <c r="AC739">
        <f t="shared" si="116"/>
        <v>0.37009999999999998</v>
      </c>
      <c r="AD739">
        <f t="shared" si="117"/>
        <v>5</v>
      </c>
      <c r="AE739">
        <f t="shared" si="118"/>
        <v>2025</v>
      </c>
      <c r="AF739" t="str">
        <f t="shared" si="119"/>
        <v>CLEAN</v>
      </c>
    </row>
    <row r="740" spans="1:32">
      <c r="A740" t="s">
        <v>1692</v>
      </c>
      <c r="B740" s="10">
        <v>45935</v>
      </c>
      <c r="C740" s="10">
        <v>45940</v>
      </c>
      <c r="D740">
        <f t="shared" si="110"/>
        <v>5</v>
      </c>
      <c r="E740" t="str">
        <f t="shared" si="111"/>
        <v>OK</v>
      </c>
      <c r="F740" t="s">
        <v>1693</v>
      </c>
      <c r="G740" t="s">
        <v>113</v>
      </c>
      <c r="H740" t="s">
        <v>89</v>
      </c>
      <c r="I740" t="s">
        <v>37</v>
      </c>
      <c r="J740" t="s">
        <v>165</v>
      </c>
      <c r="K740" t="s">
        <v>166</v>
      </c>
      <c r="L740" t="s">
        <v>40</v>
      </c>
      <c r="M740" t="s">
        <v>41</v>
      </c>
      <c r="N740" t="s">
        <v>1694</v>
      </c>
      <c r="O740" t="s">
        <v>30</v>
      </c>
      <c r="P740">
        <v>9</v>
      </c>
      <c r="Q740">
        <v>2089.14</v>
      </c>
      <c r="R740">
        <v>0.05</v>
      </c>
      <c r="S740" t="str">
        <f t="shared" si="112"/>
        <v>OK</v>
      </c>
      <c r="T740">
        <v>17862.150000000001</v>
      </c>
      <c r="U740">
        <v>9892.2099999999991</v>
      </c>
      <c r="V740">
        <v>7969.94</v>
      </c>
      <c r="W740" t="s">
        <v>154</v>
      </c>
      <c r="X740" t="s">
        <v>67</v>
      </c>
      <c r="Y740" t="str">
        <f>IF(COUNTIF($A$2:$A$901,A740)&gt;1,
  IF(COUNTIF($A$2:A740,A740)=1,
    " ORIGINAL",
    "CONFLICTING DUPLICATE - REVIEW"),
"OK")</f>
        <v>OK</v>
      </c>
      <c r="Z740">
        <f t="shared" si="113"/>
        <v>0.05</v>
      </c>
      <c r="AA740">
        <f t="shared" si="114"/>
        <v>17862.150000000001</v>
      </c>
      <c r="AB740">
        <f t="shared" si="115"/>
        <v>7969.94</v>
      </c>
      <c r="AC740">
        <f t="shared" si="116"/>
        <v>0.44619999999999999</v>
      </c>
      <c r="AD740">
        <f t="shared" si="117"/>
        <v>10</v>
      </c>
      <c r="AE740">
        <f t="shared" si="118"/>
        <v>2025</v>
      </c>
      <c r="AF740" t="str">
        <f t="shared" si="119"/>
        <v>INVALID</v>
      </c>
    </row>
    <row r="741" spans="1:32">
      <c r="A741" t="s">
        <v>1698</v>
      </c>
      <c r="B741" s="10">
        <v>45774</v>
      </c>
      <c r="C741" s="10">
        <v>45782</v>
      </c>
      <c r="D741">
        <f t="shared" si="110"/>
        <v>8</v>
      </c>
      <c r="E741" t="str">
        <f t="shared" si="111"/>
        <v>OK</v>
      </c>
      <c r="F741" t="s">
        <v>1699</v>
      </c>
      <c r="G741" t="s">
        <v>140</v>
      </c>
      <c r="H741" t="s">
        <v>94</v>
      </c>
      <c r="I741" t="s">
        <v>37</v>
      </c>
      <c r="J741" t="s">
        <v>144</v>
      </c>
      <c r="K741" t="s">
        <v>145</v>
      </c>
      <c r="L741" t="s">
        <v>73</v>
      </c>
      <c r="M741" t="s">
        <v>74</v>
      </c>
      <c r="N741" t="s">
        <v>1700</v>
      </c>
      <c r="O741" t="s">
        <v>30</v>
      </c>
      <c r="P741">
        <v>4</v>
      </c>
      <c r="Q741">
        <v>3963.39</v>
      </c>
      <c r="R741">
        <v>0.1</v>
      </c>
      <c r="S741" t="str">
        <f t="shared" si="112"/>
        <v>OK</v>
      </c>
      <c r="T741">
        <v>14268.2</v>
      </c>
      <c r="U741">
        <v>11705.3</v>
      </c>
      <c r="V741">
        <v>2562.9</v>
      </c>
      <c r="W741" t="s">
        <v>110</v>
      </c>
      <c r="X741" t="s">
        <v>102</v>
      </c>
      <c r="Y741" t="str">
        <f>IF(COUNTIF($A$2:$A$901,A741)&gt;1,
  IF(COUNTIF($A$2:A741,A741)=1,
    " ORIGINAL",
    "CONFLICTING DUPLICATE - REVIEW"),
"OK")</f>
        <v>OK</v>
      </c>
      <c r="Z741">
        <f t="shared" si="113"/>
        <v>0.1</v>
      </c>
      <c r="AA741">
        <f t="shared" si="114"/>
        <v>14268.2</v>
      </c>
      <c r="AB741">
        <f t="shared" si="115"/>
        <v>2562.9</v>
      </c>
      <c r="AC741">
        <f t="shared" si="116"/>
        <v>0.17960000000000001</v>
      </c>
      <c r="AD741">
        <f t="shared" si="117"/>
        <v>4</v>
      </c>
      <c r="AE741">
        <f t="shared" si="118"/>
        <v>2025</v>
      </c>
      <c r="AF741" t="str">
        <f t="shared" si="119"/>
        <v>CLEAN</v>
      </c>
    </row>
    <row r="742" spans="1:32">
      <c r="A742" t="s">
        <v>1704</v>
      </c>
      <c r="B742" s="10">
        <v>45757</v>
      </c>
      <c r="C742" s="10">
        <v>45764</v>
      </c>
      <c r="D742">
        <f t="shared" si="110"/>
        <v>7</v>
      </c>
      <c r="E742" t="str">
        <f t="shared" si="111"/>
        <v>OK</v>
      </c>
      <c r="F742" t="s">
        <v>1705</v>
      </c>
      <c r="G742" t="s">
        <v>61</v>
      </c>
      <c r="H742" t="s">
        <v>36</v>
      </c>
      <c r="I742" t="s">
        <v>62</v>
      </c>
      <c r="J742" t="s">
        <v>25</v>
      </c>
      <c r="K742" t="s">
        <v>108</v>
      </c>
      <c r="L742" t="s">
        <v>40</v>
      </c>
      <c r="M742" t="s">
        <v>65</v>
      </c>
      <c r="N742" t="s">
        <v>1706</v>
      </c>
      <c r="O742" t="s">
        <v>49</v>
      </c>
      <c r="P742">
        <v>7</v>
      </c>
      <c r="Q742">
        <v>3788.9</v>
      </c>
      <c r="R742">
        <v>0.25</v>
      </c>
      <c r="S742" t="str">
        <f t="shared" si="112"/>
        <v>OK</v>
      </c>
      <c r="T742">
        <v>19891.72</v>
      </c>
      <c r="U742">
        <v>12295.76</v>
      </c>
      <c r="V742">
        <v>7595.96</v>
      </c>
      <c r="W742" t="s">
        <v>154</v>
      </c>
      <c r="X742" t="s">
        <v>67</v>
      </c>
      <c r="Y742" t="str">
        <f>IF(COUNTIF($A$2:$A$901,A742)&gt;1,
  IF(COUNTIF($A$2:A742,A742)=1,
    " ORIGINAL",
    "CONFLICTING DUPLICATE - REVIEW"),
"OK")</f>
        <v>OK</v>
      </c>
      <c r="Z742">
        <f t="shared" si="113"/>
        <v>0.25</v>
      </c>
      <c r="AA742">
        <f t="shared" si="114"/>
        <v>19891.73</v>
      </c>
      <c r="AB742">
        <f t="shared" si="115"/>
        <v>7595.97</v>
      </c>
      <c r="AC742">
        <f t="shared" si="116"/>
        <v>0.38190000000000002</v>
      </c>
      <c r="AD742">
        <f t="shared" si="117"/>
        <v>4</v>
      </c>
      <c r="AE742">
        <f t="shared" si="118"/>
        <v>2025</v>
      </c>
      <c r="AF742" t="str">
        <f t="shared" si="119"/>
        <v>INVALID</v>
      </c>
    </row>
    <row r="743" spans="1:32">
      <c r="A743" t="s">
        <v>1713</v>
      </c>
      <c r="B743" s="10">
        <v>45842</v>
      </c>
      <c r="C743" s="10">
        <v>45842</v>
      </c>
      <c r="D743">
        <f t="shared" si="110"/>
        <v>0</v>
      </c>
      <c r="E743" t="str">
        <f t="shared" si="111"/>
        <v>OK</v>
      </c>
      <c r="F743" t="s">
        <v>1714</v>
      </c>
      <c r="G743" t="s">
        <v>35</v>
      </c>
      <c r="H743" t="s">
        <v>36</v>
      </c>
      <c r="I743" t="s">
        <v>53</v>
      </c>
      <c r="J743" t="s">
        <v>246</v>
      </c>
      <c r="K743" t="s">
        <v>247</v>
      </c>
      <c r="L743" t="s">
        <v>40</v>
      </c>
      <c r="M743" t="s">
        <v>65</v>
      </c>
      <c r="N743" t="s">
        <v>1715</v>
      </c>
      <c r="O743" t="s">
        <v>58</v>
      </c>
      <c r="P743">
        <v>3</v>
      </c>
      <c r="Q743">
        <v>705.35</v>
      </c>
      <c r="R743">
        <v>0.1</v>
      </c>
      <c r="S743" t="str">
        <f t="shared" si="112"/>
        <v>OK</v>
      </c>
      <c r="T743">
        <v>1904.45</v>
      </c>
      <c r="U743">
        <v>1316.54</v>
      </c>
      <c r="V743">
        <v>587.91</v>
      </c>
      <c r="W743" t="s">
        <v>31</v>
      </c>
      <c r="X743" t="s">
        <v>67</v>
      </c>
      <c r="Y743" t="str">
        <f>IF(COUNTIF($A$2:$A$901,A743)&gt;1,
  IF(COUNTIF($A$2:A743,A743)=1,
    " ORIGINAL",
    "CONFLICTING DUPLICATE - REVIEW"),
"OK")</f>
        <v>OK</v>
      </c>
      <c r="Z743">
        <f t="shared" si="113"/>
        <v>0.1</v>
      </c>
      <c r="AA743">
        <f t="shared" si="114"/>
        <v>1904.45</v>
      </c>
      <c r="AB743">
        <f t="shared" si="115"/>
        <v>587.91</v>
      </c>
      <c r="AC743">
        <f t="shared" si="116"/>
        <v>0.30869999999999997</v>
      </c>
      <c r="AD743">
        <f t="shared" si="117"/>
        <v>7</v>
      </c>
      <c r="AE743">
        <f t="shared" si="118"/>
        <v>2025</v>
      </c>
      <c r="AF743" t="str">
        <f t="shared" si="119"/>
        <v>CLEAN</v>
      </c>
    </row>
    <row r="744" spans="1:32">
      <c r="A744" t="s">
        <v>1719</v>
      </c>
      <c r="B744" s="10">
        <v>45876</v>
      </c>
      <c r="C744" s="10">
        <v>45847</v>
      </c>
      <c r="D744">
        <f t="shared" si="110"/>
        <v>-29</v>
      </c>
      <c r="E744" t="str">
        <f t="shared" si="111"/>
        <v>INVALID</v>
      </c>
      <c r="F744" t="s">
        <v>1720</v>
      </c>
      <c r="G744" t="s">
        <v>131</v>
      </c>
      <c r="H744" t="s">
        <v>23</v>
      </c>
      <c r="I744" t="s">
        <v>62</v>
      </c>
      <c r="J744" t="s">
        <v>63</v>
      </c>
      <c r="K744" t="s">
        <v>64</v>
      </c>
      <c r="L744" t="s">
        <v>73</v>
      </c>
      <c r="M744" t="s">
        <v>79</v>
      </c>
      <c r="N744" t="s">
        <v>1721</v>
      </c>
      <c r="O744" t="s">
        <v>43</v>
      </c>
      <c r="P744">
        <v>3</v>
      </c>
      <c r="Q744">
        <v>2880.56</v>
      </c>
      <c r="R744">
        <v>0</v>
      </c>
      <c r="S744" t="str">
        <f t="shared" si="112"/>
        <v>OK</v>
      </c>
      <c r="T744">
        <v>8641.68</v>
      </c>
      <c r="U744">
        <v>5747.09</v>
      </c>
      <c r="V744">
        <v>2894.59</v>
      </c>
      <c r="W744" t="s">
        <v>31</v>
      </c>
      <c r="X744" t="s">
        <v>102</v>
      </c>
      <c r="Y744" t="str">
        <f>IF(COUNTIF($A$2:$A$901,A744)&gt;1,
  IF(COUNTIF($A$2:A744,A744)=1,
    " ORIGINAL",
    "CONFLICTING DUPLICATE - REVIEW"),
"OK")</f>
        <v>OK</v>
      </c>
      <c r="Z744">
        <f t="shared" si="113"/>
        <v>0</v>
      </c>
      <c r="AA744">
        <f t="shared" si="114"/>
        <v>8641.68</v>
      </c>
      <c r="AB744">
        <f t="shared" si="115"/>
        <v>2894.59</v>
      </c>
      <c r="AC744">
        <f t="shared" si="116"/>
        <v>0.33500000000000002</v>
      </c>
      <c r="AD744">
        <f t="shared" si="117"/>
        <v>8</v>
      </c>
      <c r="AE744">
        <f t="shared" si="118"/>
        <v>2025</v>
      </c>
      <c r="AF744" t="str">
        <f t="shared" si="119"/>
        <v>INVALID</v>
      </c>
    </row>
    <row r="745" spans="1:32">
      <c r="A745" t="s">
        <v>1728</v>
      </c>
      <c r="B745" s="10">
        <v>45686</v>
      </c>
      <c r="C745" s="10">
        <v>45693</v>
      </c>
      <c r="D745">
        <f t="shared" si="110"/>
        <v>7</v>
      </c>
      <c r="E745" t="str">
        <f t="shared" si="111"/>
        <v>OK</v>
      </c>
      <c r="F745" t="s">
        <v>1729</v>
      </c>
      <c r="G745" t="s">
        <v>61</v>
      </c>
      <c r="H745" t="s">
        <v>23</v>
      </c>
      <c r="I745" t="s">
        <v>53</v>
      </c>
      <c r="J745" t="s">
        <v>184</v>
      </c>
      <c r="K745" t="s">
        <v>185</v>
      </c>
      <c r="L745" t="s">
        <v>27</v>
      </c>
      <c r="M745" t="s">
        <v>47</v>
      </c>
      <c r="N745" t="s">
        <v>1730</v>
      </c>
      <c r="O745" t="s">
        <v>43</v>
      </c>
      <c r="P745">
        <v>8</v>
      </c>
      <c r="Q745">
        <v>3643.62</v>
      </c>
      <c r="R745">
        <v>0.25</v>
      </c>
      <c r="S745" t="str">
        <f t="shared" si="112"/>
        <v>OK</v>
      </c>
      <c r="T745">
        <v>21861.72</v>
      </c>
      <c r="U745">
        <v>18464.34</v>
      </c>
      <c r="V745">
        <v>3397.38</v>
      </c>
      <c r="W745" t="s">
        <v>31</v>
      </c>
      <c r="X745" t="s">
        <v>67</v>
      </c>
      <c r="Y745" t="str">
        <f>IF(COUNTIF($A$2:$A$901,A745)&gt;1,
  IF(COUNTIF($A$2:A745,A745)=1,
    " ORIGINAL",
    "CONFLICTING DUPLICATE - REVIEW"),
"OK")</f>
        <v>OK</v>
      </c>
      <c r="Z745">
        <f t="shared" si="113"/>
        <v>0.25</v>
      </c>
      <c r="AA745">
        <f t="shared" si="114"/>
        <v>21861.72</v>
      </c>
      <c r="AB745">
        <f t="shared" si="115"/>
        <v>3397.38</v>
      </c>
      <c r="AC745">
        <f t="shared" si="116"/>
        <v>0.15540000000000001</v>
      </c>
      <c r="AD745">
        <f t="shared" si="117"/>
        <v>1</v>
      </c>
      <c r="AE745">
        <f t="shared" si="118"/>
        <v>2025</v>
      </c>
      <c r="AF745" t="str">
        <f t="shared" si="119"/>
        <v>CLEAN</v>
      </c>
    </row>
    <row r="746" spans="1:32">
      <c r="A746" t="s">
        <v>1734</v>
      </c>
      <c r="B746" s="10">
        <v>45883</v>
      </c>
      <c r="C746" s="10">
        <v>45891</v>
      </c>
      <c r="D746">
        <f t="shared" si="110"/>
        <v>8</v>
      </c>
      <c r="E746" t="str">
        <f t="shared" si="111"/>
        <v>OK</v>
      </c>
      <c r="F746" t="s">
        <v>1735</v>
      </c>
      <c r="G746" t="s">
        <v>52</v>
      </c>
      <c r="H746" t="s">
        <v>89</v>
      </c>
      <c r="I746" t="s">
        <v>62</v>
      </c>
      <c r="J746" t="s">
        <v>179</v>
      </c>
      <c r="K746" t="s">
        <v>180</v>
      </c>
      <c r="L746" t="s">
        <v>27</v>
      </c>
      <c r="M746" t="s">
        <v>28</v>
      </c>
      <c r="N746" t="s">
        <v>1736</v>
      </c>
      <c r="O746" t="s">
        <v>49</v>
      </c>
      <c r="P746">
        <v>5</v>
      </c>
      <c r="Q746">
        <v>2567.37</v>
      </c>
      <c r="R746">
        <v>0.15</v>
      </c>
      <c r="S746" t="str">
        <f t="shared" si="112"/>
        <v>OK</v>
      </c>
      <c r="T746">
        <v>10911.32</v>
      </c>
      <c r="U746">
        <v>6966.44</v>
      </c>
      <c r="V746">
        <v>4395.17</v>
      </c>
      <c r="W746" t="s">
        <v>31</v>
      </c>
      <c r="X746" t="s">
        <v>32</v>
      </c>
      <c r="Y746" t="str">
        <f>IF(COUNTIF($A$2:$A$901,A746)&gt;1,
  IF(COUNTIF($A$2:A746,A746)=1,
    " ORIGINAL",
    "CONFLICTING DUPLICATE - REVIEW"),
"OK")</f>
        <v>OK</v>
      </c>
      <c r="Z746">
        <f t="shared" si="113"/>
        <v>0.15</v>
      </c>
      <c r="AA746">
        <f t="shared" si="114"/>
        <v>10911.32</v>
      </c>
      <c r="AB746">
        <f t="shared" si="115"/>
        <v>3944.88</v>
      </c>
      <c r="AC746">
        <f t="shared" si="116"/>
        <v>0.36149999999999999</v>
      </c>
      <c r="AD746">
        <f t="shared" si="117"/>
        <v>8</v>
      </c>
      <c r="AE746">
        <f t="shared" si="118"/>
        <v>2025</v>
      </c>
      <c r="AF746" t="str">
        <f t="shared" si="119"/>
        <v>CLEAN</v>
      </c>
    </row>
    <row r="747" spans="1:32">
      <c r="A747" t="s">
        <v>1743</v>
      </c>
      <c r="B747" s="10">
        <v>45941</v>
      </c>
      <c r="C747" s="10">
        <v>45943</v>
      </c>
      <c r="D747">
        <f t="shared" si="110"/>
        <v>2</v>
      </c>
      <c r="E747" t="str">
        <f t="shared" si="111"/>
        <v>OK</v>
      </c>
      <c r="F747" t="s">
        <v>1744</v>
      </c>
      <c r="G747" t="s">
        <v>35</v>
      </c>
      <c r="H747" t="s">
        <v>89</v>
      </c>
      <c r="I747" t="s">
        <v>53</v>
      </c>
      <c r="J747" t="s">
        <v>54</v>
      </c>
      <c r="K747" t="s">
        <v>55</v>
      </c>
      <c r="L747" t="s">
        <v>27</v>
      </c>
      <c r="M747" t="s">
        <v>47</v>
      </c>
      <c r="N747" t="s">
        <v>1745</v>
      </c>
      <c r="O747" t="s">
        <v>30</v>
      </c>
      <c r="P747">
        <v>3</v>
      </c>
      <c r="Q747">
        <v>3804.27</v>
      </c>
      <c r="R747">
        <v>0.1</v>
      </c>
      <c r="S747" t="str">
        <f t="shared" si="112"/>
        <v>OK</v>
      </c>
      <c r="T747">
        <v>10271.530000000001</v>
      </c>
      <c r="U747">
        <v>8272.24</v>
      </c>
      <c r="V747">
        <v>1999.29</v>
      </c>
      <c r="W747" t="s">
        <v>31</v>
      </c>
      <c r="X747" t="s">
        <v>32</v>
      </c>
      <c r="Y747" t="str">
        <f>IF(COUNTIF($A$2:$A$901,A747)&gt;1,
  IF(COUNTIF($A$2:A747,A747)=1,
    " ORIGINAL",
    "CONFLICTING DUPLICATE - REVIEW"),
"OK")</f>
        <v>OK</v>
      </c>
      <c r="Z747">
        <f t="shared" si="113"/>
        <v>0.1</v>
      </c>
      <c r="AA747">
        <f t="shared" si="114"/>
        <v>10271.530000000001</v>
      </c>
      <c r="AB747">
        <f t="shared" si="115"/>
        <v>1999.29</v>
      </c>
      <c r="AC747">
        <f t="shared" si="116"/>
        <v>0.1946</v>
      </c>
      <c r="AD747">
        <f t="shared" si="117"/>
        <v>10</v>
      </c>
      <c r="AE747">
        <f t="shared" si="118"/>
        <v>2025</v>
      </c>
      <c r="AF747" t="str">
        <f t="shared" si="119"/>
        <v>CLEAN</v>
      </c>
    </row>
    <row r="748" spans="1:32">
      <c r="A748" t="s">
        <v>1752</v>
      </c>
      <c r="B748" s="10">
        <v>45681</v>
      </c>
      <c r="C748" s="10">
        <v>45687</v>
      </c>
      <c r="D748">
        <f t="shared" si="110"/>
        <v>6</v>
      </c>
      <c r="E748" t="str">
        <f t="shared" si="111"/>
        <v>OK</v>
      </c>
      <c r="F748" t="s">
        <v>1753</v>
      </c>
      <c r="G748" t="s">
        <v>61</v>
      </c>
      <c r="H748" t="s">
        <v>89</v>
      </c>
      <c r="I748" t="s">
        <v>37</v>
      </c>
      <c r="J748" t="s">
        <v>98</v>
      </c>
      <c r="K748" t="s">
        <v>99</v>
      </c>
      <c r="L748" t="s">
        <v>73</v>
      </c>
      <c r="M748" t="s">
        <v>79</v>
      </c>
      <c r="N748" t="s">
        <v>1754</v>
      </c>
      <c r="O748" t="s">
        <v>58</v>
      </c>
      <c r="P748">
        <v>8</v>
      </c>
      <c r="Q748">
        <v>312.52999999999997</v>
      </c>
      <c r="R748" t="s">
        <v>462</v>
      </c>
      <c r="S748" t="str">
        <f t="shared" si="112"/>
        <v>INVALID-ABOVE</v>
      </c>
      <c r="T748">
        <v>1875.18</v>
      </c>
      <c r="U748">
        <v>1579.17</v>
      </c>
      <c r="V748">
        <v>296.01</v>
      </c>
      <c r="W748" t="s">
        <v>31</v>
      </c>
      <c r="X748" t="s">
        <v>32</v>
      </c>
      <c r="Y748" t="str">
        <f>IF(COUNTIF($A$2:$A$901,A748)&gt;1,
  IF(COUNTIF($A$2:A748,A748)=1,
    " ORIGINAL",
    "CONFLICTING DUPLICATE - REVIEW"),
"OK")</f>
        <v>OK</v>
      </c>
      <c r="Z748">
        <f t="shared" si="113"/>
        <v>0.7</v>
      </c>
      <c r="AA748">
        <f t="shared" si="114"/>
        <v>750.07</v>
      </c>
      <c r="AB748">
        <f t="shared" si="115"/>
        <v>-829.1</v>
      </c>
      <c r="AC748">
        <f t="shared" si="116"/>
        <v>-1.1053999999999999</v>
      </c>
      <c r="AD748">
        <f t="shared" si="117"/>
        <v>1</v>
      </c>
      <c r="AE748">
        <f t="shared" si="118"/>
        <v>2025</v>
      </c>
      <c r="AF748" t="str">
        <f t="shared" si="119"/>
        <v>INVALID</v>
      </c>
    </row>
    <row r="749" spans="1:32">
      <c r="A749" t="s">
        <v>1755</v>
      </c>
      <c r="B749" s="10">
        <v>45772</v>
      </c>
      <c r="C749" s="10">
        <v>45775</v>
      </c>
      <c r="D749">
        <f t="shared" si="110"/>
        <v>3</v>
      </c>
      <c r="E749" t="str">
        <f t="shared" si="111"/>
        <v>OK</v>
      </c>
      <c r="F749" t="s">
        <v>1756</v>
      </c>
      <c r="G749" t="s">
        <v>127</v>
      </c>
      <c r="H749" t="s">
        <v>36</v>
      </c>
      <c r="I749" t="s">
        <v>62</v>
      </c>
      <c r="J749" t="s">
        <v>179</v>
      </c>
      <c r="K749" t="s">
        <v>180</v>
      </c>
      <c r="L749" t="s">
        <v>27</v>
      </c>
      <c r="M749" t="s">
        <v>123</v>
      </c>
      <c r="N749" t="s">
        <v>1757</v>
      </c>
      <c r="O749" t="s">
        <v>49</v>
      </c>
      <c r="P749">
        <v>9</v>
      </c>
      <c r="Q749">
        <v>1294.1099999999999</v>
      </c>
      <c r="R749">
        <v>0.25</v>
      </c>
      <c r="S749" t="str">
        <f t="shared" si="112"/>
        <v>OK</v>
      </c>
      <c r="T749">
        <v>8735.24</v>
      </c>
      <c r="U749">
        <v>6620.07</v>
      </c>
      <c r="V749">
        <v>2115.17</v>
      </c>
      <c r="W749" t="s">
        <v>31</v>
      </c>
      <c r="X749" t="s">
        <v>32</v>
      </c>
      <c r="Y749" t="str">
        <f>IF(COUNTIF($A$2:$A$901,A749)&gt;1,
  IF(COUNTIF($A$2:A749,A749)=1,
    " ORIGINAL",
    "CONFLICTING DUPLICATE - REVIEW"),
"OK")</f>
        <v>OK</v>
      </c>
      <c r="Z749">
        <f t="shared" si="113"/>
        <v>0.25</v>
      </c>
      <c r="AA749">
        <f t="shared" si="114"/>
        <v>8735.24</v>
      </c>
      <c r="AB749">
        <f t="shared" si="115"/>
        <v>2115.17</v>
      </c>
      <c r="AC749">
        <f t="shared" si="116"/>
        <v>0.24210000000000001</v>
      </c>
      <c r="AD749">
        <f t="shared" si="117"/>
        <v>4</v>
      </c>
      <c r="AE749">
        <f t="shared" si="118"/>
        <v>2025</v>
      </c>
      <c r="AF749" t="str">
        <f t="shared" si="119"/>
        <v>CLEAN</v>
      </c>
    </row>
    <row r="750" spans="1:32">
      <c r="A750" t="s">
        <v>1761</v>
      </c>
      <c r="B750" s="10">
        <v>45749</v>
      </c>
      <c r="C750" s="10">
        <v>45698</v>
      </c>
      <c r="D750">
        <f t="shared" si="110"/>
        <v>-51</v>
      </c>
      <c r="E750" t="str">
        <f t="shared" si="111"/>
        <v>INVALID</v>
      </c>
      <c r="F750" t="s">
        <v>1762</v>
      </c>
      <c r="G750" t="s">
        <v>61</v>
      </c>
      <c r="H750" t="s">
        <v>36</v>
      </c>
      <c r="I750" t="s">
        <v>53</v>
      </c>
      <c r="J750" t="s">
        <v>54</v>
      </c>
      <c r="K750" t="s">
        <v>55</v>
      </c>
      <c r="L750" t="s">
        <v>27</v>
      </c>
      <c r="M750" t="s">
        <v>123</v>
      </c>
      <c r="N750" t="s">
        <v>1763</v>
      </c>
      <c r="O750" t="s">
        <v>58</v>
      </c>
      <c r="P750">
        <v>6</v>
      </c>
      <c r="Q750">
        <v>1042.8</v>
      </c>
      <c r="R750">
        <v>0.05</v>
      </c>
      <c r="S750" t="str">
        <f t="shared" si="112"/>
        <v>OK</v>
      </c>
      <c r="T750">
        <v>5943.96</v>
      </c>
      <c r="U750">
        <v>3604.14</v>
      </c>
      <c r="V750">
        <v>2339.8200000000002</v>
      </c>
      <c r="W750" t="s">
        <v>31</v>
      </c>
      <c r="X750" t="s">
        <v>32</v>
      </c>
      <c r="Y750" t="str">
        <f>IF(COUNTIF($A$2:$A$901,A750)&gt;1,
  IF(COUNTIF($A$2:A750,A750)=1,
    " ORIGINAL",
    "CONFLICTING DUPLICATE - REVIEW"),
"OK")</f>
        <v>OK</v>
      </c>
      <c r="Z750">
        <f t="shared" si="113"/>
        <v>0.05</v>
      </c>
      <c r="AA750">
        <f t="shared" si="114"/>
        <v>5943.96</v>
      </c>
      <c r="AB750">
        <f t="shared" si="115"/>
        <v>2339.8200000000002</v>
      </c>
      <c r="AC750">
        <f t="shared" si="116"/>
        <v>0.39360000000000001</v>
      </c>
      <c r="AD750">
        <f t="shared" si="117"/>
        <v>4</v>
      </c>
      <c r="AE750">
        <f t="shared" si="118"/>
        <v>2025</v>
      </c>
      <c r="AF750" t="str">
        <f t="shared" si="119"/>
        <v>INVALID</v>
      </c>
    </row>
    <row r="751" spans="1:32">
      <c r="A751" t="s">
        <v>1770</v>
      </c>
      <c r="B751" s="10">
        <v>45904</v>
      </c>
      <c r="C751" s="10">
        <v>45904</v>
      </c>
      <c r="D751">
        <f t="shared" si="110"/>
        <v>0</v>
      </c>
      <c r="E751" t="str">
        <f t="shared" si="111"/>
        <v>OK</v>
      </c>
      <c r="F751" t="s">
        <v>1771</v>
      </c>
      <c r="G751" t="s">
        <v>88</v>
      </c>
      <c r="H751" t="s">
        <v>89</v>
      </c>
      <c r="I751" t="s">
        <v>24</v>
      </c>
      <c r="J751" t="s">
        <v>121</v>
      </c>
      <c r="K751" t="s">
        <v>122</v>
      </c>
      <c r="L751" t="s">
        <v>73</v>
      </c>
      <c r="M751" t="s">
        <v>273</v>
      </c>
      <c r="N751" t="s">
        <v>1772</v>
      </c>
      <c r="O751" t="s">
        <v>49</v>
      </c>
      <c r="P751">
        <v>8</v>
      </c>
      <c r="Q751">
        <v>3079.95</v>
      </c>
      <c r="R751">
        <v>0.2</v>
      </c>
      <c r="S751" t="str">
        <f t="shared" si="112"/>
        <v>OK</v>
      </c>
      <c r="T751">
        <v>19711.68</v>
      </c>
      <c r="U751">
        <v>14461.8</v>
      </c>
      <c r="V751">
        <v>5249.88</v>
      </c>
      <c r="W751" t="s">
        <v>31</v>
      </c>
      <c r="X751" t="s">
        <v>32</v>
      </c>
      <c r="Y751" t="str">
        <f>IF(COUNTIF($A$2:$A$901,A751)&gt;1,
  IF(COUNTIF($A$2:A751,A751)=1,
    " ORIGINAL",
    "CONFLICTING DUPLICATE - REVIEW"),
"OK")</f>
        <v>OK</v>
      </c>
      <c r="Z751">
        <f t="shared" si="113"/>
        <v>0.2</v>
      </c>
      <c r="AA751">
        <f t="shared" si="114"/>
        <v>19711.68</v>
      </c>
      <c r="AB751">
        <f t="shared" si="115"/>
        <v>5249.88</v>
      </c>
      <c r="AC751">
        <f t="shared" si="116"/>
        <v>0.26629999999999998</v>
      </c>
      <c r="AD751">
        <f t="shared" si="117"/>
        <v>9</v>
      </c>
      <c r="AE751">
        <f t="shared" si="118"/>
        <v>2025</v>
      </c>
      <c r="AF751" t="str">
        <f t="shared" si="119"/>
        <v>CLEAN</v>
      </c>
    </row>
    <row r="752" spans="1:32">
      <c r="A752" t="s">
        <v>1773</v>
      </c>
      <c r="B752" s="10">
        <v>45930</v>
      </c>
      <c r="C752" s="10">
        <v>45937</v>
      </c>
      <c r="D752">
        <f t="shared" si="110"/>
        <v>7</v>
      </c>
      <c r="E752" t="str">
        <f t="shared" si="111"/>
        <v>OK</v>
      </c>
      <c r="F752" t="s">
        <v>1774</v>
      </c>
      <c r="G752" t="s">
        <v>161</v>
      </c>
      <c r="H752" t="s">
        <v>89</v>
      </c>
      <c r="I752" t="s">
        <v>37</v>
      </c>
      <c r="J752" t="s">
        <v>144</v>
      </c>
      <c r="K752" t="s">
        <v>145</v>
      </c>
      <c r="L752" t="s">
        <v>73</v>
      </c>
      <c r="M752" t="s">
        <v>79</v>
      </c>
      <c r="N752" t="s">
        <v>1775</v>
      </c>
      <c r="O752" t="s">
        <v>30</v>
      </c>
      <c r="P752">
        <v>5</v>
      </c>
      <c r="Q752">
        <v>3277.82</v>
      </c>
      <c r="R752">
        <v>0.1</v>
      </c>
      <c r="S752" t="str">
        <f t="shared" si="112"/>
        <v>OK</v>
      </c>
      <c r="T752">
        <v>14750.19</v>
      </c>
      <c r="U752">
        <v>9482.58</v>
      </c>
      <c r="V752">
        <v>5267.61</v>
      </c>
      <c r="W752" t="s">
        <v>31</v>
      </c>
      <c r="X752" t="s">
        <v>102</v>
      </c>
      <c r="Y752" t="str">
        <f>IF(COUNTIF($A$2:$A$901,A752)&gt;1,
  IF(COUNTIF($A$2:A752,A752)=1,
    " ORIGINAL",
    "CONFLICTING DUPLICATE - REVIEW"),
"OK")</f>
        <v>OK</v>
      </c>
      <c r="Z752">
        <f t="shared" si="113"/>
        <v>0.1</v>
      </c>
      <c r="AA752">
        <f t="shared" si="114"/>
        <v>14750.19</v>
      </c>
      <c r="AB752">
        <f t="shared" si="115"/>
        <v>5267.61</v>
      </c>
      <c r="AC752">
        <f t="shared" si="116"/>
        <v>0.35709999999999997</v>
      </c>
      <c r="AD752">
        <f t="shared" si="117"/>
        <v>9</v>
      </c>
      <c r="AE752">
        <f t="shared" si="118"/>
        <v>2025</v>
      </c>
      <c r="AF752" t="str">
        <f t="shared" si="119"/>
        <v>CLEAN</v>
      </c>
    </row>
    <row r="753" spans="1:32">
      <c r="A753" t="s">
        <v>1779</v>
      </c>
      <c r="B753" s="10">
        <v>45852</v>
      </c>
      <c r="C753" s="10">
        <v>45856</v>
      </c>
      <c r="D753">
        <f t="shared" si="110"/>
        <v>4</v>
      </c>
      <c r="E753" t="str">
        <f t="shared" si="111"/>
        <v>OK</v>
      </c>
      <c r="F753" t="s">
        <v>1780</v>
      </c>
      <c r="G753" t="s">
        <v>88</v>
      </c>
      <c r="H753" t="s">
        <v>23</v>
      </c>
      <c r="I753" t="s">
        <v>24</v>
      </c>
      <c r="J753" t="s">
        <v>121</v>
      </c>
      <c r="K753" t="s">
        <v>122</v>
      </c>
      <c r="L753" t="s">
        <v>73</v>
      </c>
      <c r="M753" t="s">
        <v>79</v>
      </c>
      <c r="N753" t="s">
        <v>1781</v>
      </c>
      <c r="O753" t="s">
        <v>49</v>
      </c>
      <c r="P753">
        <v>4</v>
      </c>
      <c r="Q753">
        <v>725.22</v>
      </c>
      <c r="R753">
        <v>0</v>
      </c>
      <c r="S753" t="str">
        <f t="shared" si="112"/>
        <v>OK</v>
      </c>
      <c r="T753">
        <v>2900.88</v>
      </c>
      <c r="U753">
        <v>2391.85</v>
      </c>
      <c r="V753">
        <v>509.03</v>
      </c>
      <c r="W753" t="s">
        <v>110</v>
      </c>
      <c r="X753" t="s">
        <v>102</v>
      </c>
      <c r="Y753" t="str">
        <f>IF(COUNTIF($A$2:$A$901,A753)&gt;1,
  IF(COUNTIF($A$2:A753,A753)=1,
    " ORIGINAL",
    "CONFLICTING DUPLICATE - REVIEW"),
"OK")</f>
        <v>OK</v>
      </c>
      <c r="Z753">
        <f t="shared" si="113"/>
        <v>0</v>
      </c>
      <c r="AA753">
        <f t="shared" si="114"/>
        <v>2900.88</v>
      </c>
      <c r="AB753">
        <f t="shared" si="115"/>
        <v>509.03</v>
      </c>
      <c r="AC753">
        <f t="shared" si="116"/>
        <v>0.17549999999999999</v>
      </c>
      <c r="AD753">
        <f t="shared" si="117"/>
        <v>7</v>
      </c>
      <c r="AE753">
        <f t="shared" si="118"/>
        <v>2025</v>
      </c>
      <c r="AF753" t="str">
        <f t="shared" si="119"/>
        <v>CLEAN</v>
      </c>
    </row>
    <row r="754" spans="1:32">
      <c r="A754" t="s">
        <v>1791</v>
      </c>
      <c r="B754" s="10">
        <v>45876</v>
      </c>
      <c r="C754" s="10">
        <v>45882</v>
      </c>
      <c r="D754">
        <f t="shared" si="110"/>
        <v>6</v>
      </c>
      <c r="E754" t="str">
        <f t="shared" si="111"/>
        <v>OK</v>
      </c>
      <c r="F754" t="s">
        <v>1792</v>
      </c>
      <c r="G754" t="s">
        <v>35</v>
      </c>
      <c r="H754" t="s">
        <v>89</v>
      </c>
      <c r="I754" t="s">
        <v>24</v>
      </c>
      <c r="J754" t="s">
        <v>349</v>
      </c>
      <c r="K754" t="s">
        <v>350</v>
      </c>
      <c r="L754" t="s">
        <v>73</v>
      </c>
      <c r="M754" t="s">
        <v>170</v>
      </c>
      <c r="N754" t="s">
        <v>1793</v>
      </c>
      <c r="O754" t="s">
        <v>58</v>
      </c>
      <c r="P754">
        <v>6</v>
      </c>
      <c r="Q754">
        <v>1921.86</v>
      </c>
      <c r="R754">
        <v>0.2</v>
      </c>
      <c r="S754" t="str">
        <f t="shared" si="112"/>
        <v>OK</v>
      </c>
      <c r="T754">
        <v>9224.93</v>
      </c>
      <c r="U754">
        <v>7005.2</v>
      </c>
      <c r="V754">
        <v>2219.73</v>
      </c>
      <c r="W754" t="s">
        <v>101</v>
      </c>
      <c r="X754" t="s">
        <v>67</v>
      </c>
      <c r="Y754" t="str">
        <f>IF(COUNTIF($A$2:$A$901,A754)&gt;1,
  IF(COUNTIF($A$2:A754,A754)=1,
    " ORIGINAL",
    "CONFLICTING DUPLICATE - REVIEW"),
"OK")</f>
        <v>OK</v>
      </c>
      <c r="Z754">
        <f t="shared" si="113"/>
        <v>0.2</v>
      </c>
      <c r="AA754">
        <f t="shared" si="114"/>
        <v>9224.93</v>
      </c>
      <c r="AB754">
        <f t="shared" si="115"/>
        <v>2219.73</v>
      </c>
      <c r="AC754">
        <f t="shared" si="116"/>
        <v>0.24060000000000001</v>
      </c>
      <c r="AD754">
        <f t="shared" si="117"/>
        <v>8</v>
      </c>
      <c r="AE754">
        <f t="shared" si="118"/>
        <v>2025</v>
      </c>
      <c r="AF754" t="str">
        <f t="shared" si="119"/>
        <v>CLEAN</v>
      </c>
    </row>
    <row r="755" spans="1:32">
      <c r="A755" t="s">
        <v>1802</v>
      </c>
      <c r="B755" s="10">
        <v>45908</v>
      </c>
      <c r="C755" s="10">
        <v>45910</v>
      </c>
      <c r="D755">
        <f t="shared" si="110"/>
        <v>2</v>
      </c>
      <c r="E755" t="str">
        <f t="shared" si="111"/>
        <v>OK</v>
      </c>
      <c r="F755" t="s">
        <v>1803</v>
      </c>
      <c r="G755" t="s">
        <v>117</v>
      </c>
      <c r="H755" t="s">
        <v>94</v>
      </c>
      <c r="I755" t="s">
        <v>62</v>
      </c>
      <c r="J755" t="s">
        <v>63</v>
      </c>
      <c r="K755" t="s">
        <v>64</v>
      </c>
      <c r="L755" t="s">
        <v>40</v>
      </c>
      <c r="M755" t="s">
        <v>56</v>
      </c>
      <c r="N755" t="s">
        <v>1804</v>
      </c>
      <c r="O755" t="s">
        <v>58</v>
      </c>
      <c r="P755">
        <v>6</v>
      </c>
      <c r="Q755">
        <v>3251.17</v>
      </c>
      <c r="R755">
        <v>0.25</v>
      </c>
      <c r="S755" t="str">
        <f t="shared" si="112"/>
        <v>OK</v>
      </c>
      <c r="T755">
        <v>14630.26</v>
      </c>
      <c r="U755">
        <v>11906.36</v>
      </c>
      <c r="V755">
        <v>2723.9</v>
      </c>
      <c r="W755" t="s">
        <v>101</v>
      </c>
      <c r="X755" t="s">
        <v>102</v>
      </c>
      <c r="Y755" t="str">
        <f>IF(COUNTIF($A$2:$A$901,A755)&gt;1,
  IF(COUNTIF($A$2:A755,A755)=1,
    " ORIGINAL",
    "CONFLICTING DUPLICATE - REVIEW"),
"OK")</f>
        <v>OK</v>
      </c>
      <c r="Z755">
        <f t="shared" si="113"/>
        <v>0.25</v>
      </c>
      <c r="AA755">
        <f t="shared" si="114"/>
        <v>14630.27</v>
      </c>
      <c r="AB755">
        <f t="shared" si="115"/>
        <v>2723.91</v>
      </c>
      <c r="AC755">
        <f t="shared" si="116"/>
        <v>0.1862</v>
      </c>
      <c r="AD755">
        <f t="shared" si="117"/>
        <v>9</v>
      </c>
      <c r="AE755">
        <f t="shared" si="118"/>
        <v>2025</v>
      </c>
      <c r="AF755" t="str">
        <f t="shared" si="119"/>
        <v>CLEAN</v>
      </c>
    </row>
    <row r="756" spans="1:32">
      <c r="A756" t="s">
        <v>1805</v>
      </c>
      <c r="B756" s="10">
        <v>45887</v>
      </c>
      <c r="C756" s="10">
        <v>45891</v>
      </c>
      <c r="D756">
        <f t="shared" si="110"/>
        <v>4</v>
      </c>
      <c r="E756" t="str">
        <f t="shared" si="111"/>
        <v>OK</v>
      </c>
      <c r="F756" t="s">
        <v>1806</v>
      </c>
      <c r="G756" t="s">
        <v>52</v>
      </c>
      <c r="H756" t="s">
        <v>23</v>
      </c>
      <c r="I756" t="s">
        <v>37</v>
      </c>
      <c r="J756" t="s">
        <v>227</v>
      </c>
      <c r="K756" t="s">
        <v>228</v>
      </c>
      <c r="L756" t="s">
        <v>40</v>
      </c>
      <c r="M756" t="s">
        <v>56</v>
      </c>
      <c r="N756" t="s">
        <v>1807</v>
      </c>
      <c r="O756" t="s">
        <v>30</v>
      </c>
      <c r="P756">
        <v>3</v>
      </c>
      <c r="Q756">
        <v>3946.44</v>
      </c>
      <c r="R756">
        <v>0.25</v>
      </c>
      <c r="S756" t="str">
        <f t="shared" si="112"/>
        <v>OK</v>
      </c>
      <c r="T756">
        <v>8879.49</v>
      </c>
      <c r="U756">
        <v>6344.57</v>
      </c>
      <c r="V756">
        <v>2534.92</v>
      </c>
      <c r="W756" t="s">
        <v>154</v>
      </c>
      <c r="X756" t="s">
        <v>102</v>
      </c>
      <c r="Y756" t="str">
        <f>IF(COUNTIF($A$2:$A$901,A756)&gt;1,
  IF(COUNTIF($A$2:A756,A756)=1,
    " ORIGINAL",
    "CONFLICTING DUPLICATE - REVIEW"),
"OK")</f>
        <v>OK</v>
      </c>
      <c r="Z756">
        <f t="shared" si="113"/>
        <v>0.25</v>
      </c>
      <c r="AA756">
        <f t="shared" si="114"/>
        <v>8879.49</v>
      </c>
      <c r="AB756">
        <f t="shared" si="115"/>
        <v>2534.92</v>
      </c>
      <c r="AC756">
        <f t="shared" si="116"/>
        <v>0.28549999999999998</v>
      </c>
      <c r="AD756">
        <f t="shared" si="117"/>
        <v>8</v>
      </c>
      <c r="AE756">
        <f t="shared" si="118"/>
        <v>2025</v>
      </c>
      <c r="AF756" t="str">
        <f t="shared" si="119"/>
        <v>INVALID</v>
      </c>
    </row>
    <row r="757" spans="1:32">
      <c r="A757" t="s">
        <v>1808</v>
      </c>
      <c r="B757" s="10">
        <v>45698</v>
      </c>
      <c r="C757" s="10">
        <v>45702</v>
      </c>
      <c r="D757">
        <f t="shared" si="110"/>
        <v>4</v>
      </c>
      <c r="E757" t="str">
        <f t="shared" si="111"/>
        <v>OK</v>
      </c>
      <c r="F757" t="s">
        <v>1809</v>
      </c>
      <c r="G757" t="s">
        <v>113</v>
      </c>
      <c r="H757" t="s">
        <v>36</v>
      </c>
      <c r="I757" t="s">
        <v>24</v>
      </c>
      <c r="J757" t="s">
        <v>135</v>
      </c>
      <c r="K757" t="s">
        <v>136</v>
      </c>
      <c r="L757" t="s">
        <v>73</v>
      </c>
      <c r="M757" t="s">
        <v>170</v>
      </c>
      <c r="N757" t="s">
        <v>1810</v>
      </c>
      <c r="O757" t="s">
        <v>2762</v>
      </c>
      <c r="P757">
        <v>5</v>
      </c>
      <c r="Q757">
        <v>4276.29</v>
      </c>
      <c r="R757">
        <v>0</v>
      </c>
      <c r="S757" t="str">
        <f t="shared" si="112"/>
        <v>OK</v>
      </c>
      <c r="T757">
        <v>21381.45</v>
      </c>
      <c r="U757">
        <v>13240.21</v>
      </c>
      <c r="V757">
        <v>8141.24</v>
      </c>
      <c r="W757" t="s">
        <v>154</v>
      </c>
      <c r="X757" t="s">
        <v>102</v>
      </c>
      <c r="Y757" t="str">
        <f>IF(COUNTIF($A$2:$A$901,A757)&gt;1,
  IF(COUNTIF($A$2:A757,A757)=1,
    " ORIGINAL",
    "CONFLICTING DUPLICATE - REVIEW"),
"OK")</f>
        <v xml:space="preserve"> ORIGINAL</v>
      </c>
      <c r="Z757">
        <f t="shared" si="113"/>
        <v>0</v>
      </c>
      <c r="AA757">
        <f t="shared" si="114"/>
        <v>21381.45</v>
      </c>
      <c r="AB757">
        <f t="shared" si="115"/>
        <v>8141.24</v>
      </c>
      <c r="AC757">
        <f t="shared" si="116"/>
        <v>0.38080000000000003</v>
      </c>
      <c r="AD757">
        <f t="shared" si="117"/>
        <v>2</v>
      </c>
      <c r="AE757">
        <f t="shared" si="118"/>
        <v>2025</v>
      </c>
      <c r="AF757" t="str">
        <f t="shared" si="119"/>
        <v>INVALID</v>
      </c>
    </row>
    <row r="758" spans="1:32">
      <c r="A758" t="s">
        <v>1808</v>
      </c>
      <c r="B758" s="10">
        <v>45698</v>
      </c>
      <c r="C758" s="10">
        <v>45702</v>
      </c>
      <c r="D758">
        <f t="shared" si="110"/>
        <v>4</v>
      </c>
      <c r="E758" t="str">
        <f t="shared" si="111"/>
        <v>OK</v>
      </c>
      <c r="F758" t="s">
        <v>1809</v>
      </c>
      <c r="G758" t="s">
        <v>113</v>
      </c>
      <c r="H758" t="s">
        <v>36</v>
      </c>
      <c r="I758" t="s">
        <v>24</v>
      </c>
      <c r="J758" t="s">
        <v>135</v>
      </c>
      <c r="K758" t="s">
        <v>136</v>
      </c>
      <c r="L758" t="s">
        <v>73</v>
      </c>
      <c r="M758" t="s">
        <v>170</v>
      </c>
      <c r="N758" t="s">
        <v>1810</v>
      </c>
      <c r="O758" t="s">
        <v>2762</v>
      </c>
      <c r="P758">
        <v>5</v>
      </c>
      <c r="Q758">
        <v>4276.29</v>
      </c>
      <c r="R758">
        <v>0</v>
      </c>
      <c r="S758" t="str">
        <f t="shared" si="112"/>
        <v>OK</v>
      </c>
      <c r="T758">
        <v>21443.63</v>
      </c>
      <c r="U758">
        <v>13240.21</v>
      </c>
      <c r="V758">
        <v>8141.24</v>
      </c>
      <c r="W758" t="s">
        <v>154</v>
      </c>
      <c r="X758" t="s">
        <v>32</v>
      </c>
      <c r="Y758" t="str">
        <f>IF(COUNTIF($A$2:$A$901,A758)&gt;1,
  IF(COUNTIF($A$2:A758,A758)=1,
    " ORIGINAL",
    "CONFLICTING DUPLICATE - REVIEW"),
"OK")</f>
        <v>CONFLICTING DUPLICATE - REVIEW</v>
      </c>
      <c r="Z758">
        <f t="shared" si="113"/>
        <v>0</v>
      </c>
      <c r="AA758">
        <f t="shared" si="114"/>
        <v>21381.45</v>
      </c>
      <c r="AB758">
        <f t="shared" si="115"/>
        <v>8141.24</v>
      </c>
      <c r="AC758">
        <f t="shared" si="116"/>
        <v>0.38080000000000003</v>
      </c>
      <c r="AD758">
        <f t="shared" si="117"/>
        <v>2</v>
      </c>
      <c r="AE758">
        <f t="shared" si="118"/>
        <v>2025</v>
      </c>
      <c r="AF758" t="str">
        <f t="shared" si="119"/>
        <v>INVALID</v>
      </c>
    </row>
    <row r="759" spans="1:32">
      <c r="A759" t="s">
        <v>1814</v>
      </c>
      <c r="B759" s="10">
        <v>45922</v>
      </c>
      <c r="C759" s="10">
        <v>45926</v>
      </c>
      <c r="D759">
        <f t="shared" si="110"/>
        <v>4</v>
      </c>
      <c r="E759" t="str">
        <f t="shared" si="111"/>
        <v>OK</v>
      </c>
      <c r="F759" t="s">
        <v>1815</v>
      </c>
      <c r="G759" t="s">
        <v>46</v>
      </c>
      <c r="H759" t="s">
        <v>23</v>
      </c>
      <c r="I759" t="s">
        <v>53</v>
      </c>
      <c r="J759" t="s">
        <v>83</v>
      </c>
      <c r="K759" t="s">
        <v>84</v>
      </c>
      <c r="L759" t="s">
        <v>73</v>
      </c>
      <c r="M759" t="s">
        <v>170</v>
      </c>
      <c r="N759" t="s">
        <v>1816</v>
      </c>
      <c r="O759" t="s">
        <v>58</v>
      </c>
      <c r="P759">
        <v>1</v>
      </c>
      <c r="Q759">
        <v>573.65</v>
      </c>
      <c r="R759">
        <v>0</v>
      </c>
      <c r="S759" t="str">
        <f t="shared" si="112"/>
        <v>OK</v>
      </c>
      <c r="T759">
        <v>573.65</v>
      </c>
      <c r="U759">
        <v>322.67</v>
      </c>
      <c r="V759">
        <v>250.98</v>
      </c>
      <c r="W759" t="s">
        <v>31</v>
      </c>
      <c r="X759" t="s">
        <v>32</v>
      </c>
      <c r="Y759" t="str">
        <f>IF(COUNTIF($A$2:$A$901,A759)&gt;1,
  IF(COUNTIF($A$2:A759,A759)=1,
    " ORIGINAL",
    "CONFLICTING DUPLICATE - REVIEW"),
"OK")</f>
        <v>OK</v>
      </c>
      <c r="Z759">
        <f t="shared" si="113"/>
        <v>0</v>
      </c>
      <c r="AA759">
        <f t="shared" si="114"/>
        <v>573.65</v>
      </c>
      <c r="AB759">
        <f t="shared" si="115"/>
        <v>250.98</v>
      </c>
      <c r="AC759">
        <f t="shared" si="116"/>
        <v>0.4375</v>
      </c>
      <c r="AD759">
        <f t="shared" si="117"/>
        <v>9</v>
      </c>
      <c r="AE759">
        <f t="shared" si="118"/>
        <v>2025</v>
      </c>
      <c r="AF759" t="str">
        <f t="shared" si="119"/>
        <v>CLEAN</v>
      </c>
    </row>
    <row r="760" spans="1:32">
      <c r="A760" t="s">
        <v>1819</v>
      </c>
      <c r="B760" s="10">
        <v>45727</v>
      </c>
      <c r="C760" s="10">
        <v>45730</v>
      </c>
      <c r="D760">
        <f t="shared" si="110"/>
        <v>3</v>
      </c>
      <c r="E760" t="str">
        <f t="shared" si="111"/>
        <v>OK</v>
      </c>
      <c r="F760" t="s">
        <v>1820</v>
      </c>
      <c r="G760" t="s">
        <v>131</v>
      </c>
      <c r="H760" t="s">
        <v>94</v>
      </c>
      <c r="I760" t="s">
        <v>53</v>
      </c>
      <c r="J760" t="s">
        <v>184</v>
      </c>
      <c r="K760" t="s">
        <v>185</v>
      </c>
      <c r="L760" t="s">
        <v>40</v>
      </c>
      <c r="M760" t="s">
        <v>56</v>
      </c>
      <c r="N760" t="s">
        <v>1821</v>
      </c>
      <c r="O760" t="s">
        <v>43</v>
      </c>
      <c r="P760">
        <v>4</v>
      </c>
      <c r="Q760">
        <v>1244.82</v>
      </c>
      <c r="R760">
        <v>0.2</v>
      </c>
      <c r="S760" t="str">
        <f t="shared" si="112"/>
        <v>OK</v>
      </c>
      <c r="T760">
        <v>3983.42</v>
      </c>
      <c r="U760">
        <v>3174.91</v>
      </c>
      <c r="V760">
        <v>808.51</v>
      </c>
      <c r="W760" t="s">
        <v>154</v>
      </c>
      <c r="X760" t="s">
        <v>102</v>
      </c>
      <c r="Y760" t="str">
        <f>IF(COUNTIF($A$2:$A$901,A760)&gt;1,
  IF(COUNTIF($A$2:A760,A760)=1,
    " ORIGINAL",
    "CONFLICTING DUPLICATE - REVIEW"),
"OK")</f>
        <v>OK</v>
      </c>
      <c r="Z760">
        <f t="shared" si="113"/>
        <v>0.2</v>
      </c>
      <c r="AA760">
        <f t="shared" si="114"/>
        <v>3983.42</v>
      </c>
      <c r="AB760">
        <f t="shared" si="115"/>
        <v>808.51</v>
      </c>
      <c r="AC760">
        <f t="shared" si="116"/>
        <v>0.20300000000000001</v>
      </c>
      <c r="AD760">
        <f t="shared" si="117"/>
        <v>3</v>
      </c>
      <c r="AE760">
        <f t="shared" si="118"/>
        <v>2025</v>
      </c>
      <c r="AF760" t="str">
        <f t="shared" si="119"/>
        <v>INVALID</v>
      </c>
    </row>
    <row r="761" spans="1:32">
      <c r="A761" t="s">
        <v>1825</v>
      </c>
      <c r="B761" s="10">
        <v>45897</v>
      </c>
      <c r="C761" s="10">
        <v>45903</v>
      </c>
      <c r="D761">
        <f t="shared" si="110"/>
        <v>6</v>
      </c>
      <c r="E761" t="str">
        <f t="shared" si="111"/>
        <v>OK</v>
      </c>
      <c r="F761" t="s">
        <v>1826</v>
      </c>
      <c r="G761" t="s">
        <v>113</v>
      </c>
      <c r="H761" t="s">
        <v>89</v>
      </c>
      <c r="I761" t="s">
        <v>62</v>
      </c>
      <c r="J761" t="s">
        <v>71</v>
      </c>
      <c r="K761" t="s">
        <v>72</v>
      </c>
      <c r="L761" t="s">
        <v>40</v>
      </c>
      <c r="M761" t="s">
        <v>56</v>
      </c>
      <c r="N761" t="s">
        <v>1827</v>
      </c>
      <c r="O761" t="s">
        <v>58</v>
      </c>
      <c r="P761">
        <v>7</v>
      </c>
      <c r="Q761">
        <v>268.45</v>
      </c>
      <c r="R761">
        <v>0</v>
      </c>
      <c r="S761" t="str">
        <f t="shared" si="112"/>
        <v>OK</v>
      </c>
      <c r="T761">
        <v>1879.15</v>
      </c>
      <c r="U761">
        <v>1134.9000000000001</v>
      </c>
      <c r="V761">
        <v>744.25</v>
      </c>
      <c r="W761" t="s">
        <v>31</v>
      </c>
      <c r="X761" t="s">
        <v>32</v>
      </c>
      <c r="Y761" t="str">
        <f>IF(COUNTIF($A$2:$A$901,A761)&gt;1,
  IF(COUNTIF($A$2:A761,A761)=1,
    " ORIGINAL",
    "CONFLICTING DUPLICATE - REVIEW"),
"OK")</f>
        <v>OK</v>
      </c>
      <c r="Z761">
        <f t="shared" si="113"/>
        <v>0</v>
      </c>
      <c r="AA761">
        <f t="shared" si="114"/>
        <v>1879.15</v>
      </c>
      <c r="AB761">
        <f t="shared" si="115"/>
        <v>744.25</v>
      </c>
      <c r="AC761">
        <f t="shared" si="116"/>
        <v>0.39610000000000001</v>
      </c>
      <c r="AD761">
        <f t="shared" si="117"/>
        <v>8</v>
      </c>
      <c r="AE761">
        <f t="shared" si="118"/>
        <v>2025</v>
      </c>
      <c r="AF761" t="str">
        <f t="shared" si="119"/>
        <v>CLEAN</v>
      </c>
    </row>
    <row r="762" spans="1:32">
      <c r="A762" t="s">
        <v>1833</v>
      </c>
      <c r="B762" s="10">
        <v>45811</v>
      </c>
      <c r="C762" s="10">
        <v>45729</v>
      </c>
      <c r="D762">
        <f t="shared" si="110"/>
        <v>-82</v>
      </c>
      <c r="E762" t="str">
        <f t="shared" si="111"/>
        <v>INVALID</v>
      </c>
      <c r="F762" t="s">
        <v>1834</v>
      </c>
      <c r="G762" t="s">
        <v>263</v>
      </c>
      <c r="H762" t="s">
        <v>23</v>
      </c>
      <c r="I762" t="s">
        <v>53</v>
      </c>
      <c r="J762" t="s">
        <v>184</v>
      </c>
      <c r="K762" t="s">
        <v>185</v>
      </c>
      <c r="L762" t="s">
        <v>40</v>
      </c>
      <c r="M762" t="s">
        <v>65</v>
      </c>
      <c r="N762" t="s">
        <v>1835</v>
      </c>
      <c r="O762" t="s">
        <v>58</v>
      </c>
      <c r="P762">
        <v>3</v>
      </c>
      <c r="Q762">
        <v>163.72</v>
      </c>
      <c r="R762">
        <v>0.15</v>
      </c>
      <c r="S762" t="str">
        <f t="shared" si="112"/>
        <v>OK</v>
      </c>
      <c r="T762">
        <v>417.49</v>
      </c>
      <c r="U762">
        <v>261.67</v>
      </c>
      <c r="V762">
        <v>155.82</v>
      </c>
      <c r="W762" t="s">
        <v>154</v>
      </c>
      <c r="X762" t="s">
        <v>102</v>
      </c>
      <c r="Y762" t="str">
        <f>IF(COUNTIF($A$2:$A$901,A762)&gt;1,
  IF(COUNTIF($A$2:A762,A762)=1,
    " ORIGINAL",
    "CONFLICTING DUPLICATE - REVIEW"),
"OK")</f>
        <v>OK</v>
      </c>
      <c r="Z762">
        <f t="shared" si="113"/>
        <v>0.15</v>
      </c>
      <c r="AA762">
        <f t="shared" si="114"/>
        <v>417.49</v>
      </c>
      <c r="AB762">
        <f t="shared" si="115"/>
        <v>155.82</v>
      </c>
      <c r="AC762">
        <f t="shared" si="116"/>
        <v>0.37319999999999998</v>
      </c>
      <c r="AD762">
        <f t="shared" si="117"/>
        <v>6</v>
      </c>
      <c r="AE762">
        <f t="shared" si="118"/>
        <v>2025</v>
      </c>
      <c r="AF762" t="str">
        <f t="shared" si="119"/>
        <v>INVALID</v>
      </c>
    </row>
    <row r="763" spans="1:32">
      <c r="A763" t="s">
        <v>1836</v>
      </c>
      <c r="B763" s="10">
        <v>45878</v>
      </c>
      <c r="C763" s="10">
        <v>45879</v>
      </c>
      <c r="D763">
        <f t="shared" si="110"/>
        <v>1</v>
      </c>
      <c r="E763" t="str">
        <f t="shared" si="111"/>
        <v>OK</v>
      </c>
      <c r="F763" t="s">
        <v>1837</v>
      </c>
      <c r="G763" t="s">
        <v>78</v>
      </c>
      <c r="H763" t="s">
        <v>23</v>
      </c>
      <c r="I763" t="s">
        <v>24</v>
      </c>
      <c r="J763" t="s">
        <v>349</v>
      </c>
      <c r="K763" t="s">
        <v>350</v>
      </c>
      <c r="L763" t="s">
        <v>27</v>
      </c>
      <c r="M763" t="s">
        <v>47</v>
      </c>
      <c r="N763" t="s">
        <v>1838</v>
      </c>
      <c r="O763" t="s">
        <v>30</v>
      </c>
      <c r="P763">
        <v>4</v>
      </c>
      <c r="Q763">
        <v>4080.95</v>
      </c>
      <c r="R763">
        <v>0</v>
      </c>
      <c r="S763" t="str">
        <f t="shared" si="112"/>
        <v>OK</v>
      </c>
      <c r="T763">
        <v>16323.8</v>
      </c>
      <c r="U763">
        <v>9965.7900000000009</v>
      </c>
      <c r="V763">
        <v>6358.01</v>
      </c>
      <c r="W763" t="s">
        <v>101</v>
      </c>
      <c r="X763" t="s">
        <v>102</v>
      </c>
      <c r="Y763" t="str">
        <f>IF(COUNTIF($A$2:$A$901,A763)&gt;1,
  IF(COUNTIF($A$2:A763,A763)=1,
    " ORIGINAL",
    "CONFLICTING DUPLICATE - REVIEW"),
"OK")</f>
        <v>OK</v>
      </c>
      <c r="Z763">
        <f t="shared" si="113"/>
        <v>0</v>
      </c>
      <c r="AA763">
        <f t="shared" si="114"/>
        <v>16323.8</v>
      </c>
      <c r="AB763">
        <f t="shared" si="115"/>
        <v>6358.01</v>
      </c>
      <c r="AC763">
        <f t="shared" si="116"/>
        <v>0.38950000000000001</v>
      </c>
      <c r="AD763">
        <f t="shared" si="117"/>
        <v>8</v>
      </c>
      <c r="AE763">
        <f t="shared" si="118"/>
        <v>2025</v>
      </c>
      <c r="AF763" t="str">
        <f t="shared" si="119"/>
        <v>CLEAN</v>
      </c>
    </row>
    <row r="764" spans="1:32">
      <c r="A764" t="s">
        <v>1848</v>
      </c>
      <c r="B764" s="10">
        <v>45830</v>
      </c>
      <c r="C764" s="10">
        <v>45833</v>
      </c>
      <c r="D764">
        <f t="shared" si="110"/>
        <v>3</v>
      </c>
      <c r="E764" t="str">
        <f t="shared" si="111"/>
        <v>OK</v>
      </c>
      <c r="F764" t="s">
        <v>1849</v>
      </c>
      <c r="G764" t="s">
        <v>161</v>
      </c>
      <c r="H764" t="s">
        <v>36</v>
      </c>
      <c r="I764" t="s">
        <v>62</v>
      </c>
      <c r="J764" t="s">
        <v>63</v>
      </c>
      <c r="K764" t="s">
        <v>64</v>
      </c>
      <c r="L764" t="s">
        <v>73</v>
      </c>
      <c r="M764" t="s">
        <v>170</v>
      </c>
      <c r="N764" t="s">
        <v>1850</v>
      </c>
      <c r="O764" t="s">
        <v>49</v>
      </c>
      <c r="P764">
        <v>8</v>
      </c>
      <c r="Q764">
        <v>3453.66</v>
      </c>
      <c r="R764">
        <v>0</v>
      </c>
      <c r="S764" t="str">
        <f t="shared" si="112"/>
        <v>OK</v>
      </c>
      <c r="T764">
        <v>27629.279999999999</v>
      </c>
      <c r="U764">
        <v>22026.48</v>
      </c>
      <c r="V764">
        <v>5602.8</v>
      </c>
      <c r="W764" t="s">
        <v>31</v>
      </c>
      <c r="X764" t="s">
        <v>32</v>
      </c>
      <c r="Y764" t="str">
        <f>IF(COUNTIF($A$2:$A$901,A764)&gt;1,
  IF(COUNTIF($A$2:A764,A764)=1,
    " ORIGINAL",
    "CONFLICTING DUPLICATE - REVIEW"),
"OK")</f>
        <v>OK</v>
      </c>
      <c r="Z764">
        <f t="shared" si="113"/>
        <v>0</v>
      </c>
      <c r="AA764">
        <f t="shared" si="114"/>
        <v>27629.279999999999</v>
      </c>
      <c r="AB764">
        <f t="shared" si="115"/>
        <v>5602.8</v>
      </c>
      <c r="AC764">
        <f t="shared" si="116"/>
        <v>0.20280000000000001</v>
      </c>
      <c r="AD764">
        <f t="shared" si="117"/>
        <v>6</v>
      </c>
      <c r="AE764">
        <f t="shared" si="118"/>
        <v>2025</v>
      </c>
      <c r="AF764" t="str">
        <f t="shared" si="119"/>
        <v>CLEAN</v>
      </c>
    </row>
    <row r="765" spans="1:32">
      <c r="A765" t="s">
        <v>1851</v>
      </c>
      <c r="B765" s="10">
        <v>45995</v>
      </c>
      <c r="C765" s="10">
        <v>45759</v>
      </c>
      <c r="D765">
        <f t="shared" si="110"/>
        <v>-236</v>
      </c>
      <c r="E765" t="str">
        <f t="shared" si="111"/>
        <v>INVALID</v>
      </c>
      <c r="F765" t="s">
        <v>1852</v>
      </c>
      <c r="G765" t="s">
        <v>35</v>
      </c>
      <c r="H765" t="s">
        <v>94</v>
      </c>
      <c r="I765" t="s">
        <v>24</v>
      </c>
      <c r="J765" t="s">
        <v>121</v>
      </c>
      <c r="K765" t="s">
        <v>122</v>
      </c>
      <c r="L765" t="s">
        <v>27</v>
      </c>
      <c r="M765" t="s">
        <v>152</v>
      </c>
      <c r="N765" t="s">
        <v>1853</v>
      </c>
      <c r="O765" t="s">
        <v>30</v>
      </c>
      <c r="P765">
        <v>7</v>
      </c>
      <c r="Q765">
        <v>1334.2</v>
      </c>
      <c r="R765">
        <v>0.2</v>
      </c>
      <c r="S765" t="str">
        <f t="shared" si="112"/>
        <v>OK</v>
      </c>
      <c r="T765">
        <v>7471.52</v>
      </c>
      <c r="U765">
        <v>6184.32</v>
      </c>
      <c r="V765">
        <v>1287.2</v>
      </c>
      <c r="W765" t="s">
        <v>31</v>
      </c>
      <c r="X765" t="s">
        <v>32</v>
      </c>
      <c r="Y765" t="str">
        <f>IF(COUNTIF($A$2:$A$901,A765)&gt;1,
  IF(COUNTIF($A$2:A765,A765)=1,
    " ORIGINAL",
    "CONFLICTING DUPLICATE - REVIEW"),
"OK")</f>
        <v>OK</v>
      </c>
      <c r="Z765">
        <f t="shared" si="113"/>
        <v>0.2</v>
      </c>
      <c r="AA765">
        <f t="shared" si="114"/>
        <v>7471.52</v>
      </c>
      <c r="AB765">
        <f t="shared" si="115"/>
        <v>1287.2</v>
      </c>
      <c r="AC765">
        <f t="shared" si="116"/>
        <v>0.17230000000000001</v>
      </c>
      <c r="AD765">
        <f t="shared" si="117"/>
        <v>12</v>
      </c>
      <c r="AE765">
        <f t="shared" si="118"/>
        <v>2025</v>
      </c>
      <c r="AF765" t="str">
        <f t="shared" si="119"/>
        <v>INVALID</v>
      </c>
    </row>
    <row r="766" spans="1:32">
      <c r="A766" t="s">
        <v>1854</v>
      </c>
      <c r="B766" s="10">
        <v>45861</v>
      </c>
      <c r="C766" s="10">
        <v>45869</v>
      </c>
      <c r="D766">
        <f t="shared" si="110"/>
        <v>8</v>
      </c>
      <c r="E766" t="str">
        <f t="shared" si="111"/>
        <v>OK</v>
      </c>
      <c r="F766" t="s">
        <v>1855</v>
      </c>
      <c r="G766" t="s">
        <v>263</v>
      </c>
      <c r="H766" t="s">
        <v>94</v>
      </c>
      <c r="I766" t="s">
        <v>62</v>
      </c>
      <c r="J766" t="s">
        <v>71</v>
      </c>
      <c r="K766" t="s">
        <v>72</v>
      </c>
      <c r="L766" t="s">
        <v>73</v>
      </c>
      <c r="M766" t="s">
        <v>74</v>
      </c>
      <c r="N766" t="s">
        <v>1856</v>
      </c>
      <c r="O766" t="s">
        <v>49</v>
      </c>
      <c r="P766">
        <v>1</v>
      </c>
      <c r="Q766">
        <v>4253.84</v>
      </c>
      <c r="R766">
        <v>0.15</v>
      </c>
      <c r="S766" t="str">
        <f t="shared" si="112"/>
        <v>OK</v>
      </c>
      <c r="T766">
        <v>3615.76</v>
      </c>
      <c r="U766">
        <v>2951.52</v>
      </c>
      <c r="V766">
        <v>664.24</v>
      </c>
      <c r="W766" t="s">
        <v>101</v>
      </c>
      <c r="X766" t="s">
        <v>67</v>
      </c>
      <c r="Y766" t="str">
        <f>IF(COUNTIF($A$2:$A$901,A766)&gt;1,
  IF(COUNTIF($A$2:A766,A766)=1,
    " ORIGINAL",
    "CONFLICTING DUPLICATE - REVIEW"),
"OK")</f>
        <v>OK</v>
      </c>
      <c r="Z766">
        <f t="shared" si="113"/>
        <v>0.15</v>
      </c>
      <c r="AA766">
        <f t="shared" si="114"/>
        <v>3615.76</v>
      </c>
      <c r="AB766">
        <f t="shared" si="115"/>
        <v>664.24</v>
      </c>
      <c r="AC766">
        <f t="shared" si="116"/>
        <v>0.1837</v>
      </c>
      <c r="AD766">
        <f t="shared" si="117"/>
        <v>7</v>
      </c>
      <c r="AE766">
        <f t="shared" si="118"/>
        <v>2025</v>
      </c>
      <c r="AF766" t="str">
        <f t="shared" si="119"/>
        <v>CLEAN</v>
      </c>
    </row>
    <row r="767" spans="1:32">
      <c r="A767" t="s">
        <v>1857</v>
      </c>
      <c r="B767" s="10">
        <v>45727</v>
      </c>
      <c r="C767" s="10">
        <v>45731</v>
      </c>
      <c r="D767">
        <f t="shared" si="110"/>
        <v>4</v>
      </c>
      <c r="E767" t="str">
        <f t="shared" si="111"/>
        <v>OK</v>
      </c>
      <c r="F767" t="s">
        <v>1858</v>
      </c>
      <c r="G767" t="s">
        <v>127</v>
      </c>
      <c r="H767" t="s">
        <v>94</v>
      </c>
      <c r="I767" t="s">
        <v>53</v>
      </c>
      <c r="J767" t="s">
        <v>174</v>
      </c>
      <c r="K767" t="s">
        <v>175</v>
      </c>
      <c r="L767" t="s">
        <v>73</v>
      </c>
      <c r="M767" t="s">
        <v>74</v>
      </c>
      <c r="N767" t="s">
        <v>1859</v>
      </c>
      <c r="O767" t="s">
        <v>30</v>
      </c>
      <c r="P767">
        <v>8</v>
      </c>
      <c r="Q767">
        <v>4446.3599999999997</v>
      </c>
      <c r="R767">
        <v>0.1</v>
      </c>
      <c r="S767" t="str">
        <f t="shared" si="112"/>
        <v>OK</v>
      </c>
      <c r="T767">
        <v>32013.79</v>
      </c>
      <c r="U767">
        <v>20896.88</v>
      </c>
      <c r="V767">
        <v>11116.91</v>
      </c>
      <c r="W767" t="s">
        <v>101</v>
      </c>
      <c r="X767" t="s">
        <v>67</v>
      </c>
      <c r="Y767" t="str">
        <f>IF(COUNTIF($A$2:$A$901,A767)&gt;1,
  IF(COUNTIF($A$2:A767,A767)=1,
    " ORIGINAL",
    "CONFLICTING DUPLICATE - REVIEW"),
"OK")</f>
        <v>OK</v>
      </c>
      <c r="Z767">
        <f t="shared" si="113"/>
        <v>0.1</v>
      </c>
      <c r="AA767">
        <f t="shared" si="114"/>
        <v>32013.79</v>
      </c>
      <c r="AB767">
        <f t="shared" si="115"/>
        <v>11116.91</v>
      </c>
      <c r="AC767">
        <f t="shared" si="116"/>
        <v>0.3473</v>
      </c>
      <c r="AD767">
        <f t="shared" si="117"/>
        <v>3</v>
      </c>
      <c r="AE767">
        <f t="shared" si="118"/>
        <v>2025</v>
      </c>
      <c r="AF767" t="str">
        <f t="shared" si="119"/>
        <v>CLEAN</v>
      </c>
    </row>
    <row r="768" spans="1:32">
      <c r="A768" t="s">
        <v>1872</v>
      </c>
      <c r="B768" s="10">
        <v>45927</v>
      </c>
      <c r="C768" s="10">
        <v>45929</v>
      </c>
      <c r="D768">
        <f t="shared" si="110"/>
        <v>2</v>
      </c>
      <c r="E768" t="str">
        <f t="shared" si="111"/>
        <v>OK</v>
      </c>
      <c r="F768" t="s">
        <v>1664</v>
      </c>
      <c r="G768" t="s">
        <v>52</v>
      </c>
      <c r="H768" t="s">
        <v>94</v>
      </c>
      <c r="I768" t="s">
        <v>24</v>
      </c>
      <c r="J768" t="s">
        <v>135</v>
      </c>
      <c r="K768" t="s">
        <v>136</v>
      </c>
      <c r="L768" t="s">
        <v>40</v>
      </c>
      <c r="M768" t="s">
        <v>41</v>
      </c>
      <c r="N768" t="s">
        <v>1873</v>
      </c>
      <c r="O768" t="s">
        <v>30</v>
      </c>
      <c r="P768">
        <v>9</v>
      </c>
      <c r="Q768">
        <v>4100.1099999999997</v>
      </c>
      <c r="R768">
        <v>0.25</v>
      </c>
      <c r="S768" t="str">
        <f t="shared" si="112"/>
        <v>OK</v>
      </c>
      <c r="T768">
        <v>27675.74</v>
      </c>
      <c r="U768">
        <v>15571.08</v>
      </c>
      <c r="V768">
        <v>12104.66</v>
      </c>
      <c r="W768" t="s">
        <v>31</v>
      </c>
      <c r="X768" t="s">
        <v>32</v>
      </c>
      <c r="Y768" t="str">
        <f>IF(COUNTIF($A$2:$A$901,A768)&gt;1,
  IF(COUNTIF($A$2:A768,A768)=1,
    " ORIGINAL",
    "CONFLICTING DUPLICATE - REVIEW"),
"OK")</f>
        <v>OK</v>
      </c>
      <c r="Z768">
        <f t="shared" si="113"/>
        <v>0.25</v>
      </c>
      <c r="AA768">
        <f t="shared" si="114"/>
        <v>27675.74</v>
      </c>
      <c r="AB768">
        <f t="shared" si="115"/>
        <v>12104.66</v>
      </c>
      <c r="AC768">
        <f t="shared" si="116"/>
        <v>0.43740000000000001</v>
      </c>
      <c r="AD768">
        <f t="shared" si="117"/>
        <v>9</v>
      </c>
      <c r="AE768">
        <f t="shared" si="118"/>
        <v>2025</v>
      </c>
      <c r="AF768" t="str">
        <f t="shared" si="119"/>
        <v>CLEAN</v>
      </c>
    </row>
    <row r="769" spans="1:32">
      <c r="A769" t="s">
        <v>1877</v>
      </c>
      <c r="B769" s="10">
        <v>45699</v>
      </c>
      <c r="C769" s="10">
        <v>45704</v>
      </c>
      <c r="D769">
        <f t="shared" si="110"/>
        <v>5</v>
      </c>
      <c r="E769" t="str">
        <f t="shared" si="111"/>
        <v>OK</v>
      </c>
      <c r="F769" t="s">
        <v>1878</v>
      </c>
      <c r="G769" t="s">
        <v>35</v>
      </c>
      <c r="H769" t="s">
        <v>89</v>
      </c>
      <c r="I769" t="s">
        <v>24</v>
      </c>
      <c r="J769" t="s">
        <v>135</v>
      </c>
      <c r="K769" t="s">
        <v>136</v>
      </c>
      <c r="L769" t="s">
        <v>73</v>
      </c>
      <c r="M769" t="s">
        <v>170</v>
      </c>
      <c r="N769" t="s">
        <v>1879</v>
      </c>
      <c r="O769" t="s">
        <v>49</v>
      </c>
      <c r="P769">
        <v>8</v>
      </c>
      <c r="Q769">
        <v>1825.56</v>
      </c>
      <c r="R769">
        <v>0.1</v>
      </c>
      <c r="S769" t="str">
        <f t="shared" si="112"/>
        <v>OK</v>
      </c>
      <c r="T769">
        <v>13144.03</v>
      </c>
      <c r="U769">
        <v>9764</v>
      </c>
      <c r="V769">
        <v>3380.03</v>
      </c>
      <c r="W769" t="s">
        <v>31</v>
      </c>
      <c r="X769" t="s">
        <v>32</v>
      </c>
      <c r="Y769" t="str">
        <f>IF(COUNTIF($A$2:$A$901,A769)&gt;1,
  IF(COUNTIF($A$2:A769,A769)=1,
    " ORIGINAL",
    "CONFLICTING DUPLICATE - REVIEW"),
"OK")</f>
        <v>OK</v>
      </c>
      <c r="Z769">
        <f t="shared" si="113"/>
        <v>0.1</v>
      </c>
      <c r="AA769">
        <f t="shared" si="114"/>
        <v>13144.03</v>
      </c>
      <c r="AB769">
        <f t="shared" si="115"/>
        <v>3380.03</v>
      </c>
      <c r="AC769">
        <f t="shared" si="116"/>
        <v>0.25719999999999998</v>
      </c>
      <c r="AD769">
        <f t="shared" si="117"/>
        <v>2</v>
      </c>
      <c r="AE769">
        <f t="shared" si="118"/>
        <v>2025</v>
      </c>
      <c r="AF769" t="str">
        <f t="shared" si="119"/>
        <v>CLEAN</v>
      </c>
    </row>
    <row r="770" spans="1:32">
      <c r="A770" t="s">
        <v>1883</v>
      </c>
      <c r="B770" s="10">
        <v>45846</v>
      </c>
      <c r="C770" s="10">
        <v>45846</v>
      </c>
      <c r="D770">
        <f t="shared" ref="D770:D833" si="120">C770-B770</f>
        <v>0</v>
      </c>
      <c r="E770" t="str">
        <f t="shared" ref="E770:E833" si="121">IF(D770&lt;0,"INVALID","OK")</f>
        <v>OK</v>
      </c>
      <c r="F770" t="s">
        <v>1884</v>
      </c>
      <c r="G770" t="s">
        <v>88</v>
      </c>
      <c r="H770" t="s">
        <v>23</v>
      </c>
      <c r="I770" t="s">
        <v>53</v>
      </c>
      <c r="J770" t="s">
        <v>54</v>
      </c>
      <c r="K770" t="s">
        <v>55</v>
      </c>
      <c r="L770" t="s">
        <v>73</v>
      </c>
      <c r="M770" t="s">
        <v>79</v>
      </c>
      <c r="N770" t="s">
        <v>1885</v>
      </c>
      <c r="O770" t="s">
        <v>43</v>
      </c>
      <c r="P770">
        <v>9</v>
      </c>
      <c r="Q770">
        <v>274.88</v>
      </c>
      <c r="R770">
        <v>0.25</v>
      </c>
      <c r="S770" t="str">
        <f t="shared" si="112"/>
        <v>OK</v>
      </c>
      <c r="T770">
        <v>1855.44</v>
      </c>
      <c r="U770">
        <v>1262.74</v>
      </c>
      <c r="V770">
        <v>592.70000000000005</v>
      </c>
      <c r="W770" t="s">
        <v>31</v>
      </c>
      <c r="X770" t="s">
        <v>32</v>
      </c>
      <c r="Y770" t="str">
        <f>IF(COUNTIF($A$2:$A$901,A770)&gt;1,
  IF(COUNTIF($A$2:A770,A770)=1,
    " ORIGINAL",
    "CONFLICTING DUPLICATE - REVIEW"),
"OK")</f>
        <v>OK</v>
      </c>
      <c r="Z770">
        <f t="shared" si="113"/>
        <v>0.25</v>
      </c>
      <c r="AA770">
        <f t="shared" si="114"/>
        <v>1855.44</v>
      </c>
      <c r="AB770">
        <f t="shared" si="115"/>
        <v>592.70000000000005</v>
      </c>
      <c r="AC770">
        <f t="shared" si="116"/>
        <v>0.31940000000000002</v>
      </c>
      <c r="AD770">
        <f t="shared" si="117"/>
        <v>7</v>
      </c>
      <c r="AE770">
        <f t="shared" si="118"/>
        <v>2025</v>
      </c>
      <c r="AF770" t="str">
        <f t="shared" si="119"/>
        <v>CLEAN</v>
      </c>
    </row>
    <row r="771" spans="1:32">
      <c r="A771" t="s">
        <v>1892</v>
      </c>
      <c r="B771" s="10">
        <v>45780</v>
      </c>
      <c r="C771" s="10">
        <v>45728</v>
      </c>
      <c r="D771">
        <f t="shared" si="120"/>
        <v>-52</v>
      </c>
      <c r="E771" t="str">
        <f t="shared" si="121"/>
        <v>INVALID</v>
      </c>
      <c r="F771" t="s">
        <v>1893</v>
      </c>
      <c r="G771" t="s">
        <v>61</v>
      </c>
      <c r="H771" t="s">
        <v>89</v>
      </c>
      <c r="I771" t="s">
        <v>62</v>
      </c>
      <c r="J771" t="s">
        <v>71</v>
      </c>
      <c r="K771" t="s">
        <v>72</v>
      </c>
      <c r="L771" t="s">
        <v>27</v>
      </c>
      <c r="M771" t="s">
        <v>123</v>
      </c>
      <c r="N771" t="s">
        <v>1894</v>
      </c>
      <c r="O771" t="s">
        <v>43</v>
      </c>
      <c r="P771">
        <v>3</v>
      </c>
      <c r="Q771">
        <v>3682.75</v>
      </c>
      <c r="R771">
        <v>0</v>
      </c>
      <c r="S771" t="str">
        <f t="shared" ref="S771:S834" si="122">IF(R771&lt;0,"INVALID-NEGATIVE",IF(R771&gt;1,"INVALID-ABOVE","OK"))</f>
        <v>OK</v>
      </c>
      <c r="T771">
        <v>11048.25</v>
      </c>
      <c r="U771">
        <v>9062.7199999999993</v>
      </c>
      <c r="V771">
        <v>1985.53</v>
      </c>
      <c r="W771" t="s">
        <v>31</v>
      </c>
      <c r="X771" t="s">
        <v>32</v>
      </c>
      <c r="Y771" t="str">
        <f>IF(COUNTIF($A$2:$A$901,A771)&gt;1,
  IF(COUNTIF($A$2:A771,A771)=1,
    " ORIGINAL",
    "CONFLICTING DUPLICATE - REVIEW"),
"OK")</f>
        <v>OK</v>
      </c>
      <c r="Z771">
        <f t="shared" ref="Z771:Z834" si="123">IF(R771&lt;0, 0,
  IF(ISNUMBER(R771), R771,
    IFERROR(VALUE(SUBSTITUTE(R771,"%",""))/100, 0)))</f>
        <v>0</v>
      </c>
      <c r="AA771">
        <f t="shared" ref="AA771:AA834" si="124">ROUND(P771*Q771*(1-Z771),2)</f>
        <v>11048.25</v>
      </c>
      <c r="AB771">
        <f t="shared" ref="AB771:AB834" si="125">ROUND(AA771-U771,2)</f>
        <v>1985.53</v>
      </c>
      <c r="AC771">
        <f t="shared" ref="AC771:AC834" si="126">IFERROR(ROUND(AB771/AA771,4),0)</f>
        <v>0.1797</v>
      </c>
      <c r="AD771">
        <f t="shared" ref="AD771:AD834" si="127">IFERROR(MONTH(B771),"INVALID")</f>
        <v>5</v>
      </c>
      <c r="AE771">
        <f t="shared" ref="AE771:AE834" si="128">IFERROR(YEAR(B771),"INVALID")</f>
        <v>2025</v>
      </c>
      <c r="AF771" t="str">
        <f t="shared" ref="AF771:AF834" si="129">IF(OR(R771&lt;0,NOT(ISNUMBER(R771)),D771&lt;0,W771="Failed"),"INVALID",IF(OR(I771="Unknown",O771="Unknown",R771&gt;1,AA771&lt;0),"WARNING","CLEAN"))</f>
        <v>INVALID</v>
      </c>
    </row>
    <row r="772" spans="1:32">
      <c r="A772" t="s">
        <v>1901</v>
      </c>
      <c r="B772" s="10">
        <v>45660</v>
      </c>
      <c r="C772" s="10">
        <v>45962</v>
      </c>
      <c r="D772">
        <f t="shared" si="120"/>
        <v>302</v>
      </c>
      <c r="E772" t="str">
        <f t="shared" si="121"/>
        <v>OK</v>
      </c>
      <c r="F772" t="s">
        <v>333</v>
      </c>
      <c r="G772" t="s">
        <v>70</v>
      </c>
      <c r="H772" t="s">
        <v>89</v>
      </c>
      <c r="I772" t="s">
        <v>37</v>
      </c>
      <c r="J772" t="s">
        <v>144</v>
      </c>
      <c r="K772" t="s">
        <v>145</v>
      </c>
      <c r="L772" t="s">
        <v>73</v>
      </c>
      <c r="M772" t="s">
        <v>74</v>
      </c>
      <c r="N772" t="s">
        <v>1902</v>
      </c>
      <c r="O772" t="s">
        <v>49</v>
      </c>
      <c r="P772">
        <v>8</v>
      </c>
      <c r="Q772">
        <v>2574.29</v>
      </c>
      <c r="R772">
        <v>0.05</v>
      </c>
      <c r="S772" t="str">
        <f t="shared" si="122"/>
        <v>OK</v>
      </c>
      <c r="T772">
        <v>19564.599999999999</v>
      </c>
      <c r="U772">
        <v>11154.59</v>
      </c>
      <c r="V772">
        <v>8410.01</v>
      </c>
      <c r="W772" t="s">
        <v>110</v>
      </c>
      <c r="X772" t="s">
        <v>67</v>
      </c>
      <c r="Y772" t="str">
        <f>IF(COUNTIF($A$2:$A$901,A772)&gt;1,
  IF(COUNTIF($A$2:A772,A772)=1,
    " ORIGINAL",
    "CONFLICTING DUPLICATE - REVIEW"),
"OK")</f>
        <v>OK</v>
      </c>
      <c r="Z772">
        <f t="shared" si="123"/>
        <v>0.05</v>
      </c>
      <c r="AA772">
        <f t="shared" si="124"/>
        <v>19564.599999999999</v>
      </c>
      <c r="AB772">
        <f t="shared" si="125"/>
        <v>8410.01</v>
      </c>
      <c r="AC772">
        <f t="shared" si="126"/>
        <v>0.4299</v>
      </c>
      <c r="AD772">
        <f t="shared" si="127"/>
        <v>1</v>
      </c>
      <c r="AE772">
        <f t="shared" si="128"/>
        <v>2025</v>
      </c>
      <c r="AF772" t="str">
        <f t="shared" si="129"/>
        <v>CLEAN</v>
      </c>
    </row>
    <row r="773" spans="1:32">
      <c r="A773" t="s">
        <v>1903</v>
      </c>
      <c r="B773" s="10">
        <v>45779</v>
      </c>
      <c r="C773" s="10">
        <v>45694</v>
      </c>
      <c r="D773">
        <f t="shared" si="120"/>
        <v>-85</v>
      </c>
      <c r="E773" t="str">
        <f t="shared" si="121"/>
        <v>INVALID</v>
      </c>
      <c r="F773" t="s">
        <v>1904</v>
      </c>
      <c r="G773" t="s">
        <v>61</v>
      </c>
      <c r="H773" t="s">
        <v>23</v>
      </c>
      <c r="I773" t="s">
        <v>62</v>
      </c>
      <c r="J773" t="s">
        <v>71</v>
      </c>
      <c r="K773" t="s">
        <v>72</v>
      </c>
      <c r="L773" t="s">
        <v>27</v>
      </c>
      <c r="M773" t="s">
        <v>152</v>
      </c>
      <c r="N773" t="s">
        <v>1905</v>
      </c>
      <c r="O773" t="s">
        <v>43</v>
      </c>
      <c r="P773">
        <v>3</v>
      </c>
      <c r="Q773">
        <v>1076.3</v>
      </c>
      <c r="R773">
        <v>0</v>
      </c>
      <c r="S773" t="str">
        <f t="shared" si="122"/>
        <v>OK</v>
      </c>
      <c r="T773">
        <v>3228.9</v>
      </c>
      <c r="U773">
        <v>1853.23</v>
      </c>
      <c r="V773">
        <v>1375.67</v>
      </c>
      <c r="W773" t="s">
        <v>31</v>
      </c>
      <c r="X773" t="s">
        <v>32</v>
      </c>
      <c r="Y773" t="str">
        <f>IF(COUNTIF($A$2:$A$901,A773)&gt;1,
  IF(COUNTIF($A$2:A773,A773)=1,
    " ORIGINAL",
    "CONFLICTING DUPLICATE - REVIEW"),
"OK")</f>
        <v>OK</v>
      </c>
      <c r="Z773">
        <f t="shared" si="123"/>
        <v>0</v>
      </c>
      <c r="AA773">
        <f t="shared" si="124"/>
        <v>3228.9</v>
      </c>
      <c r="AB773">
        <f t="shared" si="125"/>
        <v>1375.67</v>
      </c>
      <c r="AC773">
        <f t="shared" si="126"/>
        <v>0.42599999999999999</v>
      </c>
      <c r="AD773">
        <f t="shared" si="127"/>
        <v>5</v>
      </c>
      <c r="AE773">
        <f t="shared" si="128"/>
        <v>2025</v>
      </c>
      <c r="AF773" t="str">
        <f t="shared" si="129"/>
        <v>INVALID</v>
      </c>
    </row>
    <row r="774" spans="1:32">
      <c r="A774" t="s">
        <v>1906</v>
      </c>
      <c r="B774" s="10">
        <v>45847</v>
      </c>
      <c r="C774" s="10">
        <v>45851</v>
      </c>
      <c r="D774">
        <f t="shared" si="120"/>
        <v>4</v>
      </c>
      <c r="E774" t="str">
        <f t="shared" si="121"/>
        <v>OK</v>
      </c>
      <c r="F774" t="s">
        <v>1907</v>
      </c>
      <c r="G774" t="s">
        <v>263</v>
      </c>
      <c r="H774" t="s">
        <v>89</v>
      </c>
      <c r="I774" t="s">
        <v>62</v>
      </c>
      <c r="J774" t="s">
        <v>189</v>
      </c>
      <c r="K774" t="s">
        <v>190</v>
      </c>
      <c r="L774" t="s">
        <v>40</v>
      </c>
      <c r="M774" t="s">
        <v>56</v>
      </c>
      <c r="N774" t="s">
        <v>1908</v>
      </c>
      <c r="O774" t="s">
        <v>30</v>
      </c>
      <c r="P774">
        <v>5</v>
      </c>
      <c r="Q774">
        <v>1680.01</v>
      </c>
      <c r="R774" t="s">
        <v>766</v>
      </c>
      <c r="S774" t="str">
        <f t="shared" si="122"/>
        <v>INVALID-ABOVE</v>
      </c>
      <c r="T774">
        <v>7560.04</v>
      </c>
      <c r="U774">
        <v>6448.05</v>
      </c>
      <c r="V774">
        <v>1111.99</v>
      </c>
      <c r="W774" t="s">
        <v>31</v>
      </c>
      <c r="X774" t="s">
        <v>67</v>
      </c>
      <c r="Y774" t="str">
        <f>IF(COUNTIF($A$2:$A$901,A774)&gt;1,
  IF(COUNTIF($A$2:A774,A774)=1,
    " ORIGINAL",
    "CONFLICTING DUPLICATE - REVIEW"),
"OK")</f>
        <v>OK</v>
      </c>
      <c r="Z774">
        <f t="shared" si="123"/>
        <v>0.85</v>
      </c>
      <c r="AA774">
        <f t="shared" si="124"/>
        <v>1260.01</v>
      </c>
      <c r="AB774">
        <f t="shared" si="125"/>
        <v>-5188.04</v>
      </c>
      <c r="AC774">
        <f t="shared" si="126"/>
        <v>-4.1174999999999997</v>
      </c>
      <c r="AD774">
        <f t="shared" si="127"/>
        <v>7</v>
      </c>
      <c r="AE774">
        <f t="shared" si="128"/>
        <v>2025</v>
      </c>
      <c r="AF774" t="str">
        <f t="shared" si="129"/>
        <v>INVALID</v>
      </c>
    </row>
    <row r="775" spans="1:32">
      <c r="A775" t="s">
        <v>1909</v>
      </c>
      <c r="B775" s="10">
        <v>45710</v>
      </c>
      <c r="C775" s="10">
        <v>45716</v>
      </c>
      <c r="D775">
        <f t="shared" si="120"/>
        <v>6</v>
      </c>
      <c r="E775" t="str">
        <f t="shared" si="121"/>
        <v>OK</v>
      </c>
      <c r="F775" t="s">
        <v>1910</v>
      </c>
      <c r="G775" t="s">
        <v>117</v>
      </c>
      <c r="H775" t="s">
        <v>94</v>
      </c>
      <c r="I775" t="s">
        <v>62</v>
      </c>
      <c r="J775" t="s">
        <v>71</v>
      </c>
      <c r="K775" t="s">
        <v>72</v>
      </c>
      <c r="L775" t="s">
        <v>73</v>
      </c>
      <c r="M775" t="s">
        <v>79</v>
      </c>
      <c r="N775" t="s">
        <v>1911</v>
      </c>
      <c r="O775" t="s">
        <v>43</v>
      </c>
      <c r="P775">
        <v>3</v>
      </c>
      <c r="Q775">
        <v>3890.81</v>
      </c>
      <c r="R775">
        <v>0.25</v>
      </c>
      <c r="S775" t="str">
        <f t="shared" si="122"/>
        <v>OK</v>
      </c>
      <c r="T775">
        <v>8754.32</v>
      </c>
      <c r="U775">
        <v>6238.9</v>
      </c>
      <c r="V775">
        <v>2515.42</v>
      </c>
      <c r="W775" t="s">
        <v>31</v>
      </c>
      <c r="X775" t="s">
        <v>32</v>
      </c>
      <c r="Y775" t="str">
        <f>IF(COUNTIF($A$2:$A$901,A775)&gt;1,
  IF(COUNTIF($A$2:A775,A775)=1,
    " ORIGINAL",
    "CONFLICTING DUPLICATE - REVIEW"),
"OK")</f>
        <v>OK</v>
      </c>
      <c r="Z775">
        <f t="shared" si="123"/>
        <v>0.25</v>
      </c>
      <c r="AA775">
        <f t="shared" si="124"/>
        <v>8754.32</v>
      </c>
      <c r="AB775">
        <f t="shared" si="125"/>
        <v>2515.42</v>
      </c>
      <c r="AC775">
        <f t="shared" si="126"/>
        <v>0.2873</v>
      </c>
      <c r="AD775">
        <f t="shared" si="127"/>
        <v>2</v>
      </c>
      <c r="AE775">
        <f t="shared" si="128"/>
        <v>2025</v>
      </c>
      <c r="AF775" t="str">
        <f t="shared" si="129"/>
        <v>CLEAN</v>
      </c>
    </row>
    <row r="776" spans="1:32">
      <c r="A776" t="s">
        <v>1912</v>
      </c>
      <c r="B776" s="10">
        <v>45704</v>
      </c>
      <c r="C776" s="10">
        <v>45710</v>
      </c>
      <c r="D776">
        <f t="shared" si="120"/>
        <v>6</v>
      </c>
      <c r="E776" t="str">
        <f t="shared" si="121"/>
        <v>OK</v>
      </c>
      <c r="F776" t="s">
        <v>1913</v>
      </c>
      <c r="G776" t="s">
        <v>131</v>
      </c>
      <c r="H776" t="s">
        <v>94</v>
      </c>
      <c r="I776" t="s">
        <v>37</v>
      </c>
      <c r="J776" t="s">
        <v>144</v>
      </c>
      <c r="K776" t="s">
        <v>145</v>
      </c>
      <c r="L776" t="s">
        <v>27</v>
      </c>
      <c r="M776" t="s">
        <v>123</v>
      </c>
      <c r="N776" t="s">
        <v>1914</v>
      </c>
      <c r="O776" t="s">
        <v>43</v>
      </c>
      <c r="P776">
        <v>5</v>
      </c>
      <c r="Q776">
        <v>954.67</v>
      </c>
      <c r="R776">
        <v>0.15</v>
      </c>
      <c r="S776" t="str">
        <f t="shared" si="122"/>
        <v>OK</v>
      </c>
      <c r="T776">
        <v>4057.35</v>
      </c>
      <c r="U776">
        <v>2862.03</v>
      </c>
      <c r="V776">
        <v>1195.32</v>
      </c>
      <c r="W776" t="s">
        <v>31</v>
      </c>
      <c r="X776" t="s">
        <v>32</v>
      </c>
      <c r="Y776" t="str">
        <f>IF(COUNTIF($A$2:$A$901,A776)&gt;1,
  IF(COUNTIF($A$2:A776,A776)=1,
    " ORIGINAL",
    "CONFLICTING DUPLICATE - REVIEW"),
"OK")</f>
        <v>OK</v>
      </c>
      <c r="Z776">
        <f t="shared" si="123"/>
        <v>0.15</v>
      </c>
      <c r="AA776">
        <f t="shared" si="124"/>
        <v>4057.35</v>
      </c>
      <c r="AB776">
        <f t="shared" si="125"/>
        <v>1195.32</v>
      </c>
      <c r="AC776">
        <f t="shared" si="126"/>
        <v>0.29459999999999997</v>
      </c>
      <c r="AD776">
        <f t="shared" si="127"/>
        <v>2</v>
      </c>
      <c r="AE776">
        <f t="shared" si="128"/>
        <v>2025</v>
      </c>
      <c r="AF776" t="str">
        <f t="shared" si="129"/>
        <v>CLEAN</v>
      </c>
    </row>
    <row r="777" spans="1:32">
      <c r="A777" t="s">
        <v>1917</v>
      </c>
      <c r="B777" s="10">
        <v>45665</v>
      </c>
      <c r="C777" s="10">
        <v>45992</v>
      </c>
      <c r="D777">
        <f t="shared" si="120"/>
        <v>327</v>
      </c>
      <c r="E777" t="str">
        <f t="shared" si="121"/>
        <v>OK</v>
      </c>
      <c r="F777" t="s">
        <v>1918</v>
      </c>
      <c r="G777" t="s">
        <v>131</v>
      </c>
      <c r="H777" t="s">
        <v>94</v>
      </c>
      <c r="I777" t="s">
        <v>53</v>
      </c>
      <c r="J777" t="s">
        <v>174</v>
      </c>
      <c r="K777" t="s">
        <v>175</v>
      </c>
      <c r="L777" t="s">
        <v>40</v>
      </c>
      <c r="M777" t="s">
        <v>65</v>
      </c>
      <c r="N777" t="s">
        <v>1919</v>
      </c>
      <c r="O777" t="s">
        <v>58</v>
      </c>
      <c r="P777">
        <v>7</v>
      </c>
      <c r="Q777">
        <v>4337.4799999999996</v>
      </c>
      <c r="R777">
        <v>0</v>
      </c>
      <c r="S777" t="str">
        <f t="shared" si="122"/>
        <v>OK</v>
      </c>
      <c r="T777">
        <v>30362.36</v>
      </c>
      <c r="U777">
        <v>25065.4</v>
      </c>
      <c r="V777">
        <v>5296.96</v>
      </c>
      <c r="W777" t="s">
        <v>31</v>
      </c>
      <c r="X777" t="s">
        <v>32</v>
      </c>
      <c r="Y777" t="str">
        <f>IF(COUNTIF($A$2:$A$901,A777)&gt;1,
  IF(COUNTIF($A$2:A777,A777)=1,
    " ORIGINAL",
    "CONFLICTING DUPLICATE - REVIEW"),
"OK")</f>
        <v>OK</v>
      </c>
      <c r="Z777">
        <f t="shared" si="123"/>
        <v>0</v>
      </c>
      <c r="AA777">
        <f t="shared" si="124"/>
        <v>30362.36</v>
      </c>
      <c r="AB777">
        <f t="shared" si="125"/>
        <v>5296.96</v>
      </c>
      <c r="AC777">
        <f t="shared" si="126"/>
        <v>0.17449999999999999</v>
      </c>
      <c r="AD777">
        <f t="shared" si="127"/>
        <v>1</v>
      </c>
      <c r="AE777">
        <f t="shared" si="128"/>
        <v>2025</v>
      </c>
      <c r="AF777" t="str">
        <f t="shared" si="129"/>
        <v>CLEAN</v>
      </c>
    </row>
    <row r="778" spans="1:32">
      <c r="A778" t="s">
        <v>1922</v>
      </c>
      <c r="B778" s="10">
        <v>45876</v>
      </c>
      <c r="C778" s="10">
        <v>45853</v>
      </c>
      <c r="D778">
        <f t="shared" si="120"/>
        <v>-23</v>
      </c>
      <c r="E778" t="str">
        <f t="shared" si="121"/>
        <v>INVALID</v>
      </c>
      <c r="F778" t="s">
        <v>1923</v>
      </c>
      <c r="G778" t="s">
        <v>61</v>
      </c>
      <c r="H778" t="s">
        <v>36</v>
      </c>
      <c r="I778" t="s">
        <v>24</v>
      </c>
      <c r="J778" t="s">
        <v>25</v>
      </c>
      <c r="K778" t="s">
        <v>26</v>
      </c>
      <c r="L778" t="s">
        <v>27</v>
      </c>
      <c r="M778" t="s">
        <v>152</v>
      </c>
      <c r="N778" t="s">
        <v>1924</v>
      </c>
      <c r="O778" t="s">
        <v>43</v>
      </c>
      <c r="P778">
        <v>8</v>
      </c>
      <c r="Q778">
        <v>655.28</v>
      </c>
      <c r="R778">
        <v>0.1</v>
      </c>
      <c r="S778" t="str">
        <f t="shared" si="122"/>
        <v>OK</v>
      </c>
      <c r="T778">
        <v>4718.0200000000004</v>
      </c>
      <c r="U778">
        <v>3908.23</v>
      </c>
      <c r="V778">
        <v>809.79</v>
      </c>
      <c r="W778" t="s">
        <v>31</v>
      </c>
      <c r="X778" t="s">
        <v>32</v>
      </c>
      <c r="Y778" t="str">
        <f>IF(COUNTIF($A$2:$A$901,A778)&gt;1,
  IF(COUNTIF($A$2:A778,A778)=1,
    " ORIGINAL",
    "CONFLICTING DUPLICATE - REVIEW"),
"OK")</f>
        <v>OK</v>
      </c>
      <c r="Z778">
        <f t="shared" si="123"/>
        <v>0.1</v>
      </c>
      <c r="AA778">
        <f t="shared" si="124"/>
        <v>4718.0200000000004</v>
      </c>
      <c r="AB778">
        <f t="shared" si="125"/>
        <v>809.79</v>
      </c>
      <c r="AC778">
        <f t="shared" si="126"/>
        <v>0.1716</v>
      </c>
      <c r="AD778">
        <f t="shared" si="127"/>
        <v>8</v>
      </c>
      <c r="AE778">
        <f t="shared" si="128"/>
        <v>2025</v>
      </c>
      <c r="AF778" t="str">
        <f t="shared" si="129"/>
        <v>INVALID</v>
      </c>
    </row>
    <row r="779" spans="1:32">
      <c r="A779" t="s">
        <v>1925</v>
      </c>
      <c r="B779" s="10">
        <v>45753</v>
      </c>
      <c r="C779" s="10">
        <v>45760</v>
      </c>
      <c r="D779">
        <f t="shared" si="120"/>
        <v>7</v>
      </c>
      <c r="E779" t="str">
        <f t="shared" si="121"/>
        <v>OK</v>
      </c>
      <c r="F779" t="s">
        <v>1926</v>
      </c>
      <c r="G779" t="s">
        <v>88</v>
      </c>
      <c r="H779" t="s">
        <v>23</v>
      </c>
      <c r="I779" t="s">
        <v>2762</v>
      </c>
      <c r="J779" t="s">
        <v>38</v>
      </c>
      <c r="K779" t="s">
        <v>39</v>
      </c>
      <c r="L779" t="s">
        <v>73</v>
      </c>
      <c r="M779" t="s">
        <v>170</v>
      </c>
      <c r="N779" t="s">
        <v>1927</v>
      </c>
      <c r="O779" t="s">
        <v>58</v>
      </c>
      <c r="P779">
        <v>1</v>
      </c>
      <c r="Q779">
        <v>3844.01</v>
      </c>
      <c r="R779">
        <v>0</v>
      </c>
      <c r="S779" t="str">
        <f t="shared" si="122"/>
        <v>OK</v>
      </c>
      <c r="T779">
        <v>3844.01</v>
      </c>
      <c r="U779">
        <v>2195.79</v>
      </c>
      <c r="V779">
        <v>1648.22</v>
      </c>
      <c r="W779" t="s">
        <v>31</v>
      </c>
      <c r="X779" t="s">
        <v>32</v>
      </c>
      <c r="Y779" t="str">
        <f>IF(COUNTIF($A$2:$A$901,A779)&gt;1,
  IF(COUNTIF($A$2:A779,A779)=1,
    " ORIGINAL",
    "CONFLICTING DUPLICATE - REVIEW"),
"OK")</f>
        <v>OK</v>
      </c>
      <c r="Z779">
        <f t="shared" si="123"/>
        <v>0</v>
      </c>
      <c r="AA779">
        <f t="shared" si="124"/>
        <v>3844.01</v>
      </c>
      <c r="AB779">
        <f t="shared" si="125"/>
        <v>1648.22</v>
      </c>
      <c r="AC779">
        <f t="shared" si="126"/>
        <v>0.42880000000000001</v>
      </c>
      <c r="AD779">
        <f t="shared" si="127"/>
        <v>4</v>
      </c>
      <c r="AE779">
        <f t="shared" si="128"/>
        <v>2025</v>
      </c>
      <c r="AF779" t="str">
        <f t="shared" si="129"/>
        <v>WARNING</v>
      </c>
    </row>
    <row r="780" spans="1:32">
      <c r="A780" t="s">
        <v>1955</v>
      </c>
      <c r="B780" s="10">
        <v>45686</v>
      </c>
      <c r="C780" s="10">
        <v>45694</v>
      </c>
      <c r="D780">
        <f t="shared" si="120"/>
        <v>8</v>
      </c>
      <c r="E780" t="str">
        <f t="shared" si="121"/>
        <v>OK</v>
      </c>
      <c r="F780" t="s">
        <v>1956</v>
      </c>
      <c r="G780" t="s">
        <v>70</v>
      </c>
      <c r="H780" t="s">
        <v>23</v>
      </c>
      <c r="I780" t="s">
        <v>37</v>
      </c>
      <c r="J780" t="s">
        <v>144</v>
      </c>
      <c r="K780" t="s">
        <v>145</v>
      </c>
      <c r="L780" t="s">
        <v>27</v>
      </c>
      <c r="M780" t="s">
        <v>123</v>
      </c>
      <c r="N780" t="s">
        <v>1957</v>
      </c>
      <c r="O780" t="s">
        <v>58</v>
      </c>
      <c r="P780">
        <v>4</v>
      </c>
      <c r="Q780">
        <v>2759.01</v>
      </c>
      <c r="R780">
        <v>0.05</v>
      </c>
      <c r="S780" t="str">
        <f t="shared" si="122"/>
        <v>OK</v>
      </c>
      <c r="T780">
        <v>10484.24</v>
      </c>
      <c r="U780">
        <v>6680.15</v>
      </c>
      <c r="V780">
        <v>3804.09</v>
      </c>
      <c r="W780" t="s">
        <v>31</v>
      </c>
      <c r="X780" t="s">
        <v>32</v>
      </c>
      <c r="Y780" t="str">
        <f>IF(COUNTIF($A$2:$A$901,A780)&gt;1,
  IF(COUNTIF($A$2:A780,A780)=1,
    " ORIGINAL",
    "CONFLICTING DUPLICATE - REVIEW"),
"OK")</f>
        <v>OK</v>
      </c>
      <c r="Z780">
        <f t="shared" si="123"/>
        <v>0.05</v>
      </c>
      <c r="AA780">
        <f t="shared" si="124"/>
        <v>10484.24</v>
      </c>
      <c r="AB780">
        <f t="shared" si="125"/>
        <v>3804.09</v>
      </c>
      <c r="AC780">
        <f t="shared" si="126"/>
        <v>0.36280000000000001</v>
      </c>
      <c r="AD780">
        <f t="shared" si="127"/>
        <v>1</v>
      </c>
      <c r="AE780">
        <f t="shared" si="128"/>
        <v>2025</v>
      </c>
      <c r="AF780" t="str">
        <f t="shared" si="129"/>
        <v>CLEAN</v>
      </c>
    </row>
    <row r="781" spans="1:32">
      <c r="A781" t="s">
        <v>1967</v>
      </c>
      <c r="B781" s="10">
        <v>45753</v>
      </c>
      <c r="C781" s="10">
        <v>45815</v>
      </c>
      <c r="D781">
        <f t="shared" si="120"/>
        <v>62</v>
      </c>
      <c r="E781" t="str">
        <f t="shared" si="121"/>
        <v>OK</v>
      </c>
      <c r="F781" t="s">
        <v>1968</v>
      </c>
      <c r="G781" t="s">
        <v>131</v>
      </c>
      <c r="H781" t="s">
        <v>94</v>
      </c>
      <c r="I781" t="s">
        <v>37</v>
      </c>
      <c r="J781" t="s">
        <v>165</v>
      </c>
      <c r="K781" t="s">
        <v>166</v>
      </c>
      <c r="L781" t="s">
        <v>73</v>
      </c>
      <c r="M781" t="s">
        <v>273</v>
      </c>
      <c r="N781" t="s">
        <v>1969</v>
      </c>
      <c r="O781" t="s">
        <v>58</v>
      </c>
      <c r="P781">
        <v>8</v>
      </c>
      <c r="Q781">
        <v>1434.13</v>
      </c>
      <c r="R781">
        <v>0</v>
      </c>
      <c r="S781" t="str">
        <f t="shared" si="122"/>
        <v>OK</v>
      </c>
      <c r="T781">
        <v>11473.04</v>
      </c>
      <c r="U781">
        <v>8931.33</v>
      </c>
      <c r="V781">
        <v>2541.71</v>
      </c>
      <c r="W781" t="s">
        <v>110</v>
      </c>
      <c r="X781" t="s">
        <v>102</v>
      </c>
      <c r="Y781" t="str">
        <f>IF(COUNTIF($A$2:$A$901,A781)&gt;1,
  IF(COUNTIF($A$2:A781,A781)=1,
    " ORIGINAL",
    "CONFLICTING DUPLICATE - REVIEW"),
"OK")</f>
        <v>OK</v>
      </c>
      <c r="Z781">
        <f t="shared" si="123"/>
        <v>0</v>
      </c>
      <c r="AA781">
        <f t="shared" si="124"/>
        <v>11473.04</v>
      </c>
      <c r="AB781">
        <f t="shared" si="125"/>
        <v>2541.71</v>
      </c>
      <c r="AC781">
        <f t="shared" si="126"/>
        <v>0.2215</v>
      </c>
      <c r="AD781">
        <f t="shared" si="127"/>
        <v>4</v>
      </c>
      <c r="AE781">
        <f t="shared" si="128"/>
        <v>2025</v>
      </c>
      <c r="AF781" t="str">
        <f t="shared" si="129"/>
        <v>CLEAN</v>
      </c>
    </row>
    <row r="782" spans="1:32">
      <c r="A782" t="s">
        <v>1970</v>
      </c>
      <c r="B782" s="10">
        <v>45701</v>
      </c>
      <c r="C782" s="10">
        <v>45709</v>
      </c>
      <c r="D782">
        <f t="shared" si="120"/>
        <v>8</v>
      </c>
      <c r="E782" t="str">
        <f t="shared" si="121"/>
        <v>OK</v>
      </c>
      <c r="F782" t="s">
        <v>1971</v>
      </c>
      <c r="G782" t="s">
        <v>22</v>
      </c>
      <c r="H782" t="s">
        <v>36</v>
      </c>
      <c r="I782" t="s">
        <v>53</v>
      </c>
      <c r="J782" t="s">
        <v>184</v>
      </c>
      <c r="K782" t="s">
        <v>185</v>
      </c>
      <c r="L782" t="s">
        <v>73</v>
      </c>
      <c r="M782" t="s">
        <v>170</v>
      </c>
      <c r="N782" t="s">
        <v>1972</v>
      </c>
      <c r="O782" t="s">
        <v>30</v>
      </c>
      <c r="P782">
        <v>2</v>
      </c>
      <c r="Q782">
        <v>2360.02</v>
      </c>
      <c r="R782">
        <v>0.15</v>
      </c>
      <c r="S782" t="str">
        <f t="shared" si="122"/>
        <v>OK</v>
      </c>
      <c r="T782">
        <v>4012.03</v>
      </c>
      <c r="U782">
        <v>3142.92</v>
      </c>
      <c r="V782">
        <v>869.11</v>
      </c>
      <c r="W782" t="s">
        <v>110</v>
      </c>
      <c r="X782" t="s">
        <v>67</v>
      </c>
      <c r="Y782" t="str">
        <f>IF(COUNTIF($A$2:$A$901,A782)&gt;1,
  IF(COUNTIF($A$2:A782,A782)=1,
    " ORIGINAL",
    "CONFLICTING DUPLICATE - REVIEW"),
"OK")</f>
        <v>OK</v>
      </c>
      <c r="Z782">
        <f t="shared" si="123"/>
        <v>0.15</v>
      </c>
      <c r="AA782">
        <f t="shared" si="124"/>
        <v>4012.03</v>
      </c>
      <c r="AB782">
        <f t="shared" si="125"/>
        <v>869.11</v>
      </c>
      <c r="AC782">
        <f t="shared" si="126"/>
        <v>0.21659999999999999</v>
      </c>
      <c r="AD782">
        <f t="shared" si="127"/>
        <v>2</v>
      </c>
      <c r="AE782">
        <f t="shared" si="128"/>
        <v>2025</v>
      </c>
      <c r="AF782" t="str">
        <f t="shared" si="129"/>
        <v>CLEAN</v>
      </c>
    </row>
    <row r="783" spans="1:32">
      <c r="A783" t="s">
        <v>1973</v>
      </c>
      <c r="B783" s="10">
        <v>45935</v>
      </c>
      <c r="C783" s="10">
        <v>45942</v>
      </c>
      <c r="D783">
        <f t="shared" si="120"/>
        <v>7</v>
      </c>
      <c r="E783" t="str">
        <f t="shared" si="121"/>
        <v>OK</v>
      </c>
      <c r="F783" t="s">
        <v>1974</v>
      </c>
      <c r="G783" t="s">
        <v>61</v>
      </c>
      <c r="H783" t="s">
        <v>94</v>
      </c>
      <c r="I783" t="s">
        <v>37</v>
      </c>
      <c r="J783" t="s">
        <v>227</v>
      </c>
      <c r="K783" t="s">
        <v>228</v>
      </c>
      <c r="L783" t="s">
        <v>73</v>
      </c>
      <c r="M783" t="s">
        <v>74</v>
      </c>
      <c r="N783" t="s">
        <v>1975</v>
      </c>
      <c r="O783" t="s">
        <v>43</v>
      </c>
      <c r="P783">
        <v>7</v>
      </c>
      <c r="Q783">
        <v>806.67</v>
      </c>
      <c r="R783">
        <v>0.05</v>
      </c>
      <c r="S783" t="str">
        <f t="shared" si="122"/>
        <v>OK</v>
      </c>
      <c r="T783">
        <v>5364.36</v>
      </c>
      <c r="U783">
        <v>4391.29</v>
      </c>
      <c r="V783">
        <v>973.07</v>
      </c>
      <c r="W783" t="s">
        <v>31</v>
      </c>
      <c r="X783" t="s">
        <v>32</v>
      </c>
      <c r="Y783" t="str">
        <f>IF(COUNTIF($A$2:$A$901,A783)&gt;1,
  IF(COUNTIF($A$2:A783,A783)=1,
    " ORIGINAL",
    "CONFLICTING DUPLICATE - REVIEW"),
"OK")</f>
        <v>OK</v>
      </c>
      <c r="Z783">
        <f t="shared" si="123"/>
        <v>0.05</v>
      </c>
      <c r="AA783">
        <f t="shared" si="124"/>
        <v>5364.36</v>
      </c>
      <c r="AB783">
        <f t="shared" si="125"/>
        <v>973.07</v>
      </c>
      <c r="AC783">
        <f t="shared" si="126"/>
        <v>0.18140000000000001</v>
      </c>
      <c r="AD783">
        <f t="shared" si="127"/>
        <v>10</v>
      </c>
      <c r="AE783">
        <f t="shared" si="128"/>
        <v>2025</v>
      </c>
      <c r="AF783" t="str">
        <f t="shared" si="129"/>
        <v>CLEAN</v>
      </c>
    </row>
    <row r="784" spans="1:32">
      <c r="A784" t="s">
        <v>1976</v>
      </c>
      <c r="B784" s="10">
        <v>45910</v>
      </c>
      <c r="C784" s="10">
        <v>45914</v>
      </c>
      <c r="D784">
        <f t="shared" si="120"/>
        <v>4</v>
      </c>
      <c r="E784" t="str">
        <f t="shared" si="121"/>
        <v>OK</v>
      </c>
      <c r="F784" t="s">
        <v>1977</v>
      </c>
      <c r="G784" t="s">
        <v>52</v>
      </c>
      <c r="H784" t="s">
        <v>94</v>
      </c>
      <c r="I784" t="s">
        <v>62</v>
      </c>
      <c r="J784" t="s">
        <v>179</v>
      </c>
      <c r="K784" t="s">
        <v>180</v>
      </c>
      <c r="L784" t="s">
        <v>40</v>
      </c>
      <c r="M784" t="s">
        <v>41</v>
      </c>
      <c r="N784" t="s">
        <v>1978</v>
      </c>
      <c r="O784" t="s">
        <v>43</v>
      </c>
      <c r="P784">
        <v>3</v>
      </c>
      <c r="Q784">
        <v>4198.46</v>
      </c>
      <c r="R784">
        <v>0.15</v>
      </c>
      <c r="S784" t="str">
        <f t="shared" si="122"/>
        <v>OK</v>
      </c>
      <c r="T784">
        <v>10706.07</v>
      </c>
      <c r="U784">
        <v>5927.1</v>
      </c>
      <c r="V784">
        <v>4778.97</v>
      </c>
      <c r="W784" t="s">
        <v>31</v>
      </c>
      <c r="X784" t="s">
        <v>32</v>
      </c>
      <c r="Y784" t="str">
        <f>IF(COUNTIF($A$2:$A$901,A784)&gt;1,
  IF(COUNTIF($A$2:A784,A784)=1,
    " ORIGINAL",
    "CONFLICTING DUPLICATE - REVIEW"),
"OK")</f>
        <v>OK</v>
      </c>
      <c r="Z784">
        <f t="shared" si="123"/>
        <v>0.15</v>
      </c>
      <c r="AA784">
        <f t="shared" si="124"/>
        <v>10706.07</v>
      </c>
      <c r="AB784">
        <f t="shared" si="125"/>
        <v>4778.97</v>
      </c>
      <c r="AC784">
        <f t="shared" si="126"/>
        <v>0.44640000000000002</v>
      </c>
      <c r="AD784">
        <f t="shared" si="127"/>
        <v>9</v>
      </c>
      <c r="AE784">
        <f t="shared" si="128"/>
        <v>2025</v>
      </c>
      <c r="AF784" t="str">
        <f t="shared" si="129"/>
        <v>CLEAN</v>
      </c>
    </row>
    <row r="785" spans="1:32">
      <c r="A785" t="s">
        <v>1985</v>
      </c>
      <c r="B785" s="10">
        <v>45762</v>
      </c>
      <c r="C785" s="10">
        <v>45763</v>
      </c>
      <c r="D785">
        <f t="shared" si="120"/>
        <v>1</v>
      </c>
      <c r="E785" t="str">
        <f t="shared" si="121"/>
        <v>OK</v>
      </c>
      <c r="F785" t="s">
        <v>1986</v>
      </c>
      <c r="G785" t="s">
        <v>131</v>
      </c>
      <c r="H785" t="s">
        <v>36</v>
      </c>
      <c r="I785" t="s">
        <v>53</v>
      </c>
      <c r="J785" t="s">
        <v>174</v>
      </c>
      <c r="K785" t="s">
        <v>175</v>
      </c>
      <c r="L785" t="s">
        <v>40</v>
      </c>
      <c r="M785" t="s">
        <v>56</v>
      </c>
      <c r="N785" t="s">
        <v>1987</v>
      </c>
      <c r="O785" t="s">
        <v>49</v>
      </c>
      <c r="P785">
        <v>5</v>
      </c>
      <c r="Q785">
        <v>2850.53</v>
      </c>
      <c r="R785">
        <v>0</v>
      </c>
      <c r="S785" t="str">
        <f t="shared" si="122"/>
        <v>OK</v>
      </c>
      <c r="T785">
        <v>14252.65</v>
      </c>
      <c r="U785">
        <v>11558.31</v>
      </c>
      <c r="V785">
        <v>2694.34</v>
      </c>
      <c r="W785" t="s">
        <v>31</v>
      </c>
      <c r="X785" t="s">
        <v>32</v>
      </c>
      <c r="Y785" t="str">
        <f>IF(COUNTIF($A$2:$A$901,A785)&gt;1,
  IF(COUNTIF($A$2:A785,A785)=1,
    " ORIGINAL",
    "CONFLICTING DUPLICATE - REVIEW"),
"OK")</f>
        <v>OK</v>
      </c>
      <c r="Z785">
        <f t="shared" si="123"/>
        <v>0</v>
      </c>
      <c r="AA785">
        <f t="shared" si="124"/>
        <v>14252.65</v>
      </c>
      <c r="AB785">
        <f t="shared" si="125"/>
        <v>2694.34</v>
      </c>
      <c r="AC785">
        <f t="shared" si="126"/>
        <v>0.189</v>
      </c>
      <c r="AD785">
        <f t="shared" si="127"/>
        <v>4</v>
      </c>
      <c r="AE785">
        <f t="shared" si="128"/>
        <v>2025</v>
      </c>
      <c r="AF785" t="str">
        <f t="shared" si="129"/>
        <v>CLEAN</v>
      </c>
    </row>
    <row r="786" spans="1:32">
      <c r="A786" t="s">
        <v>1988</v>
      </c>
      <c r="B786" s="10">
        <v>45765</v>
      </c>
      <c r="C786" s="10">
        <v>45767</v>
      </c>
      <c r="D786">
        <f t="shared" si="120"/>
        <v>2</v>
      </c>
      <c r="E786" t="str">
        <f t="shared" si="121"/>
        <v>OK</v>
      </c>
      <c r="F786" t="s">
        <v>1989</v>
      </c>
      <c r="G786" t="s">
        <v>127</v>
      </c>
      <c r="H786" t="s">
        <v>36</v>
      </c>
      <c r="I786" t="s">
        <v>53</v>
      </c>
      <c r="J786" t="s">
        <v>246</v>
      </c>
      <c r="K786" t="s">
        <v>247</v>
      </c>
      <c r="L786" t="s">
        <v>73</v>
      </c>
      <c r="M786" t="s">
        <v>74</v>
      </c>
      <c r="N786" t="s">
        <v>1990</v>
      </c>
      <c r="O786" t="s">
        <v>30</v>
      </c>
      <c r="P786">
        <v>1</v>
      </c>
      <c r="Q786">
        <v>1626.08</v>
      </c>
      <c r="R786">
        <v>0.15</v>
      </c>
      <c r="S786" t="str">
        <f t="shared" si="122"/>
        <v>OK</v>
      </c>
      <c r="T786">
        <v>1382.17</v>
      </c>
      <c r="U786">
        <v>810.03</v>
      </c>
      <c r="V786">
        <v>572.14</v>
      </c>
      <c r="W786" t="s">
        <v>31</v>
      </c>
      <c r="X786" t="s">
        <v>32</v>
      </c>
      <c r="Y786" t="str">
        <f>IF(COUNTIF($A$2:$A$901,A786)&gt;1,
  IF(COUNTIF($A$2:A786,A786)=1,
    " ORIGINAL",
    "CONFLICTING DUPLICATE - REVIEW"),
"OK")</f>
        <v>OK</v>
      </c>
      <c r="Z786">
        <f t="shared" si="123"/>
        <v>0.15</v>
      </c>
      <c r="AA786">
        <f t="shared" si="124"/>
        <v>1382.17</v>
      </c>
      <c r="AB786">
        <f t="shared" si="125"/>
        <v>572.14</v>
      </c>
      <c r="AC786">
        <f t="shared" si="126"/>
        <v>0.41389999999999999</v>
      </c>
      <c r="AD786">
        <f t="shared" si="127"/>
        <v>4</v>
      </c>
      <c r="AE786">
        <f t="shared" si="128"/>
        <v>2025</v>
      </c>
      <c r="AF786" t="str">
        <f t="shared" si="129"/>
        <v>CLEAN</v>
      </c>
    </row>
    <row r="787" spans="1:32">
      <c r="A787" t="s">
        <v>1991</v>
      </c>
      <c r="B787" s="10">
        <v>45668</v>
      </c>
      <c r="C787" s="10">
        <v>45669</v>
      </c>
      <c r="D787">
        <f t="shared" si="120"/>
        <v>1</v>
      </c>
      <c r="E787" t="str">
        <f t="shared" si="121"/>
        <v>OK</v>
      </c>
      <c r="F787" t="s">
        <v>1992</v>
      </c>
      <c r="G787" t="s">
        <v>88</v>
      </c>
      <c r="H787" t="s">
        <v>23</v>
      </c>
      <c r="I787" t="s">
        <v>53</v>
      </c>
      <c r="J787" t="s">
        <v>54</v>
      </c>
      <c r="K787" t="s">
        <v>55</v>
      </c>
      <c r="L787" t="s">
        <v>40</v>
      </c>
      <c r="M787" t="s">
        <v>65</v>
      </c>
      <c r="N787" t="s">
        <v>1993</v>
      </c>
      <c r="O787" t="s">
        <v>30</v>
      </c>
      <c r="P787">
        <v>4</v>
      </c>
      <c r="Q787">
        <v>2427.15</v>
      </c>
      <c r="R787">
        <v>0.05</v>
      </c>
      <c r="S787" t="str">
        <f t="shared" si="122"/>
        <v>OK</v>
      </c>
      <c r="T787">
        <v>9223.17</v>
      </c>
      <c r="U787">
        <v>5103.7</v>
      </c>
      <c r="V787">
        <v>4119.47</v>
      </c>
      <c r="W787" t="s">
        <v>31</v>
      </c>
      <c r="X787" t="s">
        <v>32</v>
      </c>
      <c r="Y787" t="str">
        <f>IF(COUNTIF($A$2:$A$901,A787)&gt;1,
  IF(COUNTIF($A$2:A787,A787)=1,
    " ORIGINAL",
    "CONFLICTING DUPLICATE - REVIEW"),
"OK")</f>
        <v>OK</v>
      </c>
      <c r="Z787">
        <f t="shared" si="123"/>
        <v>0.05</v>
      </c>
      <c r="AA787">
        <f t="shared" si="124"/>
        <v>9223.17</v>
      </c>
      <c r="AB787">
        <f t="shared" si="125"/>
        <v>4119.47</v>
      </c>
      <c r="AC787">
        <f t="shared" si="126"/>
        <v>0.4466</v>
      </c>
      <c r="AD787">
        <f t="shared" si="127"/>
        <v>1</v>
      </c>
      <c r="AE787">
        <f t="shared" si="128"/>
        <v>2025</v>
      </c>
      <c r="AF787" t="str">
        <f t="shared" si="129"/>
        <v>CLEAN</v>
      </c>
    </row>
    <row r="788" spans="1:32">
      <c r="A788" t="s">
        <v>2009</v>
      </c>
      <c r="B788" s="10">
        <v>45671</v>
      </c>
      <c r="C788" s="10">
        <v>45674</v>
      </c>
      <c r="D788">
        <f t="shared" si="120"/>
        <v>3</v>
      </c>
      <c r="E788" t="str">
        <f t="shared" si="121"/>
        <v>OK</v>
      </c>
      <c r="F788" t="s">
        <v>2010</v>
      </c>
      <c r="G788" t="s">
        <v>70</v>
      </c>
      <c r="H788" t="s">
        <v>23</v>
      </c>
      <c r="I788" t="s">
        <v>62</v>
      </c>
      <c r="J788" t="s">
        <v>189</v>
      </c>
      <c r="K788" t="s">
        <v>190</v>
      </c>
      <c r="L788" t="s">
        <v>27</v>
      </c>
      <c r="M788" t="s">
        <v>123</v>
      </c>
      <c r="N788" t="s">
        <v>2011</v>
      </c>
      <c r="O788" t="s">
        <v>49</v>
      </c>
      <c r="P788">
        <v>1</v>
      </c>
      <c r="Q788">
        <v>1584.12</v>
      </c>
      <c r="R788">
        <v>0.2</v>
      </c>
      <c r="S788" t="str">
        <f t="shared" si="122"/>
        <v>OK</v>
      </c>
      <c r="T788">
        <v>1267.3</v>
      </c>
      <c r="U788">
        <v>923.53</v>
      </c>
      <c r="V788">
        <v>343.77</v>
      </c>
      <c r="W788" t="s">
        <v>31</v>
      </c>
      <c r="X788" t="s">
        <v>32</v>
      </c>
      <c r="Y788" t="str">
        <f>IF(COUNTIF($A$2:$A$901,A788)&gt;1,
  IF(COUNTIF($A$2:A788,A788)=1,
    " ORIGINAL",
    "CONFLICTING DUPLICATE - REVIEW"),
"OK")</f>
        <v>OK</v>
      </c>
      <c r="Z788">
        <f t="shared" si="123"/>
        <v>0.2</v>
      </c>
      <c r="AA788">
        <f t="shared" si="124"/>
        <v>1267.3</v>
      </c>
      <c r="AB788">
        <f t="shared" si="125"/>
        <v>343.77</v>
      </c>
      <c r="AC788">
        <f t="shared" si="126"/>
        <v>0.27129999999999999</v>
      </c>
      <c r="AD788">
        <f t="shared" si="127"/>
        <v>1</v>
      </c>
      <c r="AE788">
        <f t="shared" si="128"/>
        <v>2025</v>
      </c>
      <c r="AF788" t="str">
        <f t="shared" si="129"/>
        <v>CLEAN</v>
      </c>
    </row>
    <row r="789" spans="1:32">
      <c r="A789" t="s">
        <v>2012</v>
      </c>
      <c r="B789" s="10">
        <v>45756</v>
      </c>
      <c r="C789" s="10">
        <v>45761</v>
      </c>
      <c r="D789">
        <f t="shared" si="120"/>
        <v>5</v>
      </c>
      <c r="E789" t="str">
        <f t="shared" si="121"/>
        <v>OK</v>
      </c>
      <c r="F789" t="s">
        <v>2013</v>
      </c>
      <c r="G789" t="s">
        <v>22</v>
      </c>
      <c r="H789" t="s">
        <v>23</v>
      </c>
      <c r="I789" t="s">
        <v>24</v>
      </c>
      <c r="J789" t="s">
        <v>349</v>
      </c>
      <c r="K789" t="s">
        <v>350</v>
      </c>
      <c r="L789" t="s">
        <v>40</v>
      </c>
      <c r="M789" t="s">
        <v>56</v>
      </c>
      <c r="N789" t="s">
        <v>2014</v>
      </c>
      <c r="O789" t="s">
        <v>43</v>
      </c>
      <c r="P789">
        <v>2</v>
      </c>
      <c r="Q789">
        <v>3202.87</v>
      </c>
      <c r="R789">
        <v>0</v>
      </c>
      <c r="S789" t="str">
        <f t="shared" si="122"/>
        <v>OK</v>
      </c>
      <c r="T789">
        <v>6405.74</v>
      </c>
      <c r="U789">
        <v>3561.87</v>
      </c>
      <c r="V789">
        <v>2843.87</v>
      </c>
      <c r="W789" t="s">
        <v>31</v>
      </c>
      <c r="X789" t="s">
        <v>32</v>
      </c>
      <c r="Y789" t="str">
        <f>IF(COUNTIF($A$2:$A$901,A789)&gt;1,
  IF(COUNTIF($A$2:A789,A789)=1,
    " ORIGINAL",
    "CONFLICTING DUPLICATE - REVIEW"),
"OK")</f>
        <v>OK</v>
      </c>
      <c r="Z789">
        <f t="shared" si="123"/>
        <v>0</v>
      </c>
      <c r="AA789">
        <f t="shared" si="124"/>
        <v>6405.74</v>
      </c>
      <c r="AB789">
        <f t="shared" si="125"/>
        <v>2843.87</v>
      </c>
      <c r="AC789">
        <f t="shared" si="126"/>
        <v>0.44400000000000001</v>
      </c>
      <c r="AD789">
        <f t="shared" si="127"/>
        <v>4</v>
      </c>
      <c r="AE789">
        <f t="shared" si="128"/>
        <v>2025</v>
      </c>
      <c r="AF789" t="str">
        <f t="shared" si="129"/>
        <v>CLEAN</v>
      </c>
    </row>
    <row r="790" spans="1:32">
      <c r="A790" t="s">
        <v>2020</v>
      </c>
      <c r="B790" s="10">
        <v>45757</v>
      </c>
      <c r="C790" s="10">
        <v>45764</v>
      </c>
      <c r="D790">
        <f t="shared" si="120"/>
        <v>7</v>
      </c>
      <c r="E790" t="str">
        <f t="shared" si="121"/>
        <v>OK</v>
      </c>
      <c r="F790" t="s">
        <v>2021</v>
      </c>
      <c r="G790" t="s">
        <v>70</v>
      </c>
      <c r="H790" t="s">
        <v>23</v>
      </c>
      <c r="I790" t="s">
        <v>37</v>
      </c>
      <c r="J790" t="s">
        <v>98</v>
      </c>
      <c r="K790" t="s">
        <v>99</v>
      </c>
      <c r="L790" t="s">
        <v>40</v>
      </c>
      <c r="M790" t="s">
        <v>65</v>
      </c>
      <c r="N790" t="s">
        <v>2022</v>
      </c>
      <c r="O790" t="s">
        <v>58</v>
      </c>
      <c r="P790">
        <v>4</v>
      </c>
      <c r="Q790">
        <v>3750.02</v>
      </c>
      <c r="R790">
        <v>0.05</v>
      </c>
      <c r="S790" t="str">
        <f t="shared" si="122"/>
        <v>OK</v>
      </c>
      <c r="T790">
        <v>14250.08</v>
      </c>
      <c r="U790">
        <v>10914.92</v>
      </c>
      <c r="V790">
        <v>3335.16</v>
      </c>
      <c r="W790" t="s">
        <v>31</v>
      </c>
      <c r="X790" t="s">
        <v>32</v>
      </c>
      <c r="Y790" t="str">
        <f>IF(COUNTIF($A$2:$A$901,A790)&gt;1,
  IF(COUNTIF($A$2:A790,A790)=1,
    " ORIGINAL",
    "CONFLICTING DUPLICATE - REVIEW"),
"OK")</f>
        <v>OK</v>
      </c>
      <c r="Z790">
        <f t="shared" si="123"/>
        <v>0.05</v>
      </c>
      <c r="AA790">
        <f t="shared" si="124"/>
        <v>14250.08</v>
      </c>
      <c r="AB790">
        <f t="shared" si="125"/>
        <v>3335.16</v>
      </c>
      <c r="AC790">
        <f t="shared" si="126"/>
        <v>0.23400000000000001</v>
      </c>
      <c r="AD790">
        <f t="shared" si="127"/>
        <v>4</v>
      </c>
      <c r="AE790">
        <f t="shared" si="128"/>
        <v>2025</v>
      </c>
      <c r="AF790" t="str">
        <f t="shared" si="129"/>
        <v>CLEAN</v>
      </c>
    </row>
    <row r="791" spans="1:32">
      <c r="A791" t="s">
        <v>2029</v>
      </c>
      <c r="B791" s="10">
        <v>45658</v>
      </c>
      <c r="C791" s="10">
        <v>45901</v>
      </c>
      <c r="D791">
        <f t="shared" si="120"/>
        <v>243</v>
      </c>
      <c r="E791" t="str">
        <f t="shared" si="121"/>
        <v>OK</v>
      </c>
      <c r="F791" t="s">
        <v>2030</v>
      </c>
      <c r="G791" t="s">
        <v>140</v>
      </c>
      <c r="H791" t="s">
        <v>36</v>
      </c>
      <c r="I791" t="s">
        <v>24</v>
      </c>
      <c r="J791" t="s">
        <v>121</v>
      </c>
      <c r="K791" t="s">
        <v>122</v>
      </c>
      <c r="L791" t="s">
        <v>27</v>
      </c>
      <c r="M791" t="s">
        <v>47</v>
      </c>
      <c r="N791" t="s">
        <v>2031</v>
      </c>
      <c r="O791" t="s">
        <v>49</v>
      </c>
      <c r="P791">
        <v>8</v>
      </c>
      <c r="Q791">
        <v>2123.81</v>
      </c>
      <c r="R791">
        <v>0.15</v>
      </c>
      <c r="S791" t="str">
        <f t="shared" si="122"/>
        <v>OK</v>
      </c>
      <c r="T791">
        <v>14441.91</v>
      </c>
      <c r="U791">
        <v>10872.89</v>
      </c>
      <c r="V791">
        <v>3569.02</v>
      </c>
      <c r="W791" t="s">
        <v>31</v>
      </c>
      <c r="X791" t="s">
        <v>32</v>
      </c>
      <c r="Y791" t="str">
        <f>IF(COUNTIF($A$2:$A$901,A791)&gt;1,
  IF(COUNTIF($A$2:A791,A791)=1,
    " ORIGINAL",
    "CONFLICTING DUPLICATE - REVIEW"),
"OK")</f>
        <v>OK</v>
      </c>
      <c r="Z791">
        <f t="shared" si="123"/>
        <v>0.15</v>
      </c>
      <c r="AA791">
        <f t="shared" si="124"/>
        <v>14441.91</v>
      </c>
      <c r="AB791">
        <f t="shared" si="125"/>
        <v>3569.02</v>
      </c>
      <c r="AC791">
        <f t="shared" si="126"/>
        <v>0.24709999999999999</v>
      </c>
      <c r="AD791">
        <f t="shared" si="127"/>
        <v>1</v>
      </c>
      <c r="AE791">
        <f t="shared" si="128"/>
        <v>2025</v>
      </c>
      <c r="AF791" t="str">
        <f t="shared" si="129"/>
        <v>CLEAN</v>
      </c>
    </row>
    <row r="792" spans="1:32">
      <c r="A792" t="s">
        <v>2035</v>
      </c>
      <c r="B792" s="10">
        <v>45880</v>
      </c>
      <c r="C792" s="10">
        <v>45888</v>
      </c>
      <c r="D792">
        <f t="shared" si="120"/>
        <v>8</v>
      </c>
      <c r="E792" t="str">
        <f t="shared" si="121"/>
        <v>OK</v>
      </c>
      <c r="F792" t="s">
        <v>2036</v>
      </c>
      <c r="G792" t="s">
        <v>263</v>
      </c>
      <c r="H792" t="s">
        <v>36</v>
      </c>
      <c r="I792" t="s">
        <v>53</v>
      </c>
      <c r="J792" t="s">
        <v>184</v>
      </c>
      <c r="K792" t="s">
        <v>185</v>
      </c>
      <c r="L792" t="s">
        <v>73</v>
      </c>
      <c r="M792" t="s">
        <v>74</v>
      </c>
      <c r="N792" t="s">
        <v>2037</v>
      </c>
      <c r="O792" t="s">
        <v>58</v>
      </c>
      <c r="P792">
        <v>4</v>
      </c>
      <c r="Q792">
        <v>2258.96</v>
      </c>
      <c r="R792">
        <v>0.25</v>
      </c>
      <c r="S792" t="str">
        <f t="shared" si="122"/>
        <v>OK</v>
      </c>
      <c r="T792">
        <v>6776.88</v>
      </c>
      <c r="U792">
        <v>3836.24</v>
      </c>
      <c r="V792">
        <v>2940.64</v>
      </c>
      <c r="W792" t="s">
        <v>31</v>
      </c>
      <c r="X792" t="s">
        <v>32</v>
      </c>
      <c r="Y792" t="str">
        <f>IF(COUNTIF($A$2:$A$901,A792)&gt;1,
  IF(COUNTIF($A$2:A792,A792)=1,
    " ORIGINAL",
    "CONFLICTING DUPLICATE - REVIEW"),
"OK")</f>
        <v>OK</v>
      </c>
      <c r="Z792">
        <f t="shared" si="123"/>
        <v>0.25</v>
      </c>
      <c r="AA792">
        <f t="shared" si="124"/>
        <v>6776.88</v>
      </c>
      <c r="AB792">
        <f t="shared" si="125"/>
        <v>2940.64</v>
      </c>
      <c r="AC792">
        <f t="shared" si="126"/>
        <v>0.43390000000000001</v>
      </c>
      <c r="AD792">
        <f t="shared" si="127"/>
        <v>8</v>
      </c>
      <c r="AE792">
        <f t="shared" si="128"/>
        <v>2025</v>
      </c>
      <c r="AF792" t="str">
        <f t="shared" si="129"/>
        <v>CLEAN</v>
      </c>
    </row>
    <row r="793" spans="1:32">
      <c r="A793" t="s">
        <v>2040</v>
      </c>
      <c r="B793" s="10">
        <v>45875</v>
      </c>
      <c r="C793" s="10">
        <v>45908</v>
      </c>
      <c r="D793">
        <f t="shared" si="120"/>
        <v>33</v>
      </c>
      <c r="E793" t="str">
        <f t="shared" si="121"/>
        <v>OK</v>
      </c>
      <c r="F793" t="s">
        <v>2041</v>
      </c>
      <c r="G793" t="s">
        <v>35</v>
      </c>
      <c r="H793" t="s">
        <v>36</v>
      </c>
      <c r="I793" t="s">
        <v>53</v>
      </c>
      <c r="J793" t="s">
        <v>83</v>
      </c>
      <c r="K793" t="s">
        <v>84</v>
      </c>
      <c r="L793" t="s">
        <v>27</v>
      </c>
      <c r="M793" t="s">
        <v>28</v>
      </c>
      <c r="N793" t="s">
        <v>2042</v>
      </c>
      <c r="O793" t="s">
        <v>30</v>
      </c>
      <c r="P793">
        <v>3</v>
      </c>
      <c r="Q793">
        <v>598.54999999999995</v>
      </c>
      <c r="R793">
        <v>0</v>
      </c>
      <c r="S793" t="str">
        <f t="shared" si="122"/>
        <v>OK</v>
      </c>
      <c r="T793">
        <v>1795.65</v>
      </c>
      <c r="U793">
        <v>996.72</v>
      </c>
      <c r="V793">
        <v>798.93</v>
      </c>
      <c r="W793" t="s">
        <v>31</v>
      </c>
      <c r="X793" t="s">
        <v>32</v>
      </c>
      <c r="Y793" t="str">
        <f>IF(COUNTIF($A$2:$A$901,A793)&gt;1,
  IF(COUNTIF($A$2:A793,A793)=1,
    " ORIGINAL",
    "CONFLICTING DUPLICATE - REVIEW"),
"OK")</f>
        <v>OK</v>
      </c>
      <c r="Z793">
        <f t="shared" si="123"/>
        <v>0</v>
      </c>
      <c r="AA793">
        <f t="shared" si="124"/>
        <v>1795.65</v>
      </c>
      <c r="AB793">
        <f t="shared" si="125"/>
        <v>798.93</v>
      </c>
      <c r="AC793">
        <f t="shared" si="126"/>
        <v>0.44490000000000002</v>
      </c>
      <c r="AD793">
        <f t="shared" si="127"/>
        <v>8</v>
      </c>
      <c r="AE793">
        <f t="shared" si="128"/>
        <v>2025</v>
      </c>
      <c r="AF793" t="str">
        <f t="shared" si="129"/>
        <v>CLEAN</v>
      </c>
    </row>
    <row r="794" spans="1:32">
      <c r="A794" t="s">
        <v>2043</v>
      </c>
      <c r="B794" s="10">
        <v>45733</v>
      </c>
      <c r="C794" s="10">
        <v>45737</v>
      </c>
      <c r="D794">
        <f t="shared" si="120"/>
        <v>4</v>
      </c>
      <c r="E794" t="str">
        <f t="shared" si="121"/>
        <v>OK</v>
      </c>
      <c r="F794" t="s">
        <v>1687</v>
      </c>
      <c r="G794" t="s">
        <v>131</v>
      </c>
      <c r="H794" t="s">
        <v>23</v>
      </c>
      <c r="I794" t="s">
        <v>24</v>
      </c>
      <c r="J794" t="s">
        <v>135</v>
      </c>
      <c r="K794" t="s">
        <v>136</v>
      </c>
      <c r="L794" t="s">
        <v>27</v>
      </c>
      <c r="M794" t="s">
        <v>152</v>
      </c>
      <c r="N794" t="s">
        <v>2044</v>
      </c>
      <c r="O794" t="s">
        <v>58</v>
      </c>
      <c r="P794">
        <v>5</v>
      </c>
      <c r="Q794">
        <v>4320.59</v>
      </c>
      <c r="R794">
        <v>0.15</v>
      </c>
      <c r="S794" t="str">
        <f t="shared" si="122"/>
        <v>OK</v>
      </c>
      <c r="T794">
        <v>18362.509999999998</v>
      </c>
      <c r="U794">
        <v>11133.97</v>
      </c>
      <c r="V794">
        <v>7228.54</v>
      </c>
      <c r="W794" t="s">
        <v>31</v>
      </c>
      <c r="X794" t="s">
        <v>32</v>
      </c>
      <c r="Y794" t="str">
        <f>IF(COUNTIF($A$2:$A$901,A794)&gt;1,
  IF(COUNTIF($A$2:A794,A794)=1,
    " ORIGINAL",
    "CONFLICTING DUPLICATE - REVIEW"),
"OK")</f>
        <v>OK</v>
      </c>
      <c r="Z794">
        <f t="shared" si="123"/>
        <v>0.15</v>
      </c>
      <c r="AA794">
        <f t="shared" si="124"/>
        <v>18362.509999999998</v>
      </c>
      <c r="AB794">
        <f t="shared" si="125"/>
        <v>7228.54</v>
      </c>
      <c r="AC794">
        <f t="shared" si="126"/>
        <v>0.39369999999999999</v>
      </c>
      <c r="AD794">
        <f t="shared" si="127"/>
        <v>3</v>
      </c>
      <c r="AE794">
        <f t="shared" si="128"/>
        <v>2025</v>
      </c>
      <c r="AF794" t="str">
        <f t="shared" si="129"/>
        <v>CLEAN</v>
      </c>
    </row>
    <row r="795" spans="1:32">
      <c r="A795" t="s">
        <v>2045</v>
      </c>
      <c r="B795" s="10">
        <v>45751</v>
      </c>
      <c r="C795" s="10">
        <v>45754</v>
      </c>
      <c r="D795">
        <f t="shared" si="120"/>
        <v>3</v>
      </c>
      <c r="E795" t="str">
        <f t="shared" si="121"/>
        <v>OK</v>
      </c>
      <c r="F795" t="s">
        <v>2046</v>
      </c>
      <c r="G795" t="s">
        <v>113</v>
      </c>
      <c r="H795" t="s">
        <v>36</v>
      </c>
      <c r="I795" t="s">
        <v>53</v>
      </c>
      <c r="J795" t="s">
        <v>246</v>
      </c>
      <c r="K795" t="s">
        <v>247</v>
      </c>
      <c r="L795" t="s">
        <v>73</v>
      </c>
      <c r="M795" t="s">
        <v>79</v>
      </c>
      <c r="N795" t="s">
        <v>2047</v>
      </c>
      <c r="O795" t="s">
        <v>30</v>
      </c>
      <c r="P795">
        <v>7</v>
      </c>
      <c r="Q795">
        <v>4457.93</v>
      </c>
      <c r="R795">
        <v>0.15</v>
      </c>
      <c r="S795" t="str">
        <f t="shared" si="122"/>
        <v>OK</v>
      </c>
      <c r="T795">
        <v>26524.68</v>
      </c>
      <c r="U795">
        <v>20574.3</v>
      </c>
      <c r="V795">
        <v>5950.38</v>
      </c>
      <c r="W795" t="s">
        <v>31</v>
      </c>
      <c r="X795" t="s">
        <v>32</v>
      </c>
      <c r="Y795" t="str">
        <f>IF(COUNTIF($A$2:$A$901,A795)&gt;1,
  IF(COUNTIF($A$2:A795,A795)=1,
    " ORIGINAL",
    "CONFLICTING DUPLICATE - REVIEW"),
"OK")</f>
        <v>OK</v>
      </c>
      <c r="Z795">
        <f t="shared" si="123"/>
        <v>0.15</v>
      </c>
      <c r="AA795">
        <f t="shared" si="124"/>
        <v>26524.68</v>
      </c>
      <c r="AB795">
        <f t="shared" si="125"/>
        <v>5950.38</v>
      </c>
      <c r="AC795">
        <f t="shared" si="126"/>
        <v>0.2243</v>
      </c>
      <c r="AD795">
        <f t="shared" si="127"/>
        <v>4</v>
      </c>
      <c r="AE795">
        <f t="shared" si="128"/>
        <v>2025</v>
      </c>
      <c r="AF795" t="str">
        <f t="shared" si="129"/>
        <v>CLEAN</v>
      </c>
    </row>
    <row r="796" spans="1:32">
      <c r="A796" t="s">
        <v>2048</v>
      </c>
      <c r="B796" s="10">
        <v>45942</v>
      </c>
      <c r="C796" s="10">
        <v>45946</v>
      </c>
      <c r="D796">
        <f t="shared" si="120"/>
        <v>4</v>
      </c>
      <c r="E796" t="str">
        <f t="shared" si="121"/>
        <v>OK</v>
      </c>
      <c r="F796" t="s">
        <v>926</v>
      </c>
      <c r="G796" t="s">
        <v>161</v>
      </c>
      <c r="H796" t="s">
        <v>89</v>
      </c>
      <c r="I796" t="s">
        <v>37</v>
      </c>
      <c r="J796" t="s">
        <v>144</v>
      </c>
      <c r="K796" t="s">
        <v>145</v>
      </c>
      <c r="L796" t="s">
        <v>73</v>
      </c>
      <c r="M796" t="s">
        <v>273</v>
      </c>
      <c r="N796" t="s">
        <v>2049</v>
      </c>
      <c r="O796" t="s">
        <v>43</v>
      </c>
      <c r="P796">
        <v>1</v>
      </c>
      <c r="Q796">
        <v>2570.06</v>
      </c>
      <c r="R796">
        <v>0.2</v>
      </c>
      <c r="S796" t="str">
        <f t="shared" si="122"/>
        <v>OK</v>
      </c>
      <c r="T796">
        <v>2056.0500000000002</v>
      </c>
      <c r="U796">
        <v>1662.39</v>
      </c>
      <c r="V796">
        <v>393.66</v>
      </c>
      <c r="W796" t="s">
        <v>31</v>
      </c>
      <c r="X796" t="s">
        <v>32</v>
      </c>
      <c r="Y796" t="str">
        <f>IF(COUNTIF($A$2:$A$901,A796)&gt;1,
  IF(COUNTIF($A$2:A796,A796)=1,
    " ORIGINAL",
    "CONFLICTING DUPLICATE - REVIEW"),
"OK")</f>
        <v>OK</v>
      </c>
      <c r="Z796">
        <f t="shared" si="123"/>
        <v>0.2</v>
      </c>
      <c r="AA796">
        <f t="shared" si="124"/>
        <v>2056.0500000000002</v>
      </c>
      <c r="AB796">
        <f t="shared" si="125"/>
        <v>393.66</v>
      </c>
      <c r="AC796">
        <f t="shared" si="126"/>
        <v>0.1915</v>
      </c>
      <c r="AD796">
        <f t="shared" si="127"/>
        <v>10</v>
      </c>
      <c r="AE796">
        <f t="shared" si="128"/>
        <v>2025</v>
      </c>
      <c r="AF796" t="str">
        <f t="shared" si="129"/>
        <v>CLEAN</v>
      </c>
    </row>
    <row r="797" spans="1:32">
      <c r="A797" t="s">
        <v>2050</v>
      </c>
      <c r="B797" s="10">
        <v>45895</v>
      </c>
      <c r="C797" s="10">
        <v>45895</v>
      </c>
      <c r="D797">
        <f t="shared" si="120"/>
        <v>0</v>
      </c>
      <c r="E797" t="str">
        <f t="shared" si="121"/>
        <v>OK</v>
      </c>
      <c r="F797" t="s">
        <v>2051</v>
      </c>
      <c r="G797" t="s">
        <v>78</v>
      </c>
      <c r="H797" t="s">
        <v>94</v>
      </c>
      <c r="I797" t="s">
        <v>37</v>
      </c>
      <c r="J797" t="s">
        <v>98</v>
      </c>
      <c r="K797" t="s">
        <v>99</v>
      </c>
      <c r="L797" t="s">
        <v>40</v>
      </c>
      <c r="M797" t="s">
        <v>56</v>
      </c>
      <c r="N797" t="s">
        <v>2052</v>
      </c>
      <c r="O797" t="s">
        <v>58</v>
      </c>
      <c r="P797">
        <v>4</v>
      </c>
      <c r="Q797">
        <v>2151.8200000000002</v>
      </c>
      <c r="R797">
        <v>0</v>
      </c>
      <c r="S797" t="str">
        <f t="shared" si="122"/>
        <v>OK</v>
      </c>
      <c r="T797">
        <v>8607.2800000000007</v>
      </c>
      <c r="U797">
        <v>5124.01</v>
      </c>
      <c r="V797">
        <v>3483.27</v>
      </c>
      <c r="W797" t="s">
        <v>31</v>
      </c>
      <c r="X797" t="s">
        <v>32</v>
      </c>
      <c r="Y797" t="str">
        <f>IF(COUNTIF($A$2:$A$901,A797)&gt;1,
  IF(COUNTIF($A$2:A797,A797)=1,
    " ORIGINAL",
    "CONFLICTING DUPLICATE - REVIEW"),
"OK")</f>
        <v>OK</v>
      </c>
      <c r="Z797">
        <f t="shared" si="123"/>
        <v>0</v>
      </c>
      <c r="AA797">
        <f t="shared" si="124"/>
        <v>8607.2800000000007</v>
      </c>
      <c r="AB797">
        <f t="shared" si="125"/>
        <v>3483.27</v>
      </c>
      <c r="AC797">
        <f t="shared" si="126"/>
        <v>0.4047</v>
      </c>
      <c r="AD797">
        <f t="shared" si="127"/>
        <v>8</v>
      </c>
      <c r="AE797">
        <f t="shared" si="128"/>
        <v>2025</v>
      </c>
      <c r="AF797" t="str">
        <f t="shared" si="129"/>
        <v>CLEAN</v>
      </c>
    </row>
    <row r="798" spans="1:32">
      <c r="A798" t="s">
        <v>2056</v>
      </c>
      <c r="B798" s="10">
        <v>45876</v>
      </c>
      <c r="C798" s="10">
        <v>45879</v>
      </c>
      <c r="D798">
        <f t="shared" si="120"/>
        <v>3</v>
      </c>
      <c r="E798" t="str">
        <f t="shared" si="121"/>
        <v>OK</v>
      </c>
      <c r="F798" t="s">
        <v>2057</v>
      </c>
      <c r="G798" t="s">
        <v>88</v>
      </c>
      <c r="H798" t="s">
        <v>94</v>
      </c>
      <c r="I798" t="s">
        <v>37</v>
      </c>
      <c r="J798" t="s">
        <v>144</v>
      </c>
      <c r="K798" t="s">
        <v>145</v>
      </c>
      <c r="L798" t="s">
        <v>27</v>
      </c>
      <c r="M798" t="s">
        <v>123</v>
      </c>
      <c r="N798" t="s">
        <v>2058</v>
      </c>
      <c r="O798" t="s">
        <v>30</v>
      </c>
      <c r="P798">
        <v>1</v>
      </c>
      <c r="Q798">
        <v>2541.25</v>
      </c>
      <c r="R798">
        <v>0.2</v>
      </c>
      <c r="S798" t="str">
        <f t="shared" si="122"/>
        <v>OK</v>
      </c>
      <c r="T798">
        <v>2033</v>
      </c>
      <c r="U798">
        <v>1291.4100000000001</v>
      </c>
      <c r="V798">
        <v>741.59</v>
      </c>
      <c r="W798" t="s">
        <v>31</v>
      </c>
      <c r="X798" t="s">
        <v>32</v>
      </c>
      <c r="Y798" t="str">
        <f>IF(COUNTIF($A$2:$A$901,A798)&gt;1,
  IF(COUNTIF($A$2:A798,A798)=1,
    " ORIGINAL",
    "CONFLICTING DUPLICATE - REVIEW"),
"OK")</f>
        <v>OK</v>
      </c>
      <c r="Z798">
        <f t="shared" si="123"/>
        <v>0.2</v>
      </c>
      <c r="AA798">
        <f t="shared" si="124"/>
        <v>2033</v>
      </c>
      <c r="AB798">
        <f t="shared" si="125"/>
        <v>741.59</v>
      </c>
      <c r="AC798">
        <f t="shared" si="126"/>
        <v>0.36480000000000001</v>
      </c>
      <c r="AD798">
        <f t="shared" si="127"/>
        <v>8</v>
      </c>
      <c r="AE798">
        <f t="shared" si="128"/>
        <v>2025</v>
      </c>
      <c r="AF798" t="str">
        <f t="shared" si="129"/>
        <v>CLEAN</v>
      </c>
    </row>
    <row r="799" spans="1:32">
      <c r="A799" t="s">
        <v>2059</v>
      </c>
      <c r="B799" s="10">
        <v>45817</v>
      </c>
      <c r="C799" s="10">
        <v>45820</v>
      </c>
      <c r="D799">
        <f t="shared" si="120"/>
        <v>3</v>
      </c>
      <c r="E799" t="str">
        <f t="shared" si="121"/>
        <v>OK</v>
      </c>
      <c r="F799" t="s">
        <v>2060</v>
      </c>
      <c r="G799" t="s">
        <v>131</v>
      </c>
      <c r="H799" t="s">
        <v>23</v>
      </c>
      <c r="I799" t="s">
        <v>2762</v>
      </c>
      <c r="J799" t="s">
        <v>144</v>
      </c>
      <c r="K799" t="s">
        <v>145</v>
      </c>
      <c r="L799" t="s">
        <v>27</v>
      </c>
      <c r="M799" t="s">
        <v>47</v>
      </c>
      <c r="N799" t="s">
        <v>2061</v>
      </c>
      <c r="O799" t="s">
        <v>49</v>
      </c>
      <c r="P799">
        <v>7</v>
      </c>
      <c r="Q799">
        <v>2852.42</v>
      </c>
      <c r="R799">
        <v>0</v>
      </c>
      <c r="S799" t="str">
        <f t="shared" si="122"/>
        <v>OK</v>
      </c>
      <c r="T799">
        <v>19966.939999999999</v>
      </c>
      <c r="U799">
        <v>12690.83</v>
      </c>
      <c r="V799">
        <v>7276.11</v>
      </c>
      <c r="W799" t="s">
        <v>101</v>
      </c>
      <c r="X799" t="s">
        <v>67</v>
      </c>
      <c r="Y799" t="str">
        <f>IF(COUNTIF($A$2:$A$901,A799)&gt;1,
  IF(COUNTIF($A$2:A799,A799)=1,
    " ORIGINAL",
    "CONFLICTING DUPLICATE - REVIEW"),
"OK")</f>
        <v>OK</v>
      </c>
      <c r="Z799">
        <f t="shared" si="123"/>
        <v>0</v>
      </c>
      <c r="AA799">
        <f t="shared" si="124"/>
        <v>19966.939999999999</v>
      </c>
      <c r="AB799">
        <f t="shared" si="125"/>
        <v>7276.11</v>
      </c>
      <c r="AC799">
        <f t="shared" si="126"/>
        <v>0.3644</v>
      </c>
      <c r="AD799">
        <f t="shared" si="127"/>
        <v>6</v>
      </c>
      <c r="AE799">
        <f t="shared" si="128"/>
        <v>2025</v>
      </c>
      <c r="AF799" t="str">
        <f t="shared" si="129"/>
        <v>WARNING</v>
      </c>
    </row>
    <row r="800" spans="1:32">
      <c r="A800" t="s">
        <v>2062</v>
      </c>
      <c r="B800" s="10">
        <v>45678</v>
      </c>
      <c r="C800" s="10">
        <v>45679</v>
      </c>
      <c r="D800">
        <f t="shared" si="120"/>
        <v>1</v>
      </c>
      <c r="E800" t="str">
        <f t="shared" si="121"/>
        <v>OK</v>
      </c>
      <c r="F800" t="s">
        <v>2063</v>
      </c>
      <c r="G800" t="s">
        <v>161</v>
      </c>
      <c r="H800" t="s">
        <v>89</v>
      </c>
      <c r="I800" t="s">
        <v>53</v>
      </c>
      <c r="J800" t="s">
        <v>174</v>
      </c>
      <c r="K800" t="s">
        <v>175</v>
      </c>
      <c r="L800" t="s">
        <v>73</v>
      </c>
      <c r="M800" t="s">
        <v>170</v>
      </c>
      <c r="N800" t="s">
        <v>2064</v>
      </c>
      <c r="O800" t="s">
        <v>30</v>
      </c>
      <c r="P800">
        <v>2</v>
      </c>
      <c r="Q800">
        <v>444.31</v>
      </c>
      <c r="R800">
        <v>0.2</v>
      </c>
      <c r="S800" t="str">
        <f t="shared" si="122"/>
        <v>OK</v>
      </c>
      <c r="T800">
        <v>710.9</v>
      </c>
      <c r="U800">
        <v>513.88</v>
      </c>
      <c r="V800">
        <v>197.02</v>
      </c>
      <c r="W800" t="s">
        <v>101</v>
      </c>
      <c r="X800" t="s">
        <v>67</v>
      </c>
      <c r="Y800" t="str">
        <f>IF(COUNTIF($A$2:$A$901,A800)&gt;1,
  IF(COUNTIF($A$2:A800,A800)=1,
    " ORIGINAL",
    "CONFLICTING DUPLICATE - REVIEW"),
"OK")</f>
        <v>OK</v>
      </c>
      <c r="Z800">
        <f t="shared" si="123"/>
        <v>0.2</v>
      </c>
      <c r="AA800">
        <f t="shared" si="124"/>
        <v>710.9</v>
      </c>
      <c r="AB800">
        <f t="shared" si="125"/>
        <v>197.02</v>
      </c>
      <c r="AC800">
        <f t="shared" si="126"/>
        <v>0.27710000000000001</v>
      </c>
      <c r="AD800">
        <f t="shared" si="127"/>
        <v>1</v>
      </c>
      <c r="AE800">
        <f t="shared" si="128"/>
        <v>2025</v>
      </c>
      <c r="AF800" t="str">
        <f t="shared" si="129"/>
        <v>CLEAN</v>
      </c>
    </row>
    <row r="801" spans="1:32">
      <c r="A801" t="s">
        <v>2065</v>
      </c>
      <c r="B801" s="10">
        <v>45853</v>
      </c>
      <c r="C801" s="10">
        <v>45853</v>
      </c>
      <c r="D801">
        <f t="shared" si="120"/>
        <v>0</v>
      </c>
      <c r="E801" t="str">
        <f t="shared" si="121"/>
        <v>OK</v>
      </c>
      <c r="F801" t="s">
        <v>2066</v>
      </c>
      <c r="G801" t="s">
        <v>52</v>
      </c>
      <c r="H801" t="s">
        <v>36</v>
      </c>
      <c r="I801" t="s">
        <v>37</v>
      </c>
      <c r="J801" t="s">
        <v>227</v>
      </c>
      <c r="K801" t="s">
        <v>228</v>
      </c>
      <c r="L801" t="s">
        <v>73</v>
      </c>
      <c r="M801" t="s">
        <v>170</v>
      </c>
      <c r="N801" t="s">
        <v>2067</v>
      </c>
      <c r="O801" t="s">
        <v>43</v>
      </c>
      <c r="P801">
        <v>4</v>
      </c>
      <c r="Q801">
        <v>4442.91</v>
      </c>
      <c r="R801">
        <v>0.1</v>
      </c>
      <c r="S801" t="str">
        <f t="shared" si="122"/>
        <v>OK</v>
      </c>
      <c r="T801">
        <v>15994.48</v>
      </c>
      <c r="U801">
        <v>9224.2800000000007</v>
      </c>
      <c r="V801">
        <v>6770.2</v>
      </c>
      <c r="W801" t="s">
        <v>31</v>
      </c>
      <c r="X801" t="s">
        <v>32</v>
      </c>
      <c r="Y801" t="str">
        <f>IF(COUNTIF($A$2:$A$901,A801)&gt;1,
  IF(COUNTIF($A$2:A801,A801)=1,
    " ORIGINAL",
    "CONFLICTING DUPLICATE - REVIEW"),
"OK")</f>
        <v>OK</v>
      </c>
      <c r="Z801">
        <f t="shared" si="123"/>
        <v>0.1</v>
      </c>
      <c r="AA801">
        <f t="shared" si="124"/>
        <v>15994.48</v>
      </c>
      <c r="AB801">
        <f t="shared" si="125"/>
        <v>6770.2</v>
      </c>
      <c r="AC801">
        <f t="shared" si="126"/>
        <v>0.42330000000000001</v>
      </c>
      <c r="AD801">
        <f t="shared" si="127"/>
        <v>7</v>
      </c>
      <c r="AE801">
        <f t="shared" si="128"/>
        <v>2025</v>
      </c>
      <c r="AF801" t="str">
        <f t="shared" si="129"/>
        <v>CLEAN</v>
      </c>
    </row>
    <row r="802" spans="1:32">
      <c r="A802" t="s">
        <v>2080</v>
      </c>
      <c r="B802" s="10">
        <v>45670</v>
      </c>
      <c r="C802" s="10">
        <v>45670</v>
      </c>
      <c r="D802">
        <f t="shared" si="120"/>
        <v>0</v>
      </c>
      <c r="E802" t="str">
        <f t="shared" si="121"/>
        <v>OK</v>
      </c>
      <c r="F802" t="s">
        <v>2081</v>
      </c>
      <c r="G802" t="s">
        <v>117</v>
      </c>
      <c r="H802" t="s">
        <v>94</v>
      </c>
      <c r="I802" t="s">
        <v>62</v>
      </c>
      <c r="J802" t="s">
        <v>179</v>
      </c>
      <c r="K802" t="s">
        <v>180</v>
      </c>
      <c r="L802" t="s">
        <v>27</v>
      </c>
      <c r="M802" t="s">
        <v>47</v>
      </c>
      <c r="N802" t="s">
        <v>2082</v>
      </c>
      <c r="O802" t="s">
        <v>58</v>
      </c>
      <c r="P802">
        <v>3</v>
      </c>
      <c r="Q802">
        <v>2110.52</v>
      </c>
      <c r="R802">
        <v>0.1</v>
      </c>
      <c r="S802" t="str">
        <f t="shared" si="122"/>
        <v>OK</v>
      </c>
      <c r="T802">
        <v>5698.4</v>
      </c>
      <c r="U802">
        <v>3640.89</v>
      </c>
      <c r="V802">
        <v>2057.5100000000002</v>
      </c>
      <c r="W802" t="s">
        <v>154</v>
      </c>
      <c r="X802" t="s">
        <v>67</v>
      </c>
      <c r="Y802" t="str">
        <f>IF(COUNTIF($A$2:$A$901,A802)&gt;1,
  IF(COUNTIF($A$2:A802,A802)=1,
    " ORIGINAL",
    "CONFLICTING DUPLICATE - REVIEW"),
"OK")</f>
        <v>OK</v>
      </c>
      <c r="Z802">
        <f t="shared" si="123"/>
        <v>0.1</v>
      </c>
      <c r="AA802">
        <f t="shared" si="124"/>
        <v>5698.4</v>
      </c>
      <c r="AB802">
        <f t="shared" si="125"/>
        <v>2057.5100000000002</v>
      </c>
      <c r="AC802">
        <f t="shared" si="126"/>
        <v>0.36109999999999998</v>
      </c>
      <c r="AD802">
        <f t="shared" si="127"/>
        <v>1</v>
      </c>
      <c r="AE802">
        <f t="shared" si="128"/>
        <v>2025</v>
      </c>
      <c r="AF802" t="str">
        <f t="shared" si="129"/>
        <v>INVALID</v>
      </c>
    </row>
    <row r="803" spans="1:32">
      <c r="A803" t="s">
        <v>2086</v>
      </c>
      <c r="B803" s="10">
        <v>45797</v>
      </c>
      <c r="C803" s="10">
        <v>45804</v>
      </c>
      <c r="D803">
        <f t="shared" si="120"/>
        <v>7</v>
      </c>
      <c r="E803" t="str">
        <f t="shared" si="121"/>
        <v>OK</v>
      </c>
      <c r="F803" t="s">
        <v>2087</v>
      </c>
      <c r="G803" t="s">
        <v>161</v>
      </c>
      <c r="H803" t="s">
        <v>36</v>
      </c>
      <c r="I803" t="s">
        <v>37</v>
      </c>
      <c r="J803" t="s">
        <v>144</v>
      </c>
      <c r="K803" t="s">
        <v>145</v>
      </c>
      <c r="L803" t="s">
        <v>73</v>
      </c>
      <c r="M803" t="s">
        <v>273</v>
      </c>
      <c r="N803" t="s">
        <v>2088</v>
      </c>
      <c r="O803" t="s">
        <v>58</v>
      </c>
      <c r="P803">
        <v>1</v>
      </c>
      <c r="Q803">
        <v>3959.14</v>
      </c>
      <c r="R803">
        <v>0</v>
      </c>
      <c r="S803" t="str">
        <f t="shared" si="122"/>
        <v>OK</v>
      </c>
      <c r="T803">
        <v>3959.14</v>
      </c>
      <c r="U803">
        <v>3239.53</v>
      </c>
      <c r="V803">
        <v>719.61</v>
      </c>
      <c r="W803" t="s">
        <v>110</v>
      </c>
      <c r="X803" t="s">
        <v>102</v>
      </c>
      <c r="Y803" t="str">
        <f>IF(COUNTIF($A$2:$A$901,A803)&gt;1,
  IF(COUNTIF($A$2:A803,A803)=1,
    " ORIGINAL",
    "CONFLICTING DUPLICATE - REVIEW"),
"OK")</f>
        <v>OK</v>
      </c>
      <c r="Z803">
        <f t="shared" si="123"/>
        <v>0</v>
      </c>
      <c r="AA803">
        <f t="shared" si="124"/>
        <v>3959.14</v>
      </c>
      <c r="AB803">
        <f t="shared" si="125"/>
        <v>719.61</v>
      </c>
      <c r="AC803">
        <f t="shared" si="126"/>
        <v>0.18179999999999999</v>
      </c>
      <c r="AD803">
        <f t="shared" si="127"/>
        <v>5</v>
      </c>
      <c r="AE803">
        <f t="shared" si="128"/>
        <v>2025</v>
      </c>
      <c r="AF803" t="str">
        <f t="shared" si="129"/>
        <v>CLEAN</v>
      </c>
    </row>
    <row r="804" spans="1:32">
      <c r="A804" t="s">
        <v>2095</v>
      </c>
      <c r="B804" s="10">
        <v>45690</v>
      </c>
      <c r="C804" s="10">
        <v>45694</v>
      </c>
      <c r="D804">
        <f t="shared" si="120"/>
        <v>4</v>
      </c>
      <c r="E804" t="str">
        <f t="shared" si="121"/>
        <v>OK</v>
      </c>
      <c r="F804" t="s">
        <v>1597</v>
      </c>
      <c r="G804" t="s">
        <v>131</v>
      </c>
      <c r="H804" t="s">
        <v>89</v>
      </c>
      <c r="I804" t="s">
        <v>24</v>
      </c>
      <c r="J804" t="s">
        <v>135</v>
      </c>
      <c r="K804" t="s">
        <v>136</v>
      </c>
      <c r="L804" t="s">
        <v>40</v>
      </c>
      <c r="M804" t="s">
        <v>41</v>
      </c>
      <c r="N804" t="s">
        <v>2096</v>
      </c>
      <c r="O804" t="s">
        <v>58</v>
      </c>
      <c r="P804">
        <v>8</v>
      </c>
      <c r="Q804">
        <v>857.86</v>
      </c>
      <c r="R804">
        <v>0.1</v>
      </c>
      <c r="S804" t="str">
        <f t="shared" si="122"/>
        <v>OK</v>
      </c>
      <c r="T804">
        <v>6176.59</v>
      </c>
      <c r="U804">
        <v>3560.96</v>
      </c>
      <c r="V804">
        <v>2615.63</v>
      </c>
      <c r="W804" t="s">
        <v>31</v>
      </c>
      <c r="X804" t="s">
        <v>32</v>
      </c>
      <c r="Y804" t="str">
        <f>IF(COUNTIF($A$2:$A$901,A804)&gt;1,
  IF(COUNTIF($A$2:A804,A804)=1,
    " ORIGINAL",
    "CONFLICTING DUPLICATE - REVIEW"),
"OK")</f>
        <v>OK</v>
      </c>
      <c r="Z804">
        <f t="shared" si="123"/>
        <v>0.1</v>
      </c>
      <c r="AA804">
        <f t="shared" si="124"/>
        <v>6176.59</v>
      </c>
      <c r="AB804">
        <f t="shared" si="125"/>
        <v>2615.63</v>
      </c>
      <c r="AC804">
        <f t="shared" si="126"/>
        <v>0.42349999999999999</v>
      </c>
      <c r="AD804">
        <f t="shared" si="127"/>
        <v>2</v>
      </c>
      <c r="AE804">
        <f t="shared" si="128"/>
        <v>2025</v>
      </c>
      <c r="AF804" t="str">
        <f t="shared" si="129"/>
        <v>CLEAN</v>
      </c>
    </row>
    <row r="805" spans="1:32">
      <c r="A805" t="s">
        <v>2103</v>
      </c>
      <c r="B805" s="10">
        <v>45701</v>
      </c>
      <c r="C805" s="10">
        <v>45704</v>
      </c>
      <c r="D805">
        <f t="shared" si="120"/>
        <v>3</v>
      </c>
      <c r="E805" t="str">
        <f t="shared" si="121"/>
        <v>OK</v>
      </c>
      <c r="F805" t="s">
        <v>2104</v>
      </c>
      <c r="G805" t="s">
        <v>52</v>
      </c>
      <c r="H805" t="s">
        <v>36</v>
      </c>
      <c r="I805" t="s">
        <v>62</v>
      </c>
      <c r="J805" t="s">
        <v>25</v>
      </c>
      <c r="K805" t="s">
        <v>108</v>
      </c>
      <c r="L805" t="s">
        <v>40</v>
      </c>
      <c r="M805" t="s">
        <v>157</v>
      </c>
      <c r="N805" t="s">
        <v>2105</v>
      </c>
      <c r="O805" t="s">
        <v>30</v>
      </c>
      <c r="P805">
        <v>4</v>
      </c>
      <c r="Q805">
        <v>4072.9</v>
      </c>
      <c r="R805">
        <v>0.15</v>
      </c>
      <c r="S805" t="str">
        <f t="shared" si="122"/>
        <v>OK</v>
      </c>
      <c r="T805">
        <v>13847.86</v>
      </c>
      <c r="U805">
        <v>8471.7800000000007</v>
      </c>
      <c r="V805">
        <v>5376.08</v>
      </c>
      <c r="W805" t="s">
        <v>31</v>
      </c>
      <c r="X805" t="s">
        <v>32</v>
      </c>
      <c r="Y805" t="str">
        <f>IF(COUNTIF($A$2:$A$901,A805)&gt;1,
  IF(COUNTIF($A$2:A805,A805)=1,
    " ORIGINAL",
    "CONFLICTING DUPLICATE - REVIEW"),
"OK")</f>
        <v>OK</v>
      </c>
      <c r="Z805">
        <f t="shared" si="123"/>
        <v>0.15</v>
      </c>
      <c r="AA805">
        <f t="shared" si="124"/>
        <v>13847.86</v>
      </c>
      <c r="AB805">
        <f t="shared" si="125"/>
        <v>5376.08</v>
      </c>
      <c r="AC805">
        <f t="shared" si="126"/>
        <v>0.38819999999999999</v>
      </c>
      <c r="AD805">
        <f t="shared" si="127"/>
        <v>2</v>
      </c>
      <c r="AE805">
        <f t="shared" si="128"/>
        <v>2025</v>
      </c>
      <c r="AF805" t="str">
        <f t="shared" si="129"/>
        <v>CLEAN</v>
      </c>
    </row>
    <row r="806" spans="1:32">
      <c r="A806" t="s">
        <v>2109</v>
      </c>
      <c r="B806" s="10">
        <v>45844</v>
      </c>
      <c r="C806" s="10">
        <v>45818</v>
      </c>
      <c r="D806">
        <f t="shared" si="120"/>
        <v>-26</v>
      </c>
      <c r="E806" t="str">
        <f t="shared" si="121"/>
        <v>INVALID</v>
      </c>
      <c r="F806" t="s">
        <v>2010</v>
      </c>
      <c r="G806" t="s">
        <v>127</v>
      </c>
      <c r="H806" t="s">
        <v>23</v>
      </c>
      <c r="I806" t="s">
        <v>24</v>
      </c>
      <c r="J806" t="s">
        <v>25</v>
      </c>
      <c r="K806" t="s">
        <v>26</v>
      </c>
      <c r="L806" t="s">
        <v>40</v>
      </c>
      <c r="M806" t="s">
        <v>56</v>
      </c>
      <c r="N806" t="s">
        <v>2110</v>
      </c>
      <c r="O806" t="s">
        <v>43</v>
      </c>
      <c r="P806">
        <v>3</v>
      </c>
      <c r="Q806">
        <v>963.26</v>
      </c>
      <c r="R806">
        <v>0</v>
      </c>
      <c r="S806" t="str">
        <f t="shared" si="122"/>
        <v>OK</v>
      </c>
      <c r="T806">
        <v>2889.78</v>
      </c>
      <c r="U806">
        <v>1811.23</v>
      </c>
      <c r="V806">
        <v>1078.55</v>
      </c>
      <c r="W806" t="s">
        <v>31</v>
      </c>
      <c r="X806" t="s">
        <v>32</v>
      </c>
      <c r="Y806" t="str">
        <f>IF(COUNTIF($A$2:$A$901,A806)&gt;1,
  IF(COUNTIF($A$2:A806,A806)=1,
    " ORIGINAL",
    "CONFLICTING DUPLICATE - REVIEW"),
"OK")</f>
        <v>OK</v>
      </c>
      <c r="Z806">
        <f t="shared" si="123"/>
        <v>0</v>
      </c>
      <c r="AA806">
        <f t="shared" si="124"/>
        <v>2889.78</v>
      </c>
      <c r="AB806">
        <f t="shared" si="125"/>
        <v>1078.55</v>
      </c>
      <c r="AC806">
        <f t="shared" si="126"/>
        <v>0.37319999999999998</v>
      </c>
      <c r="AD806">
        <f t="shared" si="127"/>
        <v>7</v>
      </c>
      <c r="AE806">
        <f t="shared" si="128"/>
        <v>2025</v>
      </c>
      <c r="AF806" t="str">
        <f t="shared" si="129"/>
        <v>INVALID</v>
      </c>
    </row>
    <row r="807" spans="1:32">
      <c r="A807" t="s">
        <v>2111</v>
      </c>
      <c r="B807" s="10">
        <v>45911</v>
      </c>
      <c r="C807" s="10">
        <v>45918</v>
      </c>
      <c r="D807">
        <f t="shared" si="120"/>
        <v>7</v>
      </c>
      <c r="E807" t="str">
        <f t="shared" si="121"/>
        <v>OK</v>
      </c>
      <c r="F807" t="s">
        <v>2112</v>
      </c>
      <c r="G807" t="s">
        <v>117</v>
      </c>
      <c r="H807" t="s">
        <v>36</v>
      </c>
      <c r="I807" t="s">
        <v>24</v>
      </c>
      <c r="J807" t="s">
        <v>349</v>
      </c>
      <c r="K807" t="s">
        <v>350</v>
      </c>
      <c r="L807" t="s">
        <v>73</v>
      </c>
      <c r="M807" t="s">
        <v>170</v>
      </c>
      <c r="N807" t="s">
        <v>2113</v>
      </c>
      <c r="O807" t="s">
        <v>43</v>
      </c>
      <c r="P807">
        <v>7</v>
      </c>
      <c r="Q807">
        <v>3411.21</v>
      </c>
      <c r="R807">
        <v>0.15</v>
      </c>
      <c r="S807" t="str">
        <f t="shared" si="122"/>
        <v>OK</v>
      </c>
      <c r="T807">
        <v>20296.7</v>
      </c>
      <c r="U807">
        <v>14920.87</v>
      </c>
      <c r="V807">
        <v>5375.83</v>
      </c>
      <c r="W807" t="s">
        <v>31</v>
      </c>
      <c r="X807" t="s">
        <v>32</v>
      </c>
      <c r="Y807" t="str">
        <f>IF(COUNTIF($A$2:$A$901,A807)&gt;1,
  IF(COUNTIF($A$2:A807,A807)=1,
    " ORIGINAL",
    "CONFLICTING DUPLICATE - REVIEW"),
"OK")</f>
        <v>OK</v>
      </c>
      <c r="Z807">
        <f t="shared" si="123"/>
        <v>0.15</v>
      </c>
      <c r="AA807">
        <f t="shared" si="124"/>
        <v>20296.7</v>
      </c>
      <c r="AB807">
        <f t="shared" si="125"/>
        <v>5375.83</v>
      </c>
      <c r="AC807">
        <f t="shared" si="126"/>
        <v>0.26490000000000002</v>
      </c>
      <c r="AD807">
        <f t="shared" si="127"/>
        <v>9</v>
      </c>
      <c r="AE807">
        <f t="shared" si="128"/>
        <v>2025</v>
      </c>
      <c r="AF807" t="str">
        <f t="shared" si="129"/>
        <v>CLEAN</v>
      </c>
    </row>
    <row r="808" spans="1:32">
      <c r="A808" t="s">
        <v>2119</v>
      </c>
      <c r="B808" s="10">
        <v>45885</v>
      </c>
      <c r="C808" s="10">
        <v>45892</v>
      </c>
      <c r="D808">
        <f t="shared" si="120"/>
        <v>7</v>
      </c>
      <c r="E808" t="str">
        <f t="shared" si="121"/>
        <v>OK</v>
      </c>
      <c r="F808" t="s">
        <v>2120</v>
      </c>
      <c r="G808" t="s">
        <v>140</v>
      </c>
      <c r="H808" t="s">
        <v>89</v>
      </c>
      <c r="I808" t="s">
        <v>24</v>
      </c>
      <c r="J808" t="s">
        <v>121</v>
      </c>
      <c r="K808" t="s">
        <v>122</v>
      </c>
      <c r="L808" t="s">
        <v>73</v>
      </c>
      <c r="M808" t="s">
        <v>79</v>
      </c>
      <c r="N808" t="s">
        <v>2121</v>
      </c>
      <c r="O808" t="s">
        <v>43</v>
      </c>
      <c r="P808">
        <v>4</v>
      </c>
      <c r="Q808">
        <v>1410.57</v>
      </c>
      <c r="R808" t="s">
        <v>462</v>
      </c>
      <c r="S808" t="str">
        <f t="shared" si="122"/>
        <v>INVALID-ABOVE</v>
      </c>
      <c r="T808">
        <v>5360.17</v>
      </c>
      <c r="U808">
        <v>3881.51</v>
      </c>
      <c r="V808">
        <v>1478.66</v>
      </c>
      <c r="W808" t="s">
        <v>101</v>
      </c>
      <c r="X808" t="s">
        <v>67</v>
      </c>
      <c r="Y808" t="str">
        <f>IF(COUNTIF($A$2:$A$901,A808)&gt;1,
  IF(COUNTIF($A$2:A808,A808)=1,
    " ORIGINAL",
    "CONFLICTING DUPLICATE - REVIEW"),
"OK")</f>
        <v>OK</v>
      </c>
      <c r="Z808">
        <f t="shared" si="123"/>
        <v>0.7</v>
      </c>
      <c r="AA808">
        <f t="shared" si="124"/>
        <v>1692.68</v>
      </c>
      <c r="AB808">
        <f t="shared" si="125"/>
        <v>-2188.83</v>
      </c>
      <c r="AC808">
        <f t="shared" si="126"/>
        <v>-1.2930999999999999</v>
      </c>
      <c r="AD808">
        <f t="shared" si="127"/>
        <v>8</v>
      </c>
      <c r="AE808">
        <f t="shared" si="128"/>
        <v>2025</v>
      </c>
      <c r="AF808" t="str">
        <f t="shared" si="129"/>
        <v>INVALID</v>
      </c>
    </row>
    <row r="809" spans="1:32">
      <c r="A809" t="s">
        <v>2128</v>
      </c>
      <c r="B809" s="10">
        <v>45693</v>
      </c>
      <c r="C809" s="10">
        <v>45779</v>
      </c>
      <c r="D809">
        <f t="shared" si="120"/>
        <v>86</v>
      </c>
      <c r="E809" t="str">
        <f t="shared" si="121"/>
        <v>OK</v>
      </c>
      <c r="F809" t="s">
        <v>2129</v>
      </c>
      <c r="G809" t="s">
        <v>61</v>
      </c>
      <c r="H809" t="s">
        <v>89</v>
      </c>
      <c r="I809" t="s">
        <v>24</v>
      </c>
      <c r="J809" t="s">
        <v>235</v>
      </c>
      <c r="K809" t="s">
        <v>236</v>
      </c>
      <c r="L809" t="s">
        <v>27</v>
      </c>
      <c r="M809" t="s">
        <v>123</v>
      </c>
      <c r="N809" t="s">
        <v>2130</v>
      </c>
      <c r="O809" t="s">
        <v>43</v>
      </c>
      <c r="P809">
        <v>3</v>
      </c>
      <c r="Q809">
        <v>2590.7800000000002</v>
      </c>
      <c r="R809">
        <v>0</v>
      </c>
      <c r="S809" t="str">
        <f t="shared" si="122"/>
        <v>OK</v>
      </c>
      <c r="T809">
        <v>7383.72</v>
      </c>
      <c r="U809">
        <v>4113.66</v>
      </c>
      <c r="V809">
        <v>3270.06</v>
      </c>
      <c r="W809" t="s">
        <v>31</v>
      </c>
      <c r="X809" t="s">
        <v>32</v>
      </c>
      <c r="Y809" t="str">
        <f>IF(COUNTIF($A$2:$A$901,A809)&gt;1,
  IF(COUNTIF($A$2:A809,A809)=1,
    " ORIGINAL",
    "CONFLICTING DUPLICATE - REVIEW"),
"OK")</f>
        <v>OK</v>
      </c>
      <c r="Z809">
        <f t="shared" si="123"/>
        <v>0</v>
      </c>
      <c r="AA809">
        <f t="shared" si="124"/>
        <v>7772.34</v>
      </c>
      <c r="AB809">
        <f t="shared" si="125"/>
        <v>3658.68</v>
      </c>
      <c r="AC809">
        <f t="shared" si="126"/>
        <v>0.47070000000000001</v>
      </c>
      <c r="AD809">
        <f t="shared" si="127"/>
        <v>2</v>
      </c>
      <c r="AE809">
        <f t="shared" si="128"/>
        <v>2025</v>
      </c>
      <c r="AF809" t="str">
        <f t="shared" si="129"/>
        <v>CLEAN</v>
      </c>
    </row>
    <row r="810" spans="1:32">
      <c r="A810" t="s">
        <v>2131</v>
      </c>
      <c r="B810" s="10">
        <v>45858</v>
      </c>
      <c r="C810" s="10">
        <v>45862</v>
      </c>
      <c r="D810">
        <f t="shared" si="120"/>
        <v>4</v>
      </c>
      <c r="E810" t="str">
        <f t="shared" si="121"/>
        <v>OK</v>
      </c>
      <c r="F810" t="s">
        <v>2132</v>
      </c>
      <c r="G810" t="s">
        <v>52</v>
      </c>
      <c r="H810" t="s">
        <v>36</v>
      </c>
      <c r="I810" t="s">
        <v>53</v>
      </c>
      <c r="J810" t="s">
        <v>54</v>
      </c>
      <c r="K810" t="s">
        <v>55</v>
      </c>
      <c r="L810" t="s">
        <v>40</v>
      </c>
      <c r="M810" t="s">
        <v>56</v>
      </c>
      <c r="N810" t="s">
        <v>2133</v>
      </c>
      <c r="O810" t="s">
        <v>30</v>
      </c>
      <c r="P810">
        <v>6</v>
      </c>
      <c r="Q810">
        <v>1646.45</v>
      </c>
      <c r="R810">
        <v>0.2</v>
      </c>
      <c r="S810" t="str">
        <f t="shared" si="122"/>
        <v>OK</v>
      </c>
      <c r="T810">
        <v>7902.96</v>
      </c>
      <c r="U810">
        <v>5512.03</v>
      </c>
      <c r="V810">
        <v>2390.9299999999998</v>
      </c>
      <c r="W810" t="s">
        <v>101</v>
      </c>
      <c r="X810" t="s">
        <v>67</v>
      </c>
      <c r="Y810" t="str">
        <f>IF(COUNTIF($A$2:$A$901,A810)&gt;1,
  IF(COUNTIF($A$2:A810,A810)=1,
    " ORIGINAL",
    "CONFLICTING DUPLICATE - REVIEW"),
"OK")</f>
        <v>OK</v>
      </c>
      <c r="Z810">
        <f t="shared" si="123"/>
        <v>0.2</v>
      </c>
      <c r="AA810">
        <f t="shared" si="124"/>
        <v>7902.96</v>
      </c>
      <c r="AB810">
        <f t="shared" si="125"/>
        <v>2390.9299999999998</v>
      </c>
      <c r="AC810">
        <f t="shared" si="126"/>
        <v>0.30249999999999999</v>
      </c>
      <c r="AD810">
        <f t="shared" si="127"/>
        <v>7</v>
      </c>
      <c r="AE810">
        <f t="shared" si="128"/>
        <v>2025</v>
      </c>
      <c r="AF810" t="str">
        <f t="shared" si="129"/>
        <v>CLEAN</v>
      </c>
    </row>
    <row r="811" spans="1:32">
      <c r="A811" t="s">
        <v>2134</v>
      </c>
      <c r="B811" s="10">
        <v>45859</v>
      </c>
      <c r="C811" s="10">
        <v>45859</v>
      </c>
      <c r="D811">
        <f t="shared" si="120"/>
        <v>0</v>
      </c>
      <c r="E811" t="str">
        <f t="shared" si="121"/>
        <v>OK</v>
      </c>
      <c r="F811" t="s">
        <v>2135</v>
      </c>
      <c r="G811" t="s">
        <v>46</v>
      </c>
      <c r="H811" t="s">
        <v>94</v>
      </c>
      <c r="I811" t="s">
        <v>53</v>
      </c>
      <c r="J811" t="s">
        <v>246</v>
      </c>
      <c r="K811" t="s">
        <v>247</v>
      </c>
      <c r="L811" t="s">
        <v>40</v>
      </c>
      <c r="M811" t="s">
        <v>157</v>
      </c>
      <c r="N811" t="s">
        <v>2136</v>
      </c>
      <c r="O811" t="s">
        <v>49</v>
      </c>
      <c r="P811">
        <v>7</v>
      </c>
      <c r="Q811">
        <v>4396.6499999999996</v>
      </c>
      <c r="R811">
        <v>0.2</v>
      </c>
      <c r="S811" t="str">
        <f t="shared" si="122"/>
        <v>OK</v>
      </c>
      <c r="T811">
        <v>24621.24</v>
      </c>
      <c r="U811">
        <v>17155.48</v>
      </c>
      <c r="V811">
        <v>7465.76</v>
      </c>
      <c r="W811" t="s">
        <v>101</v>
      </c>
      <c r="X811" t="s">
        <v>67</v>
      </c>
      <c r="Y811" t="str">
        <f>IF(COUNTIF($A$2:$A$901,A811)&gt;1,
  IF(COUNTIF($A$2:A811,A811)=1,
    " ORIGINAL",
    "CONFLICTING DUPLICATE - REVIEW"),
"OK")</f>
        <v>OK</v>
      </c>
      <c r="Z811">
        <f t="shared" si="123"/>
        <v>0.2</v>
      </c>
      <c r="AA811">
        <f t="shared" si="124"/>
        <v>24621.24</v>
      </c>
      <c r="AB811">
        <f t="shared" si="125"/>
        <v>7465.76</v>
      </c>
      <c r="AC811">
        <f t="shared" si="126"/>
        <v>0.30320000000000003</v>
      </c>
      <c r="AD811">
        <f t="shared" si="127"/>
        <v>7</v>
      </c>
      <c r="AE811">
        <f t="shared" si="128"/>
        <v>2025</v>
      </c>
      <c r="AF811" t="str">
        <f t="shared" si="129"/>
        <v>CLEAN</v>
      </c>
    </row>
    <row r="812" spans="1:32">
      <c r="A812" t="s">
        <v>2137</v>
      </c>
      <c r="B812" s="10">
        <v>45931</v>
      </c>
      <c r="C812" s="10">
        <v>45933</v>
      </c>
      <c r="D812">
        <f t="shared" si="120"/>
        <v>2</v>
      </c>
      <c r="E812" t="str">
        <f t="shared" si="121"/>
        <v>OK</v>
      </c>
      <c r="F812" t="s">
        <v>1803</v>
      </c>
      <c r="G812" t="s">
        <v>78</v>
      </c>
      <c r="H812" t="s">
        <v>89</v>
      </c>
      <c r="I812" t="s">
        <v>62</v>
      </c>
      <c r="J812" t="s">
        <v>189</v>
      </c>
      <c r="K812" t="s">
        <v>190</v>
      </c>
      <c r="L812" t="s">
        <v>27</v>
      </c>
      <c r="M812" t="s">
        <v>47</v>
      </c>
      <c r="N812" t="s">
        <v>2138</v>
      </c>
      <c r="O812" t="s">
        <v>58</v>
      </c>
      <c r="P812">
        <v>9</v>
      </c>
      <c r="Q812">
        <v>818.15</v>
      </c>
      <c r="R812">
        <v>0.55000000000000004</v>
      </c>
      <c r="S812" t="str">
        <f t="shared" si="122"/>
        <v>OK</v>
      </c>
      <c r="T812">
        <v>6627.01</v>
      </c>
      <c r="U812">
        <v>5606.79</v>
      </c>
      <c r="V812">
        <v>1020.22</v>
      </c>
      <c r="W812" t="s">
        <v>154</v>
      </c>
      <c r="X812" t="s">
        <v>67</v>
      </c>
      <c r="Y812" t="str">
        <f>IF(COUNTIF($A$2:$A$901,A812)&gt;1,
  IF(COUNTIF($A$2:A812,A812)=1,
    " ORIGINAL",
    "CONFLICTING DUPLICATE - REVIEW"),
"OK")</f>
        <v>OK</v>
      </c>
      <c r="Z812">
        <f t="shared" si="123"/>
        <v>0.55000000000000004</v>
      </c>
      <c r="AA812">
        <f t="shared" si="124"/>
        <v>3313.51</v>
      </c>
      <c r="AB812">
        <f t="shared" si="125"/>
        <v>-2293.2800000000002</v>
      </c>
      <c r="AC812">
        <f t="shared" si="126"/>
        <v>-0.69210000000000005</v>
      </c>
      <c r="AD812">
        <f t="shared" si="127"/>
        <v>10</v>
      </c>
      <c r="AE812">
        <f t="shared" si="128"/>
        <v>2025</v>
      </c>
      <c r="AF812" t="str">
        <f t="shared" si="129"/>
        <v>INVALID</v>
      </c>
    </row>
    <row r="813" spans="1:32">
      <c r="A813" t="s">
        <v>2142</v>
      </c>
      <c r="B813" s="10">
        <v>45938</v>
      </c>
      <c r="C813" s="10">
        <v>45943</v>
      </c>
      <c r="D813">
        <f t="shared" si="120"/>
        <v>5</v>
      </c>
      <c r="E813" t="str">
        <f t="shared" si="121"/>
        <v>OK</v>
      </c>
      <c r="F813" t="s">
        <v>2143</v>
      </c>
      <c r="G813" t="s">
        <v>35</v>
      </c>
      <c r="H813" t="s">
        <v>94</v>
      </c>
      <c r="I813" t="s">
        <v>24</v>
      </c>
      <c r="J813" t="s">
        <v>121</v>
      </c>
      <c r="K813" t="s">
        <v>122</v>
      </c>
      <c r="L813" t="s">
        <v>40</v>
      </c>
      <c r="M813" t="s">
        <v>41</v>
      </c>
      <c r="N813" t="s">
        <v>2144</v>
      </c>
      <c r="O813" t="s">
        <v>49</v>
      </c>
      <c r="P813">
        <v>4</v>
      </c>
      <c r="Q813">
        <v>172.05</v>
      </c>
      <c r="R813">
        <v>0</v>
      </c>
      <c r="S813" t="str">
        <f t="shared" si="122"/>
        <v>OK</v>
      </c>
      <c r="T813">
        <v>688.2</v>
      </c>
      <c r="U813">
        <v>497.68</v>
      </c>
      <c r="V813">
        <v>190.52</v>
      </c>
      <c r="W813" t="s">
        <v>154</v>
      </c>
      <c r="X813" t="s">
        <v>67</v>
      </c>
      <c r="Y813" t="str">
        <f>IF(COUNTIF($A$2:$A$901,A813)&gt;1,
  IF(COUNTIF($A$2:A813,A813)=1,
    " ORIGINAL",
    "CONFLICTING DUPLICATE - REVIEW"),
"OK")</f>
        <v>OK</v>
      </c>
      <c r="Z813">
        <f t="shared" si="123"/>
        <v>0</v>
      </c>
      <c r="AA813">
        <f t="shared" si="124"/>
        <v>688.2</v>
      </c>
      <c r="AB813">
        <f t="shared" si="125"/>
        <v>190.52</v>
      </c>
      <c r="AC813">
        <f t="shared" si="126"/>
        <v>0.27679999999999999</v>
      </c>
      <c r="AD813">
        <f t="shared" si="127"/>
        <v>10</v>
      </c>
      <c r="AE813">
        <f t="shared" si="128"/>
        <v>2025</v>
      </c>
      <c r="AF813" t="str">
        <f t="shared" si="129"/>
        <v>INVALID</v>
      </c>
    </row>
    <row r="814" spans="1:32">
      <c r="A814" t="s">
        <v>2145</v>
      </c>
      <c r="B814" s="10">
        <v>45714</v>
      </c>
      <c r="C814" s="10">
        <v>45715</v>
      </c>
      <c r="D814">
        <f t="shared" si="120"/>
        <v>1</v>
      </c>
      <c r="E814" t="str">
        <f t="shared" si="121"/>
        <v>OK</v>
      </c>
      <c r="F814" t="s">
        <v>2146</v>
      </c>
      <c r="G814" t="s">
        <v>78</v>
      </c>
      <c r="H814" t="s">
        <v>94</v>
      </c>
      <c r="I814" t="s">
        <v>24</v>
      </c>
      <c r="J814" t="s">
        <v>235</v>
      </c>
      <c r="K814" t="s">
        <v>236</v>
      </c>
      <c r="L814" t="s">
        <v>27</v>
      </c>
      <c r="M814" t="s">
        <v>47</v>
      </c>
      <c r="N814" t="s">
        <v>2147</v>
      </c>
      <c r="O814" t="s">
        <v>30</v>
      </c>
      <c r="P814">
        <v>6</v>
      </c>
      <c r="Q814">
        <v>3037.66</v>
      </c>
      <c r="R814">
        <v>0.15</v>
      </c>
      <c r="S814" t="str">
        <f t="shared" si="122"/>
        <v>OK</v>
      </c>
      <c r="T814">
        <v>15492.07</v>
      </c>
      <c r="U814">
        <v>12581.23</v>
      </c>
      <c r="V814">
        <v>2910.84</v>
      </c>
      <c r="W814" t="s">
        <v>31</v>
      </c>
      <c r="X814" t="s">
        <v>32</v>
      </c>
      <c r="Y814" t="str">
        <f>IF(COUNTIF($A$2:$A$901,A814)&gt;1,
  IF(COUNTIF($A$2:A814,A814)=1,
    " ORIGINAL",
    "CONFLICTING DUPLICATE - REVIEW"),
"OK")</f>
        <v>OK</v>
      </c>
      <c r="Z814">
        <f t="shared" si="123"/>
        <v>0.15</v>
      </c>
      <c r="AA814">
        <f t="shared" si="124"/>
        <v>15492.07</v>
      </c>
      <c r="AB814">
        <f t="shared" si="125"/>
        <v>2910.84</v>
      </c>
      <c r="AC814">
        <f t="shared" si="126"/>
        <v>0.18790000000000001</v>
      </c>
      <c r="AD814">
        <f t="shared" si="127"/>
        <v>2</v>
      </c>
      <c r="AE814">
        <f t="shared" si="128"/>
        <v>2025</v>
      </c>
      <c r="AF814" t="str">
        <f t="shared" si="129"/>
        <v>CLEAN</v>
      </c>
    </row>
    <row r="815" spans="1:32">
      <c r="A815" t="s">
        <v>2157</v>
      </c>
      <c r="B815" s="10">
        <v>45787</v>
      </c>
      <c r="C815" s="10">
        <v>45940</v>
      </c>
      <c r="D815">
        <f t="shared" si="120"/>
        <v>153</v>
      </c>
      <c r="E815" t="str">
        <f t="shared" si="121"/>
        <v>OK</v>
      </c>
      <c r="F815" t="s">
        <v>2158</v>
      </c>
      <c r="G815" t="s">
        <v>46</v>
      </c>
      <c r="H815" t="s">
        <v>89</v>
      </c>
      <c r="I815" t="s">
        <v>53</v>
      </c>
      <c r="J815" t="s">
        <v>174</v>
      </c>
      <c r="K815" t="s">
        <v>175</v>
      </c>
      <c r="L815" t="s">
        <v>40</v>
      </c>
      <c r="M815" t="s">
        <v>56</v>
      </c>
      <c r="N815" t="s">
        <v>2159</v>
      </c>
      <c r="O815" t="s">
        <v>30</v>
      </c>
      <c r="P815">
        <v>4</v>
      </c>
      <c r="Q815">
        <v>2365.6799999999998</v>
      </c>
      <c r="R815">
        <v>0.1</v>
      </c>
      <c r="S815" t="str">
        <f t="shared" si="122"/>
        <v>OK</v>
      </c>
      <c r="T815">
        <v>8516.4500000000007</v>
      </c>
      <c r="U815">
        <v>5903.81</v>
      </c>
      <c r="V815">
        <v>2612.64</v>
      </c>
      <c r="W815" t="s">
        <v>31</v>
      </c>
      <c r="X815" t="s">
        <v>32</v>
      </c>
      <c r="Y815" t="str">
        <f>IF(COUNTIF($A$2:$A$901,A815)&gt;1,
  IF(COUNTIF($A$2:A815,A815)=1,
    " ORIGINAL",
    "CONFLICTING DUPLICATE - REVIEW"),
"OK")</f>
        <v>OK</v>
      </c>
      <c r="Z815">
        <f t="shared" si="123"/>
        <v>0.1</v>
      </c>
      <c r="AA815">
        <f t="shared" si="124"/>
        <v>8516.4500000000007</v>
      </c>
      <c r="AB815">
        <f t="shared" si="125"/>
        <v>2612.64</v>
      </c>
      <c r="AC815">
        <f t="shared" si="126"/>
        <v>0.30680000000000002</v>
      </c>
      <c r="AD815">
        <f t="shared" si="127"/>
        <v>5</v>
      </c>
      <c r="AE815">
        <f t="shared" si="128"/>
        <v>2025</v>
      </c>
      <c r="AF815" t="str">
        <f t="shared" si="129"/>
        <v>CLEAN</v>
      </c>
    </row>
    <row r="816" spans="1:32">
      <c r="A816" t="s">
        <v>2160</v>
      </c>
      <c r="B816" s="10">
        <v>45720</v>
      </c>
      <c r="C816" s="10">
        <v>45758</v>
      </c>
      <c r="D816">
        <f t="shared" si="120"/>
        <v>38</v>
      </c>
      <c r="E816" t="str">
        <f t="shared" si="121"/>
        <v>OK</v>
      </c>
      <c r="F816" t="s">
        <v>2161</v>
      </c>
      <c r="G816" t="s">
        <v>52</v>
      </c>
      <c r="H816" t="s">
        <v>23</v>
      </c>
      <c r="I816" t="s">
        <v>53</v>
      </c>
      <c r="J816" t="s">
        <v>246</v>
      </c>
      <c r="K816" t="s">
        <v>247</v>
      </c>
      <c r="L816" t="s">
        <v>40</v>
      </c>
      <c r="M816" t="s">
        <v>157</v>
      </c>
      <c r="N816" t="s">
        <v>2162</v>
      </c>
      <c r="O816" t="s">
        <v>30</v>
      </c>
      <c r="P816">
        <v>3</v>
      </c>
      <c r="Q816">
        <v>4149.7700000000004</v>
      </c>
      <c r="R816">
        <v>0.05</v>
      </c>
      <c r="S816" t="str">
        <f t="shared" si="122"/>
        <v>OK</v>
      </c>
      <c r="T816">
        <v>11826.84</v>
      </c>
      <c r="U816">
        <v>8035.96</v>
      </c>
      <c r="V816">
        <v>3790.88</v>
      </c>
      <c r="W816" t="s">
        <v>31</v>
      </c>
      <c r="X816" t="s">
        <v>32</v>
      </c>
      <c r="Y816" t="str">
        <f>IF(COUNTIF($A$2:$A$901,A816)&gt;1,
  IF(COUNTIF($A$2:A816,A816)=1,
    " ORIGINAL",
    "CONFLICTING DUPLICATE - REVIEW"),
"OK")</f>
        <v>OK</v>
      </c>
      <c r="Z816">
        <f t="shared" si="123"/>
        <v>0.05</v>
      </c>
      <c r="AA816">
        <f t="shared" si="124"/>
        <v>11826.84</v>
      </c>
      <c r="AB816">
        <f t="shared" si="125"/>
        <v>3790.88</v>
      </c>
      <c r="AC816">
        <f t="shared" si="126"/>
        <v>0.32050000000000001</v>
      </c>
      <c r="AD816">
        <f t="shared" si="127"/>
        <v>3</v>
      </c>
      <c r="AE816">
        <f t="shared" si="128"/>
        <v>2025</v>
      </c>
      <c r="AF816" t="str">
        <f t="shared" si="129"/>
        <v>CLEAN</v>
      </c>
    </row>
    <row r="817" spans="1:32">
      <c r="A817" t="s">
        <v>2163</v>
      </c>
      <c r="B817" s="10">
        <v>45665</v>
      </c>
      <c r="C817" s="10">
        <v>45908</v>
      </c>
      <c r="D817">
        <f t="shared" si="120"/>
        <v>243</v>
      </c>
      <c r="E817" t="str">
        <f t="shared" si="121"/>
        <v>OK</v>
      </c>
      <c r="F817" t="s">
        <v>1136</v>
      </c>
      <c r="G817" t="s">
        <v>46</v>
      </c>
      <c r="H817" t="s">
        <v>23</v>
      </c>
      <c r="I817" t="s">
        <v>53</v>
      </c>
      <c r="J817" t="s">
        <v>83</v>
      </c>
      <c r="K817" t="s">
        <v>84</v>
      </c>
      <c r="L817" t="s">
        <v>27</v>
      </c>
      <c r="M817" t="s">
        <v>123</v>
      </c>
      <c r="N817" t="s">
        <v>2164</v>
      </c>
      <c r="O817" t="s">
        <v>49</v>
      </c>
      <c r="P817">
        <v>5</v>
      </c>
      <c r="Q817">
        <v>2736.24</v>
      </c>
      <c r="R817">
        <v>0.15</v>
      </c>
      <c r="S817" t="str">
        <f t="shared" si="122"/>
        <v>OK</v>
      </c>
      <c r="T817">
        <v>11629.02</v>
      </c>
      <c r="U817">
        <v>9627.2099999999991</v>
      </c>
      <c r="V817">
        <v>2001.81</v>
      </c>
      <c r="W817" t="s">
        <v>31</v>
      </c>
      <c r="X817" t="s">
        <v>32</v>
      </c>
      <c r="Y817" t="str">
        <f>IF(COUNTIF($A$2:$A$901,A817)&gt;1,
  IF(COUNTIF($A$2:A817,A817)=1,
    " ORIGINAL",
    "CONFLICTING DUPLICATE - REVIEW"),
"OK")</f>
        <v>OK</v>
      </c>
      <c r="Z817">
        <f t="shared" si="123"/>
        <v>0.15</v>
      </c>
      <c r="AA817">
        <f t="shared" si="124"/>
        <v>11629.02</v>
      </c>
      <c r="AB817">
        <f t="shared" si="125"/>
        <v>2001.81</v>
      </c>
      <c r="AC817">
        <f t="shared" si="126"/>
        <v>0.1721</v>
      </c>
      <c r="AD817">
        <f t="shared" si="127"/>
        <v>1</v>
      </c>
      <c r="AE817">
        <f t="shared" si="128"/>
        <v>2025</v>
      </c>
      <c r="AF817" t="str">
        <f t="shared" si="129"/>
        <v>CLEAN</v>
      </c>
    </row>
    <row r="818" spans="1:32">
      <c r="A818" t="s">
        <v>2168</v>
      </c>
      <c r="B818" s="10">
        <v>45922</v>
      </c>
      <c r="C818" s="10">
        <v>45925</v>
      </c>
      <c r="D818">
        <f t="shared" si="120"/>
        <v>3</v>
      </c>
      <c r="E818" t="str">
        <f t="shared" si="121"/>
        <v>OK</v>
      </c>
      <c r="F818" t="s">
        <v>2169</v>
      </c>
      <c r="G818" t="s">
        <v>46</v>
      </c>
      <c r="H818" t="s">
        <v>36</v>
      </c>
      <c r="I818" t="s">
        <v>53</v>
      </c>
      <c r="J818" t="s">
        <v>184</v>
      </c>
      <c r="K818" t="s">
        <v>185</v>
      </c>
      <c r="L818" t="s">
        <v>73</v>
      </c>
      <c r="M818" t="s">
        <v>170</v>
      </c>
      <c r="N818" t="s">
        <v>2170</v>
      </c>
      <c r="O818" t="s">
        <v>2762</v>
      </c>
      <c r="P818">
        <v>4</v>
      </c>
      <c r="Q818">
        <v>1178.8399999999999</v>
      </c>
      <c r="R818">
        <v>0.25</v>
      </c>
      <c r="S818" t="str">
        <f t="shared" si="122"/>
        <v>OK</v>
      </c>
      <c r="T818">
        <v>3536.52</v>
      </c>
      <c r="U818">
        <v>2102.41</v>
      </c>
      <c r="V818">
        <v>1363.28</v>
      </c>
      <c r="W818" t="s">
        <v>31</v>
      </c>
      <c r="X818" t="s">
        <v>32</v>
      </c>
      <c r="Y818" t="str">
        <f>IF(COUNTIF($A$2:$A$901,A818)&gt;1,
  IF(COUNTIF($A$2:A818,A818)=1,
    " ORIGINAL",
    "CONFLICTING DUPLICATE - REVIEW"),
"OK")</f>
        <v>OK</v>
      </c>
      <c r="Z818">
        <f t="shared" si="123"/>
        <v>0.25</v>
      </c>
      <c r="AA818">
        <f t="shared" si="124"/>
        <v>3536.52</v>
      </c>
      <c r="AB818">
        <f t="shared" si="125"/>
        <v>1434.11</v>
      </c>
      <c r="AC818">
        <f t="shared" si="126"/>
        <v>0.40550000000000003</v>
      </c>
      <c r="AD818">
        <f t="shared" si="127"/>
        <v>9</v>
      </c>
      <c r="AE818">
        <f t="shared" si="128"/>
        <v>2025</v>
      </c>
      <c r="AF818" t="str">
        <f t="shared" si="129"/>
        <v>WARNING</v>
      </c>
    </row>
    <row r="819" spans="1:32">
      <c r="A819" t="s">
        <v>2171</v>
      </c>
      <c r="B819" s="10">
        <v>45717</v>
      </c>
      <c r="C819" s="10">
        <v>45841</v>
      </c>
      <c r="D819">
        <f t="shared" si="120"/>
        <v>124</v>
      </c>
      <c r="E819" t="str">
        <f t="shared" si="121"/>
        <v>OK</v>
      </c>
      <c r="F819" t="s">
        <v>2172</v>
      </c>
      <c r="G819" t="s">
        <v>52</v>
      </c>
      <c r="H819" t="s">
        <v>89</v>
      </c>
      <c r="I819" t="s">
        <v>53</v>
      </c>
      <c r="J819" t="s">
        <v>83</v>
      </c>
      <c r="K819" t="s">
        <v>84</v>
      </c>
      <c r="L819" t="s">
        <v>27</v>
      </c>
      <c r="M819" t="s">
        <v>90</v>
      </c>
      <c r="N819" t="s">
        <v>2173</v>
      </c>
      <c r="O819" t="s">
        <v>49</v>
      </c>
      <c r="P819">
        <v>7</v>
      </c>
      <c r="Q819">
        <v>567.15</v>
      </c>
      <c r="R819">
        <v>0</v>
      </c>
      <c r="S819" t="str">
        <f t="shared" si="122"/>
        <v>OK</v>
      </c>
      <c r="T819">
        <v>2977.54</v>
      </c>
      <c r="U819">
        <v>1849.3</v>
      </c>
      <c r="V819">
        <v>1128.24</v>
      </c>
      <c r="W819" t="s">
        <v>101</v>
      </c>
      <c r="X819" t="s">
        <v>102</v>
      </c>
      <c r="Y819" t="str">
        <f>IF(COUNTIF($A$2:$A$901,A819)&gt;1,
  IF(COUNTIF($A$2:A819,A819)=1,
    " ORIGINAL",
    "CONFLICTING DUPLICATE - REVIEW"),
"OK")</f>
        <v>OK</v>
      </c>
      <c r="Z819">
        <f t="shared" si="123"/>
        <v>0</v>
      </c>
      <c r="AA819">
        <f t="shared" si="124"/>
        <v>3970.05</v>
      </c>
      <c r="AB819">
        <f t="shared" si="125"/>
        <v>2120.75</v>
      </c>
      <c r="AC819">
        <f t="shared" si="126"/>
        <v>0.53420000000000001</v>
      </c>
      <c r="AD819">
        <f t="shared" si="127"/>
        <v>3</v>
      </c>
      <c r="AE819">
        <f t="shared" si="128"/>
        <v>2025</v>
      </c>
      <c r="AF819" t="str">
        <f t="shared" si="129"/>
        <v>CLEAN</v>
      </c>
    </row>
    <row r="820" spans="1:32">
      <c r="A820" t="s">
        <v>2186</v>
      </c>
      <c r="B820" s="10">
        <v>45690</v>
      </c>
      <c r="C820" s="10">
        <v>45694</v>
      </c>
      <c r="D820">
        <f t="shared" si="120"/>
        <v>4</v>
      </c>
      <c r="E820" t="str">
        <f t="shared" si="121"/>
        <v>OK</v>
      </c>
      <c r="F820" t="s">
        <v>2187</v>
      </c>
      <c r="G820" t="s">
        <v>22</v>
      </c>
      <c r="H820" t="s">
        <v>36</v>
      </c>
      <c r="I820" t="s">
        <v>62</v>
      </c>
      <c r="J820" t="s">
        <v>25</v>
      </c>
      <c r="K820" t="s">
        <v>108</v>
      </c>
      <c r="L820" t="s">
        <v>40</v>
      </c>
      <c r="M820" t="s">
        <v>41</v>
      </c>
      <c r="N820" t="s">
        <v>2188</v>
      </c>
      <c r="O820" t="s">
        <v>30</v>
      </c>
      <c r="P820">
        <v>3</v>
      </c>
      <c r="Q820">
        <v>997.34</v>
      </c>
      <c r="R820">
        <v>0.1</v>
      </c>
      <c r="S820" t="str">
        <f t="shared" si="122"/>
        <v>OK</v>
      </c>
      <c r="T820">
        <v>2692.82</v>
      </c>
      <c r="U820">
        <v>1820.08</v>
      </c>
      <c r="V820">
        <v>872.74</v>
      </c>
      <c r="W820" t="s">
        <v>31</v>
      </c>
      <c r="X820" t="s">
        <v>32</v>
      </c>
      <c r="Y820" t="str">
        <f>IF(COUNTIF($A$2:$A$901,A820)&gt;1,
  IF(COUNTIF($A$2:A820,A820)=1,
    " ORIGINAL",
    "CONFLICTING DUPLICATE - REVIEW"),
"OK")</f>
        <v>OK</v>
      </c>
      <c r="Z820">
        <f t="shared" si="123"/>
        <v>0.1</v>
      </c>
      <c r="AA820">
        <f t="shared" si="124"/>
        <v>2692.82</v>
      </c>
      <c r="AB820">
        <f t="shared" si="125"/>
        <v>872.74</v>
      </c>
      <c r="AC820">
        <f t="shared" si="126"/>
        <v>0.3241</v>
      </c>
      <c r="AD820">
        <f t="shared" si="127"/>
        <v>2</v>
      </c>
      <c r="AE820">
        <f t="shared" si="128"/>
        <v>2025</v>
      </c>
      <c r="AF820" t="str">
        <f t="shared" si="129"/>
        <v>CLEAN</v>
      </c>
    </row>
    <row r="821" spans="1:32">
      <c r="A821" t="s">
        <v>2201</v>
      </c>
      <c r="B821" s="10">
        <v>45832</v>
      </c>
      <c r="C821" s="10">
        <v>45834</v>
      </c>
      <c r="D821">
        <f t="shared" si="120"/>
        <v>2</v>
      </c>
      <c r="E821" t="str">
        <f t="shared" si="121"/>
        <v>OK</v>
      </c>
      <c r="F821" t="s">
        <v>2202</v>
      </c>
      <c r="G821" t="s">
        <v>70</v>
      </c>
      <c r="H821" t="s">
        <v>23</v>
      </c>
      <c r="I821" t="s">
        <v>24</v>
      </c>
      <c r="J821" t="s">
        <v>25</v>
      </c>
      <c r="K821" t="s">
        <v>26</v>
      </c>
      <c r="L821" t="s">
        <v>73</v>
      </c>
      <c r="M821" t="s">
        <v>74</v>
      </c>
      <c r="N821" t="s">
        <v>2203</v>
      </c>
      <c r="O821" t="s">
        <v>43</v>
      </c>
      <c r="P821">
        <v>5</v>
      </c>
      <c r="Q821">
        <v>3722.66</v>
      </c>
      <c r="R821">
        <v>0.55000000000000004</v>
      </c>
      <c r="S821" t="str">
        <f t="shared" si="122"/>
        <v>OK</v>
      </c>
      <c r="T821">
        <v>16751.97</v>
      </c>
      <c r="U821">
        <v>11678.32</v>
      </c>
      <c r="V821">
        <v>5073.6499999999996</v>
      </c>
      <c r="W821" t="s">
        <v>31</v>
      </c>
      <c r="X821" t="s">
        <v>32</v>
      </c>
      <c r="Y821" t="str">
        <f>IF(COUNTIF($A$2:$A$901,A821)&gt;1,
  IF(COUNTIF($A$2:A821,A821)=1,
    " ORIGINAL",
    "CONFLICTING DUPLICATE - REVIEW"),
"OK")</f>
        <v>OK</v>
      </c>
      <c r="Z821">
        <f t="shared" si="123"/>
        <v>0.55000000000000004</v>
      </c>
      <c r="AA821">
        <f t="shared" si="124"/>
        <v>8375.99</v>
      </c>
      <c r="AB821">
        <f t="shared" si="125"/>
        <v>-3302.33</v>
      </c>
      <c r="AC821">
        <f t="shared" si="126"/>
        <v>-0.39429999999999998</v>
      </c>
      <c r="AD821">
        <f t="shared" si="127"/>
        <v>6</v>
      </c>
      <c r="AE821">
        <f t="shared" si="128"/>
        <v>2025</v>
      </c>
      <c r="AF821" t="str">
        <f t="shared" si="129"/>
        <v>CLEAN</v>
      </c>
    </row>
    <row r="822" spans="1:32">
      <c r="A822" t="s">
        <v>2204</v>
      </c>
      <c r="B822" s="10">
        <v>45736</v>
      </c>
      <c r="C822" s="10">
        <v>45742</v>
      </c>
      <c r="D822">
        <f t="shared" si="120"/>
        <v>6</v>
      </c>
      <c r="E822" t="str">
        <f t="shared" si="121"/>
        <v>OK</v>
      </c>
      <c r="F822" t="s">
        <v>2205</v>
      </c>
      <c r="G822" t="s">
        <v>131</v>
      </c>
      <c r="H822" t="s">
        <v>23</v>
      </c>
      <c r="I822" t="s">
        <v>37</v>
      </c>
      <c r="J822" t="s">
        <v>165</v>
      </c>
      <c r="K822" t="s">
        <v>166</v>
      </c>
      <c r="L822" t="s">
        <v>40</v>
      </c>
      <c r="M822" t="s">
        <v>157</v>
      </c>
      <c r="N822" t="s">
        <v>2206</v>
      </c>
      <c r="O822" t="s">
        <v>49</v>
      </c>
      <c r="P822">
        <v>4</v>
      </c>
      <c r="Q822">
        <v>4357.66</v>
      </c>
      <c r="R822">
        <v>0.05</v>
      </c>
      <c r="S822" t="str">
        <f t="shared" si="122"/>
        <v>OK</v>
      </c>
      <c r="T822">
        <v>16559.11</v>
      </c>
      <c r="U822">
        <v>13233.79</v>
      </c>
      <c r="V822">
        <v>3325.32</v>
      </c>
      <c r="W822" t="s">
        <v>31</v>
      </c>
      <c r="X822" t="s">
        <v>32</v>
      </c>
      <c r="Y822" t="str">
        <f>IF(COUNTIF($A$2:$A$901,A822)&gt;1,
  IF(COUNTIF($A$2:A822,A822)=1,
    " ORIGINAL",
    "CONFLICTING DUPLICATE - REVIEW"),
"OK")</f>
        <v>OK</v>
      </c>
      <c r="Z822">
        <f t="shared" si="123"/>
        <v>0.05</v>
      </c>
      <c r="AA822">
        <f t="shared" si="124"/>
        <v>16559.11</v>
      </c>
      <c r="AB822">
        <f t="shared" si="125"/>
        <v>3325.32</v>
      </c>
      <c r="AC822">
        <f t="shared" si="126"/>
        <v>0.20080000000000001</v>
      </c>
      <c r="AD822">
        <f t="shared" si="127"/>
        <v>3</v>
      </c>
      <c r="AE822">
        <f t="shared" si="128"/>
        <v>2025</v>
      </c>
      <c r="AF822" t="str">
        <f t="shared" si="129"/>
        <v>CLEAN</v>
      </c>
    </row>
    <row r="823" spans="1:32">
      <c r="A823" t="s">
        <v>2207</v>
      </c>
      <c r="B823" s="10">
        <v>45676</v>
      </c>
      <c r="C823" s="10">
        <v>45680</v>
      </c>
      <c r="D823">
        <f t="shared" si="120"/>
        <v>4</v>
      </c>
      <c r="E823" t="str">
        <f t="shared" si="121"/>
        <v>OK</v>
      </c>
      <c r="F823" t="s">
        <v>2208</v>
      </c>
      <c r="G823" t="s">
        <v>263</v>
      </c>
      <c r="H823" t="s">
        <v>94</v>
      </c>
      <c r="I823" t="s">
        <v>24</v>
      </c>
      <c r="J823" t="s">
        <v>121</v>
      </c>
      <c r="K823" t="s">
        <v>122</v>
      </c>
      <c r="L823" t="s">
        <v>73</v>
      </c>
      <c r="M823" t="s">
        <v>170</v>
      </c>
      <c r="N823" t="s">
        <v>2209</v>
      </c>
      <c r="O823" t="s">
        <v>43</v>
      </c>
      <c r="P823">
        <v>7</v>
      </c>
      <c r="Q823">
        <v>1363.04</v>
      </c>
      <c r="R823">
        <v>0.15</v>
      </c>
      <c r="S823" t="str">
        <f t="shared" si="122"/>
        <v>OK</v>
      </c>
      <c r="T823">
        <v>8110.09</v>
      </c>
      <c r="U823">
        <v>6417.32</v>
      </c>
      <c r="V823">
        <v>1692.77</v>
      </c>
      <c r="W823" t="s">
        <v>31</v>
      </c>
      <c r="X823" t="s">
        <v>67</v>
      </c>
      <c r="Y823" t="str">
        <f>IF(COUNTIF($A$2:$A$901,A823)&gt;1,
  IF(COUNTIF($A$2:A823,A823)=1,
    " ORIGINAL",
    "CONFLICTING DUPLICATE - REVIEW"),
"OK")</f>
        <v>OK</v>
      </c>
      <c r="Z823">
        <f t="shared" si="123"/>
        <v>0.15</v>
      </c>
      <c r="AA823">
        <f t="shared" si="124"/>
        <v>8110.09</v>
      </c>
      <c r="AB823">
        <f t="shared" si="125"/>
        <v>1692.77</v>
      </c>
      <c r="AC823">
        <f t="shared" si="126"/>
        <v>0.2087</v>
      </c>
      <c r="AD823">
        <f t="shared" si="127"/>
        <v>1</v>
      </c>
      <c r="AE823">
        <f t="shared" si="128"/>
        <v>2025</v>
      </c>
      <c r="AF823" t="str">
        <f t="shared" si="129"/>
        <v>CLEAN</v>
      </c>
    </row>
    <row r="824" spans="1:32">
      <c r="A824" t="s">
        <v>2213</v>
      </c>
      <c r="B824" s="10">
        <v>45690</v>
      </c>
      <c r="C824" s="10">
        <v>45690</v>
      </c>
      <c r="D824">
        <f t="shared" si="120"/>
        <v>0</v>
      </c>
      <c r="E824" t="str">
        <f t="shared" si="121"/>
        <v>OK</v>
      </c>
      <c r="F824" t="s">
        <v>2214</v>
      </c>
      <c r="G824" t="s">
        <v>263</v>
      </c>
      <c r="H824" t="s">
        <v>89</v>
      </c>
      <c r="I824" t="s">
        <v>37</v>
      </c>
      <c r="J824" t="s">
        <v>98</v>
      </c>
      <c r="K824" t="s">
        <v>99</v>
      </c>
      <c r="L824" t="s">
        <v>73</v>
      </c>
      <c r="M824" t="s">
        <v>273</v>
      </c>
      <c r="N824" t="s">
        <v>2215</v>
      </c>
      <c r="O824" t="s">
        <v>49</v>
      </c>
      <c r="P824">
        <v>1</v>
      </c>
      <c r="Q824">
        <v>4326.75</v>
      </c>
      <c r="R824">
        <v>0.05</v>
      </c>
      <c r="S824" t="str">
        <f t="shared" si="122"/>
        <v>OK</v>
      </c>
      <c r="T824">
        <v>4110.41</v>
      </c>
      <c r="U824">
        <v>2394.14</v>
      </c>
      <c r="V824">
        <v>1716.27</v>
      </c>
      <c r="W824" t="s">
        <v>110</v>
      </c>
      <c r="X824" t="s">
        <v>102</v>
      </c>
      <c r="Y824" t="str">
        <f>IF(COUNTIF($A$2:$A$901,A824)&gt;1,
  IF(COUNTIF($A$2:A824,A824)=1,
    " ORIGINAL",
    "CONFLICTING DUPLICATE - REVIEW"),
"OK")</f>
        <v>OK</v>
      </c>
      <c r="Z824">
        <f t="shared" si="123"/>
        <v>0.05</v>
      </c>
      <c r="AA824">
        <f t="shared" si="124"/>
        <v>4110.41</v>
      </c>
      <c r="AB824">
        <f t="shared" si="125"/>
        <v>1716.27</v>
      </c>
      <c r="AC824">
        <f t="shared" si="126"/>
        <v>0.41749999999999998</v>
      </c>
      <c r="AD824">
        <f t="shared" si="127"/>
        <v>2</v>
      </c>
      <c r="AE824">
        <f t="shared" si="128"/>
        <v>2025</v>
      </c>
      <c r="AF824" t="str">
        <f t="shared" si="129"/>
        <v>CLEAN</v>
      </c>
    </row>
    <row r="825" spans="1:32">
      <c r="A825" t="s">
        <v>2219</v>
      </c>
      <c r="B825" s="10">
        <v>45814</v>
      </c>
      <c r="C825" s="10">
        <v>45818</v>
      </c>
      <c r="D825">
        <f t="shared" si="120"/>
        <v>4</v>
      </c>
      <c r="E825" t="str">
        <f t="shared" si="121"/>
        <v>OK</v>
      </c>
      <c r="F825" t="s">
        <v>598</v>
      </c>
      <c r="G825" t="s">
        <v>35</v>
      </c>
      <c r="H825" t="s">
        <v>23</v>
      </c>
      <c r="I825" t="s">
        <v>62</v>
      </c>
      <c r="J825" t="s">
        <v>25</v>
      </c>
      <c r="K825" t="s">
        <v>108</v>
      </c>
      <c r="L825" t="s">
        <v>73</v>
      </c>
      <c r="M825" t="s">
        <v>273</v>
      </c>
      <c r="N825" t="s">
        <v>2220</v>
      </c>
      <c r="O825" t="s">
        <v>30</v>
      </c>
      <c r="P825">
        <v>1</v>
      </c>
      <c r="Q825">
        <v>289.97000000000003</v>
      </c>
      <c r="R825">
        <v>0.25</v>
      </c>
      <c r="S825" t="str">
        <f t="shared" si="122"/>
        <v>OK</v>
      </c>
      <c r="T825">
        <v>217.48</v>
      </c>
      <c r="U825">
        <v>132.13</v>
      </c>
      <c r="V825">
        <v>85.35</v>
      </c>
      <c r="W825" t="s">
        <v>31</v>
      </c>
      <c r="X825" t="s">
        <v>32</v>
      </c>
      <c r="Y825" t="str">
        <f>IF(COUNTIF($A$2:$A$901,A825)&gt;1,
  IF(COUNTIF($A$2:A825,A825)=1,
    " ORIGINAL",
    "CONFLICTING DUPLICATE - REVIEW"),
"OK")</f>
        <v>OK</v>
      </c>
      <c r="Z825">
        <f t="shared" si="123"/>
        <v>0.25</v>
      </c>
      <c r="AA825">
        <f t="shared" si="124"/>
        <v>217.48</v>
      </c>
      <c r="AB825">
        <f t="shared" si="125"/>
        <v>85.35</v>
      </c>
      <c r="AC825">
        <f t="shared" si="126"/>
        <v>0.39240000000000003</v>
      </c>
      <c r="AD825">
        <f t="shared" si="127"/>
        <v>6</v>
      </c>
      <c r="AE825">
        <f t="shared" si="128"/>
        <v>2025</v>
      </c>
      <c r="AF825" t="str">
        <f t="shared" si="129"/>
        <v>CLEAN</v>
      </c>
    </row>
    <row r="826" spans="1:32">
      <c r="A826" t="s">
        <v>2221</v>
      </c>
      <c r="B826" s="10">
        <v>45738</v>
      </c>
      <c r="C826" s="10">
        <v>45739</v>
      </c>
      <c r="D826">
        <f t="shared" si="120"/>
        <v>1</v>
      </c>
      <c r="E826" t="str">
        <f t="shared" si="121"/>
        <v>OK</v>
      </c>
      <c r="F826" t="s">
        <v>2222</v>
      </c>
      <c r="G826" t="s">
        <v>22</v>
      </c>
      <c r="H826" t="s">
        <v>94</v>
      </c>
      <c r="I826" t="s">
        <v>24</v>
      </c>
      <c r="J826" t="s">
        <v>349</v>
      </c>
      <c r="K826" t="s">
        <v>350</v>
      </c>
      <c r="L826" t="s">
        <v>73</v>
      </c>
      <c r="M826" t="s">
        <v>79</v>
      </c>
      <c r="N826" t="s">
        <v>2223</v>
      </c>
      <c r="O826" t="s">
        <v>58</v>
      </c>
      <c r="P826">
        <v>9</v>
      </c>
      <c r="Q826">
        <v>2075.02</v>
      </c>
      <c r="R826">
        <v>0</v>
      </c>
      <c r="S826" t="str">
        <f t="shared" si="122"/>
        <v>OK</v>
      </c>
      <c r="T826">
        <v>18675.18</v>
      </c>
      <c r="U826">
        <v>13974.7</v>
      </c>
      <c r="V826">
        <v>4700.4799999999996</v>
      </c>
      <c r="W826" t="s">
        <v>31</v>
      </c>
      <c r="X826" t="s">
        <v>32</v>
      </c>
      <c r="Y826" t="str">
        <f>IF(COUNTIF($A$2:$A$901,A826)&gt;1,
  IF(COUNTIF($A$2:A826,A826)=1,
    " ORIGINAL",
    "CONFLICTING DUPLICATE - REVIEW"),
"OK")</f>
        <v>OK</v>
      </c>
      <c r="Z826">
        <f t="shared" si="123"/>
        <v>0</v>
      </c>
      <c r="AA826">
        <f t="shared" si="124"/>
        <v>18675.18</v>
      </c>
      <c r="AB826">
        <f t="shared" si="125"/>
        <v>4700.4799999999996</v>
      </c>
      <c r="AC826">
        <f t="shared" si="126"/>
        <v>0.25169999999999998</v>
      </c>
      <c r="AD826">
        <f t="shared" si="127"/>
        <v>3</v>
      </c>
      <c r="AE826">
        <f t="shared" si="128"/>
        <v>2025</v>
      </c>
      <c r="AF826" t="str">
        <f t="shared" si="129"/>
        <v>CLEAN</v>
      </c>
    </row>
    <row r="827" spans="1:32">
      <c r="A827" t="s">
        <v>2224</v>
      </c>
      <c r="B827" s="10">
        <v>45891</v>
      </c>
      <c r="C827" s="10">
        <v>45896</v>
      </c>
      <c r="D827">
        <f t="shared" si="120"/>
        <v>5</v>
      </c>
      <c r="E827" t="str">
        <f t="shared" si="121"/>
        <v>OK</v>
      </c>
      <c r="F827" t="s">
        <v>2225</v>
      </c>
      <c r="G827" t="s">
        <v>113</v>
      </c>
      <c r="H827" t="s">
        <v>23</v>
      </c>
      <c r="I827" t="s">
        <v>24</v>
      </c>
      <c r="J827" t="s">
        <v>235</v>
      </c>
      <c r="K827" t="s">
        <v>236</v>
      </c>
      <c r="L827" t="s">
        <v>40</v>
      </c>
      <c r="M827" t="s">
        <v>65</v>
      </c>
      <c r="N827" t="s">
        <v>2226</v>
      </c>
      <c r="O827" t="s">
        <v>30</v>
      </c>
      <c r="P827">
        <v>7</v>
      </c>
      <c r="Q827">
        <v>2843.09</v>
      </c>
      <c r="R827">
        <v>0</v>
      </c>
      <c r="S827" t="str">
        <f t="shared" si="122"/>
        <v>OK</v>
      </c>
      <c r="T827">
        <v>19901.63</v>
      </c>
      <c r="U827">
        <v>15492.03</v>
      </c>
      <c r="V827">
        <v>4409.6000000000004</v>
      </c>
      <c r="W827" t="s">
        <v>101</v>
      </c>
      <c r="X827" t="s">
        <v>67</v>
      </c>
      <c r="Y827" t="str">
        <f>IF(COUNTIF($A$2:$A$901,A827)&gt;1,
  IF(COUNTIF($A$2:A827,A827)=1,
    " ORIGINAL",
    "CONFLICTING DUPLICATE - REVIEW"),
"OK")</f>
        <v>OK</v>
      </c>
      <c r="Z827">
        <f t="shared" si="123"/>
        <v>0</v>
      </c>
      <c r="AA827">
        <f t="shared" si="124"/>
        <v>19901.63</v>
      </c>
      <c r="AB827">
        <f t="shared" si="125"/>
        <v>4409.6000000000004</v>
      </c>
      <c r="AC827">
        <f t="shared" si="126"/>
        <v>0.22159999999999999</v>
      </c>
      <c r="AD827">
        <f t="shared" si="127"/>
        <v>8</v>
      </c>
      <c r="AE827">
        <f t="shared" si="128"/>
        <v>2025</v>
      </c>
      <c r="AF827" t="str">
        <f t="shared" si="129"/>
        <v>CLEAN</v>
      </c>
    </row>
    <row r="828" spans="1:32">
      <c r="A828" t="s">
        <v>2227</v>
      </c>
      <c r="B828" s="10">
        <v>45895</v>
      </c>
      <c r="C828" s="10">
        <v>45900</v>
      </c>
      <c r="D828">
        <f t="shared" si="120"/>
        <v>5</v>
      </c>
      <c r="E828" t="str">
        <f t="shared" si="121"/>
        <v>OK</v>
      </c>
      <c r="F828" t="s">
        <v>2228</v>
      </c>
      <c r="G828" t="s">
        <v>161</v>
      </c>
      <c r="H828" t="s">
        <v>36</v>
      </c>
      <c r="I828" t="s">
        <v>24</v>
      </c>
      <c r="J828" t="s">
        <v>235</v>
      </c>
      <c r="K828" t="s">
        <v>236</v>
      </c>
      <c r="L828" t="s">
        <v>73</v>
      </c>
      <c r="M828" t="s">
        <v>170</v>
      </c>
      <c r="N828" t="s">
        <v>2229</v>
      </c>
      <c r="O828" t="s">
        <v>49</v>
      </c>
      <c r="P828">
        <v>1</v>
      </c>
      <c r="Q828">
        <v>3388.02</v>
      </c>
      <c r="R828">
        <v>0.15</v>
      </c>
      <c r="S828" t="str">
        <f t="shared" si="122"/>
        <v>OK</v>
      </c>
      <c r="T828">
        <v>2879.82</v>
      </c>
      <c r="U828">
        <v>1824.88</v>
      </c>
      <c r="V828">
        <v>1054.94</v>
      </c>
      <c r="W828" t="s">
        <v>31</v>
      </c>
      <c r="X828" t="s">
        <v>32</v>
      </c>
      <c r="Y828" t="str">
        <f>IF(COUNTIF($A$2:$A$901,A828)&gt;1,
  IF(COUNTIF($A$2:A828,A828)=1,
    " ORIGINAL",
    "CONFLICTING DUPLICATE - REVIEW"),
"OK")</f>
        <v>OK</v>
      </c>
      <c r="Z828">
        <f t="shared" si="123"/>
        <v>0.15</v>
      </c>
      <c r="AA828">
        <f t="shared" si="124"/>
        <v>2879.82</v>
      </c>
      <c r="AB828">
        <f t="shared" si="125"/>
        <v>1054.94</v>
      </c>
      <c r="AC828">
        <f t="shared" si="126"/>
        <v>0.36630000000000001</v>
      </c>
      <c r="AD828">
        <f t="shared" si="127"/>
        <v>8</v>
      </c>
      <c r="AE828">
        <f t="shared" si="128"/>
        <v>2025</v>
      </c>
      <c r="AF828" t="str">
        <f t="shared" si="129"/>
        <v>CLEAN</v>
      </c>
    </row>
    <row r="829" spans="1:32">
      <c r="A829" t="s">
        <v>2230</v>
      </c>
      <c r="B829" s="10">
        <v>46001</v>
      </c>
      <c r="C829" s="10">
        <v>45945</v>
      </c>
      <c r="D829">
        <f t="shared" si="120"/>
        <v>-56</v>
      </c>
      <c r="E829" t="str">
        <f t="shared" si="121"/>
        <v>INVALID</v>
      </c>
      <c r="F829" t="s">
        <v>2231</v>
      </c>
      <c r="G829" t="s">
        <v>263</v>
      </c>
      <c r="H829" t="s">
        <v>36</v>
      </c>
      <c r="I829" t="s">
        <v>24</v>
      </c>
      <c r="J829" t="s">
        <v>235</v>
      </c>
      <c r="K829" t="s">
        <v>236</v>
      </c>
      <c r="L829" t="s">
        <v>73</v>
      </c>
      <c r="M829" t="s">
        <v>273</v>
      </c>
      <c r="N829" t="s">
        <v>2232</v>
      </c>
      <c r="O829" t="s">
        <v>58</v>
      </c>
      <c r="P829">
        <v>9</v>
      </c>
      <c r="Q829">
        <v>2598.92</v>
      </c>
      <c r="R829">
        <v>0.2</v>
      </c>
      <c r="S829" t="str">
        <f t="shared" si="122"/>
        <v>OK</v>
      </c>
      <c r="T829">
        <v>18712.22</v>
      </c>
      <c r="U829">
        <v>11852.22</v>
      </c>
      <c r="V829">
        <v>6860</v>
      </c>
      <c r="W829" t="s">
        <v>110</v>
      </c>
      <c r="X829" t="s">
        <v>67</v>
      </c>
      <c r="Y829" t="str">
        <f>IF(COUNTIF($A$2:$A$901,A829)&gt;1,
  IF(COUNTIF($A$2:A829,A829)=1,
    " ORIGINAL",
    "CONFLICTING DUPLICATE - REVIEW"),
"OK")</f>
        <v>OK</v>
      </c>
      <c r="Z829">
        <f t="shared" si="123"/>
        <v>0.2</v>
      </c>
      <c r="AA829">
        <f t="shared" si="124"/>
        <v>18712.22</v>
      </c>
      <c r="AB829">
        <f t="shared" si="125"/>
        <v>6860</v>
      </c>
      <c r="AC829">
        <f t="shared" si="126"/>
        <v>0.36659999999999998</v>
      </c>
      <c r="AD829">
        <f t="shared" si="127"/>
        <v>12</v>
      </c>
      <c r="AE829">
        <f t="shared" si="128"/>
        <v>2025</v>
      </c>
      <c r="AF829" t="str">
        <f t="shared" si="129"/>
        <v>INVALID</v>
      </c>
    </row>
    <row r="830" spans="1:32">
      <c r="A830" t="s">
        <v>2236</v>
      </c>
      <c r="B830" s="10">
        <v>45908</v>
      </c>
      <c r="C830" s="10">
        <v>45909</v>
      </c>
      <c r="D830">
        <f t="shared" si="120"/>
        <v>1</v>
      </c>
      <c r="E830" t="str">
        <f t="shared" si="121"/>
        <v>OK</v>
      </c>
      <c r="F830" t="s">
        <v>143</v>
      </c>
      <c r="G830" t="s">
        <v>263</v>
      </c>
      <c r="H830" t="s">
        <v>89</v>
      </c>
      <c r="I830" t="s">
        <v>62</v>
      </c>
      <c r="J830" t="s">
        <v>179</v>
      </c>
      <c r="K830" t="s">
        <v>180</v>
      </c>
      <c r="L830" t="s">
        <v>27</v>
      </c>
      <c r="M830" t="s">
        <v>47</v>
      </c>
      <c r="N830" t="s">
        <v>2237</v>
      </c>
      <c r="O830" t="s">
        <v>43</v>
      </c>
      <c r="P830">
        <v>2</v>
      </c>
      <c r="Q830">
        <v>2372.41</v>
      </c>
      <c r="R830">
        <v>0.2</v>
      </c>
      <c r="S830" t="str">
        <f t="shared" si="122"/>
        <v>OK</v>
      </c>
      <c r="T830">
        <v>3795.86</v>
      </c>
      <c r="U830">
        <v>2264.92</v>
      </c>
      <c r="V830">
        <v>1530.94</v>
      </c>
      <c r="W830" t="s">
        <v>31</v>
      </c>
      <c r="X830" t="s">
        <v>32</v>
      </c>
      <c r="Y830" t="str">
        <f>IF(COUNTIF($A$2:$A$901,A830)&gt;1,
  IF(COUNTIF($A$2:A830,A830)=1,
    " ORIGINAL",
    "CONFLICTING DUPLICATE - REVIEW"),
"OK")</f>
        <v>OK</v>
      </c>
      <c r="Z830">
        <f t="shared" si="123"/>
        <v>0.2</v>
      </c>
      <c r="AA830">
        <f t="shared" si="124"/>
        <v>3795.86</v>
      </c>
      <c r="AB830">
        <f t="shared" si="125"/>
        <v>1530.94</v>
      </c>
      <c r="AC830">
        <f t="shared" si="126"/>
        <v>0.40329999999999999</v>
      </c>
      <c r="AD830">
        <f t="shared" si="127"/>
        <v>9</v>
      </c>
      <c r="AE830">
        <f t="shared" si="128"/>
        <v>2025</v>
      </c>
      <c r="AF830" t="str">
        <f t="shared" si="129"/>
        <v>CLEAN</v>
      </c>
    </row>
    <row r="831" spans="1:32">
      <c r="A831" t="s">
        <v>2241</v>
      </c>
      <c r="B831" s="10">
        <v>45827</v>
      </c>
      <c r="C831" s="10">
        <v>45831</v>
      </c>
      <c r="D831">
        <f t="shared" si="120"/>
        <v>4</v>
      </c>
      <c r="E831" t="str">
        <f t="shared" si="121"/>
        <v>OK</v>
      </c>
      <c r="F831" t="s">
        <v>2242</v>
      </c>
      <c r="G831" t="s">
        <v>131</v>
      </c>
      <c r="H831" t="s">
        <v>23</v>
      </c>
      <c r="I831" t="s">
        <v>53</v>
      </c>
      <c r="J831" t="s">
        <v>174</v>
      </c>
      <c r="K831" t="s">
        <v>175</v>
      </c>
      <c r="L831" t="s">
        <v>73</v>
      </c>
      <c r="M831" t="s">
        <v>79</v>
      </c>
      <c r="N831" t="s">
        <v>2243</v>
      </c>
      <c r="O831" t="s">
        <v>49</v>
      </c>
      <c r="P831">
        <v>5</v>
      </c>
      <c r="Q831">
        <v>2729.95</v>
      </c>
      <c r="R831">
        <v>0</v>
      </c>
      <c r="S831" t="str">
        <f t="shared" si="122"/>
        <v>OK</v>
      </c>
      <c r="T831">
        <v>13649.75</v>
      </c>
      <c r="U831">
        <v>10288.030000000001</v>
      </c>
      <c r="V831">
        <v>3361.72</v>
      </c>
      <c r="W831" t="s">
        <v>31</v>
      </c>
      <c r="X831" t="s">
        <v>32</v>
      </c>
      <c r="Y831" t="str">
        <f>IF(COUNTIF($A$2:$A$901,A831)&gt;1,
  IF(COUNTIF($A$2:A831,A831)=1,
    " ORIGINAL",
    "CONFLICTING DUPLICATE - REVIEW"),
"OK")</f>
        <v>OK</v>
      </c>
      <c r="Z831">
        <f t="shared" si="123"/>
        <v>0</v>
      </c>
      <c r="AA831">
        <f t="shared" si="124"/>
        <v>13649.75</v>
      </c>
      <c r="AB831">
        <f t="shared" si="125"/>
        <v>3361.72</v>
      </c>
      <c r="AC831">
        <f t="shared" si="126"/>
        <v>0.24629999999999999</v>
      </c>
      <c r="AD831">
        <f t="shared" si="127"/>
        <v>6</v>
      </c>
      <c r="AE831">
        <f t="shared" si="128"/>
        <v>2025</v>
      </c>
      <c r="AF831" t="str">
        <f t="shared" si="129"/>
        <v>CLEAN</v>
      </c>
    </row>
    <row r="832" spans="1:32">
      <c r="A832" t="s">
        <v>2247</v>
      </c>
      <c r="B832" s="10">
        <v>45936</v>
      </c>
      <c r="C832" s="10">
        <v>45943</v>
      </c>
      <c r="D832">
        <f t="shared" si="120"/>
        <v>7</v>
      </c>
      <c r="E832" t="str">
        <f t="shared" si="121"/>
        <v>OK</v>
      </c>
      <c r="F832" t="s">
        <v>2248</v>
      </c>
      <c r="G832" t="s">
        <v>263</v>
      </c>
      <c r="H832" t="s">
        <v>94</v>
      </c>
      <c r="I832" t="s">
        <v>37</v>
      </c>
      <c r="J832" t="s">
        <v>227</v>
      </c>
      <c r="K832" t="s">
        <v>228</v>
      </c>
      <c r="L832" t="s">
        <v>73</v>
      </c>
      <c r="M832" t="s">
        <v>74</v>
      </c>
      <c r="N832" t="s">
        <v>2249</v>
      </c>
      <c r="O832" t="s">
        <v>58</v>
      </c>
      <c r="P832">
        <v>6</v>
      </c>
      <c r="Q832">
        <v>2391.9299999999998</v>
      </c>
      <c r="R832">
        <v>0.05</v>
      </c>
      <c r="S832" t="str">
        <f t="shared" si="122"/>
        <v>OK</v>
      </c>
      <c r="T832">
        <v>13634</v>
      </c>
      <c r="U832">
        <v>9589.81</v>
      </c>
      <c r="V832">
        <v>4044.19</v>
      </c>
      <c r="W832" t="s">
        <v>154</v>
      </c>
      <c r="X832" t="s">
        <v>102</v>
      </c>
      <c r="Y832" t="str">
        <f>IF(COUNTIF($A$2:$A$901,A832)&gt;1,
  IF(COUNTIF($A$2:A832,A832)=1,
    " ORIGINAL",
    "CONFLICTING DUPLICATE - REVIEW"),
"OK")</f>
        <v>OK</v>
      </c>
      <c r="Z832">
        <f t="shared" si="123"/>
        <v>0.05</v>
      </c>
      <c r="AA832">
        <f t="shared" si="124"/>
        <v>13634</v>
      </c>
      <c r="AB832">
        <f t="shared" si="125"/>
        <v>4044.19</v>
      </c>
      <c r="AC832">
        <f t="shared" si="126"/>
        <v>0.29659999999999997</v>
      </c>
      <c r="AD832">
        <f t="shared" si="127"/>
        <v>10</v>
      </c>
      <c r="AE832">
        <f t="shared" si="128"/>
        <v>2025</v>
      </c>
      <c r="AF832" t="str">
        <f t="shared" si="129"/>
        <v>INVALID</v>
      </c>
    </row>
    <row r="833" spans="1:32">
      <c r="A833" t="s">
        <v>2253</v>
      </c>
      <c r="B833" s="10">
        <v>45935</v>
      </c>
      <c r="C833" s="10">
        <v>45942</v>
      </c>
      <c r="D833">
        <f t="shared" si="120"/>
        <v>7</v>
      </c>
      <c r="E833" t="str">
        <f t="shared" si="121"/>
        <v>OK</v>
      </c>
      <c r="F833" t="s">
        <v>2254</v>
      </c>
      <c r="G833" t="s">
        <v>113</v>
      </c>
      <c r="H833" t="s">
        <v>89</v>
      </c>
      <c r="I833" t="s">
        <v>53</v>
      </c>
      <c r="J833" t="s">
        <v>174</v>
      </c>
      <c r="K833" t="s">
        <v>175</v>
      </c>
      <c r="L833" t="s">
        <v>40</v>
      </c>
      <c r="M833" t="s">
        <v>41</v>
      </c>
      <c r="N833" t="s">
        <v>2255</v>
      </c>
      <c r="O833" t="s">
        <v>30</v>
      </c>
      <c r="P833">
        <v>7</v>
      </c>
      <c r="Q833">
        <v>2134.73</v>
      </c>
      <c r="R833">
        <v>0</v>
      </c>
      <c r="S833" t="str">
        <f t="shared" si="122"/>
        <v>OK</v>
      </c>
      <c r="T833">
        <v>14943.11</v>
      </c>
      <c r="U833">
        <v>8521.5</v>
      </c>
      <c r="V833">
        <v>6421.61</v>
      </c>
      <c r="W833" t="s">
        <v>31</v>
      </c>
      <c r="X833" t="s">
        <v>32</v>
      </c>
      <c r="Y833" t="str">
        <f>IF(COUNTIF($A$2:$A$901,A833)&gt;1,
  IF(COUNTIF($A$2:A833,A833)=1,
    " ORIGINAL",
    "CONFLICTING DUPLICATE - REVIEW"),
"OK")</f>
        <v>OK</v>
      </c>
      <c r="Z833">
        <f t="shared" si="123"/>
        <v>0</v>
      </c>
      <c r="AA833">
        <f t="shared" si="124"/>
        <v>14943.11</v>
      </c>
      <c r="AB833">
        <f t="shared" si="125"/>
        <v>6421.61</v>
      </c>
      <c r="AC833">
        <f t="shared" si="126"/>
        <v>0.42970000000000003</v>
      </c>
      <c r="AD833">
        <f t="shared" si="127"/>
        <v>10</v>
      </c>
      <c r="AE833">
        <f t="shared" si="128"/>
        <v>2025</v>
      </c>
      <c r="AF833" t="str">
        <f t="shared" si="129"/>
        <v>CLEAN</v>
      </c>
    </row>
    <row r="834" spans="1:32">
      <c r="A834" t="s">
        <v>2265</v>
      </c>
      <c r="B834" s="10">
        <v>45794</v>
      </c>
      <c r="C834" s="10">
        <v>45802</v>
      </c>
      <c r="D834">
        <f t="shared" ref="D834:D897" si="130">C834-B834</f>
        <v>8</v>
      </c>
      <c r="E834" t="str">
        <f t="shared" ref="E834:E897" si="131">IF(D834&lt;0,"INVALID","OK")</f>
        <v>OK</v>
      </c>
      <c r="F834" t="s">
        <v>2266</v>
      </c>
      <c r="G834" t="s">
        <v>61</v>
      </c>
      <c r="H834" t="s">
        <v>89</v>
      </c>
      <c r="I834" t="s">
        <v>53</v>
      </c>
      <c r="J834" t="s">
        <v>246</v>
      </c>
      <c r="K834" t="s">
        <v>247</v>
      </c>
      <c r="L834" t="s">
        <v>73</v>
      </c>
      <c r="M834" t="s">
        <v>273</v>
      </c>
      <c r="N834" t="s">
        <v>2267</v>
      </c>
      <c r="O834" t="s">
        <v>43</v>
      </c>
      <c r="P834">
        <v>6</v>
      </c>
      <c r="Q834">
        <v>1810.63</v>
      </c>
      <c r="R834">
        <v>0.15</v>
      </c>
      <c r="S834" t="str">
        <f t="shared" si="122"/>
        <v>OK</v>
      </c>
      <c r="T834">
        <v>9234.2099999999991</v>
      </c>
      <c r="U834">
        <v>5516.52</v>
      </c>
      <c r="V834">
        <v>3717.69</v>
      </c>
      <c r="W834" t="s">
        <v>31</v>
      </c>
      <c r="X834" t="s">
        <v>32</v>
      </c>
      <c r="Y834" t="str">
        <f>IF(COUNTIF($A$2:$A$901,A834)&gt;1,
  IF(COUNTIF($A$2:A834,A834)=1,
    " ORIGINAL",
    "CONFLICTING DUPLICATE - REVIEW"),
"OK")</f>
        <v>OK</v>
      </c>
      <c r="Z834">
        <f t="shared" si="123"/>
        <v>0.15</v>
      </c>
      <c r="AA834">
        <f t="shared" si="124"/>
        <v>9234.2099999999991</v>
      </c>
      <c r="AB834">
        <f t="shared" si="125"/>
        <v>3717.69</v>
      </c>
      <c r="AC834">
        <f t="shared" si="126"/>
        <v>0.40260000000000001</v>
      </c>
      <c r="AD834">
        <f t="shared" si="127"/>
        <v>5</v>
      </c>
      <c r="AE834">
        <f t="shared" si="128"/>
        <v>2025</v>
      </c>
      <c r="AF834" t="str">
        <f t="shared" si="129"/>
        <v>CLEAN</v>
      </c>
    </row>
    <row r="835" spans="1:32">
      <c r="A835" t="s">
        <v>2268</v>
      </c>
      <c r="B835" s="10">
        <v>45827</v>
      </c>
      <c r="C835" s="10">
        <v>45832</v>
      </c>
      <c r="D835">
        <f t="shared" si="130"/>
        <v>5</v>
      </c>
      <c r="E835" t="str">
        <f t="shared" si="131"/>
        <v>OK</v>
      </c>
      <c r="F835" t="s">
        <v>2269</v>
      </c>
      <c r="G835" t="s">
        <v>52</v>
      </c>
      <c r="H835" t="s">
        <v>23</v>
      </c>
      <c r="I835" t="s">
        <v>37</v>
      </c>
      <c r="J835" t="s">
        <v>98</v>
      </c>
      <c r="K835" t="s">
        <v>99</v>
      </c>
      <c r="L835" t="s">
        <v>27</v>
      </c>
      <c r="M835" t="s">
        <v>47</v>
      </c>
      <c r="N835" t="s">
        <v>2270</v>
      </c>
      <c r="O835" t="s">
        <v>30</v>
      </c>
      <c r="P835">
        <v>4</v>
      </c>
      <c r="Q835">
        <v>782.01</v>
      </c>
      <c r="R835">
        <v>0.15</v>
      </c>
      <c r="S835" t="str">
        <f t="shared" ref="S835:S898" si="132">IF(R835&lt;0,"INVALID-NEGATIVE",IF(R835&gt;1,"INVALID-ABOVE","OK"))</f>
        <v>OK</v>
      </c>
      <c r="T835">
        <v>2658.83</v>
      </c>
      <c r="U835">
        <v>2226.9699999999998</v>
      </c>
      <c r="V835">
        <v>431.86</v>
      </c>
      <c r="W835" t="s">
        <v>101</v>
      </c>
      <c r="X835" t="s">
        <v>102</v>
      </c>
      <c r="Y835" t="str">
        <f>IF(COUNTIF($A$2:$A$901,A835)&gt;1,
  IF(COUNTIF($A$2:A835,A835)=1,
    " ORIGINAL",
    "CONFLICTING DUPLICATE - REVIEW"),
"OK")</f>
        <v>OK</v>
      </c>
      <c r="Z835">
        <f t="shared" ref="Z835:Z898" si="133">IF(R835&lt;0, 0,
  IF(ISNUMBER(R835), R835,
    IFERROR(VALUE(SUBSTITUTE(R835,"%",""))/100, 0)))</f>
        <v>0.15</v>
      </c>
      <c r="AA835">
        <f t="shared" ref="AA835:AA898" si="134">ROUND(P835*Q835*(1-Z835),2)</f>
        <v>2658.83</v>
      </c>
      <c r="AB835">
        <f t="shared" ref="AB835:AB898" si="135">ROUND(AA835-U835,2)</f>
        <v>431.86</v>
      </c>
      <c r="AC835">
        <f t="shared" ref="AC835:AC898" si="136">IFERROR(ROUND(AB835/AA835,4),0)</f>
        <v>0.16239999999999999</v>
      </c>
      <c r="AD835">
        <f t="shared" ref="AD835:AD898" si="137">IFERROR(MONTH(B835),"INVALID")</f>
        <v>6</v>
      </c>
      <c r="AE835">
        <f t="shared" ref="AE835:AE898" si="138">IFERROR(YEAR(B835),"INVALID")</f>
        <v>2025</v>
      </c>
      <c r="AF835" t="str">
        <f t="shared" ref="AF835:AF898" si="139">IF(OR(R835&lt;0,NOT(ISNUMBER(R835)),D835&lt;0,W835="Failed"),"INVALID",IF(OR(I835="Unknown",O835="Unknown",R835&gt;1,AA835&lt;0),"WARNING","CLEAN"))</f>
        <v>CLEAN</v>
      </c>
    </row>
    <row r="836" spans="1:32">
      <c r="A836" t="s">
        <v>2292</v>
      </c>
      <c r="B836" s="10">
        <v>45708</v>
      </c>
      <c r="C836" s="10">
        <v>45710</v>
      </c>
      <c r="D836">
        <f t="shared" si="130"/>
        <v>2</v>
      </c>
      <c r="E836" t="str">
        <f t="shared" si="131"/>
        <v>OK</v>
      </c>
      <c r="F836" t="s">
        <v>2293</v>
      </c>
      <c r="G836" t="s">
        <v>113</v>
      </c>
      <c r="H836" t="s">
        <v>89</v>
      </c>
      <c r="I836" t="s">
        <v>53</v>
      </c>
      <c r="J836" t="s">
        <v>184</v>
      </c>
      <c r="K836" t="s">
        <v>185</v>
      </c>
      <c r="L836" t="s">
        <v>27</v>
      </c>
      <c r="M836" t="s">
        <v>28</v>
      </c>
      <c r="N836" t="s">
        <v>2294</v>
      </c>
      <c r="O836" t="s">
        <v>49</v>
      </c>
      <c r="P836">
        <v>1</v>
      </c>
      <c r="Q836">
        <v>2188.19</v>
      </c>
      <c r="R836">
        <v>0</v>
      </c>
      <c r="S836" t="str">
        <f t="shared" si="132"/>
        <v>OK</v>
      </c>
      <c r="T836">
        <v>2188.19</v>
      </c>
      <c r="U836">
        <v>1298.8399999999999</v>
      </c>
      <c r="V836">
        <v>889.35</v>
      </c>
      <c r="W836" t="s">
        <v>31</v>
      </c>
      <c r="X836" t="s">
        <v>32</v>
      </c>
      <c r="Y836" t="str">
        <f>IF(COUNTIF($A$2:$A$901,A836)&gt;1,
  IF(COUNTIF($A$2:A836,A836)=1,
    " ORIGINAL",
    "CONFLICTING DUPLICATE - REVIEW"),
"OK")</f>
        <v>OK</v>
      </c>
      <c r="Z836">
        <f t="shared" si="133"/>
        <v>0</v>
      </c>
      <c r="AA836">
        <f t="shared" si="134"/>
        <v>2188.19</v>
      </c>
      <c r="AB836">
        <f t="shared" si="135"/>
        <v>889.35</v>
      </c>
      <c r="AC836">
        <f t="shared" si="136"/>
        <v>0.40639999999999998</v>
      </c>
      <c r="AD836">
        <f t="shared" si="137"/>
        <v>2</v>
      </c>
      <c r="AE836">
        <f t="shared" si="138"/>
        <v>2025</v>
      </c>
      <c r="AF836" t="str">
        <f t="shared" si="139"/>
        <v>CLEAN</v>
      </c>
    </row>
    <row r="837" spans="1:32">
      <c r="A837" t="s">
        <v>2300</v>
      </c>
      <c r="B837" s="10">
        <v>45770</v>
      </c>
      <c r="C837" s="10">
        <v>45772</v>
      </c>
      <c r="D837">
        <f t="shared" si="130"/>
        <v>2</v>
      </c>
      <c r="E837" t="str">
        <f t="shared" si="131"/>
        <v>OK</v>
      </c>
      <c r="F837" t="s">
        <v>2301</v>
      </c>
      <c r="G837" t="s">
        <v>46</v>
      </c>
      <c r="H837" t="s">
        <v>94</v>
      </c>
      <c r="I837" t="s">
        <v>53</v>
      </c>
      <c r="J837" t="s">
        <v>246</v>
      </c>
      <c r="K837" t="s">
        <v>247</v>
      </c>
      <c r="L837" t="s">
        <v>40</v>
      </c>
      <c r="M837" t="s">
        <v>65</v>
      </c>
      <c r="N837" t="s">
        <v>2302</v>
      </c>
      <c r="O837" t="s">
        <v>30</v>
      </c>
      <c r="P837">
        <v>3</v>
      </c>
      <c r="Q837">
        <v>2951.12</v>
      </c>
      <c r="R837">
        <v>0</v>
      </c>
      <c r="S837" t="str">
        <f t="shared" si="132"/>
        <v>OK</v>
      </c>
      <c r="T837">
        <v>7082.69</v>
      </c>
      <c r="U837">
        <v>5596.34</v>
      </c>
      <c r="V837">
        <v>1486.35</v>
      </c>
      <c r="W837" t="s">
        <v>31</v>
      </c>
      <c r="X837" t="s">
        <v>67</v>
      </c>
      <c r="Y837" t="str">
        <f>IF(COUNTIF($A$2:$A$901,A837)&gt;1,
  IF(COUNTIF($A$2:A837,A837)=1,
    " ORIGINAL",
    "CONFLICTING DUPLICATE - REVIEW"),
"OK")</f>
        <v>OK</v>
      </c>
      <c r="Z837">
        <f t="shared" si="133"/>
        <v>0</v>
      </c>
      <c r="AA837">
        <f t="shared" si="134"/>
        <v>8853.36</v>
      </c>
      <c r="AB837">
        <f t="shared" si="135"/>
        <v>3257.02</v>
      </c>
      <c r="AC837">
        <f t="shared" si="136"/>
        <v>0.3679</v>
      </c>
      <c r="AD837">
        <f t="shared" si="137"/>
        <v>4</v>
      </c>
      <c r="AE837">
        <f t="shared" si="138"/>
        <v>2025</v>
      </c>
      <c r="AF837" t="str">
        <f t="shared" si="139"/>
        <v>CLEAN</v>
      </c>
    </row>
    <row r="838" spans="1:32">
      <c r="A838" t="s">
        <v>2306</v>
      </c>
      <c r="B838" s="10">
        <v>45700</v>
      </c>
      <c r="C838" s="10">
        <v>45702</v>
      </c>
      <c r="D838">
        <f t="shared" si="130"/>
        <v>2</v>
      </c>
      <c r="E838" t="str">
        <f t="shared" si="131"/>
        <v>OK</v>
      </c>
      <c r="F838" t="s">
        <v>2307</v>
      </c>
      <c r="G838" t="s">
        <v>131</v>
      </c>
      <c r="H838" t="s">
        <v>23</v>
      </c>
      <c r="I838" t="s">
        <v>24</v>
      </c>
      <c r="J838" t="s">
        <v>135</v>
      </c>
      <c r="K838" t="s">
        <v>136</v>
      </c>
      <c r="L838" t="s">
        <v>27</v>
      </c>
      <c r="M838" t="s">
        <v>47</v>
      </c>
      <c r="N838" t="s">
        <v>2308</v>
      </c>
      <c r="O838" t="s">
        <v>58</v>
      </c>
      <c r="P838">
        <v>6</v>
      </c>
      <c r="Q838">
        <v>491.4</v>
      </c>
      <c r="R838">
        <v>0.25</v>
      </c>
      <c r="S838" t="str">
        <f t="shared" si="132"/>
        <v>OK</v>
      </c>
      <c r="T838">
        <v>2211.3000000000002</v>
      </c>
      <c r="U838">
        <v>1735.64</v>
      </c>
      <c r="V838">
        <v>475.66</v>
      </c>
      <c r="W838" t="s">
        <v>31</v>
      </c>
      <c r="X838" t="s">
        <v>32</v>
      </c>
      <c r="Y838" t="str">
        <f>IF(COUNTIF($A$2:$A$901,A838)&gt;1,
  IF(COUNTIF($A$2:A838,A838)=1,
    " ORIGINAL",
    "CONFLICTING DUPLICATE - REVIEW"),
"OK")</f>
        <v>OK</v>
      </c>
      <c r="Z838">
        <f t="shared" si="133"/>
        <v>0.25</v>
      </c>
      <c r="AA838">
        <f t="shared" si="134"/>
        <v>2211.3000000000002</v>
      </c>
      <c r="AB838">
        <f t="shared" si="135"/>
        <v>475.66</v>
      </c>
      <c r="AC838">
        <f t="shared" si="136"/>
        <v>0.21510000000000001</v>
      </c>
      <c r="AD838">
        <f t="shared" si="137"/>
        <v>2</v>
      </c>
      <c r="AE838">
        <f t="shared" si="138"/>
        <v>2025</v>
      </c>
      <c r="AF838" t="str">
        <f t="shared" si="139"/>
        <v>CLEAN</v>
      </c>
    </row>
    <row r="839" spans="1:32">
      <c r="A839" t="s">
        <v>2309</v>
      </c>
      <c r="B839" s="10">
        <v>45886</v>
      </c>
      <c r="C839" s="10">
        <v>45889</v>
      </c>
      <c r="D839">
        <f t="shared" si="130"/>
        <v>3</v>
      </c>
      <c r="E839" t="str">
        <f t="shared" si="131"/>
        <v>OK</v>
      </c>
      <c r="F839" t="s">
        <v>2310</v>
      </c>
      <c r="G839" t="s">
        <v>35</v>
      </c>
      <c r="H839" t="s">
        <v>94</v>
      </c>
      <c r="I839" t="s">
        <v>24</v>
      </c>
      <c r="J839" t="s">
        <v>121</v>
      </c>
      <c r="K839" t="s">
        <v>122</v>
      </c>
      <c r="L839" t="s">
        <v>27</v>
      </c>
      <c r="M839" t="s">
        <v>152</v>
      </c>
      <c r="N839" t="s">
        <v>2311</v>
      </c>
      <c r="O839" t="s">
        <v>49</v>
      </c>
      <c r="P839">
        <v>5</v>
      </c>
      <c r="Q839">
        <v>2701.89</v>
      </c>
      <c r="R839">
        <v>0.1</v>
      </c>
      <c r="S839" t="str">
        <f t="shared" si="132"/>
        <v>OK</v>
      </c>
      <c r="T839">
        <v>12158.5</v>
      </c>
      <c r="U839">
        <v>10260.07</v>
      </c>
      <c r="V839">
        <v>1898.43</v>
      </c>
      <c r="W839" t="s">
        <v>31</v>
      </c>
      <c r="X839" t="s">
        <v>67</v>
      </c>
      <c r="Y839" t="str">
        <f>IF(COUNTIF($A$2:$A$901,A839)&gt;1,
  IF(COUNTIF($A$2:A839,A839)=1,
    " ORIGINAL",
    "CONFLICTING DUPLICATE - REVIEW"),
"OK")</f>
        <v>OK</v>
      </c>
      <c r="Z839">
        <f t="shared" si="133"/>
        <v>0.1</v>
      </c>
      <c r="AA839">
        <f t="shared" si="134"/>
        <v>12158.51</v>
      </c>
      <c r="AB839">
        <f t="shared" si="135"/>
        <v>1898.44</v>
      </c>
      <c r="AC839">
        <f t="shared" si="136"/>
        <v>0.15609999999999999</v>
      </c>
      <c r="AD839">
        <f t="shared" si="137"/>
        <v>8</v>
      </c>
      <c r="AE839">
        <f t="shared" si="138"/>
        <v>2025</v>
      </c>
      <c r="AF839" t="str">
        <f t="shared" si="139"/>
        <v>CLEAN</v>
      </c>
    </row>
    <row r="840" spans="1:32">
      <c r="A840" t="s">
        <v>2315</v>
      </c>
      <c r="B840" s="10">
        <v>45661</v>
      </c>
      <c r="C840" s="10">
        <v>45931</v>
      </c>
      <c r="D840">
        <f t="shared" si="130"/>
        <v>270</v>
      </c>
      <c r="E840" t="str">
        <f t="shared" si="131"/>
        <v>OK</v>
      </c>
      <c r="F840" t="s">
        <v>2024</v>
      </c>
      <c r="G840" t="s">
        <v>127</v>
      </c>
      <c r="H840" t="s">
        <v>94</v>
      </c>
      <c r="I840" t="s">
        <v>37</v>
      </c>
      <c r="J840" t="s">
        <v>98</v>
      </c>
      <c r="K840" t="s">
        <v>99</v>
      </c>
      <c r="L840" t="s">
        <v>27</v>
      </c>
      <c r="M840" t="s">
        <v>28</v>
      </c>
      <c r="N840" t="s">
        <v>2316</v>
      </c>
      <c r="O840" t="s">
        <v>58</v>
      </c>
      <c r="P840">
        <v>4</v>
      </c>
      <c r="Q840">
        <v>2583.19</v>
      </c>
      <c r="R840">
        <v>0.2</v>
      </c>
      <c r="S840" t="str">
        <f t="shared" si="132"/>
        <v>OK</v>
      </c>
      <c r="T840">
        <v>8266.2099999999991</v>
      </c>
      <c r="U840">
        <v>6236.32</v>
      </c>
      <c r="V840">
        <v>2029.89</v>
      </c>
      <c r="W840" t="s">
        <v>31</v>
      </c>
      <c r="X840" t="s">
        <v>32</v>
      </c>
      <c r="Y840" t="str">
        <f>IF(COUNTIF($A$2:$A$901,A840)&gt;1,
  IF(COUNTIF($A$2:A840,A840)=1,
    " ORIGINAL",
    "CONFLICTING DUPLICATE - REVIEW"),
"OK")</f>
        <v>OK</v>
      </c>
      <c r="Z840">
        <f t="shared" si="133"/>
        <v>0.2</v>
      </c>
      <c r="AA840">
        <f t="shared" si="134"/>
        <v>8266.2099999999991</v>
      </c>
      <c r="AB840">
        <f t="shared" si="135"/>
        <v>2029.89</v>
      </c>
      <c r="AC840">
        <f t="shared" si="136"/>
        <v>0.24560000000000001</v>
      </c>
      <c r="AD840">
        <f t="shared" si="137"/>
        <v>1</v>
      </c>
      <c r="AE840">
        <f t="shared" si="138"/>
        <v>2025</v>
      </c>
      <c r="AF840" t="str">
        <f t="shared" si="139"/>
        <v>CLEAN</v>
      </c>
    </row>
    <row r="841" spans="1:32">
      <c r="A841" t="s">
        <v>2326</v>
      </c>
      <c r="B841" s="10">
        <v>45810</v>
      </c>
      <c r="C841" s="10">
        <v>45810</v>
      </c>
      <c r="D841">
        <f t="shared" si="130"/>
        <v>0</v>
      </c>
      <c r="E841" t="str">
        <f t="shared" si="131"/>
        <v>OK</v>
      </c>
      <c r="F841" t="s">
        <v>2327</v>
      </c>
      <c r="G841" t="s">
        <v>127</v>
      </c>
      <c r="H841" t="s">
        <v>94</v>
      </c>
      <c r="I841" t="s">
        <v>53</v>
      </c>
      <c r="J841" t="s">
        <v>54</v>
      </c>
      <c r="K841" t="s">
        <v>55</v>
      </c>
      <c r="L841" t="s">
        <v>73</v>
      </c>
      <c r="M841" t="s">
        <v>74</v>
      </c>
      <c r="N841" t="s">
        <v>2328</v>
      </c>
      <c r="O841" t="s">
        <v>49</v>
      </c>
      <c r="P841">
        <v>8</v>
      </c>
      <c r="Q841">
        <v>3925.93</v>
      </c>
      <c r="R841">
        <v>0.15</v>
      </c>
      <c r="S841" t="str">
        <f t="shared" si="132"/>
        <v>OK</v>
      </c>
      <c r="T841">
        <v>26696.32</v>
      </c>
      <c r="U841">
        <v>22724.52</v>
      </c>
      <c r="V841">
        <v>3971.8</v>
      </c>
      <c r="W841" t="s">
        <v>31</v>
      </c>
      <c r="X841" t="s">
        <v>32</v>
      </c>
      <c r="Y841" t="str">
        <f>IF(COUNTIF($A$2:$A$901,A841)&gt;1,
  IF(COUNTIF($A$2:A841,A841)=1,
    " ORIGINAL",
    "CONFLICTING DUPLICATE - REVIEW"),
"OK")</f>
        <v>OK</v>
      </c>
      <c r="Z841">
        <f t="shared" si="133"/>
        <v>0.15</v>
      </c>
      <c r="AA841">
        <f t="shared" si="134"/>
        <v>26696.32</v>
      </c>
      <c r="AB841">
        <f t="shared" si="135"/>
        <v>3971.8</v>
      </c>
      <c r="AC841">
        <f t="shared" si="136"/>
        <v>0.14879999999999999</v>
      </c>
      <c r="AD841">
        <f t="shared" si="137"/>
        <v>6</v>
      </c>
      <c r="AE841">
        <f t="shared" si="138"/>
        <v>2025</v>
      </c>
      <c r="AF841" t="str">
        <f t="shared" si="139"/>
        <v>CLEAN</v>
      </c>
    </row>
    <row r="842" spans="1:32">
      <c r="A842" t="s">
        <v>2329</v>
      </c>
      <c r="B842" s="10">
        <v>45856</v>
      </c>
      <c r="C842" s="10">
        <v>45857</v>
      </c>
      <c r="D842">
        <f t="shared" si="130"/>
        <v>1</v>
      </c>
      <c r="E842" t="str">
        <f t="shared" si="131"/>
        <v>OK</v>
      </c>
      <c r="F842" t="s">
        <v>2330</v>
      </c>
      <c r="G842" t="s">
        <v>113</v>
      </c>
      <c r="H842" t="s">
        <v>94</v>
      </c>
      <c r="I842" t="s">
        <v>2762</v>
      </c>
      <c r="J842" t="s">
        <v>135</v>
      </c>
      <c r="K842" t="s">
        <v>136</v>
      </c>
      <c r="L842" t="s">
        <v>73</v>
      </c>
      <c r="M842" t="s">
        <v>273</v>
      </c>
      <c r="N842" t="s">
        <v>2331</v>
      </c>
      <c r="O842" t="s">
        <v>2762</v>
      </c>
      <c r="P842">
        <v>3</v>
      </c>
      <c r="Q842">
        <v>2963.25</v>
      </c>
      <c r="R842">
        <v>0.05</v>
      </c>
      <c r="S842" t="str">
        <f t="shared" si="132"/>
        <v>OK</v>
      </c>
      <c r="T842">
        <v>8445.26</v>
      </c>
      <c r="U842">
        <v>6937.6</v>
      </c>
      <c r="V842">
        <v>1507.66</v>
      </c>
      <c r="W842" t="s">
        <v>31</v>
      </c>
      <c r="X842" t="s">
        <v>32</v>
      </c>
      <c r="Y842" t="str">
        <f>IF(COUNTIF($A$2:$A$901,A842)&gt;1,
  IF(COUNTIF($A$2:A842,A842)=1,
    " ORIGINAL",
    "CONFLICTING DUPLICATE - REVIEW"),
"OK")</f>
        <v>OK</v>
      </c>
      <c r="Z842">
        <f t="shared" si="133"/>
        <v>0.05</v>
      </c>
      <c r="AA842">
        <f t="shared" si="134"/>
        <v>8445.26</v>
      </c>
      <c r="AB842">
        <f t="shared" si="135"/>
        <v>1507.66</v>
      </c>
      <c r="AC842">
        <f t="shared" si="136"/>
        <v>0.17849999999999999</v>
      </c>
      <c r="AD842">
        <f t="shared" si="137"/>
        <v>7</v>
      </c>
      <c r="AE842">
        <f t="shared" si="138"/>
        <v>2025</v>
      </c>
      <c r="AF842" t="str">
        <f t="shared" si="139"/>
        <v>WARNING</v>
      </c>
    </row>
    <row r="843" spans="1:32">
      <c r="A843" t="s">
        <v>2338</v>
      </c>
      <c r="B843" s="10">
        <v>45812</v>
      </c>
      <c r="C843" s="10">
        <v>45812</v>
      </c>
      <c r="D843">
        <f t="shared" si="130"/>
        <v>0</v>
      </c>
      <c r="E843" t="str">
        <f t="shared" si="131"/>
        <v>OK</v>
      </c>
      <c r="F843" t="s">
        <v>2339</v>
      </c>
      <c r="G843" t="s">
        <v>78</v>
      </c>
      <c r="H843" t="s">
        <v>89</v>
      </c>
      <c r="I843" t="s">
        <v>53</v>
      </c>
      <c r="J843" t="s">
        <v>184</v>
      </c>
      <c r="K843" t="s">
        <v>185</v>
      </c>
      <c r="L843" t="s">
        <v>27</v>
      </c>
      <c r="M843" t="s">
        <v>123</v>
      </c>
      <c r="N843" t="s">
        <v>2340</v>
      </c>
      <c r="O843" t="s">
        <v>58</v>
      </c>
      <c r="P843">
        <v>4</v>
      </c>
      <c r="Q843">
        <v>891.34</v>
      </c>
      <c r="R843">
        <v>0.25</v>
      </c>
      <c r="S843" t="str">
        <f t="shared" si="132"/>
        <v>OK</v>
      </c>
      <c r="T843">
        <v>2674.02</v>
      </c>
      <c r="U843">
        <v>2207.5700000000002</v>
      </c>
      <c r="V843">
        <v>466.45</v>
      </c>
      <c r="W843" t="s">
        <v>31</v>
      </c>
      <c r="X843" t="s">
        <v>32</v>
      </c>
      <c r="Y843" t="str">
        <f>IF(COUNTIF($A$2:$A$901,A843)&gt;1,
  IF(COUNTIF($A$2:A843,A843)=1,
    " ORIGINAL",
    "CONFLICTING DUPLICATE - REVIEW"),
"OK")</f>
        <v>OK</v>
      </c>
      <c r="Z843">
        <f t="shared" si="133"/>
        <v>0.25</v>
      </c>
      <c r="AA843">
        <f t="shared" si="134"/>
        <v>2674.02</v>
      </c>
      <c r="AB843">
        <f t="shared" si="135"/>
        <v>466.45</v>
      </c>
      <c r="AC843">
        <f t="shared" si="136"/>
        <v>0.1744</v>
      </c>
      <c r="AD843">
        <f t="shared" si="137"/>
        <v>6</v>
      </c>
      <c r="AE843">
        <f t="shared" si="138"/>
        <v>2025</v>
      </c>
      <c r="AF843" t="str">
        <f t="shared" si="139"/>
        <v>CLEAN</v>
      </c>
    </row>
    <row r="844" spans="1:32">
      <c r="A844" t="s">
        <v>2341</v>
      </c>
      <c r="B844" s="10">
        <v>45858</v>
      </c>
      <c r="C844" s="10">
        <v>45862</v>
      </c>
      <c r="D844">
        <f t="shared" si="130"/>
        <v>4</v>
      </c>
      <c r="E844" t="str">
        <f t="shared" si="131"/>
        <v>OK</v>
      </c>
      <c r="F844" t="s">
        <v>2342</v>
      </c>
      <c r="G844" t="s">
        <v>113</v>
      </c>
      <c r="H844" t="s">
        <v>94</v>
      </c>
      <c r="I844" t="s">
        <v>62</v>
      </c>
      <c r="J844" t="s">
        <v>71</v>
      </c>
      <c r="K844" t="s">
        <v>72</v>
      </c>
      <c r="L844" t="s">
        <v>27</v>
      </c>
      <c r="M844" t="s">
        <v>123</v>
      </c>
      <c r="N844" t="s">
        <v>2343</v>
      </c>
      <c r="O844" t="s">
        <v>30</v>
      </c>
      <c r="P844">
        <v>5</v>
      </c>
      <c r="Q844">
        <v>2481.7399999999998</v>
      </c>
      <c r="R844">
        <v>0.2</v>
      </c>
      <c r="S844" t="str">
        <f t="shared" si="132"/>
        <v>OK</v>
      </c>
      <c r="T844">
        <v>9926.9599999999991</v>
      </c>
      <c r="U844">
        <v>7994.98</v>
      </c>
      <c r="V844">
        <v>1931.98</v>
      </c>
      <c r="W844" t="s">
        <v>31</v>
      </c>
      <c r="X844" t="s">
        <v>32</v>
      </c>
      <c r="Y844" t="str">
        <f>IF(COUNTIF($A$2:$A$901,A844)&gt;1,
  IF(COUNTIF($A$2:A844,A844)=1,
    " ORIGINAL",
    "CONFLICTING DUPLICATE - REVIEW"),
"OK")</f>
        <v>OK</v>
      </c>
      <c r="Z844">
        <f t="shared" si="133"/>
        <v>0.2</v>
      </c>
      <c r="AA844">
        <f t="shared" si="134"/>
        <v>9926.9599999999991</v>
      </c>
      <c r="AB844">
        <f t="shared" si="135"/>
        <v>1931.98</v>
      </c>
      <c r="AC844">
        <f t="shared" si="136"/>
        <v>0.1946</v>
      </c>
      <c r="AD844">
        <f t="shared" si="137"/>
        <v>7</v>
      </c>
      <c r="AE844">
        <f t="shared" si="138"/>
        <v>2025</v>
      </c>
      <c r="AF844" t="str">
        <f t="shared" si="139"/>
        <v>CLEAN</v>
      </c>
    </row>
    <row r="845" spans="1:32">
      <c r="A845" t="s">
        <v>2347</v>
      </c>
      <c r="B845" s="10">
        <v>45870</v>
      </c>
      <c r="C845" s="10">
        <v>45872</v>
      </c>
      <c r="D845">
        <f t="shared" si="130"/>
        <v>2</v>
      </c>
      <c r="E845" t="str">
        <f t="shared" si="131"/>
        <v>OK</v>
      </c>
      <c r="F845" t="s">
        <v>2348</v>
      </c>
      <c r="G845" t="s">
        <v>88</v>
      </c>
      <c r="H845" t="s">
        <v>36</v>
      </c>
      <c r="I845" t="s">
        <v>53</v>
      </c>
      <c r="J845" t="s">
        <v>184</v>
      </c>
      <c r="K845" t="s">
        <v>185</v>
      </c>
      <c r="L845" t="s">
        <v>40</v>
      </c>
      <c r="M845" t="s">
        <v>157</v>
      </c>
      <c r="N845" t="s">
        <v>2349</v>
      </c>
      <c r="O845" t="s">
        <v>58</v>
      </c>
      <c r="P845">
        <v>3</v>
      </c>
      <c r="Q845">
        <v>1904.78</v>
      </c>
      <c r="R845">
        <v>0.25</v>
      </c>
      <c r="S845" t="str">
        <f t="shared" si="132"/>
        <v>OK</v>
      </c>
      <c r="T845">
        <v>4285.76</v>
      </c>
      <c r="U845">
        <v>2386.33</v>
      </c>
      <c r="V845">
        <v>1899.43</v>
      </c>
      <c r="W845" t="s">
        <v>154</v>
      </c>
      <c r="X845" t="s">
        <v>67</v>
      </c>
      <c r="Y845" t="str">
        <f>IF(COUNTIF($A$2:$A$901,A845)&gt;1,
  IF(COUNTIF($A$2:A845,A845)=1,
    " ORIGINAL",
    "CONFLICTING DUPLICATE - REVIEW"),
"OK")</f>
        <v>OK</v>
      </c>
      <c r="Z845">
        <f t="shared" si="133"/>
        <v>0.25</v>
      </c>
      <c r="AA845">
        <f t="shared" si="134"/>
        <v>4285.76</v>
      </c>
      <c r="AB845">
        <f t="shared" si="135"/>
        <v>1899.43</v>
      </c>
      <c r="AC845">
        <f t="shared" si="136"/>
        <v>0.44319999999999998</v>
      </c>
      <c r="AD845">
        <f t="shared" si="137"/>
        <v>8</v>
      </c>
      <c r="AE845">
        <f t="shared" si="138"/>
        <v>2025</v>
      </c>
      <c r="AF845" t="str">
        <f t="shared" si="139"/>
        <v>INVALID</v>
      </c>
    </row>
    <row r="846" spans="1:32">
      <c r="A846" t="s">
        <v>2359</v>
      </c>
      <c r="B846" s="10">
        <v>45896</v>
      </c>
      <c r="C846" s="10">
        <v>45900</v>
      </c>
      <c r="D846">
        <f t="shared" si="130"/>
        <v>4</v>
      </c>
      <c r="E846" t="str">
        <f t="shared" si="131"/>
        <v>OK</v>
      </c>
      <c r="F846" t="s">
        <v>2360</v>
      </c>
      <c r="G846" t="s">
        <v>46</v>
      </c>
      <c r="H846" t="s">
        <v>23</v>
      </c>
      <c r="I846" t="s">
        <v>53</v>
      </c>
      <c r="J846" t="s">
        <v>174</v>
      </c>
      <c r="K846" t="s">
        <v>175</v>
      </c>
      <c r="L846" t="s">
        <v>73</v>
      </c>
      <c r="M846" t="s">
        <v>273</v>
      </c>
      <c r="N846" t="s">
        <v>2361</v>
      </c>
      <c r="O846" t="s">
        <v>49</v>
      </c>
      <c r="P846">
        <v>3</v>
      </c>
      <c r="Q846">
        <v>2489.12</v>
      </c>
      <c r="R846">
        <v>0</v>
      </c>
      <c r="S846" t="str">
        <f t="shared" si="132"/>
        <v>OK</v>
      </c>
      <c r="T846">
        <v>7467.36</v>
      </c>
      <c r="U846">
        <v>5010.6099999999997</v>
      </c>
      <c r="V846">
        <v>2456.75</v>
      </c>
      <c r="W846" t="s">
        <v>31</v>
      </c>
      <c r="X846" t="s">
        <v>32</v>
      </c>
      <c r="Y846" t="str">
        <f>IF(COUNTIF($A$2:$A$901,A846)&gt;1,
  IF(COUNTIF($A$2:A846,A846)=1,
    " ORIGINAL",
    "CONFLICTING DUPLICATE - REVIEW"),
"OK")</f>
        <v>OK</v>
      </c>
      <c r="Z846">
        <f t="shared" si="133"/>
        <v>0</v>
      </c>
      <c r="AA846">
        <f t="shared" si="134"/>
        <v>7467.36</v>
      </c>
      <c r="AB846">
        <f t="shared" si="135"/>
        <v>2456.75</v>
      </c>
      <c r="AC846">
        <f t="shared" si="136"/>
        <v>0.32900000000000001</v>
      </c>
      <c r="AD846">
        <f t="shared" si="137"/>
        <v>8</v>
      </c>
      <c r="AE846">
        <f t="shared" si="138"/>
        <v>2025</v>
      </c>
      <c r="AF846" t="str">
        <f t="shared" si="139"/>
        <v>CLEAN</v>
      </c>
    </row>
    <row r="847" spans="1:32">
      <c r="A847" t="s">
        <v>2365</v>
      </c>
      <c r="B847" s="10">
        <v>45892</v>
      </c>
      <c r="C847" s="10">
        <v>45894</v>
      </c>
      <c r="D847">
        <f t="shared" si="130"/>
        <v>2</v>
      </c>
      <c r="E847" t="str">
        <f t="shared" si="131"/>
        <v>OK</v>
      </c>
      <c r="F847" t="s">
        <v>2366</v>
      </c>
      <c r="G847" t="s">
        <v>161</v>
      </c>
      <c r="H847" t="s">
        <v>23</v>
      </c>
      <c r="I847" t="s">
        <v>24</v>
      </c>
      <c r="J847" t="s">
        <v>25</v>
      </c>
      <c r="K847" t="s">
        <v>26</v>
      </c>
      <c r="L847" t="s">
        <v>40</v>
      </c>
      <c r="M847" t="s">
        <v>56</v>
      </c>
      <c r="N847" t="s">
        <v>2367</v>
      </c>
      <c r="O847" t="s">
        <v>43</v>
      </c>
      <c r="P847">
        <v>6</v>
      </c>
      <c r="Q847">
        <v>2742.48</v>
      </c>
      <c r="R847">
        <v>0</v>
      </c>
      <c r="S847" t="str">
        <f t="shared" si="132"/>
        <v>OK</v>
      </c>
      <c r="T847">
        <v>16454.88</v>
      </c>
      <c r="U847">
        <v>12081.54</v>
      </c>
      <c r="V847">
        <v>4373.34</v>
      </c>
      <c r="W847" t="s">
        <v>31</v>
      </c>
      <c r="X847" t="s">
        <v>32</v>
      </c>
      <c r="Y847" t="str">
        <f>IF(COUNTIF($A$2:$A$901,A847)&gt;1,
  IF(COUNTIF($A$2:A847,A847)=1,
    " ORIGINAL",
    "CONFLICTING DUPLICATE - REVIEW"),
"OK")</f>
        <v>OK</v>
      </c>
      <c r="Z847">
        <f t="shared" si="133"/>
        <v>0</v>
      </c>
      <c r="AA847">
        <f t="shared" si="134"/>
        <v>16454.88</v>
      </c>
      <c r="AB847">
        <f t="shared" si="135"/>
        <v>4373.34</v>
      </c>
      <c r="AC847">
        <f t="shared" si="136"/>
        <v>0.26579999999999998</v>
      </c>
      <c r="AD847">
        <f t="shared" si="137"/>
        <v>8</v>
      </c>
      <c r="AE847">
        <f t="shared" si="138"/>
        <v>2025</v>
      </c>
      <c r="AF847" t="str">
        <f t="shared" si="139"/>
        <v>CLEAN</v>
      </c>
    </row>
    <row r="848" spans="1:32">
      <c r="A848" t="s">
        <v>2368</v>
      </c>
      <c r="B848" s="10">
        <v>45760</v>
      </c>
      <c r="C848" s="10">
        <v>45760</v>
      </c>
      <c r="D848">
        <f t="shared" si="130"/>
        <v>0</v>
      </c>
      <c r="E848" t="str">
        <f t="shared" si="131"/>
        <v>OK</v>
      </c>
      <c r="F848" t="s">
        <v>885</v>
      </c>
      <c r="G848" t="s">
        <v>113</v>
      </c>
      <c r="H848" t="s">
        <v>89</v>
      </c>
      <c r="I848" t="s">
        <v>53</v>
      </c>
      <c r="J848" t="s">
        <v>184</v>
      </c>
      <c r="K848" t="s">
        <v>185</v>
      </c>
      <c r="L848" t="s">
        <v>40</v>
      </c>
      <c r="M848" t="s">
        <v>157</v>
      </c>
      <c r="N848" t="s">
        <v>2369</v>
      </c>
      <c r="O848" t="s">
        <v>49</v>
      </c>
      <c r="P848">
        <v>6</v>
      </c>
      <c r="Q848">
        <v>4414</v>
      </c>
      <c r="R848">
        <v>0.05</v>
      </c>
      <c r="S848" t="str">
        <f t="shared" si="132"/>
        <v>OK</v>
      </c>
      <c r="T848">
        <v>25159.8</v>
      </c>
      <c r="U848">
        <v>21606.83</v>
      </c>
      <c r="V848">
        <v>3552.97</v>
      </c>
      <c r="W848" t="s">
        <v>31</v>
      </c>
      <c r="X848" t="s">
        <v>32</v>
      </c>
      <c r="Y848" t="str">
        <f>IF(COUNTIF($A$2:$A$901,A848)&gt;1,
  IF(COUNTIF($A$2:A848,A848)=1,
    " ORIGINAL",
    "CONFLICTING DUPLICATE - REVIEW"),
"OK")</f>
        <v>OK</v>
      </c>
      <c r="Z848">
        <f t="shared" si="133"/>
        <v>0.05</v>
      </c>
      <c r="AA848">
        <f t="shared" si="134"/>
        <v>25159.8</v>
      </c>
      <c r="AB848">
        <f t="shared" si="135"/>
        <v>3552.97</v>
      </c>
      <c r="AC848">
        <f t="shared" si="136"/>
        <v>0.14119999999999999</v>
      </c>
      <c r="AD848">
        <f t="shared" si="137"/>
        <v>4</v>
      </c>
      <c r="AE848">
        <f t="shared" si="138"/>
        <v>2025</v>
      </c>
      <c r="AF848" t="str">
        <f t="shared" si="139"/>
        <v>CLEAN</v>
      </c>
    </row>
    <row r="849" spans="1:32">
      <c r="A849" t="s">
        <v>2370</v>
      </c>
      <c r="B849" s="10">
        <v>45837</v>
      </c>
      <c r="C849" s="10">
        <v>45841</v>
      </c>
      <c r="D849">
        <f t="shared" si="130"/>
        <v>4</v>
      </c>
      <c r="E849" t="str">
        <f t="shared" si="131"/>
        <v>OK</v>
      </c>
      <c r="F849" t="s">
        <v>2371</v>
      </c>
      <c r="G849" t="s">
        <v>70</v>
      </c>
      <c r="H849" t="s">
        <v>89</v>
      </c>
      <c r="I849" t="s">
        <v>37</v>
      </c>
      <c r="J849" t="s">
        <v>227</v>
      </c>
      <c r="K849" t="s">
        <v>228</v>
      </c>
      <c r="L849" t="s">
        <v>27</v>
      </c>
      <c r="M849" t="s">
        <v>90</v>
      </c>
      <c r="N849" t="s">
        <v>2372</v>
      </c>
      <c r="O849" t="s">
        <v>49</v>
      </c>
      <c r="P849">
        <v>3</v>
      </c>
      <c r="Q849">
        <v>608.14</v>
      </c>
      <c r="R849">
        <v>0</v>
      </c>
      <c r="S849" t="str">
        <f t="shared" si="132"/>
        <v>OK</v>
      </c>
      <c r="T849">
        <v>1824.42</v>
      </c>
      <c r="U849">
        <v>1214.8699999999999</v>
      </c>
      <c r="V849">
        <v>609.54999999999995</v>
      </c>
      <c r="W849" t="s">
        <v>31</v>
      </c>
      <c r="X849" t="s">
        <v>32</v>
      </c>
      <c r="Y849" t="str">
        <f>IF(COUNTIF($A$2:$A$901,A849)&gt;1,
  IF(COUNTIF($A$2:A849,A849)=1,
    " ORIGINAL",
    "CONFLICTING DUPLICATE - REVIEW"),
"OK")</f>
        <v>OK</v>
      </c>
      <c r="Z849">
        <f t="shared" si="133"/>
        <v>0</v>
      </c>
      <c r="AA849">
        <f t="shared" si="134"/>
        <v>1824.42</v>
      </c>
      <c r="AB849">
        <f t="shared" si="135"/>
        <v>609.54999999999995</v>
      </c>
      <c r="AC849">
        <f t="shared" si="136"/>
        <v>0.33410000000000001</v>
      </c>
      <c r="AD849">
        <f t="shared" si="137"/>
        <v>6</v>
      </c>
      <c r="AE849">
        <f t="shared" si="138"/>
        <v>2025</v>
      </c>
      <c r="AF849" t="str">
        <f t="shared" si="139"/>
        <v>CLEAN</v>
      </c>
    </row>
    <row r="850" spans="1:32">
      <c r="A850" t="s">
        <v>2379</v>
      </c>
      <c r="B850" s="10">
        <v>45749</v>
      </c>
      <c r="C850" s="10">
        <v>45751</v>
      </c>
      <c r="D850">
        <f t="shared" si="130"/>
        <v>2</v>
      </c>
      <c r="E850" t="str">
        <f t="shared" si="131"/>
        <v>OK</v>
      </c>
      <c r="F850" t="s">
        <v>2380</v>
      </c>
      <c r="G850" t="s">
        <v>131</v>
      </c>
      <c r="H850" t="s">
        <v>94</v>
      </c>
      <c r="I850" t="s">
        <v>37</v>
      </c>
      <c r="J850" t="s">
        <v>227</v>
      </c>
      <c r="K850" t="s">
        <v>228</v>
      </c>
      <c r="L850" t="s">
        <v>27</v>
      </c>
      <c r="M850" t="s">
        <v>28</v>
      </c>
      <c r="N850" t="s">
        <v>2381</v>
      </c>
      <c r="O850" t="s">
        <v>43</v>
      </c>
      <c r="P850">
        <v>5</v>
      </c>
      <c r="Q850">
        <v>3234.24</v>
      </c>
      <c r="R850">
        <v>0.1</v>
      </c>
      <c r="S850" t="str">
        <f t="shared" si="132"/>
        <v>OK</v>
      </c>
      <c r="T850">
        <v>14554.08</v>
      </c>
      <c r="U850">
        <v>11166.84</v>
      </c>
      <c r="V850">
        <v>3387.24</v>
      </c>
      <c r="W850" t="s">
        <v>31</v>
      </c>
      <c r="X850" t="s">
        <v>32</v>
      </c>
      <c r="Y850" t="str">
        <f>IF(COUNTIF($A$2:$A$901,A850)&gt;1,
  IF(COUNTIF($A$2:A850,A850)=1,
    " ORIGINAL",
    "CONFLICTING DUPLICATE - REVIEW"),
"OK")</f>
        <v>OK</v>
      </c>
      <c r="Z850">
        <f t="shared" si="133"/>
        <v>0.1</v>
      </c>
      <c r="AA850">
        <f t="shared" si="134"/>
        <v>14554.08</v>
      </c>
      <c r="AB850">
        <f t="shared" si="135"/>
        <v>3387.24</v>
      </c>
      <c r="AC850">
        <f t="shared" si="136"/>
        <v>0.23269999999999999</v>
      </c>
      <c r="AD850">
        <f t="shared" si="137"/>
        <v>4</v>
      </c>
      <c r="AE850">
        <f t="shared" si="138"/>
        <v>2025</v>
      </c>
      <c r="AF850" t="str">
        <f t="shared" si="139"/>
        <v>CLEAN</v>
      </c>
    </row>
    <row r="851" spans="1:32">
      <c r="A851" t="s">
        <v>2390</v>
      </c>
      <c r="B851" s="10">
        <v>45853</v>
      </c>
      <c r="C851" s="10">
        <v>45857</v>
      </c>
      <c r="D851">
        <f t="shared" si="130"/>
        <v>4</v>
      </c>
      <c r="E851" t="str">
        <f t="shared" si="131"/>
        <v>OK</v>
      </c>
      <c r="F851" t="s">
        <v>2391</v>
      </c>
      <c r="G851" t="s">
        <v>161</v>
      </c>
      <c r="H851" t="s">
        <v>23</v>
      </c>
      <c r="I851" t="s">
        <v>53</v>
      </c>
      <c r="J851" t="s">
        <v>246</v>
      </c>
      <c r="K851" t="s">
        <v>247</v>
      </c>
      <c r="L851" t="s">
        <v>40</v>
      </c>
      <c r="M851" t="s">
        <v>65</v>
      </c>
      <c r="N851" t="s">
        <v>2392</v>
      </c>
      <c r="O851" t="s">
        <v>43</v>
      </c>
      <c r="P851">
        <v>1</v>
      </c>
      <c r="Q851">
        <v>3903.22</v>
      </c>
      <c r="R851">
        <v>0.05</v>
      </c>
      <c r="S851" t="str">
        <f t="shared" si="132"/>
        <v>OK</v>
      </c>
      <c r="T851">
        <v>3708.06</v>
      </c>
      <c r="U851">
        <v>2760.29</v>
      </c>
      <c r="V851">
        <v>947.77</v>
      </c>
      <c r="W851" t="s">
        <v>110</v>
      </c>
      <c r="X851" t="s">
        <v>67</v>
      </c>
      <c r="Y851" t="str">
        <f>IF(COUNTIF($A$2:$A$901,A851)&gt;1,
  IF(COUNTIF($A$2:A851,A851)=1,
    " ORIGINAL",
    "CONFLICTING DUPLICATE - REVIEW"),
"OK")</f>
        <v>OK</v>
      </c>
      <c r="Z851">
        <f t="shared" si="133"/>
        <v>0.05</v>
      </c>
      <c r="AA851">
        <f t="shared" si="134"/>
        <v>3708.06</v>
      </c>
      <c r="AB851">
        <f t="shared" si="135"/>
        <v>947.77</v>
      </c>
      <c r="AC851">
        <f t="shared" si="136"/>
        <v>0.25559999999999999</v>
      </c>
      <c r="AD851">
        <f t="shared" si="137"/>
        <v>7</v>
      </c>
      <c r="AE851">
        <f t="shared" si="138"/>
        <v>2025</v>
      </c>
      <c r="AF851" t="str">
        <f t="shared" si="139"/>
        <v>CLEAN</v>
      </c>
    </row>
    <row r="852" spans="1:32">
      <c r="A852" t="s">
        <v>2393</v>
      </c>
      <c r="B852" s="10">
        <v>45709</v>
      </c>
      <c r="C852" s="10">
        <v>45709</v>
      </c>
      <c r="D852">
        <f t="shared" si="130"/>
        <v>0</v>
      </c>
      <c r="E852" t="str">
        <f t="shared" si="131"/>
        <v>OK</v>
      </c>
      <c r="F852" t="s">
        <v>2394</v>
      </c>
      <c r="G852" t="s">
        <v>22</v>
      </c>
      <c r="H852" t="s">
        <v>94</v>
      </c>
      <c r="I852" t="s">
        <v>62</v>
      </c>
      <c r="J852" t="s">
        <v>179</v>
      </c>
      <c r="K852" t="s">
        <v>180</v>
      </c>
      <c r="L852" t="s">
        <v>73</v>
      </c>
      <c r="M852" t="s">
        <v>170</v>
      </c>
      <c r="N852" t="s">
        <v>2395</v>
      </c>
      <c r="O852" t="s">
        <v>2762</v>
      </c>
      <c r="P852">
        <v>4</v>
      </c>
      <c r="Q852">
        <v>2945.07</v>
      </c>
      <c r="R852">
        <v>0.2</v>
      </c>
      <c r="S852" t="str">
        <f t="shared" si="132"/>
        <v>OK</v>
      </c>
      <c r="T852">
        <v>9424.2199999999993</v>
      </c>
      <c r="U852">
        <v>6178.92</v>
      </c>
      <c r="V852">
        <v>3245.3</v>
      </c>
      <c r="W852" t="s">
        <v>31</v>
      </c>
      <c r="X852" t="s">
        <v>32</v>
      </c>
      <c r="Y852" t="str">
        <f>IF(COUNTIF($A$2:$A$901,A852)&gt;1,
  IF(COUNTIF($A$2:A852,A852)=1,
    " ORIGINAL",
    "CONFLICTING DUPLICATE - REVIEW"),
"OK")</f>
        <v>OK</v>
      </c>
      <c r="Z852">
        <f t="shared" si="133"/>
        <v>0.2</v>
      </c>
      <c r="AA852">
        <f t="shared" si="134"/>
        <v>9424.2199999999993</v>
      </c>
      <c r="AB852">
        <f t="shared" si="135"/>
        <v>3245.3</v>
      </c>
      <c r="AC852">
        <f t="shared" si="136"/>
        <v>0.34439999999999998</v>
      </c>
      <c r="AD852">
        <f t="shared" si="137"/>
        <v>2</v>
      </c>
      <c r="AE852">
        <f t="shared" si="138"/>
        <v>2025</v>
      </c>
      <c r="AF852" t="str">
        <f t="shared" si="139"/>
        <v>WARNING</v>
      </c>
    </row>
    <row r="853" spans="1:32">
      <c r="A853" t="s">
        <v>2396</v>
      </c>
      <c r="B853" s="10">
        <v>45846</v>
      </c>
      <c r="C853" s="10">
        <v>45876</v>
      </c>
      <c r="D853">
        <f t="shared" si="130"/>
        <v>30</v>
      </c>
      <c r="E853" t="str">
        <f t="shared" si="131"/>
        <v>OK</v>
      </c>
      <c r="F853" t="s">
        <v>2397</v>
      </c>
      <c r="G853" t="s">
        <v>263</v>
      </c>
      <c r="H853" t="s">
        <v>23</v>
      </c>
      <c r="I853" t="s">
        <v>62</v>
      </c>
      <c r="J853" t="s">
        <v>25</v>
      </c>
      <c r="K853" t="s">
        <v>108</v>
      </c>
      <c r="L853" t="s">
        <v>73</v>
      </c>
      <c r="M853" t="s">
        <v>273</v>
      </c>
      <c r="N853" t="s">
        <v>2398</v>
      </c>
      <c r="O853" t="s">
        <v>2762</v>
      </c>
      <c r="P853">
        <v>9</v>
      </c>
      <c r="Q853">
        <v>1076.75</v>
      </c>
      <c r="R853">
        <v>0.2</v>
      </c>
      <c r="S853" t="str">
        <f t="shared" si="132"/>
        <v>OK</v>
      </c>
      <c r="T853">
        <v>7752.6</v>
      </c>
      <c r="U853">
        <v>4689.3</v>
      </c>
      <c r="V853">
        <v>3063.3</v>
      </c>
      <c r="W853" t="s">
        <v>31</v>
      </c>
      <c r="X853" t="s">
        <v>32</v>
      </c>
      <c r="Y853" t="str">
        <f>IF(COUNTIF($A$2:$A$901,A853)&gt;1,
  IF(COUNTIF($A$2:A853,A853)=1,
    " ORIGINAL",
    "CONFLICTING DUPLICATE - REVIEW"),
"OK")</f>
        <v>OK</v>
      </c>
      <c r="Z853">
        <f t="shared" si="133"/>
        <v>0.2</v>
      </c>
      <c r="AA853">
        <f t="shared" si="134"/>
        <v>7752.6</v>
      </c>
      <c r="AB853">
        <f t="shared" si="135"/>
        <v>3063.3</v>
      </c>
      <c r="AC853">
        <f t="shared" si="136"/>
        <v>0.39510000000000001</v>
      </c>
      <c r="AD853">
        <f t="shared" si="137"/>
        <v>7</v>
      </c>
      <c r="AE853">
        <f t="shared" si="138"/>
        <v>2025</v>
      </c>
      <c r="AF853" t="str">
        <f t="shared" si="139"/>
        <v>WARNING</v>
      </c>
    </row>
    <row r="854" spans="1:32">
      <c r="A854" t="s">
        <v>2402</v>
      </c>
      <c r="B854" s="10">
        <v>45875</v>
      </c>
      <c r="C854" s="10">
        <v>45821</v>
      </c>
      <c r="D854">
        <f t="shared" si="130"/>
        <v>-54</v>
      </c>
      <c r="E854" t="str">
        <f t="shared" si="131"/>
        <v>INVALID</v>
      </c>
      <c r="F854" t="s">
        <v>2403</v>
      </c>
      <c r="G854" t="s">
        <v>88</v>
      </c>
      <c r="H854" t="s">
        <v>36</v>
      </c>
      <c r="I854" t="s">
        <v>24</v>
      </c>
      <c r="J854" t="s">
        <v>25</v>
      </c>
      <c r="K854" t="s">
        <v>26</v>
      </c>
      <c r="L854" t="s">
        <v>73</v>
      </c>
      <c r="M854" t="s">
        <v>79</v>
      </c>
      <c r="N854" t="s">
        <v>2404</v>
      </c>
      <c r="O854" t="s">
        <v>30</v>
      </c>
      <c r="P854">
        <v>7</v>
      </c>
      <c r="Q854">
        <v>3857.13</v>
      </c>
      <c r="R854">
        <v>0</v>
      </c>
      <c r="S854" t="str">
        <f t="shared" si="132"/>
        <v>OK</v>
      </c>
      <c r="T854">
        <v>26999.91</v>
      </c>
      <c r="U854">
        <v>17815.98</v>
      </c>
      <c r="V854">
        <v>9183.93</v>
      </c>
      <c r="W854" t="s">
        <v>31</v>
      </c>
      <c r="X854" t="s">
        <v>32</v>
      </c>
      <c r="Y854" t="str">
        <f>IF(COUNTIF($A$2:$A$901,A854)&gt;1,
  IF(COUNTIF($A$2:A854,A854)=1,
    " ORIGINAL",
    "CONFLICTING DUPLICATE - REVIEW"),
"OK")</f>
        <v>OK</v>
      </c>
      <c r="Z854">
        <f t="shared" si="133"/>
        <v>0</v>
      </c>
      <c r="AA854">
        <f t="shared" si="134"/>
        <v>26999.91</v>
      </c>
      <c r="AB854">
        <f t="shared" si="135"/>
        <v>9183.93</v>
      </c>
      <c r="AC854">
        <f t="shared" si="136"/>
        <v>0.34010000000000001</v>
      </c>
      <c r="AD854">
        <f t="shared" si="137"/>
        <v>8</v>
      </c>
      <c r="AE854">
        <f t="shared" si="138"/>
        <v>2025</v>
      </c>
      <c r="AF854" t="str">
        <f t="shared" si="139"/>
        <v>INVALID</v>
      </c>
    </row>
    <row r="855" spans="1:32">
      <c r="A855" t="s">
        <v>2420</v>
      </c>
      <c r="B855" s="10">
        <v>45730</v>
      </c>
      <c r="C855" s="10">
        <v>45738</v>
      </c>
      <c r="D855">
        <f t="shared" si="130"/>
        <v>8</v>
      </c>
      <c r="E855" t="str">
        <f t="shared" si="131"/>
        <v>OK</v>
      </c>
      <c r="F855" t="s">
        <v>2421</v>
      </c>
      <c r="G855" t="s">
        <v>35</v>
      </c>
      <c r="H855" t="s">
        <v>89</v>
      </c>
      <c r="I855" t="s">
        <v>37</v>
      </c>
      <c r="J855" t="s">
        <v>98</v>
      </c>
      <c r="K855" t="s">
        <v>99</v>
      </c>
      <c r="L855" t="s">
        <v>73</v>
      </c>
      <c r="M855" t="s">
        <v>79</v>
      </c>
      <c r="N855" t="s">
        <v>2422</v>
      </c>
      <c r="O855" t="s">
        <v>58</v>
      </c>
      <c r="P855">
        <v>2</v>
      </c>
      <c r="Q855">
        <v>669.63</v>
      </c>
      <c r="R855">
        <v>0.15</v>
      </c>
      <c r="S855" t="str">
        <f t="shared" si="132"/>
        <v>OK</v>
      </c>
      <c r="T855">
        <v>1138.3699999999999</v>
      </c>
      <c r="U855">
        <v>797.34</v>
      </c>
      <c r="V855">
        <v>341.03</v>
      </c>
      <c r="W855" t="s">
        <v>31</v>
      </c>
      <c r="X855" t="s">
        <v>32</v>
      </c>
      <c r="Y855" t="str">
        <f>IF(COUNTIF($A$2:$A$901,A855)&gt;1,
  IF(COUNTIF($A$2:A855,A855)=1,
    " ORIGINAL",
    "CONFLICTING DUPLICATE - REVIEW"),
"OK")</f>
        <v>OK</v>
      </c>
      <c r="Z855">
        <f t="shared" si="133"/>
        <v>0.15</v>
      </c>
      <c r="AA855">
        <f t="shared" si="134"/>
        <v>1138.3699999999999</v>
      </c>
      <c r="AB855">
        <f t="shared" si="135"/>
        <v>341.03</v>
      </c>
      <c r="AC855">
        <f t="shared" si="136"/>
        <v>0.29959999999999998</v>
      </c>
      <c r="AD855">
        <f t="shared" si="137"/>
        <v>3</v>
      </c>
      <c r="AE855">
        <f t="shared" si="138"/>
        <v>2025</v>
      </c>
      <c r="AF855" t="str">
        <f t="shared" si="139"/>
        <v>CLEAN</v>
      </c>
    </row>
    <row r="856" spans="1:32">
      <c r="A856" t="s">
        <v>2426</v>
      </c>
      <c r="B856" s="10">
        <v>45934</v>
      </c>
      <c r="C856" s="10">
        <v>45935</v>
      </c>
      <c r="D856">
        <f t="shared" si="130"/>
        <v>1</v>
      </c>
      <c r="E856" t="str">
        <f t="shared" si="131"/>
        <v>OK</v>
      </c>
      <c r="F856" t="s">
        <v>2427</v>
      </c>
      <c r="G856" t="s">
        <v>113</v>
      </c>
      <c r="H856" t="s">
        <v>89</v>
      </c>
      <c r="I856" t="s">
        <v>24</v>
      </c>
      <c r="J856" t="s">
        <v>121</v>
      </c>
      <c r="K856" t="s">
        <v>122</v>
      </c>
      <c r="L856" t="s">
        <v>73</v>
      </c>
      <c r="M856" t="s">
        <v>79</v>
      </c>
      <c r="N856" t="s">
        <v>2428</v>
      </c>
      <c r="O856" t="s">
        <v>49</v>
      </c>
      <c r="P856">
        <v>4</v>
      </c>
      <c r="Q856">
        <v>418.18</v>
      </c>
      <c r="R856">
        <v>0.05</v>
      </c>
      <c r="S856" t="str">
        <f t="shared" si="132"/>
        <v>OK</v>
      </c>
      <c r="T856">
        <v>1589.08</v>
      </c>
      <c r="U856">
        <v>1084.6600000000001</v>
      </c>
      <c r="V856">
        <v>504.42</v>
      </c>
      <c r="W856" t="s">
        <v>31</v>
      </c>
      <c r="X856" t="s">
        <v>32</v>
      </c>
      <c r="Y856" t="str">
        <f>IF(COUNTIF($A$2:$A$901,A856)&gt;1,
  IF(COUNTIF($A$2:A856,A856)=1,
    " ORIGINAL",
    "CONFLICTING DUPLICATE - REVIEW"),
"OK")</f>
        <v>OK</v>
      </c>
      <c r="Z856">
        <f t="shared" si="133"/>
        <v>0.05</v>
      </c>
      <c r="AA856">
        <f t="shared" si="134"/>
        <v>1589.08</v>
      </c>
      <c r="AB856">
        <f t="shared" si="135"/>
        <v>504.42</v>
      </c>
      <c r="AC856">
        <f t="shared" si="136"/>
        <v>0.31740000000000002</v>
      </c>
      <c r="AD856">
        <f t="shared" si="137"/>
        <v>10</v>
      </c>
      <c r="AE856">
        <f t="shared" si="138"/>
        <v>2025</v>
      </c>
      <c r="AF856" t="str">
        <f t="shared" si="139"/>
        <v>CLEAN</v>
      </c>
    </row>
    <row r="857" spans="1:32">
      <c r="A857" t="s">
        <v>2432</v>
      </c>
      <c r="B857" s="10">
        <v>45844</v>
      </c>
      <c r="C857" s="10">
        <v>45846</v>
      </c>
      <c r="D857">
        <f t="shared" si="130"/>
        <v>2</v>
      </c>
      <c r="E857" t="str">
        <f t="shared" si="131"/>
        <v>OK</v>
      </c>
      <c r="F857" t="s">
        <v>2433</v>
      </c>
      <c r="G857" t="s">
        <v>61</v>
      </c>
      <c r="H857" t="s">
        <v>89</v>
      </c>
      <c r="I857" t="s">
        <v>24</v>
      </c>
      <c r="J857" t="s">
        <v>25</v>
      </c>
      <c r="K857" t="s">
        <v>26</v>
      </c>
      <c r="L857" t="s">
        <v>40</v>
      </c>
      <c r="M857" t="s">
        <v>56</v>
      </c>
      <c r="N857" t="s">
        <v>2434</v>
      </c>
      <c r="O857" t="s">
        <v>2762</v>
      </c>
      <c r="P857">
        <v>4</v>
      </c>
      <c r="Q857">
        <v>715.45</v>
      </c>
      <c r="R857">
        <v>0.05</v>
      </c>
      <c r="S857" t="str">
        <f t="shared" si="132"/>
        <v>OK</v>
      </c>
      <c r="T857">
        <v>2718.71</v>
      </c>
      <c r="U857">
        <v>2065.0500000000002</v>
      </c>
      <c r="V857">
        <v>653.66</v>
      </c>
      <c r="W857" t="s">
        <v>101</v>
      </c>
      <c r="X857" t="s">
        <v>102</v>
      </c>
      <c r="Y857" t="str">
        <f>IF(COUNTIF($A$2:$A$901,A857)&gt;1,
  IF(COUNTIF($A$2:A857,A857)=1,
    " ORIGINAL",
    "CONFLICTING DUPLICATE - REVIEW"),
"OK")</f>
        <v>OK</v>
      </c>
      <c r="Z857">
        <f t="shared" si="133"/>
        <v>0.05</v>
      </c>
      <c r="AA857">
        <f t="shared" si="134"/>
        <v>2718.71</v>
      </c>
      <c r="AB857">
        <f t="shared" si="135"/>
        <v>653.66</v>
      </c>
      <c r="AC857">
        <f t="shared" si="136"/>
        <v>0.2404</v>
      </c>
      <c r="AD857">
        <f t="shared" si="137"/>
        <v>7</v>
      </c>
      <c r="AE857">
        <f t="shared" si="138"/>
        <v>2025</v>
      </c>
      <c r="AF857" t="str">
        <f t="shared" si="139"/>
        <v>WARNING</v>
      </c>
    </row>
    <row r="858" spans="1:32">
      <c r="A858" t="s">
        <v>2441</v>
      </c>
      <c r="B858" s="10">
        <v>45723</v>
      </c>
      <c r="C858" s="10">
        <v>45724</v>
      </c>
      <c r="D858">
        <f t="shared" si="130"/>
        <v>1</v>
      </c>
      <c r="E858" t="str">
        <f t="shared" si="131"/>
        <v>OK</v>
      </c>
      <c r="F858" t="s">
        <v>2442</v>
      </c>
      <c r="G858" t="s">
        <v>113</v>
      </c>
      <c r="H858" t="s">
        <v>94</v>
      </c>
      <c r="I858" t="s">
        <v>2762</v>
      </c>
      <c r="J858" t="s">
        <v>25</v>
      </c>
      <c r="K858" t="s">
        <v>108</v>
      </c>
      <c r="L858" t="s">
        <v>73</v>
      </c>
      <c r="M858" t="s">
        <v>79</v>
      </c>
      <c r="N858" t="s">
        <v>2443</v>
      </c>
      <c r="O858" t="s">
        <v>43</v>
      </c>
      <c r="P858">
        <v>4</v>
      </c>
      <c r="Q858">
        <v>3537.48</v>
      </c>
      <c r="R858">
        <v>0</v>
      </c>
      <c r="S858" t="str">
        <f t="shared" si="132"/>
        <v>OK</v>
      </c>
      <c r="T858">
        <v>14149.92</v>
      </c>
      <c r="U858">
        <v>9466.51</v>
      </c>
      <c r="V858">
        <v>4683.41</v>
      </c>
      <c r="W858" t="s">
        <v>31</v>
      </c>
      <c r="X858" t="s">
        <v>32</v>
      </c>
      <c r="Y858" t="str">
        <f>IF(COUNTIF($A$2:$A$901,A858)&gt;1,
  IF(COUNTIF($A$2:A858,A858)=1,
    " ORIGINAL",
    "CONFLICTING DUPLICATE - REVIEW"),
"OK")</f>
        <v>OK</v>
      </c>
      <c r="Z858">
        <f t="shared" si="133"/>
        <v>0</v>
      </c>
      <c r="AA858">
        <f t="shared" si="134"/>
        <v>14149.92</v>
      </c>
      <c r="AB858">
        <f t="shared" si="135"/>
        <v>4683.41</v>
      </c>
      <c r="AC858">
        <f t="shared" si="136"/>
        <v>0.33100000000000002</v>
      </c>
      <c r="AD858">
        <f t="shared" si="137"/>
        <v>3</v>
      </c>
      <c r="AE858">
        <f t="shared" si="138"/>
        <v>2025</v>
      </c>
      <c r="AF858" t="str">
        <f t="shared" si="139"/>
        <v>WARNING</v>
      </c>
    </row>
    <row r="859" spans="1:32">
      <c r="A859" t="s">
        <v>2450</v>
      </c>
      <c r="B859" s="10">
        <v>45812</v>
      </c>
      <c r="C859" s="10">
        <v>45816</v>
      </c>
      <c r="D859">
        <f t="shared" si="130"/>
        <v>4</v>
      </c>
      <c r="E859" t="str">
        <f t="shared" si="131"/>
        <v>OK</v>
      </c>
      <c r="F859" t="s">
        <v>2451</v>
      </c>
      <c r="G859" t="s">
        <v>52</v>
      </c>
      <c r="H859" t="s">
        <v>36</v>
      </c>
      <c r="I859" t="s">
        <v>37</v>
      </c>
      <c r="J859" t="s">
        <v>165</v>
      </c>
      <c r="K859" t="s">
        <v>166</v>
      </c>
      <c r="L859" t="s">
        <v>40</v>
      </c>
      <c r="M859" t="s">
        <v>56</v>
      </c>
      <c r="N859" t="s">
        <v>2452</v>
      </c>
      <c r="O859" t="s">
        <v>30</v>
      </c>
      <c r="P859">
        <v>1</v>
      </c>
      <c r="Q859">
        <v>3501.12</v>
      </c>
      <c r="R859">
        <v>0.2</v>
      </c>
      <c r="S859" t="str">
        <f t="shared" si="132"/>
        <v>OK</v>
      </c>
      <c r="T859">
        <v>2800.9</v>
      </c>
      <c r="U859">
        <v>1735.98</v>
      </c>
      <c r="V859">
        <v>1064.92</v>
      </c>
      <c r="W859" t="s">
        <v>31</v>
      </c>
      <c r="X859" t="s">
        <v>102</v>
      </c>
      <c r="Y859" t="str">
        <f>IF(COUNTIF($A$2:$A$901,A859)&gt;1,
  IF(COUNTIF($A$2:A859,A859)=1,
    " ORIGINAL",
    "CONFLICTING DUPLICATE - REVIEW"),
"OK")</f>
        <v>OK</v>
      </c>
      <c r="Z859">
        <f t="shared" si="133"/>
        <v>0.2</v>
      </c>
      <c r="AA859">
        <f t="shared" si="134"/>
        <v>2800.9</v>
      </c>
      <c r="AB859">
        <f t="shared" si="135"/>
        <v>1064.92</v>
      </c>
      <c r="AC859">
        <f t="shared" si="136"/>
        <v>0.38019999999999998</v>
      </c>
      <c r="AD859">
        <f t="shared" si="137"/>
        <v>6</v>
      </c>
      <c r="AE859">
        <f t="shared" si="138"/>
        <v>2025</v>
      </c>
      <c r="AF859" t="str">
        <f t="shared" si="139"/>
        <v>CLEAN</v>
      </c>
    </row>
    <row r="860" spans="1:32">
      <c r="A860" t="s">
        <v>2456</v>
      </c>
      <c r="B860" s="10">
        <v>45830</v>
      </c>
      <c r="C860" s="10">
        <v>45832</v>
      </c>
      <c r="D860">
        <f t="shared" si="130"/>
        <v>2</v>
      </c>
      <c r="E860" t="str">
        <f t="shared" si="131"/>
        <v>OK</v>
      </c>
      <c r="F860" t="s">
        <v>2457</v>
      </c>
      <c r="G860" t="s">
        <v>131</v>
      </c>
      <c r="H860" t="s">
        <v>89</v>
      </c>
      <c r="I860" t="s">
        <v>37</v>
      </c>
      <c r="J860" t="s">
        <v>165</v>
      </c>
      <c r="K860" t="s">
        <v>166</v>
      </c>
      <c r="L860" t="s">
        <v>27</v>
      </c>
      <c r="M860" t="s">
        <v>28</v>
      </c>
      <c r="N860" t="s">
        <v>2458</v>
      </c>
      <c r="O860" t="s">
        <v>58</v>
      </c>
      <c r="P860">
        <v>9</v>
      </c>
      <c r="Q860">
        <v>951.55</v>
      </c>
      <c r="R860">
        <v>0.15</v>
      </c>
      <c r="S860" t="str">
        <f t="shared" si="132"/>
        <v>OK</v>
      </c>
      <c r="T860">
        <v>7279.36</v>
      </c>
      <c r="U860">
        <v>4870.3900000000003</v>
      </c>
      <c r="V860">
        <v>2408.9699999999998</v>
      </c>
      <c r="W860" t="s">
        <v>31</v>
      </c>
      <c r="X860" t="s">
        <v>32</v>
      </c>
      <c r="Y860" t="str">
        <f>IF(COUNTIF($A$2:$A$901,A860)&gt;1,
  IF(COUNTIF($A$2:A860,A860)=1,
    " ORIGINAL",
    "CONFLICTING DUPLICATE - REVIEW"),
"OK")</f>
        <v>OK</v>
      </c>
      <c r="Z860">
        <f t="shared" si="133"/>
        <v>0.15</v>
      </c>
      <c r="AA860">
        <f t="shared" si="134"/>
        <v>7279.36</v>
      </c>
      <c r="AB860">
        <f t="shared" si="135"/>
        <v>2408.9699999999998</v>
      </c>
      <c r="AC860">
        <f t="shared" si="136"/>
        <v>0.33090000000000003</v>
      </c>
      <c r="AD860">
        <f t="shared" si="137"/>
        <v>6</v>
      </c>
      <c r="AE860">
        <f t="shared" si="138"/>
        <v>2025</v>
      </c>
      <c r="AF860" t="str">
        <f t="shared" si="139"/>
        <v>CLEAN</v>
      </c>
    </row>
    <row r="861" spans="1:32">
      <c r="A861" t="s">
        <v>2468</v>
      </c>
      <c r="B861" s="10">
        <v>45849</v>
      </c>
      <c r="C861" s="10">
        <v>45907</v>
      </c>
      <c r="D861">
        <f t="shared" si="130"/>
        <v>58</v>
      </c>
      <c r="E861" t="str">
        <f t="shared" si="131"/>
        <v>OK</v>
      </c>
      <c r="F861" t="s">
        <v>2469</v>
      </c>
      <c r="G861" t="s">
        <v>88</v>
      </c>
      <c r="H861" t="s">
        <v>89</v>
      </c>
      <c r="I861" t="s">
        <v>24</v>
      </c>
      <c r="J861" t="s">
        <v>349</v>
      </c>
      <c r="K861" t="s">
        <v>350</v>
      </c>
      <c r="L861" t="s">
        <v>40</v>
      </c>
      <c r="M861" t="s">
        <v>56</v>
      </c>
      <c r="N861" t="s">
        <v>2470</v>
      </c>
      <c r="O861" t="s">
        <v>58</v>
      </c>
      <c r="P861">
        <v>9</v>
      </c>
      <c r="Q861">
        <v>1706.05</v>
      </c>
      <c r="R861">
        <v>0</v>
      </c>
      <c r="S861" t="str">
        <f t="shared" si="132"/>
        <v>OK</v>
      </c>
      <c r="T861">
        <v>15354.45</v>
      </c>
      <c r="U861">
        <v>9656.5</v>
      </c>
      <c r="V861">
        <v>5697.95</v>
      </c>
      <c r="W861" t="s">
        <v>31</v>
      </c>
      <c r="X861" t="s">
        <v>32</v>
      </c>
      <c r="Y861" t="str">
        <f>IF(COUNTIF($A$2:$A$901,A861)&gt;1,
  IF(COUNTIF($A$2:A861,A861)=1,
    " ORIGINAL",
    "CONFLICTING DUPLICATE - REVIEW"),
"OK")</f>
        <v>OK</v>
      </c>
      <c r="Z861">
        <f t="shared" si="133"/>
        <v>0</v>
      </c>
      <c r="AA861">
        <f t="shared" si="134"/>
        <v>15354.45</v>
      </c>
      <c r="AB861">
        <f t="shared" si="135"/>
        <v>5697.95</v>
      </c>
      <c r="AC861">
        <f t="shared" si="136"/>
        <v>0.37109999999999999</v>
      </c>
      <c r="AD861">
        <f t="shared" si="137"/>
        <v>7</v>
      </c>
      <c r="AE861">
        <f t="shared" si="138"/>
        <v>2025</v>
      </c>
      <c r="AF861" t="str">
        <f t="shared" si="139"/>
        <v>CLEAN</v>
      </c>
    </row>
    <row r="862" spans="1:32">
      <c r="A862" t="s">
        <v>2477</v>
      </c>
      <c r="B862" s="10">
        <v>45938</v>
      </c>
      <c r="C862" s="10">
        <v>45945</v>
      </c>
      <c r="D862">
        <f t="shared" si="130"/>
        <v>7</v>
      </c>
      <c r="E862" t="str">
        <f t="shared" si="131"/>
        <v>OK</v>
      </c>
      <c r="F862" t="s">
        <v>2478</v>
      </c>
      <c r="G862" t="s">
        <v>127</v>
      </c>
      <c r="H862" t="s">
        <v>94</v>
      </c>
      <c r="I862" t="s">
        <v>37</v>
      </c>
      <c r="J862" t="s">
        <v>38</v>
      </c>
      <c r="K862" t="s">
        <v>39</v>
      </c>
      <c r="L862" t="s">
        <v>73</v>
      </c>
      <c r="M862" t="s">
        <v>74</v>
      </c>
      <c r="N862" t="s">
        <v>2479</v>
      </c>
      <c r="O862" t="s">
        <v>30</v>
      </c>
      <c r="P862">
        <v>3</v>
      </c>
      <c r="Q862">
        <v>3372.21</v>
      </c>
      <c r="R862">
        <v>0.2</v>
      </c>
      <c r="S862" t="str">
        <f t="shared" si="132"/>
        <v>OK</v>
      </c>
      <c r="T862">
        <v>8093.3</v>
      </c>
      <c r="U862">
        <v>6052.43</v>
      </c>
      <c r="V862">
        <v>2040.87</v>
      </c>
      <c r="W862" t="s">
        <v>110</v>
      </c>
      <c r="X862" t="s">
        <v>67</v>
      </c>
      <c r="Y862" t="str">
        <f>IF(COUNTIF($A$2:$A$901,A862)&gt;1,
  IF(COUNTIF($A$2:A862,A862)=1,
    " ORIGINAL",
    "CONFLICTING DUPLICATE - REVIEW"),
"OK")</f>
        <v>OK</v>
      </c>
      <c r="Z862">
        <f t="shared" si="133"/>
        <v>0.2</v>
      </c>
      <c r="AA862">
        <f t="shared" si="134"/>
        <v>8093.3</v>
      </c>
      <c r="AB862">
        <f t="shared" si="135"/>
        <v>2040.87</v>
      </c>
      <c r="AC862">
        <f t="shared" si="136"/>
        <v>0.25219999999999998</v>
      </c>
      <c r="AD862">
        <f t="shared" si="137"/>
        <v>10</v>
      </c>
      <c r="AE862">
        <f t="shared" si="138"/>
        <v>2025</v>
      </c>
      <c r="AF862" t="str">
        <f t="shared" si="139"/>
        <v>CLEAN</v>
      </c>
    </row>
    <row r="863" spans="1:32">
      <c r="A863" t="s">
        <v>2480</v>
      </c>
      <c r="B863" s="10">
        <v>45704</v>
      </c>
      <c r="C863" s="10">
        <v>45704</v>
      </c>
      <c r="D863">
        <f t="shared" si="130"/>
        <v>0</v>
      </c>
      <c r="E863" t="str">
        <f t="shared" si="131"/>
        <v>OK</v>
      </c>
      <c r="F863" t="s">
        <v>2481</v>
      </c>
      <c r="G863" t="s">
        <v>140</v>
      </c>
      <c r="H863" t="s">
        <v>36</v>
      </c>
      <c r="I863" t="s">
        <v>37</v>
      </c>
      <c r="J863" t="s">
        <v>165</v>
      </c>
      <c r="K863" t="s">
        <v>166</v>
      </c>
      <c r="L863" t="s">
        <v>40</v>
      </c>
      <c r="M863" t="s">
        <v>56</v>
      </c>
      <c r="N863" t="s">
        <v>2482</v>
      </c>
      <c r="O863" t="s">
        <v>30</v>
      </c>
      <c r="P863">
        <v>6</v>
      </c>
      <c r="Q863">
        <v>1441.91</v>
      </c>
      <c r="R863">
        <v>0</v>
      </c>
      <c r="S863" t="str">
        <f t="shared" si="132"/>
        <v>OK</v>
      </c>
      <c r="T863">
        <v>8651.4599999999991</v>
      </c>
      <c r="U863">
        <v>5254.62</v>
      </c>
      <c r="V863">
        <v>3396.84</v>
      </c>
      <c r="W863" t="s">
        <v>154</v>
      </c>
      <c r="X863" t="s">
        <v>102</v>
      </c>
      <c r="Y863" t="str">
        <f>IF(COUNTIF($A$2:$A$901,A863)&gt;1,
  IF(COUNTIF($A$2:A863,A863)=1,
    " ORIGINAL",
    "CONFLICTING DUPLICATE - REVIEW"),
"OK")</f>
        <v>OK</v>
      </c>
      <c r="Z863">
        <f t="shared" si="133"/>
        <v>0</v>
      </c>
      <c r="AA863">
        <f t="shared" si="134"/>
        <v>8651.4599999999991</v>
      </c>
      <c r="AB863">
        <f t="shared" si="135"/>
        <v>3396.84</v>
      </c>
      <c r="AC863">
        <f t="shared" si="136"/>
        <v>0.3926</v>
      </c>
      <c r="AD863">
        <f t="shared" si="137"/>
        <v>2</v>
      </c>
      <c r="AE863">
        <f t="shared" si="138"/>
        <v>2025</v>
      </c>
      <c r="AF863" t="str">
        <f t="shared" si="139"/>
        <v>INVALID</v>
      </c>
    </row>
    <row r="864" spans="1:32">
      <c r="A864" t="s">
        <v>2486</v>
      </c>
      <c r="B864" s="10">
        <v>45939</v>
      </c>
      <c r="C864" s="10">
        <v>45918</v>
      </c>
      <c r="D864">
        <f t="shared" si="130"/>
        <v>-21</v>
      </c>
      <c r="E864" t="str">
        <f t="shared" si="131"/>
        <v>INVALID</v>
      </c>
      <c r="F864" t="s">
        <v>2487</v>
      </c>
      <c r="G864" t="s">
        <v>117</v>
      </c>
      <c r="H864" t="s">
        <v>94</v>
      </c>
      <c r="I864" t="s">
        <v>53</v>
      </c>
      <c r="J864" t="s">
        <v>54</v>
      </c>
      <c r="K864" t="s">
        <v>55</v>
      </c>
      <c r="L864" t="s">
        <v>40</v>
      </c>
      <c r="M864" t="s">
        <v>56</v>
      </c>
      <c r="N864" t="s">
        <v>2488</v>
      </c>
      <c r="O864" t="s">
        <v>58</v>
      </c>
      <c r="P864">
        <v>1</v>
      </c>
      <c r="Q864">
        <v>2050.62</v>
      </c>
      <c r="R864">
        <v>0.05</v>
      </c>
      <c r="S864" t="str">
        <f t="shared" si="132"/>
        <v>OK</v>
      </c>
      <c r="T864">
        <v>1948.09</v>
      </c>
      <c r="U864">
        <v>1507.08</v>
      </c>
      <c r="V864">
        <v>441.01</v>
      </c>
      <c r="W864" t="s">
        <v>31</v>
      </c>
      <c r="X864" t="s">
        <v>32</v>
      </c>
      <c r="Y864" t="str">
        <f>IF(COUNTIF($A$2:$A$901,A864)&gt;1,
  IF(COUNTIF($A$2:A864,A864)=1,
    " ORIGINAL",
    "CONFLICTING DUPLICATE - REVIEW"),
"OK")</f>
        <v>OK</v>
      </c>
      <c r="Z864">
        <f t="shared" si="133"/>
        <v>0.05</v>
      </c>
      <c r="AA864">
        <f t="shared" si="134"/>
        <v>1948.09</v>
      </c>
      <c r="AB864">
        <f t="shared" si="135"/>
        <v>441.01</v>
      </c>
      <c r="AC864">
        <f t="shared" si="136"/>
        <v>0.22639999999999999</v>
      </c>
      <c r="AD864">
        <f t="shared" si="137"/>
        <v>10</v>
      </c>
      <c r="AE864">
        <f t="shared" si="138"/>
        <v>2025</v>
      </c>
      <c r="AF864" t="str">
        <f t="shared" si="139"/>
        <v>INVALID</v>
      </c>
    </row>
    <row r="865" spans="1:32">
      <c r="A865" t="s">
        <v>2489</v>
      </c>
      <c r="B865" s="10">
        <v>45753</v>
      </c>
      <c r="C865" s="10">
        <v>45842</v>
      </c>
      <c r="D865">
        <f t="shared" si="130"/>
        <v>89</v>
      </c>
      <c r="E865" t="str">
        <f t="shared" si="131"/>
        <v>OK</v>
      </c>
      <c r="F865" t="s">
        <v>2354</v>
      </c>
      <c r="G865" t="s">
        <v>113</v>
      </c>
      <c r="H865" t="s">
        <v>94</v>
      </c>
      <c r="I865" t="s">
        <v>37</v>
      </c>
      <c r="J865" t="s">
        <v>165</v>
      </c>
      <c r="K865" t="s">
        <v>166</v>
      </c>
      <c r="L865" t="s">
        <v>27</v>
      </c>
      <c r="M865" t="s">
        <v>152</v>
      </c>
      <c r="N865" t="s">
        <v>2490</v>
      </c>
      <c r="O865" t="s">
        <v>30</v>
      </c>
      <c r="P865">
        <v>2</v>
      </c>
      <c r="Q865">
        <v>2030.06</v>
      </c>
      <c r="R865">
        <v>0.25</v>
      </c>
      <c r="S865" t="str">
        <f t="shared" si="132"/>
        <v>OK</v>
      </c>
      <c r="T865">
        <v>3045.09</v>
      </c>
      <c r="U865">
        <v>2601.09</v>
      </c>
      <c r="V865">
        <v>444</v>
      </c>
      <c r="W865" t="s">
        <v>31</v>
      </c>
      <c r="X865" t="s">
        <v>32</v>
      </c>
      <c r="Y865" t="str">
        <f>IF(COUNTIF($A$2:$A$901,A865)&gt;1,
  IF(COUNTIF($A$2:A865,A865)=1,
    " ORIGINAL",
    "CONFLICTING DUPLICATE - REVIEW"),
"OK")</f>
        <v>OK</v>
      </c>
      <c r="Z865">
        <f t="shared" si="133"/>
        <v>0.25</v>
      </c>
      <c r="AA865">
        <f t="shared" si="134"/>
        <v>3045.09</v>
      </c>
      <c r="AB865">
        <f t="shared" si="135"/>
        <v>444</v>
      </c>
      <c r="AC865">
        <f t="shared" si="136"/>
        <v>0.14580000000000001</v>
      </c>
      <c r="AD865">
        <f t="shared" si="137"/>
        <v>4</v>
      </c>
      <c r="AE865">
        <f t="shared" si="138"/>
        <v>2025</v>
      </c>
      <c r="AF865" t="str">
        <f t="shared" si="139"/>
        <v>CLEAN</v>
      </c>
    </row>
    <row r="866" spans="1:32">
      <c r="A866" t="s">
        <v>2494</v>
      </c>
      <c r="B866" s="10">
        <v>45695</v>
      </c>
      <c r="C866" s="10">
        <v>45696</v>
      </c>
      <c r="D866">
        <f t="shared" si="130"/>
        <v>1</v>
      </c>
      <c r="E866" t="str">
        <f t="shared" si="131"/>
        <v>OK</v>
      </c>
      <c r="F866" t="s">
        <v>2495</v>
      </c>
      <c r="G866" t="s">
        <v>22</v>
      </c>
      <c r="H866" t="s">
        <v>36</v>
      </c>
      <c r="I866" t="s">
        <v>53</v>
      </c>
      <c r="J866" t="s">
        <v>54</v>
      </c>
      <c r="K866" t="s">
        <v>55</v>
      </c>
      <c r="L866" t="s">
        <v>27</v>
      </c>
      <c r="M866" t="s">
        <v>90</v>
      </c>
      <c r="N866" t="s">
        <v>2496</v>
      </c>
      <c r="O866" t="s">
        <v>58</v>
      </c>
      <c r="P866">
        <v>2</v>
      </c>
      <c r="Q866">
        <v>2432.98</v>
      </c>
      <c r="R866">
        <v>0.1</v>
      </c>
      <c r="S866" t="str">
        <f t="shared" si="132"/>
        <v>OK</v>
      </c>
      <c r="T866">
        <v>4379.3599999999997</v>
      </c>
      <c r="U866">
        <v>3723.93</v>
      </c>
      <c r="V866">
        <v>655.43</v>
      </c>
      <c r="W866" t="s">
        <v>31</v>
      </c>
      <c r="X866" t="s">
        <v>32</v>
      </c>
      <c r="Y866" t="str">
        <f>IF(COUNTIF($A$2:$A$901,A866)&gt;1,
  IF(COUNTIF($A$2:A866,A866)=1,
    " ORIGINAL",
    "CONFLICTING DUPLICATE - REVIEW"),
"OK")</f>
        <v>OK</v>
      </c>
      <c r="Z866">
        <f t="shared" si="133"/>
        <v>0.1</v>
      </c>
      <c r="AA866">
        <f t="shared" si="134"/>
        <v>4379.3599999999997</v>
      </c>
      <c r="AB866">
        <f t="shared" si="135"/>
        <v>655.43</v>
      </c>
      <c r="AC866">
        <f t="shared" si="136"/>
        <v>0.1497</v>
      </c>
      <c r="AD866">
        <f t="shared" si="137"/>
        <v>2</v>
      </c>
      <c r="AE866">
        <f t="shared" si="138"/>
        <v>2025</v>
      </c>
      <c r="AF866" t="str">
        <f t="shared" si="139"/>
        <v>CLEAN</v>
      </c>
    </row>
    <row r="867" spans="1:32">
      <c r="A867" t="s">
        <v>2497</v>
      </c>
      <c r="B867" s="10">
        <v>45900</v>
      </c>
      <c r="C867" s="10">
        <v>45897</v>
      </c>
      <c r="D867">
        <f t="shared" si="130"/>
        <v>-3</v>
      </c>
      <c r="E867" t="str">
        <f t="shared" si="131"/>
        <v>INVALID</v>
      </c>
      <c r="F867" t="s">
        <v>2498</v>
      </c>
      <c r="G867" t="s">
        <v>127</v>
      </c>
      <c r="H867" t="s">
        <v>36</v>
      </c>
      <c r="I867" t="s">
        <v>53</v>
      </c>
      <c r="J867" t="s">
        <v>246</v>
      </c>
      <c r="K867" t="s">
        <v>247</v>
      </c>
      <c r="L867" t="s">
        <v>40</v>
      </c>
      <c r="M867" t="s">
        <v>56</v>
      </c>
      <c r="N867" t="s">
        <v>2499</v>
      </c>
      <c r="O867" t="s">
        <v>49</v>
      </c>
      <c r="P867">
        <v>7</v>
      </c>
      <c r="Q867">
        <v>977.28</v>
      </c>
      <c r="R867">
        <v>0.2</v>
      </c>
      <c r="S867" t="str">
        <f t="shared" si="132"/>
        <v>OK</v>
      </c>
      <c r="T867">
        <v>5472.77</v>
      </c>
      <c r="U867">
        <v>4477.33</v>
      </c>
      <c r="V867">
        <v>995.44</v>
      </c>
      <c r="W867" t="s">
        <v>31</v>
      </c>
      <c r="X867" t="s">
        <v>32</v>
      </c>
      <c r="Y867" t="str">
        <f>IF(COUNTIF($A$2:$A$901,A867)&gt;1,
  IF(COUNTIF($A$2:A867,A867)=1,
    " ORIGINAL",
    "CONFLICTING DUPLICATE - REVIEW"),
"OK")</f>
        <v>OK</v>
      </c>
      <c r="Z867">
        <f t="shared" si="133"/>
        <v>0.2</v>
      </c>
      <c r="AA867">
        <f t="shared" si="134"/>
        <v>5472.77</v>
      </c>
      <c r="AB867">
        <f t="shared" si="135"/>
        <v>995.44</v>
      </c>
      <c r="AC867">
        <f t="shared" si="136"/>
        <v>0.18190000000000001</v>
      </c>
      <c r="AD867">
        <f t="shared" si="137"/>
        <v>8</v>
      </c>
      <c r="AE867">
        <f t="shared" si="138"/>
        <v>2025</v>
      </c>
      <c r="AF867" t="str">
        <f t="shared" si="139"/>
        <v>INVALID</v>
      </c>
    </row>
    <row r="868" spans="1:32">
      <c r="A868" t="s">
        <v>2500</v>
      </c>
      <c r="B868" s="10">
        <v>45833</v>
      </c>
      <c r="C868" s="10">
        <v>45833</v>
      </c>
      <c r="D868">
        <f t="shared" si="130"/>
        <v>0</v>
      </c>
      <c r="E868" t="str">
        <f t="shared" si="131"/>
        <v>OK</v>
      </c>
      <c r="F868" t="s">
        <v>2501</v>
      </c>
      <c r="G868" t="s">
        <v>52</v>
      </c>
      <c r="H868" t="s">
        <v>36</v>
      </c>
      <c r="I868" t="s">
        <v>2762</v>
      </c>
      <c r="J868" t="s">
        <v>121</v>
      </c>
      <c r="K868" t="s">
        <v>122</v>
      </c>
      <c r="L868" t="s">
        <v>27</v>
      </c>
      <c r="M868" t="s">
        <v>152</v>
      </c>
      <c r="N868" t="s">
        <v>2502</v>
      </c>
      <c r="O868" t="s">
        <v>30</v>
      </c>
      <c r="P868">
        <v>6</v>
      </c>
      <c r="Q868">
        <v>1366.13</v>
      </c>
      <c r="R868">
        <v>0.1</v>
      </c>
      <c r="S868" t="str">
        <f t="shared" si="132"/>
        <v>OK</v>
      </c>
      <c r="T868">
        <v>7377.1</v>
      </c>
      <c r="U868">
        <v>5085.21</v>
      </c>
      <c r="V868">
        <v>2291.89</v>
      </c>
      <c r="W868" t="s">
        <v>31</v>
      </c>
      <c r="X868" t="s">
        <v>32</v>
      </c>
      <c r="Y868" t="str">
        <f>IF(COUNTIF($A$2:$A$901,A868)&gt;1,
  IF(COUNTIF($A$2:A868,A868)=1,
    " ORIGINAL",
    "CONFLICTING DUPLICATE - REVIEW"),
"OK")</f>
        <v>OK</v>
      </c>
      <c r="Z868">
        <f t="shared" si="133"/>
        <v>0.1</v>
      </c>
      <c r="AA868">
        <f t="shared" si="134"/>
        <v>7377.1</v>
      </c>
      <c r="AB868">
        <f t="shared" si="135"/>
        <v>2291.89</v>
      </c>
      <c r="AC868">
        <f t="shared" si="136"/>
        <v>0.31069999999999998</v>
      </c>
      <c r="AD868">
        <f t="shared" si="137"/>
        <v>6</v>
      </c>
      <c r="AE868">
        <f t="shared" si="138"/>
        <v>2025</v>
      </c>
      <c r="AF868" t="str">
        <f t="shared" si="139"/>
        <v>WARNING</v>
      </c>
    </row>
    <row r="869" spans="1:32">
      <c r="A869" t="s">
        <v>2511</v>
      </c>
      <c r="B869" s="10">
        <v>45753</v>
      </c>
      <c r="C869" s="10">
        <v>45757</v>
      </c>
      <c r="D869">
        <f t="shared" si="130"/>
        <v>4</v>
      </c>
      <c r="E869" t="str">
        <f t="shared" si="131"/>
        <v>OK</v>
      </c>
      <c r="F869" t="s">
        <v>2512</v>
      </c>
      <c r="G869" t="s">
        <v>140</v>
      </c>
      <c r="H869" t="s">
        <v>23</v>
      </c>
      <c r="I869" t="s">
        <v>37</v>
      </c>
      <c r="J869" t="s">
        <v>38</v>
      </c>
      <c r="K869" t="s">
        <v>39</v>
      </c>
      <c r="L869" t="s">
        <v>40</v>
      </c>
      <c r="M869" t="s">
        <v>157</v>
      </c>
      <c r="N869" t="s">
        <v>1122</v>
      </c>
      <c r="O869" t="s">
        <v>58</v>
      </c>
      <c r="P869">
        <v>2</v>
      </c>
      <c r="Q869">
        <v>1337.67</v>
      </c>
      <c r="R869">
        <v>0</v>
      </c>
      <c r="S869" t="str">
        <f t="shared" si="132"/>
        <v>OK</v>
      </c>
      <c r="T869">
        <v>2675.34</v>
      </c>
      <c r="U869">
        <v>1595.87</v>
      </c>
      <c r="V869">
        <v>1079.47</v>
      </c>
      <c r="W869" t="s">
        <v>31</v>
      </c>
      <c r="X869" t="s">
        <v>32</v>
      </c>
      <c r="Y869" t="str">
        <f>IF(COUNTIF($A$2:$A$901,A869)&gt;1,
  IF(COUNTIF($A$2:A869,A869)=1,
    " ORIGINAL",
    "CONFLICTING DUPLICATE - REVIEW"),
"OK")</f>
        <v>OK</v>
      </c>
      <c r="Z869">
        <f t="shared" si="133"/>
        <v>0</v>
      </c>
      <c r="AA869">
        <f t="shared" si="134"/>
        <v>2675.34</v>
      </c>
      <c r="AB869">
        <f t="shared" si="135"/>
        <v>1079.47</v>
      </c>
      <c r="AC869">
        <f t="shared" si="136"/>
        <v>0.40350000000000003</v>
      </c>
      <c r="AD869">
        <f t="shared" si="137"/>
        <v>4</v>
      </c>
      <c r="AE869">
        <f t="shared" si="138"/>
        <v>2025</v>
      </c>
      <c r="AF869" t="str">
        <f t="shared" si="139"/>
        <v>CLEAN</v>
      </c>
    </row>
    <row r="870" spans="1:32">
      <c r="A870" t="s">
        <v>2513</v>
      </c>
      <c r="B870" s="10">
        <v>45875</v>
      </c>
      <c r="C870" s="10">
        <v>45880</v>
      </c>
      <c r="D870">
        <f t="shared" si="130"/>
        <v>5</v>
      </c>
      <c r="E870" t="str">
        <f t="shared" si="131"/>
        <v>OK</v>
      </c>
      <c r="F870" t="s">
        <v>2514</v>
      </c>
      <c r="G870" t="s">
        <v>52</v>
      </c>
      <c r="H870" t="s">
        <v>23</v>
      </c>
      <c r="I870" t="s">
        <v>62</v>
      </c>
      <c r="J870" t="s">
        <v>71</v>
      </c>
      <c r="K870" t="s">
        <v>72</v>
      </c>
      <c r="L870" t="s">
        <v>27</v>
      </c>
      <c r="M870" t="s">
        <v>90</v>
      </c>
      <c r="N870" t="s">
        <v>2515</v>
      </c>
      <c r="O870" t="s">
        <v>49</v>
      </c>
      <c r="P870">
        <v>2</v>
      </c>
      <c r="Q870">
        <v>2375.94</v>
      </c>
      <c r="R870">
        <v>0.25</v>
      </c>
      <c r="S870" t="str">
        <f t="shared" si="132"/>
        <v>OK</v>
      </c>
      <c r="T870">
        <v>3563.91</v>
      </c>
      <c r="U870">
        <v>2639.7</v>
      </c>
      <c r="V870">
        <v>924.21</v>
      </c>
      <c r="W870" t="s">
        <v>31</v>
      </c>
      <c r="X870" t="s">
        <v>32</v>
      </c>
      <c r="Y870" t="str">
        <f>IF(COUNTIF($A$2:$A$901,A870)&gt;1,
  IF(COUNTIF($A$2:A870,A870)=1,
    " ORIGINAL",
    "CONFLICTING DUPLICATE - REVIEW"),
"OK")</f>
        <v>OK</v>
      </c>
      <c r="Z870">
        <f t="shared" si="133"/>
        <v>0.25</v>
      </c>
      <c r="AA870">
        <f t="shared" si="134"/>
        <v>3563.91</v>
      </c>
      <c r="AB870">
        <f t="shared" si="135"/>
        <v>924.21</v>
      </c>
      <c r="AC870">
        <f t="shared" si="136"/>
        <v>0.25929999999999997</v>
      </c>
      <c r="AD870">
        <f t="shared" si="137"/>
        <v>8</v>
      </c>
      <c r="AE870">
        <f t="shared" si="138"/>
        <v>2025</v>
      </c>
      <c r="AF870" t="str">
        <f t="shared" si="139"/>
        <v>CLEAN</v>
      </c>
    </row>
    <row r="871" spans="1:32">
      <c r="A871" t="s">
        <v>2522</v>
      </c>
      <c r="B871" s="10">
        <v>45752</v>
      </c>
      <c r="C871" s="10">
        <v>45752</v>
      </c>
      <c r="D871">
        <f t="shared" si="130"/>
        <v>0</v>
      </c>
      <c r="E871" t="str">
        <f t="shared" si="131"/>
        <v>OK</v>
      </c>
      <c r="F871" t="s">
        <v>2523</v>
      </c>
      <c r="G871" t="s">
        <v>131</v>
      </c>
      <c r="H871" t="s">
        <v>23</v>
      </c>
      <c r="I871" t="s">
        <v>37</v>
      </c>
      <c r="J871" t="s">
        <v>144</v>
      </c>
      <c r="K871" t="s">
        <v>145</v>
      </c>
      <c r="L871" t="s">
        <v>27</v>
      </c>
      <c r="M871" t="s">
        <v>152</v>
      </c>
      <c r="N871" t="s">
        <v>2524</v>
      </c>
      <c r="O871" t="s">
        <v>58</v>
      </c>
      <c r="P871">
        <v>6</v>
      </c>
      <c r="Q871">
        <v>1829.69</v>
      </c>
      <c r="R871">
        <v>0.25</v>
      </c>
      <c r="S871" t="str">
        <f t="shared" si="132"/>
        <v>OK</v>
      </c>
      <c r="T871">
        <v>8233.6</v>
      </c>
      <c r="U871">
        <v>4713.79</v>
      </c>
      <c r="V871">
        <v>3519.81</v>
      </c>
      <c r="W871" t="s">
        <v>31</v>
      </c>
      <c r="X871" t="s">
        <v>32</v>
      </c>
      <c r="Y871" t="str">
        <f>IF(COUNTIF($A$2:$A$901,A871)&gt;1,
  IF(COUNTIF($A$2:A871,A871)=1,
    " ORIGINAL",
    "CONFLICTING DUPLICATE - REVIEW"),
"OK")</f>
        <v>OK</v>
      </c>
      <c r="Z871">
        <f t="shared" si="133"/>
        <v>0.25</v>
      </c>
      <c r="AA871">
        <f t="shared" si="134"/>
        <v>8233.61</v>
      </c>
      <c r="AB871">
        <f t="shared" si="135"/>
        <v>3519.82</v>
      </c>
      <c r="AC871">
        <f t="shared" si="136"/>
        <v>0.42749999999999999</v>
      </c>
      <c r="AD871">
        <f t="shared" si="137"/>
        <v>4</v>
      </c>
      <c r="AE871">
        <f t="shared" si="138"/>
        <v>2025</v>
      </c>
      <c r="AF871" t="str">
        <f t="shared" si="139"/>
        <v>CLEAN</v>
      </c>
    </row>
    <row r="872" spans="1:32">
      <c r="A872" t="s">
        <v>2531</v>
      </c>
      <c r="B872" s="10">
        <v>45810</v>
      </c>
      <c r="C872" s="10">
        <v>45932</v>
      </c>
      <c r="D872">
        <f t="shared" si="130"/>
        <v>122</v>
      </c>
      <c r="E872" t="str">
        <f t="shared" si="131"/>
        <v>OK</v>
      </c>
      <c r="F872" t="s">
        <v>2532</v>
      </c>
      <c r="G872" t="s">
        <v>61</v>
      </c>
      <c r="H872" t="s">
        <v>94</v>
      </c>
      <c r="I872" t="s">
        <v>24</v>
      </c>
      <c r="J872" t="s">
        <v>135</v>
      </c>
      <c r="K872" t="s">
        <v>136</v>
      </c>
      <c r="L872" t="s">
        <v>40</v>
      </c>
      <c r="M872" t="s">
        <v>157</v>
      </c>
      <c r="N872" t="s">
        <v>2533</v>
      </c>
      <c r="O872" t="s">
        <v>58</v>
      </c>
      <c r="P872">
        <v>2</v>
      </c>
      <c r="Q872">
        <v>319.57</v>
      </c>
      <c r="R872">
        <v>0.2</v>
      </c>
      <c r="S872" t="str">
        <f t="shared" si="132"/>
        <v>OK</v>
      </c>
      <c r="T872">
        <v>511.31</v>
      </c>
      <c r="U872">
        <v>436.43</v>
      </c>
      <c r="V872">
        <v>74.88</v>
      </c>
      <c r="W872" t="s">
        <v>31</v>
      </c>
      <c r="X872" t="s">
        <v>32</v>
      </c>
      <c r="Y872" t="str">
        <f>IF(COUNTIF($A$2:$A$901,A872)&gt;1,
  IF(COUNTIF($A$2:A872,A872)=1,
    " ORIGINAL",
    "CONFLICTING DUPLICATE - REVIEW"),
"OK")</f>
        <v>OK</v>
      </c>
      <c r="Z872">
        <f t="shared" si="133"/>
        <v>0.2</v>
      </c>
      <c r="AA872">
        <f t="shared" si="134"/>
        <v>511.31</v>
      </c>
      <c r="AB872">
        <f t="shared" si="135"/>
        <v>74.88</v>
      </c>
      <c r="AC872">
        <f t="shared" si="136"/>
        <v>0.1464</v>
      </c>
      <c r="AD872">
        <f t="shared" si="137"/>
        <v>6</v>
      </c>
      <c r="AE872">
        <f t="shared" si="138"/>
        <v>2025</v>
      </c>
      <c r="AF872" t="str">
        <f t="shared" si="139"/>
        <v>CLEAN</v>
      </c>
    </row>
    <row r="873" spans="1:32">
      <c r="A873" t="s">
        <v>2540</v>
      </c>
      <c r="B873" s="10">
        <v>45663</v>
      </c>
      <c r="C873" s="10">
        <v>45669</v>
      </c>
      <c r="D873">
        <f t="shared" si="130"/>
        <v>6</v>
      </c>
      <c r="E873" t="str">
        <f t="shared" si="131"/>
        <v>OK</v>
      </c>
      <c r="F873" t="s">
        <v>2541</v>
      </c>
      <c r="G873" t="s">
        <v>35</v>
      </c>
      <c r="H873" t="s">
        <v>94</v>
      </c>
      <c r="I873" t="s">
        <v>62</v>
      </c>
      <c r="J873" t="s">
        <v>189</v>
      </c>
      <c r="K873" t="s">
        <v>190</v>
      </c>
      <c r="L873" t="s">
        <v>27</v>
      </c>
      <c r="M873" t="s">
        <v>28</v>
      </c>
      <c r="N873" t="s">
        <v>2542</v>
      </c>
      <c r="O873" t="s">
        <v>43</v>
      </c>
      <c r="P873">
        <v>3</v>
      </c>
      <c r="Q873">
        <v>668.33</v>
      </c>
      <c r="R873">
        <v>0.15</v>
      </c>
      <c r="S873" t="str">
        <f t="shared" si="132"/>
        <v>OK</v>
      </c>
      <c r="T873">
        <v>1704.24</v>
      </c>
      <c r="U873">
        <v>957.55</v>
      </c>
      <c r="V873">
        <v>746.69</v>
      </c>
      <c r="W873" t="s">
        <v>31</v>
      </c>
      <c r="X873" t="s">
        <v>32</v>
      </c>
      <c r="Y873" t="str">
        <f>IF(COUNTIF($A$2:$A$901,A873)&gt;1,
  IF(COUNTIF($A$2:A873,A873)=1,
    " ORIGINAL",
    "CONFLICTING DUPLICATE - REVIEW"),
"OK")</f>
        <v>OK</v>
      </c>
      <c r="Z873">
        <f t="shared" si="133"/>
        <v>0.15</v>
      </c>
      <c r="AA873">
        <f t="shared" si="134"/>
        <v>1704.24</v>
      </c>
      <c r="AB873">
        <f t="shared" si="135"/>
        <v>746.69</v>
      </c>
      <c r="AC873">
        <f t="shared" si="136"/>
        <v>0.43809999999999999</v>
      </c>
      <c r="AD873">
        <f t="shared" si="137"/>
        <v>1</v>
      </c>
      <c r="AE873">
        <f t="shared" si="138"/>
        <v>2025</v>
      </c>
      <c r="AF873" t="str">
        <f t="shared" si="139"/>
        <v>CLEAN</v>
      </c>
    </row>
    <row r="874" spans="1:32">
      <c r="A874" t="s">
        <v>2543</v>
      </c>
      <c r="B874" s="10">
        <v>45737</v>
      </c>
      <c r="C874" s="10">
        <v>45738</v>
      </c>
      <c r="D874">
        <f t="shared" si="130"/>
        <v>1</v>
      </c>
      <c r="E874" t="str">
        <f t="shared" si="131"/>
        <v>OK</v>
      </c>
      <c r="F874" t="s">
        <v>2544</v>
      </c>
      <c r="G874" t="s">
        <v>113</v>
      </c>
      <c r="H874" t="s">
        <v>23</v>
      </c>
      <c r="I874" t="s">
        <v>62</v>
      </c>
      <c r="J874" t="s">
        <v>189</v>
      </c>
      <c r="K874" t="s">
        <v>190</v>
      </c>
      <c r="L874" t="s">
        <v>27</v>
      </c>
      <c r="M874" t="s">
        <v>28</v>
      </c>
      <c r="N874" t="s">
        <v>2545</v>
      </c>
      <c r="O874" t="s">
        <v>49</v>
      </c>
      <c r="P874">
        <v>8</v>
      </c>
      <c r="Q874">
        <v>4436.74</v>
      </c>
      <c r="R874">
        <v>0.05</v>
      </c>
      <c r="S874" t="str">
        <f t="shared" si="132"/>
        <v>OK</v>
      </c>
      <c r="T874">
        <v>33719.22</v>
      </c>
      <c r="U874">
        <v>28924.43</v>
      </c>
      <c r="V874">
        <v>4794.79</v>
      </c>
      <c r="W874" t="s">
        <v>31</v>
      </c>
      <c r="X874" t="s">
        <v>32</v>
      </c>
      <c r="Y874" t="str">
        <f>IF(COUNTIF($A$2:$A$901,A874)&gt;1,
  IF(COUNTIF($A$2:A874,A874)=1,
    " ORIGINAL",
    "CONFLICTING DUPLICATE - REVIEW"),
"OK")</f>
        <v>OK</v>
      </c>
      <c r="Z874">
        <f t="shared" si="133"/>
        <v>0.05</v>
      </c>
      <c r="AA874">
        <f t="shared" si="134"/>
        <v>33719.22</v>
      </c>
      <c r="AB874">
        <f t="shared" si="135"/>
        <v>4794.79</v>
      </c>
      <c r="AC874">
        <f t="shared" si="136"/>
        <v>0.14219999999999999</v>
      </c>
      <c r="AD874">
        <f t="shared" si="137"/>
        <v>3</v>
      </c>
      <c r="AE874">
        <f t="shared" si="138"/>
        <v>2025</v>
      </c>
      <c r="AF874" t="str">
        <f t="shared" si="139"/>
        <v>CLEAN</v>
      </c>
    </row>
    <row r="875" spans="1:32">
      <c r="A875" t="s">
        <v>2546</v>
      </c>
      <c r="B875" s="10">
        <v>45763</v>
      </c>
      <c r="C875" s="10">
        <v>45764</v>
      </c>
      <c r="D875">
        <f t="shared" si="130"/>
        <v>1</v>
      </c>
      <c r="E875" t="str">
        <f t="shared" si="131"/>
        <v>OK</v>
      </c>
      <c r="F875" t="s">
        <v>2547</v>
      </c>
      <c r="G875" t="s">
        <v>70</v>
      </c>
      <c r="H875" t="s">
        <v>36</v>
      </c>
      <c r="I875" t="s">
        <v>24</v>
      </c>
      <c r="J875" t="s">
        <v>135</v>
      </c>
      <c r="K875" t="s">
        <v>136</v>
      </c>
      <c r="L875" t="s">
        <v>73</v>
      </c>
      <c r="M875" t="s">
        <v>273</v>
      </c>
      <c r="N875" t="s">
        <v>2548</v>
      </c>
      <c r="O875" t="s">
        <v>49</v>
      </c>
      <c r="P875">
        <v>1</v>
      </c>
      <c r="Q875">
        <v>2720.17</v>
      </c>
      <c r="R875">
        <v>0</v>
      </c>
      <c r="S875" t="str">
        <f t="shared" si="132"/>
        <v>OK</v>
      </c>
      <c r="T875">
        <v>2720.17</v>
      </c>
      <c r="U875">
        <v>1834.23</v>
      </c>
      <c r="V875">
        <v>885.94</v>
      </c>
      <c r="W875" t="s">
        <v>31</v>
      </c>
      <c r="X875" t="s">
        <v>32</v>
      </c>
      <c r="Y875" t="str">
        <f>IF(COUNTIF($A$2:$A$901,A875)&gt;1,
  IF(COUNTIF($A$2:A875,A875)=1,
    " ORIGINAL",
    "CONFLICTING DUPLICATE - REVIEW"),
"OK")</f>
        <v>OK</v>
      </c>
      <c r="Z875">
        <f t="shared" si="133"/>
        <v>0</v>
      </c>
      <c r="AA875">
        <f t="shared" si="134"/>
        <v>2720.17</v>
      </c>
      <c r="AB875">
        <f t="shared" si="135"/>
        <v>885.94</v>
      </c>
      <c r="AC875">
        <f t="shared" si="136"/>
        <v>0.32569999999999999</v>
      </c>
      <c r="AD875">
        <f t="shared" si="137"/>
        <v>4</v>
      </c>
      <c r="AE875">
        <f t="shared" si="138"/>
        <v>2025</v>
      </c>
      <c r="AF875" t="str">
        <f t="shared" si="139"/>
        <v>CLEAN</v>
      </c>
    </row>
    <row r="876" spans="1:32">
      <c r="A876" t="s">
        <v>2549</v>
      </c>
      <c r="B876" s="10">
        <v>45879</v>
      </c>
      <c r="C876" s="10">
        <v>45883</v>
      </c>
      <c r="D876">
        <f t="shared" si="130"/>
        <v>4</v>
      </c>
      <c r="E876" t="str">
        <f t="shared" si="131"/>
        <v>OK</v>
      </c>
      <c r="F876" t="s">
        <v>2550</v>
      </c>
      <c r="G876" t="s">
        <v>88</v>
      </c>
      <c r="H876" t="s">
        <v>23</v>
      </c>
      <c r="I876" t="s">
        <v>62</v>
      </c>
      <c r="J876" t="s">
        <v>25</v>
      </c>
      <c r="K876" t="s">
        <v>108</v>
      </c>
      <c r="L876" t="s">
        <v>73</v>
      </c>
      <c r="M876" t="s">
        <v>74</v>
      </c>
      <c r="N876" t="s">
        <v>2551</v>
      </c>
      <c r="O876" t="s">
        <v>58</v>
      </c>
      <c r="P876">
        <v>5</v>
      </c>
      <c r="Q876">
        <v>2190.14</v>
      </c>
      <c r="R876">
        <v>0.25</v>
      </c>
      <c r="S876" t="str">
        <f t="shared" si="132"/>
        <v>OK</v>
      </c>
      <c r="T876">
        <v>8213.02</v>
      </c>
      <c r="U876">
        <v>5569.3</v>
      </c>
      <c r="V876">
        <v>2643.72</v>
      </c>
      <c r="W876" t="s">
        <v>31</v>
      </c>
      <c r="X876" t="s">
        <v>32</v>
      </c>
      <c r="Y876" t="str">
        <f>IF(COUNTIF($A$2:$A$901,A876)&gt;1,
  IF(COUNTIF($A$2:A876,A876)=1,
    " ORIGINAL",
    "CONFLICTING DUPLICATE - REVIEW"),
"OK")</f>
        <v>OK</v>
      </c>
      <c r="Z876">
        <f t="shared" si="133"/>
        <v>0.25</v>
      </c>
      <c r="AA876">
        <f t="shared" si="134"/>
        <v>8213.0300000000007</v>
      </c>
      <c r="AB876">
        <f t="shared" si="135"/>
        <v>2643.73</v>
      </c>
      <c r="AC876">
        <f t="shared" si="136"/>
        <v>0.32190000000000002</v>
      </c>
      <c r="AD876">
        <f t="shared" si="137"/>
        <v>8</v>
      </c>
      <c r="AE876">
        <f t="shared" si="138"/>
        <v>2025</v>
      </c>
      <c r="AF876" t="str">
        <f t="shared" si="139"/>
        <v>CLEAN</v>
      </c>
    </row>
    <row r="877" spans="1:32">
      <c r="A877" t="s">
        <v>2555</v>
      </c>
      <c r="B877" s="10">
        <v>45940</v>
      </c>
      <c r="C877" s="10">
        <v>45971</v>
      </c>
      <c r="D877">
        <f t="shared" si="130"/>
        <v>31</v>
      </c>
      <c r="E877" t="str">
        <f t="shared" si="131"/>
        <v>OK</v>
      </c>
      <c r="F877" t="s">
        <v>2556</v>
      </c>
      <c r="G877" t="s">
        <v>22</v>
      </c>
      <c r="H877" t="s">
        <v>89</v>
      </c>
      <c r="I877" t="s">
        <v>37</v>
      </c>
      <c r="J877" t="s">
        <v>38</v>
      </c>
      <c r="K877" t="s">
        <v>39</v>
      </c>
      <c r="L877" t="s">
        <v>40</v>
      </c>
      <c r="M877" t="s">
        <v>65</v>
      </c>
      <c r="N877" t="s">
        <v>2557</v>
      </c>
      <c r="O877" t="s">
        <v>30</v>
      </c>
      <c r="P877">
        <v>7</v>
      </c>
      <c r="Q877">
        <v>3791.96</v>
      </c>
      <c r="R877">
        <v>0.05</v>
      </c>
      <c r="S877" t="str">
        <f t="shared" si="132"/>
        <v>OK</v>
      </c>
      <c r="T877">
        <v>25216.53</v>
      </c>
      <c r="U877">
        <v>14216.94</v>
      </c>
      <c r="V877">
        <v>10999.59</v>
      </c>
      <c r="W877" t="s">
        <v>154</v>
      </c>
      <c r="X877" t="s">
        <v>67</v>
      </c>
      <c r="Y877" t="str">
        <f>IF(COUNTIF($A$2:$A$901,A877)&gt;1,
  IF(COUNTIF($A$2:A877,A877)=1,
    " ORIGINAL",
    "CONFLICTING DUPLICATE - REVIEW"),
"OK")</f>
        <v>OK</v>
      </c>
      <c r="Z877">
        <f t="shared" si="133"/>
        <v>0.05</v>
      </c>
      <c r="AA877">
        <f t="shared" si="134"/>
        <v>25216.53</v>
      </c>
      <c r="AB877">
        <f t="shared" si="135"/>
        <v>10999.59</v>
      </c>
      <c r="AC877">
        <f t="shared" si="136"/>
        <v>0.43619999999999998</v>
      </c>
      <c r="AD877">
        <f t="shared" si="137"/>
        <v>10</v>
      </c>
      <c r="AE877">
        <f t="shared" si="138"/>
        <v>2025</v>
      </c>
      <c r="AF877" t="str">
        <f t="shared" si="139"/>
        <v>INVALID</v>
      </c>
    </row>
    <row r="878" spans="1:32">
      <c r="A878" t="s">
        <v>2561</v>
      </c>
      <c r="B878" s="10">
        <v>45853</v>
      </c>
      <c r="C878" s="10">
        <v>45856</v>
      </c>
      <c r="D878">
        <f t="shared" si="130"/>
        <v>3</v>
      </c>
      <c r="E878" t="str">
        <f t="shared" si="131"/>
        <v>OK</v>
      </c>
      <c r="F878" t="s">
        <v>2562</v>
      </c>
      <c r="G878" t="s">
        <v>88</v>
      </c>
      <c r="H878" t="s">
        <v>36</v>
      </c>
      <c r="I878" t="s">
        <v>2762</v>
      </c>
      <c r="J878" t="s">
        <v>246</v>
      </c>
      <c r="K878" t="s">
        <v>247</v>
      </c>
      <c r="L878" t="s">
        <v>73</v>
      </c>
      <c r="M878" t="s">
        <v>273</v>
      </c>
      <c r="N878" t="s">
        <v>2563</v>
      </c>
      <c r="O878" t="s">
        <v>49</v>
      </c>
      <c r="P878">
        <v>6</v>
      </c>
      <c r="Q878">
        <v>2382.88</v>
      </c>
      <c r="R878">
        <v>0.1</v>
      </c>
      <c r="S878" t="str">
        <f t="shared" si="132"/>
        <v>OK</v>
      </c>
      <c r="T878">
        <v>12867.55</v>
      </c>
      <c r="U878">
        <v>10068.94</v>
      </c>
      <c r="V878">
        <v>2798.61</v>
      </c>
      <c r="W878" t="s">
        <v>31</v>
      </c>
      <c r="X878" t="s">
        <v>32</v>
      </c>
      <c r="Y878" t="str">
        <f>IF(COUNTIF($A$2:$A$901,A878)&gt;1,
  IF(COUNTIF($A$2:A878,A878)=1,
    " ORIGINAL",
    "CONFLICTING DUPLICATE - REVIEW"),
"OK")</f>
        <v>OK</v>
      </c>
      <c r="Z878">
        <f t="shared" si="133"/>
        <v>0.1</v>
      </c>
      <c r="AA878">
        <f t="shared" si="134"/>
        <v>12867.55</v>
      </c>
      <c r="AB878">
        <f t="shared" si="135"/>
        <v>2798.61</v>
      </c>
      <c r="AC878">
        <f t="shared" si="136"/>
        <v>0.2175</v>
      </c>
      <c r="AD878">
        <f t="shared" si="137"/>
        <v>7</v>
      </c>
      <c r="AE878">
        <f t="shared" si="138"/>
        <v>2025</v>
      </c>
      <c r="AF878" t="str">
        <f t="shared" si="139"/>
        <v>WARNING</v>
      </c>
    </row>
    <row r="879" spans="1:32">
      <c r="A879" t="s">
        <v>2564</v>
      </c>
      <c r="B879" s="10">
        <v>45750</v>
      </c>
      <c r="C879" s="10">
        <v>45720</v>
      </c>
      <c r="D879">
        <f t="shared" si="130"/>
        <v>-30</v>
      </c>
      <c r="E879" t="str">
        <f t="shared" si="131"/>
        <v>INVALID</v>
      </c>
      <c r="F879" t="s">
        <v>2565</v>
      </c>
      <c r="G879" t="s">
        <v>161</v>
      </c>
      <c r="H879" t="s">
        <v>94</v>
      </c>
      <c r="I879" t="s">
        <v>2762</v>
      </c>
      <c r="J879" t="s">
        <v>235</v>
      </c>
      <c r="K879" t="s">
        <v>236</v>
      </c>
      <c r="L879" t="s">
        <v>40</v>
      </c>
      <c r="M879" t="s">
        <v>65</v>
      </c>
      <c r="N879" t="s">
        <v>2566</v>
      </c>
      <c r="O879" t="s">
        <v>49</v>
      </c>
      <c r="P879">
        <v>9</v>
      </c>
      <c r="Q879">
        <v>3462.7</v>
      </c>
      <c r="R879">
        <v>0.15</v>
      </c>
      <c r="S879" t="str">
        <f t="shared" si="132"/>
        <v>OK</v>
      </c>
      <c r="T879">
        <v>26489.65</v>
      </c>
      <c r="U879">
        <v>15818.46</v>
      </c>
      <c r="V879">
        <v>10671.19</v>
      </c>
      <c r="W879" t="s">
        <v>154</v>
      </c>
      <c r="X879" t="s">
        <v>102</v>
      </c>
      <c r="Y879" t="str">
        <f>IF(COUNTIF($A$2:$A$901,A879)&gt;1,
  IF(COUNTIF($A$2:A879,A879)=1,
    " ORIGINAL",
    "CONFLICTING DUPLICATE - REVIEW"),
"OK")</f>
        <v>OK</v>
      </c>
      <c r="Z879">
        <f t="shared" si="133"/>
        <v>0.15</v>
      </c>
      <c r="AA879">
        <f t="shared" si="134"/>
        <v>26489.66</v>
      </c>
      <c r="AB879">
        <f t="shared" si="135"/>
        <v>10671.2</v>
      </c>
      <c r="AC879">
        <f t="shared" si="136"/>
        <v>0.40279999999999999</v>
      </c>
      <c r="AD879">
        <f t="shared" si="137"/>
        <v>4</v>
      </c>
      <c r="AE879">
        <f t="shared" si="138"/>
        <v>2025</v>
      </c>
      <c r="AF879" t="str">
        <f t="shared" si="139"/>
        <v>INVALID</v>
      </c>
    </row>
    <row r="880" spans="1:32">
      <c r="A880" t="s">
        <v>2567</v>
      </c>
      <c r="B880" s="10">
        <v>45803</v>
      </c>
      <c r="C880" s="10">
        <v>45805</v>
      </c>
      <c r="D880">
        <f t="shared" si="130"/>
        <v>2</v>
      </c>
      <c r="E880" t="str">
        <f t="shared" si="131"/>
        <v>OK</v>
      </c>
      <c r="F880" t="s">
        <v>2568</v>
      </c>
      <c r="G880" t="s">
        <v>263</v>
      </c>
      <c r="H880" t="s">
        <v>36</v>
      </c>
      <c r="I880" t="s">
        <v>53</v>
      </c>
      <c r="J880" t="s">
        <v>83</v>
      </c>
      <c r="K880" t="s">
        <v>84</v>
      </c>
      <c r="L880" t="s">
        <v>73</v>
      </c>
      <c r="M880" t="s">
        <v>170</v>
      </c>
      <c r="N880" t="s">
        <v>2569</v>
      </c>
      <c r="O880" t="s">
        <v>30</v>
      </c>
      <c r="P880">
        <v>9</v>
      </c>
      <c r="Q880">
        <v>4302.0200000000004</v>
      </c>
      <c r="R880">
        <v>0.05</v>
      </c>
      <c r="S880" t="str">
        <f t="shared" si="132"/>
        <v>OK</v>
      </c>
      <c r="T880">
        <v>36782.269999999997</v>
      </c>
      <c r="U880">
        <v>25902.81</v>
      </c>
      <c r="V880">
        <v>10879.46</v>
      </c>
      <c r="W880" t="s">
        <v>31</v>
      </c>
      <c r="X880" t="s">
        <v>32</v>
      </c>
      <c r="Y880" t="str">
        <f>IF(COUNTIF($A$2:$A$901,A880)&gt;1,
  IF(COUNTIF($A$2:A880,A880)=1,
    " ORIGINAL",
    "CONFLICTING DUPLICATE - REVIEW"),
"OK")</f>
        <v>OK</v>
      </c>
      <c r="Z880">
        <f t="shared" si="133"/>
        <v>0.05</v>
      </c>
      <c r="AA880">
        <f t="shared" si="134"/>
        <v>36782.269999999997</v>
      </c>
      <c r="AB880">
        <f t="shared" si="135"/>
        <v>10879.46</v>
      </c>
      <c r="AC880">
        <f t="shared" si="136"/>
        <v>0.29580000000000001</v>
      </c>
      <c r="AD880">
        <f t="shared" si="137"/>
        <v>5</v>
      </c>
      <c r="AE880">
        <f t="shared" si="138"/>
        <v>2025</v>
      </c>
      <c r="AF880" t="str">
        <f t="shared" si="139"/>
        <v>CLEAN</v>
      </c>
    </row>
    <row r="881" spans="1:32">
      <c r="A881" t="s">
        <v>2576</v>
      </c>
      <c r="B881" s="10">
        <v>45926</v>
      </c>
      <c r="C881" s="10">
        <v>45757</v>
      </c>
      <c r="D881">
        <f t="shared" si="130"/>
        <v>-169</v>
      </c>
      <c r="E881" t="str">
        <f t="shared" si="131"/>
        <v>INVALID</v>
      </c>
      <c r="F881" t="s">
        <v>2577</v>
      </c>
      <c r="G881" t="s">
        <v>113</v>
      </c>
      <c r="H881" t="s">
        <v>36</v>
      </c>
      <c r="I881" t="s">
        <v>37</v>
      </c>
      <c r="J881" t="s">
        <v>165</v>
      </c>
      <c r="K881" t="s">
        <v>166</v>
      </c>
      <c r="L881" t="s">
        <v>73</v>
      </c>
      <c r="M881" t="s">
        <v>170</v>
      </c>
      <c r="N881" t="s">
        <v>2578</v>
      </c>
      <c r="O881" t="s">
        <v>30</v>
      </c>
      <c r="P881">
        <v>7</v>
      </c>
      <c r="Q881">
        <v>1509.59</v>
      </c>
      <c r="R881">
        <v>0.05</v>
      </c>
      <c r="S881" t="str">
        <f t="shared" si="132"/>
        <v>OK</v>
      </c>
      <c r="T881">
        <v>10038.77</v>
      </c>
      <c r="U881">
        <v>5673.1</v>
      </c>
      <c r="V881">
        <v>4365.67</v>
      </c>
      <c r="W881" t="s">
        <v>31</v>
      </c>
      <c r="X881" t="s">
        <v>32</v>
      </c>
      <c r="Y881" t="str">
        <f>IF(COUNTIF($A$2:$A$901,A881)&gt;1,
  IF(COUNTIF($A$2:A881,A881)=1,
    " ORIGINAL",
    "CONFLICTING DUPLICATE - REVIEW"),
"OK")</f>
        <v>OK</v>
      </c>
      <c r="Z881">
        <f t="shared" si="133"/>
        <v>0.05</v>
      </c>
      <c r="AA881">
        <f t="shared" si="134"/>
        <v>10038.77</v>
      </c>
      <c r="AB881">
        <f t="shared" si="135"/>
        <v>4365.67</v>
      </c>
      <c r="AC881">
        <f t="shared" si="136"/>
        <v>0.43490000000000001</v>
      </c>
      <c r="AD881">
        <f t="shared" si="137"/>
        <v>9</v>
      </c>
      <c r="AE881">
        <f t="shared" si="138"/>
        <v>2025</v>
      </c>
      <c r="AF881" t="str">
        <f t="shared" si="139"/>
        <v>INVALID</v>
      </c>
    </row>
    <row r="882" spans="1:32">
      <c r="A882" t="s">
        <v>2582</v>
      </c>
      <c r="B882" s="10">
        <v>45927</v>
      </c>
      <c r="C882" s="10">
        <v>45928</v>
      </c>
      <c r="D882">
        <f t="shared" si="130"/>
        <v>1</v>
      </c>
      <c r="E882" t="str">
        <f t="shared" si="131"/>
        <v>OK</v>
      </c>
      <c r="F882" t="s">
        <v>2583</v>
      </c>
      <c r="G882" t="s">
        <v>22</v>
      </c>
      <c r="H882" t="s">
        <v>94</v>
      </c>
      <c r="I882" t="s">
        <v>62</v>
      </c>
      <c r="J882" t="s">
        <v>63</v>
      </c>
      <c r="K882" t="s">
        <v>64</v>
      </c>
      <c r="L882" t="s">
        <v>27</v>
      </c>
      <c r="M882" t="s">
        <v>28</v>
      </c>
      <c r="N882" t="s">
        <v>2584</v>
      </c>
      <c r="O882" t="s">
        <v>49</v>
      </c>
      <c r="P882">
        <v>3</v>
      </c>
      <c r="Q882">
        <v>4177.63</v>
      </c>
      <c r="R882">
        <v>0.25</v>
      </c>
      <c r="S882" t="str">
        <f t="shared" si="132"/>
        <v>OK</v>
      </c>
      <c r="T882">
        <v>9399.67</v>
      </c>
      <c r="U882">
        <v>6540.37</v>
      </c>
      <c r="V882">
        <v>2859.3</v>
      </c>
      <c r="W882" t="s">
        <v>31</v>
      </c>
      <c r="X882" t="s">
        <v>32</v>
      </c>
      <c r="Y882" t="str">
        <f>IF(COUNTIF($A$2:$A$901,A882)&gt;1,
  IF(COUNTIF($A$2:A882,A882)=1,
    " ORIGINAL",
    "CONFLICTING DUPLICATE - REVIEW"),
"OK")</f>
        <v>OK</v>
      </c>
      <c r="Z882">
        <f t="shared" si="133"/>
        <v>0.25</v>
      </c>
      <c r="AA882">
        <f t="shared" si="134"/>
        <v>9399.67</v>
      </c>
      <c r="AB882">
        <f t="shared" si="135"/>
        <v>2859.3</v>
      </c>
      <c r="AC882">
        <f t="shared" si="136"/>
        <v>0.30420000000000003</v>
      </c>
      <c r="AD882">
        <f t="shared" si="137"/>
        <v>9</v>
      </c>
      <c r="AE882">
        <f t="shared" si="138"/>
        <v>2025</v>
      </c>
      <c r="AF882" t="str">
        <f t="shared" si="139"/>
        <v>CLEAN</v>
      </c>
    </row>
    <row r="883" spans="1:32">
      <c r="A883" t="s">
        <v>2585</v>
      </c>
      <c r="B883" s="10">
        <v>45750</v>
      </c>
      <c r="C883" s="10">
        <v>45754</v>
      </c>
      <c r="D883">
        <f t="shared" si="130"/>
        <v>4</v>
      </c>
      <c r="E883" t="str">
        <f t="shared" si="131"/>
        <v>OK</v>
      </c>
      <c r="F883" t="s">
        <v>2586</v>
      </c>
      <c r="G883" t="s">
        <v>61</v>
      </c>
      <c r="H883" t="s">
        <v>36</v>
      </c>
      <c r="I883" t="s">
        <v>62</v>
      </c>
      <c r="J883" t="s">
        <v>189</v>
      </c>
      <c r="K883" t="s">
        <v>190</v>
      </c>
      <c r="L883" t="s">
        <v>27</v>
      </c>
      <c r="M883" t="s">
        <v>28</v>
      </c>
      <c r="N883" t="s">
        <v>2587</v>
      </c>
      <c r="O883" t="s">
        <v>43</v>
      </c>
      <c r="P883">
        <v>1</v>
      </c>
      <c r="Q883">
        <v>1470.57</v>
      </c>
      <c r="R883">
        <v>0</v>
      </c>
      <c r="S883" t="str">
        <f t="shared" si="132"/>
        <v>OK</v>
      </c>
      <c r="T883">
        <v>1470.57</v>
      </c>
      <c r="U883">
        <v>834.02</v>
      </c>
      <c r="V883">
        <v>636.54999999999995</v>
      </c>
      <c r="W883" t="s">
        <v>31</v>
      </c>
      <c r="X883" t="s">
        <v>102</v>
      </c>
      <c r="Y883" t="str">
        <f>IF(COUNTIF($A$2:$A$901,A883)&gt;1,
  IF(COUNTIF($A$2:A883,A883)=1,
    " ORIGINAL",
    "CONFLICTING DUPLICATE - REVIEW"),
"OK")</f>
        <v>OK</v>
      </c>
      <c r="Z883">
        <f t="shared" si="133"/>
        <v>0</v>
      </c>
      <c r="AA883">
        <f t="shared" si="134"/>
        <v>1470.57</v>
      </c>
      <c r="AB883">
        <f t="shared" si="135"/>
        <v>636.54999999999995</v>
      </c>
      <c r="AC883">
        <f t="shared" si="136"/>
        <v>0.43290000000000001</v>
      </c>
      <c r="AD883">
        <f t="shared" si="137"/>
        <v>4</v>
      </c>
      <c r="AE883">
        <f t="shared" si="138"/>
        <v>2025</v>
      </c>
      <c r="AF883" t="str">
        <f t="shared" si="139"/>
        <v>CLEAN</v>
      </c>
    </row>
    <row r="884" spans="1:32">
      <c r="A884" t="s">
        <v>2591</v>
      </c>
      <c r="B884" s="10">
        <v>45919</v>
      </c>
      <c r="C884" s="10">
        <v>45919</v>
      </c>
      <c r="D884">
        <f t="shared" si="130"/>
        <v>0</v>
      </c>
      <c r="E884" t="str">
        <f t="shared" si="131"/>
        <v>OK</v>
      </c>
      <c r="F884" t="s">
        <v>2592</v>
      </c>
      <c r="G884" t="s">
        <v>78</v>
      </c>
      <c r="H884" t="s">
        <v>94</v>
      </c>
      <c r="I884" t="s">
        <v>24</v>
      </c>
      <c r="J884" t="s">
        <v>349</v>
      </c>
      <c r="K884" t="s">
        <v>350</v>
      </c>
      <c r="L884" t="s">
        <v>40</v>
      </c>
      <c r="M884" t="s">
        <v>65</v>
      </c>
      <c r="N884" t="s">
        <v>2593</v>
      </c>
      <c r="O884" t="s">
        <v>43</v>
      </c>
      <c r="P884">
        <v>4</v>
      </c>
      <c r="Q884">
        <v>1584.11</v>
      </c>
      <c r="R884">
        <v>0</v>
      </c>
      <c r="S884" t="str">
        <f t="shared" si="132"/>
        <v>OK</v>
      </c>
      <c r="T884">
        <v>6336.44</v>
      </c>
      <c r="U884">
        <v>4680.68</v>
      </c>
      <c r="V884">
        <v>1655.76</v>
      </c>
      <c r="W884" t="s">
        <v>31</v>
      </c>
      <c r="X884" t="s">
        <v>32</v>
      </c>
      <c r="Y884" t="str">
        <f>IF(COUNTIF($A$2:$A$901,A884)&gt;1,
  IF(COUNTIF($A$2:A884,A884)=1,
    " ORIGINAL",
    "CONFLICTING DUPLICATE - REVIEW"),
"OK")</f>
        <v>OK</v>
      </c>
      <c r="Z884">
        <f t="shared" si="133"/>
        <v>0</v>
      </c>
      <c r="AA884">
        <f t="shared" si="134"/>
        <v>6336.44</v>
      </c>
      <c r="AB884">
        <f t="shared" si="135"/>
        <v>1655.76</v>
      </c>
      <c r="AC884">
        <f t="shared" si="136"/>
        <v>0.26129999999999998</v>
      </c>
      <c r="AD884">
        <f t="shared" si="137"/>
        <v>9</v>
      </c>
      <c r="AE884">
        <f t="shared" si="138"/>
        <v>2025</v>
      </c>
      <c r="AF884" t="str">
        <f t="shared" si="139"/>
        <v>CLEAN</v>
      </c>
    </row>
    <row r="885" spans="1:32">
      <c r="A885" t="s">
        <v>2594</v>
      </c>
      <c r="B885" s="10">
        <v>45694</v>
      </c>
      <c r="C885" s="10">
        <v>45700</v>
      </c>
      <c r="D885">
        <f t="shared" si="130"/>
        <v>6</v>
      </c>
      <c r="E885" t="str">
        <f t="shared" si="131"/>
        <v>OK</v>
      </c>
      <c r="F885" t="s">
        <v>2595</v>
      </c>
      <c r="G885" t="s">
        <v>61</v>
      </c>
      <c r="H885" t="s">
        <v>36</v>
      </c>
      <c r="I885" t="s">
        <v>37</v>
      </c>
      <c r="J885" t="s">
        <v>144</v>
      </c>
      <c r="K885" t="s">
        <v>145</v>
      </c>
      <c r="L885" t="s">
        <v>27</v>
      </c>
      <c r="M885" t="s">
        <v>47</v>
      </c>
      <c r="N885" t="s">
        <v>2596</v>
      </c>
      <c r="O885" t="s">
        <v>58</v>
      </c>
      <c r="P885">
        <v>9</v>
      </c>
      <c r="Q885">
        <v>3237.16</v>
      </c>
      <c r="R885">
        <v>0.25</v>
      </c>
      <c r="S885" t="str">
        <f t="shared" si="132"/>
        <v>OK</v>
      </c>
      <c r="T885">
        <v>21850.83</v>
      </c>
      <c r="U885">
        <v>16600.13</v>
      </c>
      <c r="V885">
        <v>5250.7</v>
      </c>
      <c r="W885" t="s">
        <v>31</v>
      </c>
      <c r="X885" t="s">
        <v>32</v>
      </c>
      <c r="Y885" t="str">
        <f>IF(COUNTIF($A$2:$A$901,A885)&gt;1,
  IF(COUNTIF($A$2:A885,A885)=1,
    " ORIGINAL",
    "CONFLICTING DUPLICATE - REVIEW"),
"OK")</f>
        <v>OK</v>
      </c>
      <c r="Z885">
        <f t="shared" si="133"/>
        <v>0.25</v>
      </c>
      <c r="AA885">
        <f t="shared" si="134"/>
        <v>21850.83</v>
      </c>
      <c r="AB885">
        <f t="shared" si="135"/>
        <v>5250.7</v>
      </c>
      <c r="AC885">
        <f t="shared" si="136"/>
        <v>0.24030000000000001</v>
      </c>
      <c r="AD885">
        <f t="shared" si="137"/>
        <v>2</v>
      </c>
      <c r="AE885">
        <f t="shared" si="138"/>
        <v>2025</v>
      </c>
      <c r="AF885" t="str">
        <f t="shared" si="139"/>
        <v>CLEAN</v>
      </c>
    </row>
    <row r="886" spans="1:32">
      <c r="A886" t="s">
        <v>2600</v>
      </c>
      <c r="B886" s="10">
        <v>45856</v>
      </c>
      <c r="C886" s="10">
        <v>45863</v>
      </c>
      <c r="D886">
        <f t="shared" si="130"/>
        <v>7</v>
      </c>
      <c r="E886" t="str">
        <f t="shared" si="131"/>
        <v>OK</v>
      </c>
      <c r="F886" t="s">
        <v>2601</v>
      </c>
      <c r="G886" t="s">
        <v>113</v>
      </c>
      <c r="H886" t="s">
        <v>36</v>
      </c>
      <c r="I886" t="s">
        <v>24</v>
      </c>
      <c r="J886" t="s">
        <v>135</v>
      </c>
      <c r="K886" t="s">
        <v>136</v>
      </c>
      <c r="L886" t="s">
        <v>73</v>
      </c>
      <c r="M886" t="s">
        <v>170</v>
      </c>
      <c r="N886" t="s">
        <v>2602</v>
      </c>
      <c r="O886" t="s">
        <v>49</v>
      </c>
      <c r="P886">
        <v>9</v>
      </c>
      <c r="Q886">
        <v>3989.52</v>
      </c>
      <c r="R886">
        <v>-0.02</v>
      </c>
      <c r="S886" t="str">
        <f t="shared" si="132"/>
        <v>INVALID-NEGATIVE</v>
      </c>
      <c r="T886">
        <v>35905.68</v>
      </c>
      <c r="U886">
        <v>23916.1</v>
      </c>
      <c r="V886">
        <v>11989.58</v>
      </c>
      <c r="W886" t="s">
        <v>31</v>
      </c>
      <c r="X886" t="s">
        <v>32</v>
      </c>
      <c r="Y886" t="str">
        <f>IF(COUNTIF($A$2:$A$901,A886)&gt;1,
  IF(COUNTIF($A$2:A886,A886)=1,
    " ORIGINAL",
    "CONFLICTING DUPLICATE - REVIEW"),
"OK")</f>
        <v>OK</v>
      </c>
      <c r="Z886">
        <f t="shared" si="133"/>
        <v>0</v>
      </c>
      <c r="AA886">
        <f t="shared" si="134"/>
        <v>35905.68</v>
      </c>
      <c r="AB886">
        <f t="shared" si="135"/>
        <v>11989.58</v>
      </c>
      <c r="AC886">
        <f t="shared" si="136"/>
        <v>0.33389999999999997</v>
      </c>
      <c r="AD886">
        <f t="shared" si="137"/>
        <v>7</v>
      </c>
      <c r="AE886">
        <f t="shared" si="138"/>
        <v>2025</v>
      </c>
      <c r="AF886" t="str">
        <f t="shared" si="139"/>
        <v>INVALID</v>
      </c>
    </row>
    <row r="887" spans="1:32">
      <c r="A887" t="s">
        <v>2603</v>
      </c>
      <c r="B887" s="10">
        <v>45677</v>
      </c>
      <c r="C887" s="10">
        <v>45682</v>
      </c>
      <c r="D887">
        <f t="shared" si="130"/>
        <v>5</v>
      </c>
      <c r="E887" t="str">
        <f t="shared" si="131"/>
        <v>OK</v>
      </c>
      <c r="F887" t="s">
        <v>2604</v>
      </c>
      <c r="G887" t="s">
        <v>88</v>
      </c>
      <c r="H887" t="s">
        <v>94</v>
      </c>
      <c r="I887" t="s">
        <v>62</v>
      </c>
      <c r="J887" t="s">
        <v>189</v>
      </c>
      <c r="K887" t="s">
        <v>190</v>
      </c>
      <c r="L887" t="s">
        <v>27</v>
      </c>
      <c r="M887" t="s">
        <v>47</v>
      </c>
      <c r="N887" t="s">
        <v>2605</v>
      </c>
      <c r="O887" t="s">
        <v>49</v>
      </c>
      <c r="P887">
        <v>1</v>
      </c>
      <c r="Q887">
        <v>3515.15</v>
      </c>
      <c r="R887">
        <v>0</v>
      </c>
      <c r="S887" t="str">
        <f t="shared" si="132"/>
        <v>OK</v>
      </c>
      <c r="T887">
        <v>3515.15</v>
      </c>
      <c r="U887">
        <v>2216.34</v>
      </c>
      <c r="V887">
        <v>1298.81</v>
      </c>
      <c r="W887" t="s">
        <v>31</v>
      </c>
      <c r="X887" t="s">
        <v>32</v>
      </c>
      <c r="Y887" t="str">
        <f>IF(COUNTIF($A$2:$A$901,A887)&gt;1,
  IF(COUNTIF($A$2:A887,A887)=1,
    " ORIGINAL",
    "CONFLICTING DUPLICATE - REVIEW"),
"OK")</f>
        <v>OK</v>
      </c>
      <c r="Z887">
        <f t="shared" si="133"/>
        <v>0</v>
      </c>
      <c r="AA887">
        <f t="shared" si="134"/>
        <v>3515.15</v>
      </c>
      <c r="AB887">
        <f t="shared" si="135"/>
        <v>1298.81</v>
      </c>
      <c r="AC887">
        <f t="shared" si="136"/>
        <v>0.3695</v>
      </c>
      <c r="AD887">
        <f t="shared" si="137"/>
        <v>1</v>
      </c>
      <c r="AE887">
        <f t="shared" si="138"/>
        <v>2025</v>
      </c>
      <c r="AF887" t="str">
        <f t="shared" si="139"/>
        <v>CLEAN</v>
      </c>
    </row>
    <row r="888" spans="1:32">
      <c r="A888" t="s">
        <v>2611</v>
      </c>
      <c r="B888" s="10">
        <v>45797</v>
      </c>
      <c r="C888" s="10">
        <v>45799</v>
      </c>
      <c r="D888">
        <f t="shared" si="130"/>
        <v>2</v>
      </c>
      <c r="E888" t="str">
        <f t="shared" si="131"/>
        <v>OK</v>
      </c>
      <c r="F888" t="s">
        <v>2612</v>
      </c>
      <c r="G888" t="s">
        <v>161</v>
      </c>
      <c r="H888" t="s">
        <v>94</v>
      </c>
      <c r="I888" t="s">
        <v>37</v>
      </c>
      <c r="J888" t="s">
        <v>38</v>
      </c>
      <c r="K888" t="s">
        <v>39</v>
      </c>
      <c r="L888" t="s">
        <v>40</v>
      </c>
      <c r="M888" t="s">
        <v>41</v>
      </c>
      <c r="N888" t="s">
        <v>2613</v>
      </c>
      <c r="O888" t="s">
        <v>30</v>
      </c>
      <c r="P888">
        <v>2</v>
      </c>
      <c r="Q888">
        <v>210.08</v>
      </c>
      <c r="R888">
        <v>0.2</v>
      </c>
      <c r="S888" t="str">
        <f t="shared" si="132"/>
        <v>OK</v>
      </c>
      <c r="T888">
        <v>336.13</v>
      </c>
      <c r="U888">
        <v>242.19</v>
      </c>
      <c r="V888">
        <v>93.94</v>
      </c>
      <c r="W888" t="s">
        <v>31</v>
      </c>
      <c r="X888" t="s">
        <v>32</v>
      </c>
      <c r="Y888" t="str">
        <f>IF(COUNTIF($A$2:$A$901,A888)&gt;1,
  IF(COUNTIF($A$2:A888,A888)=1,
    " ORIGINAL",
    "CONFLICTING DUPLICATE - REVIEW"),
"OK")</f>
        <v>OK</v>
      </c>
      <c r="Z888">
        <f t="shared" si="133"/>
        <v>0.2</v>
      </c>
      <c r="AA888">
        <f t="shared" si="134"/>
        <v>336.13</v>
      </c>
      <c r="AB888">
        <f t="shared" si="135"/>
        <v>93.94</v>
      </c>
      <c r="AC888">
        <f t="shared" si="136"/>
        <v>0.27950000000000003</v>
      </c>
      <c r="AD888">
        <f t="shared" si="137"/>
        <v>5</v>
      </c>
      <c r="AE888">
        <f t="shared" si="138"/>
        <v>2025</v>
      </c>
      <c r="AF888" t="str">
        <f t="shared" si="139"/>
        <v>CLEAN</v>
      </c>
    </row>
    <row r="889" spans="1:32">
      <c r="A889" t="s">
        <v>2614</v>
      </c>
      <c r="B889" s="10">
        <v>45804</v>
      </c>
      <c r="C889" s="10">
        <v>45806</v>
      </c>
      <c r="D889">
        <f t="shared" si="130"/>
        <v>2</v>
      </c>
      <c r="E889" t="str">
        <f t="shared" si="131"/>
        <v>OK</v>
      </c>
      <c r="F889" t="s">
        <v>2615</v>
      </c>
      <c r="G889" t="s">
        <v>117</v>
      </c>
      <c r="H889" t="s">
        <v>94</v>
      </c>
      <c r="I889" t="s">
        <v>53</v>
      </c>
      <c r="J889" t="s">
        <v>246</v>
      </c>
      <c r="K889" t="s">
        <v>247</v>
      </c>
      <c r="L889" t="s">
        <v>40</v>
      </c>
      <c r="M889" t="s">
        <v>56</v>
      </c>
      <c r="N889" t="s">
        <v>2616</v>
      </c>
      <c r="O889" t="s">
        <v>30</v>
      </c>
      <c r="P889">
        <v>1</v>
      </c>
      <c r="Q889">
        <v>1744.35</v>
      </c>
      <c r="R889">
        <v>0.25</v>
      </c>
      <c r="S889" t="str">
        <f t="shared" si="132"/>
        <v>OK</v>
      </c>
      <c r="T889">
        <v>1308.26</v>
      </c>
      <c r="U889">
        <v>1083.56</v>
      </c>
      <c r="V889">
        <v>224.7</v>
      </c>
      <c r="W889" t="s">
        <v>31</v>
      </c>
      <c r="X889" t="s">
        <v>32</v>
      </c>
      <c r="Y889" t="str">
        <f>IF(COUNTIF($A$2:$A$901,A889)&gt;1,
  IF(COUNTIF($A$2:A889,A889)=1,
    " ORIGINAL",
    "CONFLICTING DUPLICATE - REVIEW"),
"OK")</f>
        <v>OK</v>
      </c>
      <c r="Z889">
        <f t="shared" si="133"/>
        <v>0.25</v>
      </c>
      <c r="AA889">
        <f t="shared" si="134"/>
        <v>1308.26</v>
      </c>
      <c r="AB889">
        <f t="shared" si="135"/>
        <v>224.7</v>
      </c>
      <c r="AC889">
        <f t="shared" si="136"/>
        <v>0.17180000000000001</v>
      </c>
      <c r="AD889">
        <f t="shared" si="137"/>
        <v>5</v>
      </c>
      <c r="AE889">
        <f t="shared" si="138"/>
        <v>2025</v>
      </c>
      <c r="AF889" t="str">
        <f t="shared" si="139"/>
        <v>CLEAN</v>
      </c>
    </row>
    <row r="890" spans="1:32">
      <c r="A890" t="s">
        <v>2629</v>
      </c>
      <c r="B890" s="10">
        <v>45793</v>
      </c>
      <c r="C890" s="10">
        <v>45799</v>
      </c>
      <c r="D890">
        <f t="shared" si="130"/>
        <v>6</v>
      </c>
      <c r="E890" t="str">
        <f t="shared" si="131"/>
        <v>OK</v>
      </c>
      <c r="F890" t="s">
        <v>2630</v>
      </c>
      <c r="G890" t="s">
        <v>52</v>
      </c>
      <c r="H890" t="s">
        <v>89</v>
      </c>
      <c r="I890" t="s">
        <v>53</v>
      </c>
      <c r="J890" t="s">
        <v>246</v>
      </c>
      <c r="K890" t="s">
        <v>247</v>
      </c>
      <c r="L890" t="s">
        <v>73</v>
      </c>
      <c r="M890" t="s">
        <v>74</v>
      </c>
      <c r="N890" t="s">
        <v>2631</v>
      </c>
      <c r="O890" t="s">
        <v>43</v>
      </c>
      <c r="P890">
        <v>8</v>
      </c>
      <c r="Q890">
        <v>579.79999999999995</v>
      </c>
      <c r="R890">
        <v>0.2</v>
      </c>
      <c r="S890" t="str">
        <f t="shared" si="132"/>
        <v>OK</v>
      </c>
      <c r="T890">
        <v>3710.72</v>
      </c>
      <c r="U890">
        <v>3115.29</v>
      </c>
      <c r="V890">
        <v>595.42999999999995</v>
      </c>
      <c r="W890" t="s">
        <v>31</v>
      </c>
      <c r="X890" t="s">
        <v>32</v>
      </c>
      <c r="Y890" t="str">
        <f>IF(COUNTIF($A$2:$A$901,A890)&gt;1,
  IF(COUNTIF($A$2:A890,A890)=1,
    " ORIGINAL",
    "CONFLICTING DUPLICATE - REVIEW"),
"OK")</f>
        <v>OK</v>
      </c>
      <c r="Z890">
        <f t="shared" si="133"/>
        <v>0.2</v>
      </c>
      <c r="AA890">
        <f t="shared" si="134"/>
        <v>3710.72</v>
      </c>
      <c r="AB890">
        <f t="shared" si="135"/>
        <v>595.42999999999995</v>
      </c>
      <c r="AC890">
        <f t="shared" si="136"/>
        <v>0.1605</v>
      </c>
      <c r="AD890">
        <f t="shared" si="137"/>
        <v>5</v>
      </c>
      <c r="AE890">
        <f t="shared" si="138"/>
        <v>2025</v>
      </c>
      <c r="AF890" t="str">
        <f t="shared" si="139"/>
        <v>CLEAN</v>
      </c>
    </row>
    <row r="891" spans="1:32">
      <c r="A891" t="s">
        <v>2632</v>
      </c>
      <c r="B891" s="10">
        <v>45741</v>
      </c>
      <c r="C891" s="10">
        <v>45749</v>
      </c>
      <c r="D891">
        <f t="shared" si="130"/>
        <v>8</v>
      </c>
      <c r="E891" t="str">
        <f t="shared" si="131"/>
        <v>OK</v>
      </c>
      <c r="F891" t="s">
        <v>2633</v>
      </c>
      <c r="G891" t="s">
        <v>113</v>
      </c>
      <c r="H891" t="s">
        <v>23</v>
      </c>
      <c r="I891" t="s">
        <v>53</v>
      </c>
      <c r="J891" t="s">
        <v>174</v>
      </c>
      <c r="K891" t="s">
        <v>175</v>
      </c>
      <c r="L891" t="s">
        <v>40</v>
      </c>
      <c r="M891" t="s">
        <v>157</v>
      </c>
      <c r="N891" t="s">
        <v>2634</v>
      </c>
      <c r="O891" t="s">
        <v>30</v>
      </c>
      <c r="P891">
        <v>4</v>
      </c>
      <c r="Q891">
        <v>2233.64</v>
      </c>
      <c r="R891">
        <v>0.05</v>
      </c>
      <c r="S891" t="str">
        <f t="shared" si="132"/>
        <v>OK</v>
      </c>
      <c r="T891">
        <v>8487.83</v>
      </c>
      <c r="U891">
        <v>5245.72</v>
      </c>
      <c r="V891">
        <v>3242.11</v>
      </c>
      <c r="W891" t="s">
        <v>31</v>
      </c>
      <c r="X891" t="s">
        <v>32</v>
      </c>
      <c r="Y891" t="str">
        <f>IF(COUNTIF($A$2:$A$901,A891)&gt;1,
  IF(COUNTIF($A$2:A891,A891)=1,
    " ORIGINAL",
    "CONFLICTING DUPLICATE - REVIEW"),
"OK")</f>
        <v>OK</v>
      </c>
      <c r="Z891">
        <f t="shared" si="133"/>
        <v>0.05</v>
      </c>
      <c r="AA891">
        <f t="shared" si="134"/>
        <v>8487.83</v>
      </c>
      <c r="AB891">
        <f t="shared" si="135"/>
        <v>3242.11</v>
      </c>
      <c r="AC891">
        <f t="shared" si="136"/>
        <v>0.38200000000000001</v>
      </c>
      <c r="AD891">
        <f t="shared" si="137"/>
        <v>3</v>
      </c>
      <c r="AE891">
        <f t="shared" si="138"/>
        <v>2025</v>
      </c>
      <c r="AF891" t="str">
        <f t="shared" si="139"/>
        <v>CLEAN</v>
      </c>
    </row>
    <row r="892" spans="1:32">
      <c r="A892" t="s">
        <v>2650</v>
      </c>
      <c r="B892" s="10">
        <v>45724</v>
      </c>
      <c r="C892" s="10">
        <v>45725</v>
      </c>
      <c r="D892">
        <f t="shared" si="130"/>
        <v>1</v>
      </c>
      <c r="E892" t="str">
        <f t="shared" si="131"/>
        <v>OK</v>
      </c>
      <c r="F892" t="s">
        <v>2651</v>
      </c>
      <c r="G892" t="s">
        <v>113</v>
      </c>
      <c r="H892" t="s">
        <v>94</v>
      </c>
      <c r="I892" t="s">
        <v>24</v>
      </c>
      <c r="J892" t="s">
        <v>349</v>
      </c>
      <c r="K892" t="s">
        <v>350</v>
      </c>
      <c r="L892" t="s">
        <v>40</v>
      </c>
      <c r="M892" t="s">
        <v>56</v>
      </c>
      <c r="N892" t="s">
        <v>2652</v>
      </c>
      <c r="O892" t="s">
        <v>43</v>
      </c>
      <c r="P892">
        <v>4</v>
      </c>
      <c r="Q892">
        <v>3405.68</v>
      </c>
      <c r="R892">
        <v>0.2</v>
      </c>
      <c r="S892" t="str">
        <f t="shared" si="132"/>
        <v>OK</v>
      </c>
      <c r="T892">
        <v>10898.18</v>
      </c>
      <c r="U892">
        <v>6231.41</v>
      </c>
      <c r="V892">
        <v>4666.7700000000004</v>
      </c>
      <c r="W892" t="s">
        <v>31</v>
      </c>
      <c r="X892" t="s">
        <v>32</v>
      </c>
      <c r="Y892" t="str">
        <f>IF(COUNTIF($A$2:$A$901,A892)&gt;1,
  IF(COUNTIF($A$2:A892,A892)=1,
    " ORIGINAL",
    "CONFLICTING DUPLICATE - REVIEW"),
"OK")</f>
        <v>OK</v>
      </c>
      <c r="Z892">
        <f t="shared" si="133"/>
        <v>0.2</v>
      </c>
      <c r="AA892">
        <f t="shared" si="134"/>
        <v>10898.18</v>
      </c>
      <c r="AB892">
        <f t="shared" si="135"/>
        <v>4666.7700000000004</v>
      </c>
      <c r="AC892">
        <f t="shared" si="136"/>
        <v>0.42820000000000003</v>
      </c>
      <c r="AD892">
        <f t="shared" si="137"/>
        <v>3</v>
      </c>
      <c r="AE892">
        <f t="shared" si="138"/>
        <v>2025</v>
      </c>
      <c r="AF892" t="str">
        <f t="shared" si="139"/>
        <v>CLEAN</v>
      </c>
    </row>
    <row r="893" spans="1:32">
      <c r="A893" t="s">
        <v>2653</v>
      </c>
      <c r="B893" s="10">
        <v>45742</v>
      </c>
      <c r="C893" s="10">
        <v>45747</v>
      </c>
      <c r="D893">
        <f t="shared" si="130"/>
        <v>5</v>
      </c>
      <c r="E893" t="str">
        <f t="shared" si="131"/>
        <v>OK</v>
      </c>
      <c r="F893" t="s">
        <v>2654</v>
      </c>
      <c r="G893" t="s">
        <v>113</v>
      </c>
      <c r="H893" t="s">
        <v>36</v>
      </c>
      <c r="I893" t="s">
        <v>37</v>
      </c>
      <c r="J893" t="s">
        <v>227</v>
      </c>
      <c r="K893" t="s">
        <v>228</v>
      </c>
      <c r="L893" t="s">
        <v>27</v>
      </c>
      <c r="M893" t="s">
        <v>152</v>
      </c>
      <c r="N893" t="s">
        <v>2655</v>
      </c>
      <c r="O893" t="s">
        <v>49</v>
      </c>
      <c r="P893">
        <v>5</v>
      </c>
      <c r="Q893">
        <v>1395.14</v>
      </c>
      <c r="R893">
        <v>0</v>
      </c>
      <c r="S893" t="str">
        <f t="shared" si="132"/>
        <v>OK</v>
      </c>
      <c r="T893">
        <v>6975.7</v>
      </c>
      <c r="U893">
        <v>4797.88</v>
      </c>
      <c r="V893">
        <v>2177.8200000000002</v>
      </c>
      <c r="W893" t="s">
        <v>31</v>
      </c>
      <c r="X893" t="s">
        <v>67</v>
      </c>
      <c r="Y893" t="str">
        <f>IF(COUNTIF($A$2:$A$901,A893)&gt;1,
  IF(COUNTIF($A$2:A893,A893)=1,
    " ORIGINAL",
    "CONFLICTING DUPLICATE - REVIEW"),
"OK")</f>
        <v>OK</v>
      </c>
      <c r="Z893">
        <f t="shared" si="133"/>
        <v>0</v>
      </c>
      <c r="AA893">
        <f t="shared" si="134"/>
        <v>6975.7</v>
      </c>
      <c r="AB893">
        <f t="shared" si="135"/>
        <v>2177.8200000000002</v>
      </c>
      <c r="AC893">
        <f t="shared" si="136"/>
        <v>0.31219999999999998</v>
      </c>
      <c r="AD893">
        <f t="shared" si="137"/>
        <v>3</v>
      </c>
      <c r="AE893">
        <f t="shared" si="138"/>
        <v>2025</v>
      </c>
      <c r="AF893" t="str">
        <f t="shared" si="139"/>
        <v>CLEAN</v>
      </c>
    </row>
    <row r="894" spans="1:32">
      <c r="A894" t="s">
        <v>2656</v>
      </c>
      <c r="B894" s="10">
        <v>45906</v>
      </c>
      <c r="C894" s="10">
        <v>45908</v>
      </c>
      <c r="D894">
        <f t="shared" si="130"/>
        <v>2</v>
      </c>
      <c r="E894" t="str">
        <f t="shared" si="131"/>
        <v>OK</v>
      </c>
      <c r="F894" t="s">
        <v>2657</v>
      </c>
      <c r="G894" t="s">
        <v>127</v>
      </c>
      <c r="H894" t="s">
        <v>94</v>
      </c>
      <c r="I894" t="s">
        <v>62</v>
      </c>
      <c r="J894" t="s">
        <v>71</v>
      </c>
      <c r="K894" t="s">
        <v>72</v>
      </c>
      <c r="L894" t="s">
        <v>40</v>
      </c>
      <c r="M894" t="s">
        <v>56</v>
      </c>
      <c r="N894" t="s">
        <v>2658</v>
      </c>
      <c r="O894" t="s">
        <v>43</v>
      </c>
      <c r="P894">
        <v>3</v>
      </c>
      <c r="Q894">
        <v>2937.23</v>
      </c>
      <c r="R894">
        <v>0</v>
      </c>
      <c r="S894" t="str">
        <f t="shared" si="132"/>
        <v>OK</v>
      </c>
      <c r="T894">
        <v>8811.69</v>
      </c>
      <c r="U894">
        <v>6765.91</v>
      </c>
      <c r="V894">
        <v>2045.78</v>
      </c>
      <c r="W894" t="s">
        <v>31</v>
      </c>
      <c r="X894" t="s">
        <v>32</v>
      </c>
      <c r="Y894" t="str">
        <f>IF(COUNTIF($A$2:$A$901,A894)&gt;1,
  IF(COUNTIF($A$2:A894,A894)=1,
    " ORIGINAL",
    "CONFLICTING DUPLICATE - REVIEW"),
"OK")</f>
        <v>OK</v>
      </c>
      <c r="Z894">
        <f t="shared" si="133"/>
        <v>0</v>
      </c>
      <c r="AA894">
        <f t="shared" si="134"/>
        <v>8811.69</v>
      </c>
      <c r="AB894">
        <f t="shared" si="135"/>
        <v>2045.78</v>
      </c>
      <c r="AC894">
        <f t="shared" si="136"/>
        <v>0.23219999999999999</v>
      </c>
      <c r="AD894">
        <f t="shared" si="137"/>
        <v>9</v>
      </c>
      <c r="AE894">
        <f t="shared" si="138"/>
        <v>2025</v>
      </c>
      <c r="AF894" t="str">
        <f t="shared" si="139"/>
        <v>CLEAN</v>
      </c>
    </row>
    <row r="895" spans="1:32">
      <c r="A895" t="s">
        <v>2659</v>
      </c>
      <c r="B895" s="10">
        <v>45902</v>
      </c>
      <c r="C895" s="10">
        <v>45786</v>
      </c>
      <c r="D895">
        <f t="shared" si="130"/>
        <v>-116</v>
      </c>
      <c r="E895" t="str">
        <f t="shared" si="131"/>
        <v>INVALID</v>
      </c>
      <c r="F895" t="s">
        <v>2660</v>
      </c>
      <c r="G895" t="s">
        <v>70</v>
      </c>
      <c r="H895" t="s">
        <v>23</v>
      </c>
      <c r="I895" t="s">
        <v>53</v>
      </c>
      <c r="J895" t="s">
        <v>246</v>
      </c>
      <c r="K895" t="s">
        <v>247</v>
      </c>
      <c r="L895" t="s">
        <v>73</v>
      </c>
      <c r="M895" t="s">
        <v>170</v>
      </c>
      <c r="N895" t="s">
        <v>2661</v>
      </c>
      <c r="O895" t="s">
        <v>49</v>
      </c>
      <c r="P895">
        <v>5</v>
      </c>
      <c r="Q895">
        <v>3406.87</v>
      </c>
      <c r="R895">
        <v>0</v>
      </c>
      <c r="S895" t="str">
        <f t="shared" si="132"/>
        <v>OK</v>
      </c>
      <c r="T895">
        <v>17034.349999999999</v>
      </c>
      <c r="U895">
        <v>14631.36</v>
      </c>
      <c r="V895">
        <v>2402.9899999999998</v>
      </c>
      <c r="W895" t="s">
        <v>31</v>
      </c>
      <c r="X895" t="s">
        <v>32</v>
      </c>
      <c r="Y895" t="str">
        <f>IF(COUNTIF($A$2:$A$901,A895)&gt;1,
  IF(COUNTIF($A$2:A895,A895)=1,
    " ORIGINAL",
    "CONFLICTING DUPLICATE - REVIEW"),
"OK")</f>
        <v>OK</v>
      </c>
      <c r="Z895">
        <f t="shared" si="133"/>
        <v>0</v>
      </c>
      <c r="AA895">
        <f t="shared" si="134"/>
        <v>17034.349999999999</v>
      </c>
      <c r="AB895">
        <f t="shared" si="135"/>
        <v>2402.9899999999998</v>
      </c>
      <c r="AC895">
        <f t="shared" si="136"/>
        <v>0.1411</v>
      </c>
      <c r="AD895">
        <f t="shared" si="137"/>
        <v>9</v>
      </c>
      <c r="AE895">
        <f t="shared" si="138"/>
        <v>2025</v>
      </c>
      <c r="AF895" t="str">
        <f t="shared" si="139"/>
        <v>INVALID</v>
      </c>
    </row>
    <row r="896" spans="1:32">
      <c r="A896" t="s">
        <v>2662</v>
      </c>
      <c r="B896" s="10">
        <v>45810</v>
      </c>
      <c r="C896" s="10">
        <v>45702</v>
      </c>
      <c r="D896">
        <f t="shared" si="130"/>
        <v>-108</v>
      </c>
      <c r="E896" t="str">
        <f t="shared" si="131"/>
        <v>INVALID</v>
      </c>
      <c r="F896" t="s">
        <v>2663</v>
      </c>
      <c r="G896" t="s">
        <v>263</v>
      </c>
      <c r="H896" t="s">
        <v>23</v>
      </c>
      <c r="I896" t="s">
        <v>62</v>
      </c>
      <c r="J896" t="s">
        <v>63</v>
      </c>
      <c r="K896" t="s">
        <v>64</v>
      </c>
      <c r="L896" t="s">
        <v>27</v>
      </c>
      <c r="M896" t="s">
        <v>90</v>
      </c>
      <c r="N896" t="s">
        <v>2664</v>
      </c>
      <c r="O896" t="s">
        <v>30</v>
      </c>
      <c r="P896">
        <v>2</v>
      </c>
      <c r="Q896">
        <v>3992.04</v>
      </c>
      <c r="R896">
        <v>0</v>
      </c>
      <c r="S896" t="str">
        <f t="shared" si="132"/>
        <v>OK</v>
      </c>
      <c r="T896">
        <v>7984.08</v>
      </c>
      <c r="U896">
        <v>5658.05</v>
      </c>
      <c r="V896">
        <v>2326.0300000000002</v>
      </c>
      <c r="W896" t="s">
        <v>31</v>
      </c>
      <c r="X896" t="s">
        <v>32</v>
      </c>
      <c r="Y896" t="str">
        <f>IF(COUNTIF($A$2:$A$901,A896)&gt;1,
  IF(COUNTIF($A$2:A896,A896)=1,
    " ORIGINAL",
    "CONFLICTING DUPLICATE - REVIEW"),
"OK")</f>
        <v>OK</v>
      </c>
      <c r="Z896">
        <f t="shared" si="133"/>
        <v>0</v>
      </c>
      <c r="AA896">
        <f t="shared" si="134"/>
        <v>7984.08</v>
      </c>
      <c r="AB896">
        <f t="shared" si="135"/>
        <v>2326.0300000000002</v>
      </c>
      <c r="AC896">
        <f t="shared" si="136"/>
        <v>0.2913</v>
      </c>
      <c r="AD896">
        <f t="shared" si="137"/>
        <v>6</v>
      </c>
      <c r="AE896">
        <f t="shared" si="138"/>
        <v>2025</v>
      </c>
      <c r="AF896" t="str">
        <f t="shared" si="139"/>
        <v>INVALID</v>
      </c>
    </row>
    <row r="897" spans="1:32">
      <c r="A897" t="s">
        <v>2665</v>
      </c>
      <c r="B897" s="10">
        <v>45714</v>
      </c>
      <c r="C897" s="10">
        <v>45722</v>
      </c>
      <c r="D897">
        <f t="shared" si="130"/>
        <v>8</v>
      </c>
      <c r="E897" t="str">
        <f t="shared" si="131"/>
        <v>OK</v>
      </c>
      <c r="F897" t="s">
        <v>2666</v>
      </c>
      <c r="G897" t="s">
        <v>113</v>
      </c>
      <c r="H897" t="s">
        <v>23</v>
      </c>
      <c r="I897" t="s">
        <v>37</v>
      </c>
      <c r="J897" t="s">
        <v>144</v>
      </c>
      <c r="K897" t="s">
        <v>145</v>
      </c>
      <c r="L897" t="s">
        <v>40</v>
      </c>
      <c r="M897" t="s">
        <v>157</v>
      </c>
      <c r="N897" t="s">
        <v>2667</v>
      </c>
      <c r="O897" t="s">
        <v>49</v>
      </c>
      <c r="P897">
        <v>9</v>
      </c>
      <c r="Q897">
        <v>3043.37</v>
      </c>
      <c r="R897">
        <v>0.2</v>
      </c>
      <c r="S897" t="str">
        <f t="shared" si="132"/>
        <v>OK</v>
      </c>
      <c r="T897">
        <v>21912.26</v>
      </c>
      <c r="U897">
        <v>16367.78</v>
      </c>
      <c r="V897">
        <v>5544.48</v>
      </c>
      <c r="W897" t="s">
        <v>110</v>
      </c>
      <c r="X897" t="s">
        <v>67</v>
      </c>
      <c r="Y897" t="str">
        <f>IF(COUNTIF($A$2:$A$901,A897)&gt;1,
  IF(COUNTIF($A$2:A897,A897)=1,
    " ORIGINAL",
    "CONFLICTING DUPLICATE - REVIEW"),
"OK")</f>
        <v>OK</v>
      </c>
      <c r="Z897">
        <f t="shared" si="133"/>
        <v>0.2</v>
      </c>
      <c r="AA897">
        <f t="shared" si="134"/>
        <v>21912.26</v>
      </c>
      <c r="AB897">
        <f t="shared" si="135"/>
        <v>5544.48</v>
      </c>
      <c r="AC897">
        <f t="shared" si="136"/>
        <v>0.253</v>
      </c>
      <c r="AD897">
        <f t="shared" si="137"/>
        <v>2</v>
      </c>
      <c r="AE897">
        <f t="shared" si="138"/>
        <v>2025</v>
      </c>
      <c r="AF897" t="str">
        <f t="shared" si="139"/>
        <v>CLEAN</v>
      </c>
    </row>
    <row r="898" spans="1:32">
      <c r="A898" t="s">
        <v>2671</v>
      </c>
      <c r="B898" s="10">
        <v>45965</v>
      </c>
      <c r="C898" s="10">
        <v>45762</v>
      </c>
      <c r="D898">
        <f t="shared" ref="D898:D913" si="140">C898-B898</f>
        <v>-203</v>
      </c>
      <c r="E898" t="str">
        <f t="shared" ref="E898:E913" si="141">IF(D898&lt;0,"INVALID","OK")</f>
        <v>INVALID</v>
      </c>
      <c r="F898" t="s">
        <v>2672</v>
      </c>
      <c r="G898" t="s">
        <v>70</v>
      </c>
      <c r="H898" t="s">
        <v>94</v>
      </c>
      <c r="I898" t="s">
        <v>53</v>
      </c>
      <c r="J898" t="s">
        <v>174</v>
      </c>
      <c r="K898" t="s">
        <v>175</v>
      </c>
      <c r="L898" t="s">
        <v>27</v>
      </c>
      <c r="M898" t="s">
        <v>123</v>
      </c>
      <c r="N898" t="s">
        <v>2673</v>
      </c>
      <c r="O898" t="s">
        <v>43</v>
      </c>
      <c r="P898">
        <v>9</v>
      </c>
      <c r="Q898">
        <v>224.94</v>
      </c>
      <c r="R898">
        <v>0.05</v>
      </c>
      <c r="S898" t="str">
        <f t="shared" si="132"/>
        <v>OK</v>
      </c>
      <c r="T898">
        <v>1923.24</v>
      </c>
      <c r="U898">
        <v>1093.6600000000001</v>
      </c>
      <c r="V898">
        <v>829.58</v>
      </c>
      <c r="W898" t="s">
        <v>31</v>
      </c>
      <c r="X898" t="s">
        <v>32</v>
      </c>
      <c r="Y898" t="str">
        <f>IF(COUNTIF($A$2:$A$901,A898)&gt;1,
  IF(COUNTIF($A$2:A898,A898)=1,
    " ORIGINAL",
    "CONFLICTING DUPLICATE - REVIEW"),
"OK")</f>
        <v>OK</v>
      </c>
      <c r="Z898">
        <f t="shared" si="133"/>
        <v>0.05</v>
      </c>
      <c r="AA898">
        <f t="shared" si="134"/>
        <v>1923.24</v>
      </c>
      <c r="AB898">
        <f t="shared" si="135"/>
        <v>829.58</v>
      </c>
      <c r="AC898">
        <f t="shared" si="136"/>
        <v>0.43130000000000002</v>
      </c>
      <c r="AD898">
        <f t="shared" si="137"/>
        <v>11</v>
      </c>
      <c r="AE898">
        <f t="shared" si="138"/>
        <v>2025</v>
      </c>
      <c r="AF898" t="str">
        <f t="shared" si="139"/>
        <v>INVALID</v>
      </c>
    </row>
    <row r="899" spans="1:32">
      <c r="A899" t="s">
        <v>2674</v>
      </c>
      <c r="B899" s="10">
        <v>45722</v>
      </c>
      <c r="C899" s="10">
        <v>45841</v>
      </c>
      <c r="D899">
        <f t="shared" si="140"/>
        <v>119</v>
      </c>
      <c r="E899" t="str">
        <f t="shared" si="141"/>
        <v>OK</v>
      </c>
      <c r="F899" t="s">
        <v>2675</v>
      </c>
      <c r="G899" t="s">
        <v>140</v>
      </c>
      <c r="H899" t="s">
        <v>94</v>
      </c>
      <c r="I899" t="s">
        <v>2762</v>
      </c>
      <c r="J899" t="s">
        <v>349</v>
      </c>
      <c r="K899" t="s">
        <v>350</v>
      </c>
      <c r="L899" t="s">
        <v>40</v>
      </c>
      <c r="M899" t="s">
        <v>65</v>
      </c>
      <c r="N899" t="s">
        <v>1146</v>
      </c>
      <c r="O899" t="s">
        <v>43</v>
      </c>
      <c r="P899">
        <v>6</v>
      </c>
      <c r="Q899">
        <v>796.65</v>
      </c>
      <c r="R899">
        <v>0.1</v>
      </c>
      <c r="S899" t="str">
        <f t="shared" ref="S899:S913" si="142">IF(R899&lt;0,"INVALID-NEGATIVE",IF(R899&gt;1,"INVALID-ABOVE","OK"))</f>
        <v>OK</v>
      </c>
      <c r="T899">
        <v>4301.91</v>
      </c>
      <c r="U899">
        <v>2374.4</v>
      </c>
      <c r="V899">
        <v>1927.51</v>
      </c>
      <c r="W899" t="s">
        <v>31</v>
      </c>
      <c r="X899" t="s">
        <v>32</v>
      </c>
      <c r="Y899" t="str">
        <f>IF(COUNTIF($A$2:$A$901,A899)&gt;1,
  IF(COUNTIF($A$2:A899,A899)=1,
    " ORIGINAL",
    "CONFLICTING DUPLICATE - REVIEW"),
"OK")</f>
        <v>OK</v>
      </c>
      <c r="Z899">
        <f t="shared" ref="Z899:Z913" si="143">IF(R899&lt;0, 0,
  IF(ISNUMBER(R899), R899,
    IFERROR(VALUE(SUBSTITUTE(R899,"%",""))/100, 0)))</f>
        <v>0.1</v>
      </c>
      <c r="AA899">
        <f t="shared" ref="AA899:AA913" si="144">ROUND(P899*Q899*(1-Z899),2)</f>
        <v>4301.91</v>
      </c>
      <c r="AB899">
        <f t="shared" ref="AB899:AB913" si="145">ROUND(AA899-U899,2)</f>
        <v>1927.51</v>
      </c>
      <c r="AC899">
        <f t="shared" ref="AC899:AC913" si="146">IFERROR(ROUND(AB899/AA899,4),0)</f>
        <v>0.4481</v>
      </c>
      <c r="AD899">
        <f t="shared" ref="AD899:AD913" si="147">IFERROR(MONTH(B899),"INVALID")</f>
        <v>3</v>
      </c>
      <c r="AE899">
        <f t="shared" ref="AE899:AE913" si="148">IFERROR(YEAR(B899),"INVALID")</f>
        <v>2025</v>
      </c>
      <c r="AF899" t="str">
        <f t="shared" ref="AF899:AF913" si="149">IF(OR(R899&lt;0,NOT(ISNUMBER(R899)),D899&lt;0,W899="Failed"),"INVALID",IF(OR(I899="Unknown",O899="Unknown",R899&gt;1,AA899&lt;0),"WARNING","CLEAN"))</f>
        <v>WARNING</v>
      </c>
    </row>
    <row r="900" spans="1:32">
      <c r="A900" t="s">
        <v>2676</v>
      </c>
      <c r="B900" s="10">
        <v>45814</v>
      </c>
      <c r="C900" s="10">
        <v>45815</v>
      </c>
      <c r="D900">
        <f t="shared" si="140"/>
        <v>1</v>
      </c>
      <c r="E900" t="str">
        <f t="shared" si="141"/>
        <v>OK</v>
      </c>
      <c r="F900" t="s">
        <v>2677</v>
      </c>
      <c r="G900" t="s">
        <v>70</v>
      </c>
      <c r="H900" t="s">
        <v>89</v>
      </c>
      <c r="I900" t="s">
        <v>62</v>
      </c>
      <c r="J900" t="s">
        <v>189</v>
      </c>
      <c r="K900" t="s">
        <v>190</v>
      </c>
      <c r="L900" t="s">
        <v>40</v>
      </c>
      <c r="M900" t="s">
        <v>41</v>
      </c>
      <c r="N900" t="s">
        <v>2678</v>
      </c>
      <c r="O900" t="s">
        <v>58</v>
      </c>
      <c r="P900">
        <v>9</v>
      </c>
      <c r="Q900">
        <v>2932.92</v>
      </c>
      <c r="R900">
        <v>0.15</v>
      </c>
      <c r="S900" t="str">
        <f t="shared" si="142"/>
        <v>OK</v>
      </c>
      <c r="T900">
        <v>22436.84</v>
      </c>
      <c r="U900">
        <v>17454.669999999998</v>
      </c>
      <c r="V900">
        <v>4982.17</v>
      </c>
      <c r="W900" t="s">
        <v>31</v>
      </c>
      <c r="X900" t="s">
        <v>67</v>
      </c>
      <c r="Y900" t="str">
        <f>IF(COUNTIF($A$2:$A$901,A900)&gt;1,
  IF(COUNTIF($A$2:A900,A900)=1,
    " ORIGINAL",
    "CONFLICTING DUPLICATE - REVIEW"),
"OK")</f>
        <v>OK</v>
      </c>
      <c r="Z900">
        <f t="shared" si="143"/>
        <v>0.15</v>
      </c>
      <c r="AA900">
        <f t="shared" si="144"/>
        <v>22436.84</v>
      </c>
      <c r="AB900">
        <f t="shared" si="145"/>
        <v>4982.17</v>
      </c>
      <c r="AC900">
        <f t="shared" si="146"/>
        <v>0.22209999999999999</v>
      </c>
      <c r="AD900">
        <f t="shared" si="147"/>
        <v>6</v>
      </c>
      <c r="AE900">
        <f t="shared" si="148"/>
        <v>2025</v>
      </c>
      <c r="AF900" t="str">
        <f t="shared" si="149"/>
        <v>CLEAN</v>
      </c>
    </row>
    <row r="901" spans="1:32">
      <c r="A901" t="s">
        <v>2683</v>
      </c>
      <c r="B901" s="10">
        <v>45689</v>
      </c>
      <c r="C901" s="10">
        <v>45871</v>
      </c>
      <c r="D901">
        <f t="shared" si="140"/>
        <v>182</v>
      </c>
      <c r="E901" t="str">
        <f t="shared" si="141"/>
        <v>OK</v>
      </c>
      <c r="F901" t="s">
        <v>2684</v>
      </c>
      <c r="G901" t="s">
        <v>88</v>
      </c>
      <c r="H901" t="s">
        <v>94</v>
      </c>
      <c r="I901" t="s">
        <v>62</v>
      </c>
      <c r="J901" t="s">
        <v>179</v>
      </c>
      <c r="K901" t="s">
        <v>180</v>
      </c>
      <c r="L901" t="s">
        <v>27</v>
      </c>
      <c r="M901" t="s">
        <v>123</v>
      </c>
      <c r="N901" t="s">
        <v>2685</v>
      </c>
      <c r="O901" t="s">
        <v>30</v>
      </c>
      <c r="P901">
        <v>8</v>
      </c>
      <c r="Q901">
        <v>623.30999999999995</v>
      </c>
      <c r="R901">
        <v>0.1</v>
      </c>
      <c r="S901" t="str">
        <f t="shared" si="142"/>
        <v>OK</v>
      </c>
      <c r="T901">
        <v>4487.83</v>
      </c>
      <c r="U901">
        <v>2633.78</v>
      </c>
      <c r="V901">
        <v>1854.05</v>
      </c>
      <c r="W901" t="s">
        <v>31</v>
      </c>
      <c r="X901" t="s">
        <v>32</v>
      </c>
      <c r="Y901" t="str">
        <f>IF(COUNTIF($A$2:$A$901,A901)&gt;1,
  IF(COUNTIF($A$2:A901,A901)=1,
    " ORIGINAL",
    "CONFLICTING DUPLICATE - REVIEW"),
"OK")</f>
        <v>OK</v>
      </c>
      <c r="Z901">
        <f t="shared" si="143"/>
        <v>0.1</v>
      </c>
      <c r="AA901">
        <f t="shared" si="144"/>
        <v>4487.83</v>
      </c>
      <c r="AB901">
        <f t="shared" si="145"/>
        <v>1854.05</v>
      </c>
      <c r="AC901">
        <f t="shared" si="146"/>
        <v>0.41310000000000002</v>
      </c>
      <c r="AD901">
        <f t="shared" si="147"/>
        <v>2</v>
      </c>
      <c r="AE901">
        <f t="shared" si="148"/>
        <v>2025</v>
      </c>
      <c r="AF901" t="str">
        <f t="shared" si="149"/>
        <v>CLEAN</v>
      </c>
    </row>
    <row r="902" spans="1:32">
      <c r="A902" t="s">
        <v>2686</v>
      </c>
      <c r="B902" s="10">
        <v>45853</v>
      </c>
      <c r="C902" s="10">
        <v>45854</v>
      </c>
      <c r="D902">
        <f t="shared" si="140"/>
        <v>1</v>
      </c>
      <c r="E902" t="str">
        <f t="shared" si="141"/>
        <v>OK</v>
      </c>
      <c r="F902" t="s">
        <v>2687</v>
      </c>
      <c r="G902" t="s">
        <v>70</v>
      </c>
      <c r="H902" t="s">
        <v>36</v>
      </c>
      <c r="I902" t="s">
        <v>62</v>
      </c>
      <c r="J902" t="s">
        <v>63</v>
      </c>
      <c r="K902" t="s">
        <v>64</v>
      </c>
      <c r="L902" t="s">
        <v>27</v>
      </c>
      <c r="M902" t="s">
        <v>28</v>
      </c>
      <c r="N902" t="s">
        <v>2688</v>
      </c>
      <c r="O902" t="s">
        <v>58</v>
      </c>
      <c r="P902">
        <v>8</v>
      </c>
      <c r="Q902">
        <v>3924.88</v>
      </c>
      <c r="R902">
        <v>0.05</v>
      </c>
      <c r="S902" t="str">
        <f t="shared" si="142"/>
        <v>OK</v>
      </c>
      <c r="T902">
        <v>29829.09</v>
      </c>
      <c r="U902">
        <v>20710.18</v>
      </c>
      <c r="V902">
        <v>9118.91</v>
      </c>
      <c r="W902" t="s">
        <v>31</v>
      </c>
      <c r="X902" t="s">
        <v>32</v>
      </c>
      <c r="Y902" t="str">
        <f>IF(COUNTIF($A$2:$A$901,A902)&gt;1,
  IF(COUNTIF($A$2:A902,A902)=1,
    " ORIGINAL",
    "CONFLICTING DUPLICATE - REVIEW"),
"OK")</f>
        <v>OK</v>
      </c>
      <c r="Z902">
        <f t="shared" si="143"/>
        <v>0.05</v>
      </c>
      <c r="AA902">
        <f t="shared" si="144"/>
        <v>29829.09</v>
      </c>
      <c r="AB902">
        <f t="shared" si="145"/>
        <v>9118.91</v>
      </c>
      <c r="AC902">
        <f t="shared" si="146"/>
        <v>0.30570000000000003</v>
      </c>
      <c r="AD902">
        <f t="shared" si="147"/>
        <v>7</v>
      </c>
      <c r="AE902">
        <f t="shared" si="148"/>
        <v>2025</v>
      </c>
      <c r="AF902" t="str">
        <f t="shared" si="149"/>
        <v>CLEAN</v>
      </c>
    </row>
    <row r="903" spans="1:32">
      <c r="A903" t="s">
        <v>2694</v>
      </c>
      <c r="B903" s="10">
        <v>45895</v>
      </c>
      <c r="C903" s="10">
        <v>45903</v>
      </c>
      <c r="D903">
        <f t="shared" si="140"/>
        <v>8</v>
      </c>
      <c r="E903" t="str">
        <f t="shared" si="141"/>
        <v>OK</v>
      </c>
      <c r="F903" t="s">
        <v>2695</v>
      </c>
      <c r="G903" t="s">
        <v>127</v>
      </c>
      <c r="H903" t="s">
        <v>23</v>
      </c>
      <c r="I903" t="s">
        <v>62</v>
      </c>
      <c r="J903" t="s">
        <v>25</v>
      </c>
      <c r="K903" t="s">
        <v>108</v>
      </c>
      <c r="L903" t="s">
        <v>27</v>
      </c>
      <c r="M903" t="s">
        <v>123</v>
      </c>
      <c r="N903" t="s">
        <v>2696</v>
      </c>
      <c r="O903" t="s">
        <v>30</v>
      </c>
      <c r="P903">
        <v>6</v>
      </c>
      <c r="Q903">
        <v>674.36</v>
      </c>
      <c r="R903">
        <v>0.1</v>
      </c>
      <c r="S903" t="str">
        <f t="shared" si="142"/>
        <v>OK</v>
      </c>
      <c r="T903">
        <v>3641.54</v>
      </c>
      <c r="U903">
        <v>2690.37</v>
      </c>
      <c r="V903">
        <v>951.17</v>
      </c>
      <c r="W903" t="s">
        <v>31</v>
      </c>
      <c r="X903" t="s">
        <v>32</v>
      </c>
      <c r="Y903" t="str">
        <f>IF(COUNTIF($A$2:$A$901,A903)&gt;1,
  IF(COUNTIF($A$2:A903,A903)=1,
    " ORIGINAL",
    "CONFLICTING DUPLICATE - REVIEW"),
"OK")</f>
        <v>OK</v>
      </c>
      <c r="Z903">
        <f t="shared" si="143"/>
        <v>0.1</v>
      </c>
      <c r="AA903">
        <f t="shared" si="144"/>
        <v>3641.54</v>
      </c>
      <c r="AB903">
        <f t="shared" si="145"/>
        <v>951.17</v>
      </c>
      <c r="AC903">
        <f t="shared" si="146"/>
        <v>0.26119999999999999</v>
      </c>
      <c r="AD903">
        <f t="shared" si="147"/>
        <v>8</v>
      </c>
      <c r="AE903">
        <f t="shared" si="148"/>
        <v>2025</v>
      </c>
      <c r="AF903" t="str">
        <f t="shared" si="149"/>
        <v>CLEAN</v>
      </c>
    </row>
    <row r="904" spans="1:32">
      <c r="A904" t="s">
        <v>2700</v>
      </c>
      <c r="B904" s="10">
        <v>45896</v>
      </c>
      <c r="C904" s="10">
        <v>45897</v>
      </c>
      <c r="D904">
        <f t="shared" si="140"/>
        <v>1</v>
      </c>
      <c r="E904" t="str">
        <f t="shared" si="141"/>
        <v>OK</v>
      </c>
      <c r="F904" t="s">
        <v>2701</v>
      </c>
      <c r="G904" t="s">
        <v>61</v>
      </c>
      <c r="H904" t="s">
        <v>94</v>
      </c>
      <c r="I904" t="s">
        <v>24</v>
      </c>
      <c r="J904" t="s">
        <v>135</v>
      </c>
      <c r="K904" t="s">
        <v>136</v>
      </c>
      <c r="L904" t="s">
        <v>27</v>
      </c>
      <c r="M904" t="s">
        <v>47</v>
      </c>
      <c r="N904" t="s">
        <v>2702</v>
      </c>
      <c r="O904" t="s">
        <v>58</v>
      </c>
      <c r="P904">
        <v>6</v>
      </c>
      <c r="Q904">
        <v>1182.03</v>
      </c>
      <c r="R904">
        <v>0.15</v>
      </c>
      <c r="S904" t="str">
        <f t="shared" si="142"/>
        <v>OK</v>
      </c>
      <c r="T904">
        <v>6028.35</v>
      </c>
      <c r="U904">
        <v>4433.63</v>
      </c>
      <c r="V904">
        <v>1594.72</v>
      </c>
      <c r="W904" t="s">
        <v>31</v>
      </c>
      <c r="X904" t="s">
        <v>32</v>
      </c>
      <c r="Y904" t="str">
        <f>IF(COUNTIF($A$2:$A$901,A904)&gt;1,
  IF(COUNTIF($A$2:A904,A904)=1,
    " ORIGINAL",
    "CONFLICTING DUPLICATE - REVIEW"),
"OK")</f>
        <v>OK</v>
      </c>
      <c r="Z904">
        <f t="shared" si="143"/>
        <v>0.15</v>
      </c>
      <c r="AA904">
        <f t="shared" si="144"/>
        <v>6028.35</v>
      </c>
      <c r="AB904">
        <f t="shared" si="145"/>
        <v>1594.72</v>
      </c>
      <c r="AC904">
        <f t="shared" si="146"/>
        <v>0.26450000000000001</v>
      </c>
      <c r="AD904">
        <f t="shared" si="147"/>
        <v>8</v>
      </c>
      <c r="AE904">
        <f t="shared" si="148"/>
        <v>2025</v>
      </c>
      <c r="AF904" t="str">
        <f t="shared" si="149"/>
        <v>CLEAN</v>
      </c>
    </row>
    <row r="905" spans="1:32">
      <c r="A905" t="s">
        <v>2709</v>
      </c>
      <c r="B905" s="10">
        <v>45690</v>
      </c>
      <c r="C905" s="10">
        <v>45698</v>
      </c>
      <c r="D905">
        <f t="shared" si="140"/>
        <v>8</v>
      </c>
      <c r="E905" t="str">
        <f t="shared" si="141"/>
        <v>OK</v>
      </c>
      <c r="F905" t="s">
        <v>2710</v>
      </c>
      <c r="G905" t="s">
        <v>131</v>
      </c>
      <c r="H905" t="s">
        <v>89</v>
      </c>
      <c r="I905" t="s">
        <v>37</v>
      </c>
      <c r="J905" t="s">
        <v>144</v>
      </c>
      <c r="K905" t="s">
        <v>145</v>
      </c>
      <c r="L905" t="s">
        <v>73</v>
      </c>
      <c r="M905" t="s">
        <v>74</v>
      </c>
      <c r="N905" t="s">
        <v>2711</v>
      </c>
      <c r="O905" t="s">
        <v>58</v>
      </c>
      <c r="P905">
        <v>4</v>
      </c>
      <c r="Q905">
        <v>1912.45</v>
      </c>
      <c r="R905">
        <v>0</v>
      </c>
      <c r="S905" t="str">
        <f t="shared" si="142"/>
        <v>OK</v>
      </c>
      <c r="T905">
        <v>7649.8</v>
      </c>
      <c r="U905">
        <v>4894.53</v>
      </c>
      <c r="V905">
        <v>2755.27</v>
      </c>
      <c r="W905" t="s">
        <v>110</v>
      </c>
      <c r="X905" t="s">
        <v>102</v>
      </c>
      <c r="Y905" t="str">
        <f>IF(COUNTIF($A$2:$A$901,A905)&gt;1,
  IF(COUNTIF($A$2:A905,A905)=1,
    " ORIGINAL",
    "CONFLICTING DUPLICATE - REVIEW"),
"OK")</f>
        <v>OK</v>
      </c>
      <c r="Z905">
        <f t="shared" si="143"/>
        <v>0</v>
      </c>
      <c r="AA905">
        <f t="shared" si="144"/>
        <v>7649.8</v>
      </c>
      <c r="AB905">
        <f t="shared" si="145"/>
        <v>2755.27</v>
      </c>
      <c r="AC905">
        <f t="shared" si="146"/>
        <v>0.36020000000000002</v>
      </c>
      <c r="AD905">
        <f t="shared" si="147"/>
        <v>2</v>
      </c>
      <c r="AE905">
        <f t="shared" si="148"/>
        <v>2025</v>
      </c>
      <c r="AF905" t="str">
        <f t="shared" si="149"/>
        <v>CLEAN</v>
      </c>
    </row>
    <row r="906" spans="1:32">
      <c r="A906" t="s">
        <v>2712</v>
      </c>
      <c r="B906" s="10">
        <v>45775</v>
      </c>
      <c r="C906" s="10">
        <v>45778</v>
      </c>
      <c r="D906">
        <f t="shared" si="140"/>
        <v>3</v>
      </c>
      <c r="E906" t="str">
        <f t="shared" si="141"/>
        <v>OK</v>
      </c>
      <c r="F906" t="s">
        <v>2713</v>
      </c>
      <c r="G906" t="s">
        <v>127</v>
      </c>
      <c r="H906" t="s">
        <v>36</v>
      </c>
      <c r="I906" t="s">
        <v>62</v>
      </c>
      <c r="J906" t="s">
        <v>189</v>
      </c>
      <c r="K906" t="s">
        <v>190</v>
      </c>
      <c r="L906" t="s">
        <v>27</v>
      </c>
      <c r="M906" t="s">
        <v>123</v>
      </c>
      <c r="N906" t="s">
        <v>2714</v>
      </c>
      <c r="O906" t="s">
        <v>43</v>
      </c>
      <c r="P906">
        <v>1</v>
      </c>
      <c r="Q906">
        <v>1620.87</v>
      </c>
      <c r="R906">
        <v>0</v>
      </c>
      <c r="S906" t="str">
        <f t="shared" si="142"/>
        <v>OK</v>
      </c>
      <c r="T906">
        <v>1620.87</v>
      </c>
      <c r="U906">
        <v>1103.6099999999999</v>
      </c>
      <c r="V906">
        <v>517.26</v>
      </c>
      <c r="W906" t="s">
        <v>31</v>
      </c>
      <c r="X906" t="s">
        <v>32</v>
      </c>
      <c r="Y906" t="str">
        <f>IF(COUNTIF($A$2:$A$901,A906)&gt;1,
  IF(COUNTIF($A$2:A906,A906)=1,
    " ORIGINAL",
    "CONFLICTING DUPLICATE - REVIEW"),
"OK")</f>
        <v>OK</v>
      </c>
      <c r="Z906">
        <f t="shared" si="143"/>
        <v>0</v>
      </c>
      <c r="AA906">
        <f t="shared" si="144"/>
        <v>1620.87</v>
      </c>
      <c r="AB906">
        <f t="shared" si="145"/>
        <v>517.26</v>
      </c>
      <c r="AC906">
        <f t="shared" si="146"/>
        <v>0.31909999999999999</v>
      </c>
      <c r="AD906">
        <f t="shared" si="147"/>
        <v>4</v>
      </c>
      <c r="AE906">
        <f t="shared" si="148"/>
        <v>2025</v>
      </c>
      <c r="AF906" t="str">
        <f t="shared" si="149"/>
        <v>CLEAN</v>
      </c>
    </row>
    <row r="907" spans="1:32">
      <c r="A907" t="s">
        <v>2715</v>
      </c>
      <c r="B907" s="10">
        <v>45675</v>
      </c>
      <c r="C907" s="10">
        <v>45682</v>
      </c>
      <c r="D907">
        <f t="shared" si="140"/>
        <v>7</v>
      </c>
      <c r="E907" t="str">
        <f t="shared" si="141"/>
        <v>OK</v>
      </c>
      <c r="F907" t="s">
        <v>2716</v>
      </c>
      <c r="G907" t="s">
        <v>78</v>
      </c>
      <c r="H907" t="s">
        <v>94</v>
      </c>
      <c r="I907" t="s">
        <v>53</v>
      </c>
      <c r="J907" t="s">
        <v>174</v>
      </c>
      <c r="K907" t="s">
        <v>175</v>
      </c>
      <c r="L907" t="s">
        <v>27</v>
      </c>
      <c r="M907" t="s">
        <v>123</v>
      </c>
      <c r="N907" t="s">
        <v>2717</v>
      </c>
      <c r="O907" t="s">
        <v>43</v>
      </c>
      <c r="P907">
        <v>2</v>
      </c>
      <c r="Q907">
        <v>2098.54</v>
      </c>
      <c r="R907">
        <v>0.15</v>
      </c>
      <c r="S907" t="str">
        <f t="shared" si="142"/>
        <v>OK</v>
      </c>
      <c r="T907">
        <v>3567.52</v>
      </c>
      <c r="U907">
        <v>2411.8000000000002</v>
      </c>
      <c r="V907">
        <v>1155.72</v>
      </c>
      <c r="W907" t="s">
        <v>31</v>
      </c>
      <c r="X907" t="s">
        <v>32</v>
      </c>
      <c r="Y907" t="str">
        <f>IF(COUNTIF($A$2:$A$901,A907)&gt;1,
  IF(COUNTIF($A$2:A907,A907)=1,
    " ORIGINAL",
    "CONFLICTING DUPLICATE - REVIEW"),
"OK")</f>
        <v>OK</v>
      </c>
      <c r="Z907">
        <f t="shared" si="143"/>
        <v>0.15</v>
      </c>
      <c r="AA907">
        <f t="shared" si="144"/>
        <v>3567.52</v>
      </c>
      <c r="AB907">
        <f t="shared" si="145"/>
        <v>1155.72</v>
      </c>
      <c r="AC907">
        <f t="shared" si="146"/>
        <v>0.32400000000000001</v>
      </c>
      <c r="AD907">
        <f t="shared" si="147"/>
        <v>1</v>
      </c>
      <c r="AE907">
        <f t="shared" si="148"/>
        <v>2025</v>
      </c>
      <c r="AF907" t="str">
        <f t="shared" si="149"/>
        <v>CLEAN</v>
      </c>
    </row>
    <row r="908" spans="1:32">
      <c r="A908" t="s">
        <v>2721</v>
      </c>
      <c r="B908" s="10">
        <v>45773</v>
      </c>
      <c r="C908" s="10">
        <v>45721</v>
      </c>
      <c r="D908">
        <f t="shared" si="140"/>
        <v>-52</v>
      </c>
      <c r="E908" t="str">
        <f t="shared" si="141"/>
        <v>INVALID</v>
      </c>
      <c r="F908" t="s">
        <v>2722</v>
      </c>
      <c r="G908" t="s">
        <v>52</v>
      </c>
      <c r="H908" t="s">
        <v>94</v>
      </c>
      <c r="I908" t="s">
        <v>53</v>
      </c>
      <c r="J908" t="s">
        <v>246</v>
      </c>
      <c r="K908" t="s">
        <v>247</v>
      </c>
      <c r="L908" t="s">
        <v>73</v>
      </c>
      <c r="M908" t="s">
        <v>74</v>
      </c>
      <c r="N908" t="s">
        <v>2723</v>
      </c>
      <c r="O908" t="s">
        <v>49</v>
      </c>
      <c r="P908">
        <v>7</v>
      </c>
      <c r="Q908">
        <v>3989.9</v>
      </c>
      <c r="R908">
        <v>0.15</v>
      </c>
      <c r="S908" t="str">
        <f t="shared" si="142"/>
        <v>OK</v>
      </c>
      <c r="T908">
        <v>23739.9</v>
      </c>
      <c r="U908">
        <v>17716.52</v>
      </c>
      <c r="V908">
        <v>6023.38</v>
      </c>
      <c r="W908" t="s">
        <v>31</v>
      </c>
      <c r="X908" t="s">
        <v>67</v>
      </c>
      <c r="Y908" t="str">
        <f>IF(COUNTIF($A$2:$A$901,A908)&gt;1,
  IF(COUNTIF($A$2:A908,A908)=1,
    " ORIGINAL",
    "CONFLICTING DUPLICATE - REVIEW"),
"OK")</f>
        <v>OK</v>
      </c>
      <c r="Z908">
        <f t="shared" si="143"/>
        <v>0.15</v>
      </c>
      <c r="AA908">
        <f t="shared" si="144"/>
        <v>23739.91</v>
      </c>
      <c r="AB908">
        <f t="shared" si="145"/>
        <v>6023.39</v>
      </c>
      <c r="AC908">
        <f t="shared" si="146"/>
        <v>0.25369999999999998</v>
      </c>
      <c r="AD908">
        <f t="shared" si="147"/>
        <v>4</v>
      </c>
      <c r="AE908">
        <f t="shared" si="148"/>
        <v>2025</v>
      </c>
      <c r="AF908" t="str">
        <f t="shared" si="149"/>
        <v>INVALID</v>
      </c>
    </row>
    <row r="909" spans="1:32">
      <c r="A909" t="s">
        <v>2727</v>
      </c>
      <c r="B909" s="10">
        <v>45816</v>
      </c>
      <c r="C909" s="10">
        <v>45846</v>
      </c>
      <c r="D909">
        <f t="shared" si="140"/>
        <v>30</v>
      </c>
      <c r="E909" t="str">
        <f t="shared" si="141"/>
        <v>OK</v>
      </c>
      <c r="F909" t="s">
        <v>2728</v>
      </c>
      <c r="G909" t="s">
        <v>117</v>
      </c>
      <c r="H909" t="s">
        <v>36</v>
      </c>
      <c r="I909" t="s">
        <v>62</v>
      </c>
      <c r="J909" t="s">
        <v>63</v>
      </c>
      <c r="K909" t="s">
        <v>64</v>
      </c>
      <c r="L909" t="s">
        <v>27</v>
      </c>
      <c r="M909" t="s">
        <v>47</v>
      </c>
      <c r="N909" t="s">
        <v>2729</v>
      </c>
      <c r="O909" t="s">
        <v>58</v>
      </c>
      <c r="P909">
        <v>4</v>
      </c>
      <c r="Q909">
        <v>3523.64</v>
      </c>
      <c r="R909">
        <v>0.1</v>
      </c>
      <c r="S909" t="str">
        <f t="shared" si="142"/>
        <v>OK</v>
      </c>
      <c r="T909">
        <v>12685.1</v>
      </c>
      <c r="U909">
        <v>10779.56</v>
      </c>
      <c r="V909">
        <v>1905.54</v>
      </c>
      <c r="W909" t="s">
        <v>101</v>
      </c>
      <c r="X909" t="s">
        <v>67</v>
      </c>
      <c r="Y909" t="str">
        <f>IF(COUNTIF($A$2:$A$901,A909)&gt;1,
  IF(COUNTIF($A$2:A909,A909)=1,
    " ORIGINAL",
    "CONFLICTING DUPLICATE - REVIEW"),
"OK")</f>
        <v>OK</v>
      </c>
      <c r="Z909">
        <f t="shared" si="143"/>
        <v>0.1</v>
      </c>
      <c r="AA909">
        <f t="shared" si="144"/>
        <v>12685.1</v>
      </c>
      <c r="AB909">
        <f t="shared" si="145"/>
        <v>1905.54</v>
      </c>
      <c r="AC909">
        <f t="shared" si="146"/>
        <v>0.1502</v>
      </c>
      <c r="AD909">
        <f t="shared" si="147"/>
        <v>6</v>
      </c>
      <c r="AE909">
        <f t="shared" si="148"/>
        <v>2025</v>
      </c>
      <c r="AF909" t="str">
        <f t="shared" si="149"/>
        <v>CLEAN</v>
      </c>
    </row>
    <row r="910" spans="1:32">
      <c r="A910" t="s">
        <v>2730</v>
      </c>
      <c r="B910" s="10">
        <v>45726</v>
      </c>
      <c r="C910" s="10">
        <v>45727</v>
      </c>
      <c r="D910">
        <f t="shared" si="140"/>
        <v>1</v>
      </c>
      <c r="E910" t="str">
        <f t="shared" si="141"/>
        <v>OK</v>
      </c>
      <c r="F910" t="s">
        <v>882</v>
      </c>
      <c r="G910" t="s">
        <v>88</v>
      </c>
      <c r="H910" t="s">
        <v>94</v>
      </c>
      <c r="I910" t="s">
        <v>62</v>
      </c>
      <c r="J910" t="s">
        <v>71</v>
      </c>
      <c r="K910" t="s">
        <v>72</v>
      </c>
      <c r="L910" t="s">
        <v>27</v>
      </c>
      <c r="M910" t="s">
        <v>123</v>
      </c>
      <c r="N910" t="s">
        <v>2731</v>
      </c>
      <c r="O910" t="s">
        <v>49</v>
      </c>
      <c r="P910">
        <v>2</v>
      </c>
      <c r="Q910">
        <v>3922.08</v>
      </c>
      <c r="R910">
        <v>0.25</v>
      </c>
      <c r="S910" t="str">
        <f t="shared" si="142"/>
        <v>OK</v>
      </c>
      <c r="T910">
        <v>5883.12</v>
      </c>
      <c r="U910">
        <v>4647.91</v>
      </c>
      <c r="V910">
        <v>1235.21</v>
      </c>
      <c r="W910" t="s">
        <v>31</v>
      </c>
      <c r="X910" t="s">
        <v>102</v>
      </c>
      <c r="Y910" t="str">
        <f>IF(COUNTIF($A$2:$A$901,A910)&gt;1,
  IF(COUNTIF($A$2:A910,A910)=1,
    " ORIGINAL",
    "CONFLICTING DUPLICATE - REVIEW"),
"OK")</f>
        <v>OK</v>
      </c>
      <c r="Z910">
        <f t="shared" si="143"/>
        <v>0.25</v>
      </c>
      <c r="AA910">
        <f t="shared" si="144"/>
        <v>5883.12</v>
      </c>
      <c r="AB910">
        <f t="shared" si="145"/>
        <v>1235.21</v>
      </c>
      <c r="AC910">
        <f t="shared" si="146"/>
        <v>0.21</v>
      </c>
      <c r="AD910">
        <f t="shared" si="147"/>
        <v>3</v>
      </c>
      <c r="AE910">
        <f t="shared" si="148"/>
        <v>2025</v>
      </c>
      <c r="AF910" t="str">
        <f t="shared" si="149"/>
        <v>CLEAN</v>
      </c>
    </row>
    <row r="911" spans="1:32">
      <c r="A911" t="s">
        <v>2738</v>
      </c>
      <c r="B911" s="10">
        <v>45759</v>
      </c>
      <c r="C911" s="10">
        <v>45765</v>
      </c>
      <c r="D911">
        <f t="shared" si="140"/>
        <v>6</v>
      </c>
      <c r="E911" t="str">
        <f t="shared" si="141"/>
        <v>OK</v>
      </c>
      <c r="F911" t="s">
        <v>2739</v>
      </c>
      <c r="G911" t="s">
        <v>46</v>
      </c>
      <c r="H911" t="s">
        <v>36</v>
      </c>
      <c r="I911" t="s">
        <v>37</v>
      </c>
      <c r="J911" t="s">
        <v>227</v>
      </c>
      <c r="K911" t="s">
        <v>228</v>
      </c>
      <c r="L911" t="s">
        <v>73</v>
      </c>
      <c r="M911" t="s">
        <v>79</v>
      </c>
      <c r="N911" t="s">
        <v>2740</v>
      </c>
      <c r="O911" t="s">
        <v>43</v>
      </c>
      <c r="P911">
        <v>1</v>
      </c>
      <c r="Q911">
        <v>726.89</v>
      </c>
      <c r="R911">
        <v>0.2</v>
      </c>
      <c r="S911" t="str">
        <f t="shared" si="142"/>
        <v>OK</v>
      </c>
      <c r="T911">
        <v>581.51</v>
      </c>
      <c r="U911">
        <v>423.86</v>
      </c>
      <c r="V911">
        <v>157.65</v>
      </c>
      <c r="W911" t="s">
        <v>31</v>
      </c>
      <c r="X911" t="s">
        <v>32</v>
      </c>
      <c r="Y911" t="str">
        <f>IF(COUNTIF($A$2:$A$901,A911)&gt;1,
  IF(COUNTIF($A$2:A911,A911)=1,
    " ORIGINAL",
    "CONFLICTING DUPLICATE - REVIEW"),
"OK")</f>
        <v>OK</v>
      </c>
      <c r="Z911">
        <f t="shared" si="143"/>
        <v>0.2</v>
      </c>
      <c r="AA911">
        <f t="shared" si="144"/>
        <v>581.51</v>
      </c>
      <c r="AB911">
        <f t="shared" si="145"/>
        <v>157.65</v>
      </c>
      <c r="AC911">
        <f t="shared" si="146"/>
        <v>0.27110000000000001</v>
      </c>
      <c r="AD911">
        <f t="shared" si="147"/>
        <v>4</v>
      </c>
      <c r="AE911">
        <f t="shared" si="148"/>
        <v>2025</v>
      </c>
      <c r="AF911" t="str">
        <f t="shared" si="149"/>
        <v>CLEAN</v>
      </c>
    </row>
    <row r="912" spans="1:32">
      <c r="A912" t="s">
        <v>2753</v>
      </c>
      <c r="B912" s="10">
        <v>45776</v>
      </c>
      <c r="C912" s="10">
        <v>45780</v>
      </c>
      <c r="D912">
        <f t="shared" si="140"/>
        <v>4</v>
      </c>
      <c r="E912" t="str">
        <f t="shared" si="141"/>
        <v>OK</v>
      </c>
      <c r="F912" t="s">
        <v>2120</v>
      </c>
      <c r="G912" t="s">
        <v>140</v>
      </c>
      <c r="H912" t="s">
        <v>89</v>
      </c>
      <c r="I912" t="s">
        <v>24</v>
      </c>
      <c r="J912" t="s">
        <v>235</v>
      </c>
      <c r="K912" t="s">
        <v>236</v>
      </c>
      <c r="L912" t="s">
        <v>27</v>
      </c>
      <c r="M912" t="s">
        <v>28</v>
      </c>
      <c r="N912" t="s">
        <v>2754</v>
      </c>
      <c r="O912" t="s">
        <v>49</v>
      </c>
      <c r="P912">
        <v>4</v>
      </c>
      <c r="Q912">
        <v>1786.65</v>
      </c>
      <c r="R912">
        <v>0.05</v>
      </c>
      <c r="S912" t="str">
        <f t="shared" si="142"/>
        <v>OK</v>
      </c>
      <c r="T912">
        <v>6789.27</v>
      </c>
      <c r="U912">
        <v>5626.43</v>
      </c>
      <c r="V912">
        <v>1162.8399999999999</v>
      </c>
      <c r="W912" t="s">
        <v>31</v>
      </c>
      <c r="X912" t="s">
        <v>32</v>
      </c>
      <c r="Y912" t="str">
        <f>IF(COUNTIF($A$2:$A$901,A912)&gt;1,
  IF(COUNTIF($A$2:A912,A912)=1,
    " ORIGINAL",
    "CONFLICTING DUPLICATE - REVIEW"),
"OK")</f>
        <v>OK</v>
      </c>
      <c r="Z912">
        <f t="shared" si="143"/>
        <v>0.05</v>
      </c>
      <c r="AA912">
        <f t="shared" si="144"/>
        <v>6789.27</v>
      </c>
      <c r="AB912">
        <f t="shared" si="145"/>
        <v>1162.8399999999999</v>
      </c>
      <c r="AC912">
        <f t="shared" si="146"/>
        <v>0.17130000000000001</v>
      </c>
      <c r="AD912">
        <f t="shared" si="147"/>
        <v>4</v>
      </c>
      <c r="AE912">
        <f t="shared" si="148"/>
        <v>2025</v>
      </c>
      <c r="AF912" t="str">
        <f t="shared" si="149"/>
        <v>CLEAN</v>
      </c>
    </row>
    <row r="913" spans="1:32">
      <c r="A913" t="s">
        <v>2758</v>
      </c>
      <c r="B913" s="10">
        <v>45804</v>
      </c>
      <c r="C913" s="10">
        <v>45811</v>
      </c>
      <c r="D913">
        <f t="shared" si="140"/>
        <v>7</v>
      </c>
      <c r="E913" t="str">
        <f t="shared" si="141"/>
        <v>OK</v>
      </c>
      <c r="F913" t="s">
        <v>2759</v>
      </c>
      <c r="G913" t="s">
        <v>22</v>
      </c>
      <c r="H913" t="s">
        <v>23</v>
      </c>
      <c r="I913" t="s">
        <v>24</v>
      </c>
      <c r="J913" t="s">
        <v>121</v>
      </c>
      <c r="K913" t="s">
        <v>122</v>
      </c>
      <c r="L913" t="s">
        <v>40</v>
      </c>
      <c r="M913" t="s">
        <v>65</v>
      </c>
      <c r="N913" t="s">
        <v>2760</v>
      </c>
      <c r="O913" t="s">
        <v>49</v>
      </c>
      <c r="P913">
        <v>5</v>
      </c>
      <c r="Q913">
        <v>881.08</v>
      </c>
      <c r="R913">
        <v>0.25</v>
      </c>
      <c r="S913" t="str">
        <f t="shared" si="142"/>
        <v>OK</v>
      </c>
      <c r="T913">
        <v>3304.05</v>
      </c>
      <c r="U913">
        <v>2279.41</v>
      </c>
      <c r="V913">
        <v>1024.6400000000001</v>
      </c>
      <c r="W913" t="s">
        <v>154</v>
      </c>
      <c r="X913" t="s">
        <v>67</v>
      </c>
      <c r="Y913" t="str">
        <f>IF(COUNTIF($A$2:$A$901,A913)&gt;1,
  IF(COUNTIF($A$2:A913,A913)=1,
    " ORIGINAL",
    "CONFLICTING DUPLICATE - REVIEW"),
"OK")</f>
        <v>OK</v>
      </c>
      <c r="Z913">
        <f t="shared" si="143"/>
        <v>0.25</v>
      </c>
      <c r="AA913">
        <f t="shared" si="144"/>
        <v>3304.05</v>
      </c>
      <c r="AB913">
        <f t="shared" si="145"/>
        <v>1024.6400000000001</v>
      </c>
      <c r="AC913">
        <f t="shared" si="146"/>
        <v>0.31009999999999999</v>
      </c>
      <c r="AD913">
        <f t="shared" si="147"/>
        <v>5</v>
      </c>
      <c r="AE913">
        <f t="shared" si="148"/>
        <v>2025</v>
      </c>
      <c r="AF913" t="str">
        <f t="shared" si="149"/>
        <v>INVALID</v>
      </c>
    </row>
    <row r="914" spans="1:32">
      <c r="D914"/>
    </row>
    <row r="915" spans="1:32">
      <c r="D915"/>
    </row>
    <row r="916" spans="1:32">
      <c r="D916"/>
    </row>
    <row r="917" spans="1:32">
      <c r="D917"/>
    </row>
    <row r="918" spans="1:32">
      <c r="D918"/>
    </row>
    <row r="919" spans="1:32">
      <c r="D919"/>
    </row>
    <row r="920" spans="1:32">
      <c r="D920"/>
    </row>
    <row r="921" spans="1:32">
      <c r="D921"/>
    </row>
    <row r="922" spans="1:32">
      <c r="D922"/>
    </row>
    <row r="923" spans="1:32">
      <c r="D923"/>
    </row>
    <row r="924" spans="1:32">
      <c r="D924"/>
    </row>
    <row r="925" spans="1:32">
      <c r="D925"/>
    </row>
    <row r="926" spans="1:32">
      <c r="D926"/>
    </row>
    <row r="927" spans="1:32">
      <c r="D927"/>
    </row>
    <row r="928" spans="1:32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</sheetData>
  <autoFilter ref="A1:AF913" xr:uid="{F6E6000D-0625-48C4-B6B2-021471D0F33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E75A-7FDD-4882-8D3D-107EC3F8F6D1}">
  <dimension ref="A1:C69"/>
  <sheetViews>
    <sheetView topLeftCell="A20" workbookViewId="0">
      <selection activeCell="B36" sqref="B36"/>
    </sheetView>
  </sheetViews>
  <sheetFormatPr defaultRowHeight="14.4"/>
  <cols>
    <col min="1" max="1" width="41.44140625" customWidth="1"/>
    <col min="2" max="2" width="59.109375" customWidth="1"/>
    <col min="3" max="3" width="35.44140625" customWidth="1"/>
  </cols>
  <sheetData>
    <row r="1" spans="1:3" ht="18">
      <c r="A1" s="16" t="s">
        <v>2772</v>
      </c>
      <c r="B1" s="16"/>
      <c r="C1" s="16"/>
    </row>
    <row r="2" spans="1:3">
      <c r="A2" s="4" t="s">
        <v>2767</v>
      </c>
      <c r="B2" s="4" t="s">
        <v>2768</v>
      </c>
      <c r="C2" s="4" t="s">
        <v>2821</v>
      </c>
    </row>
    <row r="3" spans="1:3">
      <c r="A3" s="4" t="s">
        <v>2822</v>
      </c>
      <c r="B3" s="4">
        <v>932</v>
      </c>
    </row>
    <row r="4" spans="1:3">
      <c r="A4" t="s">
        <v>2769</v>
      </c>
      <c r="B4" s="4">
        <v>20</v>
      </c>
      <c r="C4" s="4" t="s">
        <v>2823</v>
      </c>
    </row>
    <row r="5" spans="1:3">
      <c r="A5" t="s">
        <v>2824</v>
      </c>
      <c r="B5" s="4">
        <v>12</v>
      </c>
      <c r="C5" s="4" t="s">
        <v>2825</v>
      </c>
    </row>
    <row r="6" spans="1:3">
      <c r="A6" t="s">
        <v>2770</v>
      </c>
      <c r="B6" s="4">
        <v>20</v>
      </c>
      <c r="C6" s="4" t="s">
        <v>2826</v>
      </c>
    </row>
    <row r="7" spans="1:3">
      <c r="A7" t="s">
        <v>2771</v>
      </c>
      <c r="B7" s="4">
        <v>12</v>
      </c>
      <c r="C7" s="4" t="s">
        <v>2828</v>
      </c>
    </row>
    <row r="8" spans="1:3">
      <c r="B8" s="4"/>
    </row>
    <row r="9" spans="1:3">
      <c r="B9" s="4"/>
    </row>
    <row r="10" spans="1:3">
      <c r="B10" s="4"/>
    </row>
    <row r="11" spans="1:3">
      <c r="B11" s="4"/>
    </row>
    <row r="12" spans="1:3" ht="15.6">
      <c r="A12" s="15" t="s">
        <v>2775</v>
      </c>
      <c r="B12" s="15"/>
      <c r="C12" s="15"/>
    </row>
    <row r="13" spans="1:3">
      <c r="A13" s="4" t="s">
        <v>2773</v>
      </c>
      <c r="B13" s="4" t="s">
        <v>2774</v>
      </c>
      <c r="C13" t="s">
        <v>2787</v>
      </c>
    </row>
    <row r="14" spans="1:3" s="4" customFormat="1">
      <c r="A14" s="4" t="s">
        <v>2776</v>
      </c>
      <c r="B14" s="4" t="s">
        <v>2777</v>
      </c>
      <c r="C14" s="4" t="s">
        <v>2788</v>
      </c>
    </row>
    <row r="15" spans="1:3">
      <c r="A15" t="s">
        <v>2778</v>
      </c>
      <c r="B15" s="4">
        <v>25</v>
      </c>
      <c r="C15" t="s">
        <v>2789</v>
      </c>
    </row>
    <row r="16" spans="1:3">
      <c r="A16" t="s">
        <v>2779</v>
      </c>
      <c r="B16" s="4">
        <v>21</v>
      </c>
      <c r="C16" t="s">
        <v>2789</v>
      </c>
    </row>
    <row r="17" spans="1:3">
      <c r="A17" t="s">
        <v>2780</v>
      </c>
      <c r="B17" s="4">
        <v>18</v>
      </c>
      <c r="C17" t="s">
        <v>2790</v>
      </c>
    </row>
    <row r="22" spans="1:3" ht="18">
      <c r="A22" s="12" t="s">
        <v>2783</v>
      </c>
      <c r="B22" s="12"/>
      <c r="C22" s="12"/>
    </row>
    <row r="23" spans="1:3">
      <c r="A23" s="4" t="s">
        <v>2781</v>
      </c>
      <c r="B23" s="4" t="s">
        <v>2782</v>
      </c>
      <c r="C23" t="s">
        <v>2788</v>
      </c>
    </row>
    <row r="24" spans="1:3">
      <c r="A24" t="s">
        <v>2784</v>
      </c>
      <c r="B24">
        <v>15</v>
      </c>
      <c r="C24" t="s">
        <v>2835</v>
      </c>
    </row>
    <row r="25" spans="1:3">
      <c r="A25" t="s">
        <v>2785</v>
      </c>
      <c r="B25">
        <v>8</v>
      </c>
      <c r="C25" t="s">
        <v>2836</v>
      </c>
    </row>
    <row r="26" spans="1:3">
      <c r="A26" t="s">
        <v>2786</v>
      </c>
      <c r="B26">
        <v>18</v>
      </c>
      <c r="C26" t="s">
        <v>2791</v>
      </c>
    </row>
    <row r="33" spans="1:3" ht="18">
      <c r="A33" s="12" t="s">
        <v>2792</v>
      </c>
      <c r="B33" s="12"/>
      <c r="C33" s="12"/>
    </row>
    <row r="34" spans="1:3">
      <c r="A34" t="s">
        <v>2793</v>
      </c>
      <c r="B34" t="s">
        <v>2782</v>
      </c>
    </row>
    <row r="35" spans="1:3">
      <c r="A35" t="s">
        <v>2794</v>
      </c>
      <c r="B35">
        <v>93</v>
      </c>
      <c r="C35" t="s">
        <v>2797</v>
      </c>
    </row>
    <row r="36" spans="1:3">
      <c r="A36" t="s">
        <v>2795</v>
      </c>
      <c r="B36">
        <v>0</v>
      </c>
    </row>
    <row r="37" spans="1:3">
      <c r="A37" t="s">
        <v>2796</v>
      </c>
      <c r="B37">
        <v>0</v>
      </c>
    </row>
    <row r="42" spans="1:3" ht="18">
      <c r="A42" s="12" t="s">
        <v>2798</v>
      </c>
      <c r="B42" s="12"/>
      <c r="C42" s="12"/>
    </row>
    <row r="43" spans="1:3">
      <c r="A43" t="s">
        <v>2799</v>
      </c>
      <c r="B43" t="s">
        <v>2782</v>
      </c>
      <c r="C43" t="s">
        <v>2800</v>
      </c>
    </row>
    <row r="44" spans="1:3">
      <c r="A44" t="s">
        <v>2803</v>
      </c>
      <c r="B44">
        <v>604</v>
      </c>
    </row>
    <row r="45" spans="1:3">
      <c r="A45" t="s">
        <v>2801</v>
      </c>
      <c r="B45">
        <v>163</v>
      </c>
      <c r="C45" t="s">
        <v>2805</v>
      </c>
    </row>
    <row r="46" spans="1:3">
      <c r="A46" t="s">
        <v>2802</v>
      </c>
      <c r="B46">
        <v>145</v>
      </c>
      <c r="C46" t="s">
        <v>2805</v>
      </c>
    </row>
    <row r="47" spans="1:3">
      <c r="A47" s="5" t="s">
        <v>2804</v>
      </c>
      <c r="B47">
        <f>B44+B45+B46</f>
        <v>912</v>
      </c>
    </row>
    <row r="54" spans="1:3" ht="18">
      <c r="A54" s="12" t="s">
        <v>2806</v>
      </c>
      <c r="B54" s="12"/>
      <c r="C54" s="12"/>
    </row>
    <row r="55" spans="1:3">
      <c r="A55" t="s">
        <v>2799</v>
      </c>
      <c r="B55" t="s">
        <v>2809</v>
      </c>
      <c r="C55" t="s">
        <v>2810</v>
      </c>
    </row>
    <row r="56" spans="1:3">
      <c r="A56" t="s">
        <v>2807</v>
      </c>
      <c r="B56">
        <v>824</v>
      </c>
      <c r="C56">
        <v>823</v>
      </c>
    </row>
    <row r="57" spans="1:3">
      <c r="A57" t="s">
        <v>2808</v>
      </c>
      <c r="B57">
        <v>88</v>
      </c>
      <c r="C57">
        <v>89</v>
      </c>
    </row>
    <row r="58" spans="1:3">
      <c r="B58" s="13" t="s">
        <v>2811</v>
      </c>
      <c r="C58" s="13"/>
    </row>
    <row r="65" spans="1:3" ht="18">
      <c r="A65" s="14" t="s">
        <v>2812</v>
      </c>
      <c r="B65" s="14"/>
      <c r="C65" s="14"/>
    </row>
    <row r="66" spans="1:3">
      <c r="A66" t="s">
        <v>2799</v>
      </c>
      <c r="B66" t="s">
        <v>2782</v>
      </c>
    </row>
    <row r="67" spans="1:3">
      <c r="A67" t="s">
        <v>2813</v>
      </c>
      <c r="B67">
        <v>703</v>
      </c>
    </row>
    <row r="68" spans="1:3">
      <c r="A68" t="s">
        <v>2814</v>
      </c>
      <c r="B68">
        <v>37</v>
      </c>
    </row>
    <row r="69" spans="1:3">
      <c r="A69" t="s">
        <v>2815</v>
      </c>
      <c r="B69">
        <v>172</v>
      </c>
    </row>
  </sheetData>
  <mergeCells count="8">
    <mergeCell ref="A1:C1"/>
    <mergeCell ref="A33:C33"/>
    <mergeCell ref="A42:C42"/>
    <mergeCell ref="A54:C54"/>
    <mergeCell ref="B58:C58"/>
    <mergeCell ref="A65:C65"/>
    <mergeCell ref="A22:C22"/>
    <mergeCell ref="A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6697-4470-4991-8F2F-4D7B221547C2}">
  <dimension ref="A2:N34"/>
  <sheetViews>
    <sheetView workbookViewId="0">
      <selection activeCell="K14" sqref="K14"/>
    </sheetView>
  </sheetViews>
  <sheetFormatPr defaultRowHeight="14.4"/>
  <cols>
    <col min="1" max="1" width="15.5546875" bestFit="1" customWidth="1"/>
    <col min="2" max="3" width="22.21875" bestFit="1" customWidth="1"/>
    <col min="4" max="6" width="7" bestFit="1" customWidth="1"/>
    <col min="7" max="7" width="16" bestFit="1" customWidth="1"/>
    <col min="8" max="8" width="22.5546875" bestFit="1" customWidth="1"/>
    <col min="9" max="9" width="9.21875" bestFit="1" customWidth="1"/>
    <col min="10" max="10" width="13.88671875" bestFit="1" customWidth="1"/>
    <col min="11" max="11" width="10.77734375" bestFit="1" customWidth="1"/>
    <col min="12" max="12" width="15" bestFit="1" customWidth="1"/>
    <col min="13" max="13" width="12.5546875" bestFit="1" customWidth="1"/>
    <col min="14" max="14" width="11.44140625" bestFit="1" customWidth="1"/>
    <col min="15" max="15" width="13.5546875" bestFit="1" customWidth="1"/>
    <col min="16" max="16" width="10.77734375" bestFit="1" customWidth="1"/>
    <col min="17" max="17" width="4.6640625" bestFit="1" customWidth="1"/>
    <col min="18" max="18" width="7.88671875" bestFit="1" customWidth="1"/>
    <col min="19" max="19" width="9.21875" bestFit="1" customWidth="1"/>
    <col min="20" max="20" width="13.5546875" bestFit="1" customWidth="1"/>
    <col min="21" max="21" width="10.77734375" bestFit="1" customWidth="1"/>
    <col min="22" max="39" width="7" bestFit="1" customWidth="1"/>
    <col min="40" max="40" width="7.6640625" bestFit="1" customWidth="1"/>
    <col min="41" max="52" width="7" bestFit="1" customWidth="1"/>
    <col min="53" max="67" width="8" bestFit="1" customWidth="1"/>
    <col min="68" max="68" width="7" bestFit="1" customWidth="1"/>
    <col min="69" max="69" width="8" bestFit="1" customWidth="1"/>
    <col min="70" max="70" width="6" bestFit="1" customWidth="1"/>
    <col min="71" max="71" width="8.6640625" bestFit="1" customWidth="1"/>
    <col min="72" max="72" width="8" bestFit="1" customWidth="1"/>
    <col min="73" max="73" width="7" bestFit="1" customWidth="1"/>
    <col min="74" max="74" width="8" bestFit="1" customWidth="1"/>
    <col min="75" max="75" width="7" bestFit="1" customWidth="1"/>
    <col min="76" max="84" width="8" bestFit="1" customWidth="1"/>
    <col min="85" max="85" width="7" bestFit="1" customWidth="1"/>
    <col min="86" max="92" width="8" bestFit="1" customWidth="1"/>
    <col min="93" max="93" width="7" bestFit="1" customWidth="1"/>
    <col min="94" max="101" width="8" bestFit="1" customWidth="1"/>
    <col min="102" max="102" width="7" bestFit="1" customWidth="1"/>
    <col min="103" max="106" width="8" bestFit="1" customWidth="1"/>
    <col min="107" max="107" width="7" bestFit="1" customWidth="1"/>
    <col min="108" max="108" width="8" bestFit="1" customWidth="1"/>
    <col min="109" max="110" width="8.6640625" bestFit="1" customWidth="1"/>
    <col min="111" max="114" width="8" bestFit="1" customWidth="1"/>
    <col min="115" max="115" width="7" bestFit="1" customWidth="1"/>
    <col min="116" max="125" width="8" bestFit="1" customWidth="1"/>
    <col min="126" max="126" width="7" bestFit="1" customWidth="1"/>
    <col min="127" max="130" width="8" bestFit="1" customWidth="1"/>
    <col min="131" max="131" width="7" bestFit="1" customWidth="1"/>
    <col min="132" max="141" width="8" bestFit="1" customWidth="1"/>
    <col min="142" max="142" width="7" bestFit="1" customWidth="1"/>
    <col min="143" max="147" width="8" bestFit="1" customWidth="1"/>
    <col min="148" max="148" width="7" bestFit="1" customWidth="1"/>
    <col min="149" max="159" width="8" bestFit="1" customWidth="1"/>
    <col min="160" max="160" width="7" bestFit="1" customWidth="1"/>
    <col min="161" max="161" width="8" bestFit="1" customWidth="1"/>
    <col min="162" max="162" width="7" bestFit="1" customWidth="1"/>
    <col min="163" max="174" width="8" bestFit="1" customWidth="1"/>
    <col min="175" max="175" width="7" bestFit="1" customWidth="1"/>
    <col min="176" max="180" width="8" bestFit="1" customWidth="1"/>
    <col min="181" max="182" width="7" bestFit="1" customWidth="1"/>
    <col min="183" max="209" width="8" bestFit="1" customWidth="1"/>
    <col min="210" max="210" width="7" bestFit="1" customWidth="1"/>
    <col min="211" max="219" width="8" bestFit="1" customWidth="1"/>
    <col min="220" max="220" width="7" bestFit="1" customWidth="1"/>
    <col min="221" max="225" width="8" bestFit="1" customWidth="1"/>
    <col min="226" max="226" width="8.6640625" bestFit="1" customWidth="1"/>
    <col min="227" max="229" width="8" bestFit="1" customWidth="1"/>
    <col min="230" max="230" width="7" bestFit="1" customWidth="1"/>
    <col min="231" max="239" width="8" bestFit="1" customWidth="1"/>
    <col min="240" max="240" width="8.6640625" bestFit="1" customWidth="1"/>
    <col min="241" max="275" width="8" bestFit="1" customWidth="1"/>
    <col min="276" max="276" width="7" bestFit="1" customWidth="1"/>
    <col min="277" max="326" width="8" bestFit="1" customWidth="1"/>
    <col min="327" max="327" width="7" bestFit="1" customWidth="1"/>
    <col min="328" max="332" width="8" bestFit="1" customWidth="1"/>
    <col min="333" max="333" width="7" bestFit="1" customWidth="1"/>
    <col min="334" max="337" width="8" bestFit="1" customWidth="1"/>
    <col min="338" max="338" width="7" bestFit="1" customWidth="1"/>
    <col min="339" max="349" width="8" bestFit="1" customWidth="1"/>
    <col min="350" max="350" width="9.6640625" bestFit="1" customWidth="1"/>
    <col min="351" max="352" width="8" bestFit="1" customWidth="1"/>
    <col min="353" max="353" width="7" bestFit="1" customWidth="1"/>
    <col min="354" max="460" width="8" bestFit="1" customWidth="1"/>
    <col min="461" max="461" width="7" bestFit="1" customWidth="1"/>
    <col min="462" max="487" width="8" bestFit="1" customWidth="1"/>
    <col min="488" max="488" width="8.6640625" bestFit="1" customWidth="1"/>
    <col min="489" max="522" width="8" bestFit="1" customWidth="1"/>
    <col min="523" max="523" width="9.6640625" bestFit="1" customWidth="1"/>
    <col min="524" max="524" width="8" bestFit="1" customWidth="1"/>
    <col min="525" max="525" width="9.6640625" bestFit="1" customWidth="1"/>
    <col min="526" max="530" width="8" bestFit="1" customWidth="1"/>
    <col min="531" max="531" width="7" bestFit="1" customWidth="1"/>
    <col min="532" max="560" width="8" bestFit="1" customWidth="1"/>
    <col min="561" max="566" width="9" bestFit="1" customWidth="1"/>
    <col min="567" max="567" width="8" bestFit="1" customWidth="1"/>
    <col min="568" max="572" width="9" bestFit="1" customWidth="1"/>
    <col min="573" max="573" width="8" bestFit="1" customWidth="1"/>
    <col min="574" max="594" width="9" bestFit="1" customWidth="1"/>
    <col min="595" max="595" width="8" bestFit="1" customWidth="1"/>
    <col min="596" max="602" width="9" bestFit="1" customWidth="1"/>
    <col min="603" max="603" width="8" bestFit="1" customWidth="1"/>
    <col min="604" max="608" width="9" bestFit="1" customWidth="1"/>
    <col min="609" max="609" width="8" bestFit="1" customWidth="1"/>
    <col min="610" max="614" width="9" bestFit="1" customWidth="1"/>
    <col min="615" max="615" width="8" bestFit="1" customWidth="1"/>
    <col min="616" max="617" width="9" bestFit="1" customWidth="1"/>
    <col min="618" max="618" width="8" bestFit="1" customWidth="1"/>
    <col min="619" max="637" width="9" bestFit="1" customWidth="1"/>
    <col min="638" max="639" width="8" bestFit="1" customWidth="1"/>
    <col min="640" max="644" width="9" bestFit="1" customWidth="1"/>
    <col min="645" max="645" width="8" bestFit="1" customWidth="1"/>
    <col min="646" max="658" width="9" bestFit="1" customWidth="1"/>
    <col min="659" max="659" width="8" bestFit="1" customWidth="1"/>
    <col min="660" max="660" width="9" bestFit="1" customWidth="1"/>
    <col min="661" max="661" width="8" bestFit="1" customWidth="1"/>
    <col min="662" max="672" width="9" bestFit="1" customWidth="1"/>
    <col min="673" max="673" width="8" bestFit="1" customWidth="1"/>
    <col min="674" max="674" width="9" bestFit="1" customWidth="1"/>
    <col min="675" max="675" width="8" bestFit="1" customWidth="1"/>
    <col min="676" max="686" width="9" bestFit="1" customWidth="1"/>
    <col min="687" max="687" width="8" bestFit="1" customWidth="1"/>
    <col min="688" max="690" width="9" bestFit="1" customWidth="1"/>
    <col min="691" max="691" width="8" bestFit="1" customWidth="1"/>
    <col min="692" max="700" width="9" bestFit="1" customWidth="1"/>
    <col min="701" max="701" width="8" bestFit="1" customWidth="1"/>
    <col min="702" max="710" width="9" bestFit="1" customWidth="1"/>
    <col min="711" max="711" width="8" bestFit="1" customWidth="1"/>
    <col min="712" max="713" width="9" bestFit="1" customWidth="1"/>
    <col min="714" max="715" width="8" bestFit="1" customWidth="1"/>
    <col min="716" max="722" width="9" bestFit="1" customWidth="1"/>
    <col min="723" max="723" width="8" bestFit="1" customWidth="1"/>
    <col min="724" max="733" width="9" bestFit="1" customWidth="1"/>
    <col min="734" max="734" width="8" bestFit="1" customWidth="1"/>
    <col min="735" max="736" width="9" bestFit="1" customWidth="1"/>
    <col min="737" max="738" width="8" bestFit="1" customWidth="1"/>
    <col min="739" max="750" width="9" bestFit="1" customWidth="1"/>
    <col min="751" max="751" width="8" bestFit="1" customWidth="1"/>
    <col min="752" max="758" width="9" bestFit="1" customWidth="1"/>
    <col min="759" max="760" width="8" bestFit="1" customWidth="1"/>
    <col min="761" max="767" width="9" bestFit="1" customWidth="1"/>
    <col min="768" max="768" width="8" bestFit="1" customWidth="1"/>
    <col min="769" max="779" width="9" bestFit="1" customWidth="1"/>
    <col min="780" max="781" width="8" bestFit="1" customWidth="1"/>
    <col min="782" max="783" width="9" bestFit="1" customWidth="1"/>
    <col min="784" max="784" width="8" bestFit="1" customWidth="1"/>
    <col min="785" max="785" width="9" bestFit="1" customWidth="1"/>
    <col min="786" max="786" width="8" bestFit="1" customWidth="1"/>
    <col min="787" max="789" width="9" bestFit="1" customWidth="1"/>
    <col min="790" max="791" width="8" bestFit="1" customWidth="1"/>
    <col min="792" max="794" width="9" bestFit="1" customWidth="1"/>
    <col min="795" max="795" width="8" bestFit="1" customWidth="1"/>
    <col min="796" max="804" width="9" bestFit="1" customWidth="1"/>
    <col min="805" max="805" width="8" bestFit="1" customWidth="1"/>
    <col min="806" max="816" width="9" bestFit="1" customWidth="1"/>
    <col min="817" max="817" width="8" bestFit="1" customWidth="1"/>
    <col min="818" max="823" width="9" bestFit="1" customWidth="1"/>
    <col min="824" max="824" width="8" bestFit="1" customWidth="1"/>
    <col min="825" max="831" width="9" bestFit="1" customWidth="1"/>
    <col min="832" max="832" width="8" bestFit="1" customWidth="1"/>
    <col min="833" max="834" width="9" bestFit="1" customWidth="1"/>
    <col min="835" max="835" width="8" bestFit="1" customWidth="1"/>
    <col min="836" max="837" width="9" bestFit="1" customWidth="1"/>
    <col min="838" max="838" width="8" bestFit="1" customWidth="1"/>
    <col min="839" max="839" width="9" bestFit="1" customWidth="1"/>
    <col min="840" max="840" width="8" bestFit="1" customWidth="1"/>
    <col min="841" max="901" width="9" bestFit="1" customWidth="1"/>
    <col min="902" max="902" width="7" bestFit="1" customWidth="1"/>
    <col min="903" max="903" width="11" bestFit="1" customWidth="1"/>
  </cols>
  <sheetData>
    <row r="2" spans="1:14" ht="15.6">
      <c r="A2" s="15" t="s">
        <v>2841</v>
      </c>
      <c r="B2" s="15"/>
      <c r="C2" s="15"/>
      <c r="G2" s="19" t="s">
        <v>2843</v>
      </c>
      <c r="H2" s="19"/>
      <c r="M2" s="17" t="s">
        <v>2846</v>
      </c>
      <c r="N2" s="17"/>
    </row>
    <row r="3" spans="1:14">
      <c r="M3" s="6" t="s">
        <v>2817</v>
      </c>
      <c r="N3" t="s">
        <v>2840</v>
      </c>
    </row>
    <row r="4" spans="1:14">
      <c r="A4" s="6" t="s">
        <v>2817</v>
      </c>
      <c r="B4" t="s">
        <v>2837</v>
      </c>
      <c r="C4" t="s">
        <v>2816</v>
      </c>
      <c r="G4" s="6" t="s">
        <v>2817</v>
      </c>
      <c r="H4" t="s">
        <v>2819</v>
      </c>
      <c r="M4" s="7">
        <v>2024</v>
      </c>
      <c r="N4">
        <v>4845060.28</v>
      </c>
    </row>
    <row r="5" spans="1:14">
      <c r="A5" s="7" t="s">
        <v>37</v>
      </c>
      <c r="B5">
        <v>671938.48999999953</v>
      </c>
      <c r="C5">
        <v>2192383.67</v>
      </c>
      <c r="G5" s="7" t="s">
        <v>49</v>
      </c>
      <c r="H5">
        <v>223</v>
      </c>
      <c r="M5" s="8">
        <v>1</v>
      </c>
      <c r="N5">
        <v>412836.55000000005</v>
      </c>
    </row>
    <row r="6" spans="1:14">
      <c r="A6" s="7" t="s">
        <v>24</v>
      </c>
      <c r="B6">
        <v>628617.4800000001</v>
      </c>
      <c r="C6">
        <v>2151460.2799999998</v>
      </c>
      <c r="G6" s="7" t="s">
        <v>43</v>
      </c>
      <c r="H6">
        <v>204</v>
      </c>
      <c r="M6" s="8">
        <v>2</v>
      </c>
      <c r="N6">
        <v>452958.51999999996</v>
      </c>
    </row>
    <row r="7" spans="1:14">
      <c r="A7" s="7" t="s">
        <v>53</v>
      </c>
      <c r="B7">
        <v>588642.61999999988</v>
      </c>
      <c r="C7">
        <v>2242715.6799999997</v>
      </c>
      <c r="G7" s="7" t="s">
        <v>30</v>
      </c>
      <c r="H7">
        <v>222</v>
      </c>
      <c r="M7" s="8">
        <v>3</v>
      </c>
      <c r="N7">
        <v>361765.70999999996</v>
      </c>
    </row>
    <row r="8" spans="1:14">
      <c r="A8" s="7" t="s">
        <v>2762</v>
      </c>
      <c r="B8">
        <v>99905.36</v>
      </c>
      <c r="C8">
        <v>294896.51</v>
      </c>
      <c r="G8" s="7" t="s">
        <v>58</v>
      </c>
      <c r="H8">
        <v>242</v>
      </c>
      <c r="M8" s="8">
        <v>4</v>
      </c>
      <c r="N8">
        <v>400717.82</v>
      </c>
    </row>
    <row r="9" spans="1:14">
      <c r="A9" s="7" t="s">
        <v>62</v>
      </c>
      <c r="B9">
        <v>594207.04000000039</v>
      </c>
      <c r="C9">
        <v>2110411.7000000007</v>
      </c>
      <c r="G9" s="7" t="s">
        <v>2762</v>
      </c>
      <c r="H9">
        <v>21</v>
      </c>
      <c r="M9" s="8">
        <v>5</v>
      </c>
      <c r="N9">
        <v>482398.72000000009</v>
      </c>
    </row>
    <row r="10" spans="1:14">
      <c r="A10" s="7" t="s">
        <v>2818</v>
      </c>
      <c r="B10">
        <v>2583310.9900000002</v>
      </c>
      <c r="C10">
        <v>8991867.8399999999</v>
      </c>
      <c r="G10" s="7" t="s">
        <v>2818</v>
      </c>
      <c r="H10">
        <v>912</v>
      </c>
      <c r="M10" s="8">
        <v>6</v>
      </c>
      <c r="N10">
        <v>456375.29000000004</v>
      </c>
    </row>
    <row r="11" spans="1:14">
      <c r="M11" s="8">
        <v>7</v>
      </c>
      <c r="N11">
        <v>447262.04000000004</v>
      </c>
    </row>
    <row r="12" spans="1:14">
      <c r="M12" s="8">
        <v>8</v>
      </c>
      <c r="N12">
        <v>318217.53000000009</v>
      </c>
    </row>
    <row r="13" spans="1:14" ht="15.6">
      <c r="A13" s="18" t="s">
        <v>2842</v>
      </c>
      <c r="B13" s="18"/>
      <c r="C13" s="18"/>
      <c r="G13" s="20" t="s">
        <v>2844</v>
      </c>
      <c r="H13" s="20"/>
      <c r="I13" s="20"/>
      <c r="M13" s="8">
        <v>9</v>
      </c>
      <c r="N13">
        <v>400674.55</v>
      </c>
    </row>
    <row r="14" spans="1:14">
      <c r="M14" s="8">
        <v>10</v>
      </c>
      <c r="N14">
        <v>455451.44000000006</v>
      </c>
    </row>
    <row r="15" spans="1:14">
      <c r="A15" s="6" t="s">
        <v>2817</v>
      </c>
      <c r="B15" s="6" t="s">
        <v>2816</v>
      </c>
      <c r="C15" t="s">
        <v>2837</v>
      </c>
      <c r="G15" s="6" t="s">
        <v>2817</v>
      </c>
      <c r="H15" t="s">
        <v>2838</v>
      </c>
      <c r="M15" s="8">
        <v>11</v>
      </c>
      <c r="N15">
        <v>391188.86000000016</v>
      </c>
    </row>
    <row r="16" spans="1:14">
      <c r="A16" s="7" t="s">
        <v>40</v>
      </c>
      <c r="B16">
        <v>3112902.1899999995</v>
      </c>
      <c r="C16">
        <v>905750.15000000014</v>
      </c>
      <c r="G16" s="7" t="s">
        <v>23</v>
      </c>
      <c r="H16" s="11">
        <v>0.24557162162162166</v>
      </c>
      <c r="M16" s="8">
        <v>12</v>
      </c>
      <c r="N16">
        <v>265213.24999999994</v>
      </c>
    </row>
    <row r="17" spans="1:14">
      <c r="A17" s="8" t="s">
        <v>157</v>
      </c>
      <c r="B17">
        <v>674054.85</v>
      </c>
      <c r="C17">
        <v>186706.90000000002</v>
      </c>
      <c r="G17" s="7" t="s">
        <v>89</v>
      </c>
      <c r="H17" s="11">
        <v>0.26353179723502285</v>
      </c>
      <c r="M17" s="7">
        <v>2025</v>
      </c>
      <c r="N17">
        <v>4234530.1900000004</v>
      </c>
    </row>
    <row r="18" spans="1:14">
      <c r="A18" s="8" t="s">
        <v>65</v>
      </c>
      <c r="B18">
        <v>975877.6</v>
      </c>
      <c r="C18">
        <v>286450.87000000011</v>
      </c>
      <c r="G18" s="7" t="s">
        <v>94</v>
      </c>
      <c r="H18" s="11">
        <v>0.28494806866952788</v>
      </c>
      <c r="M18" s="8">
        <v>1</v>
      </c>
      <c r="N18">
        <v>467036.29000000004</v>
      </c>
    </row>
    <row r="19" spans="1:14">
      <c r="A19" s="8" t="s">
        <v>56</v>
      </c>
      <c r="B19">
        <v>782669.20999999985</v>
      </c>
      <c r="C19">
        <v>222428.64</v>
      </c>
      <c r="G19" s="7" t="s">
        <v>36</v>
      </c>
      <c r="H19" s="11">
        <v>0.29616625000000008</v>
      </c>
      <c r="M19" s="8">
        <v>2</v>
      </c>
      <c r="N19">
        <v>536118.15</v>
      </c>
    </row>
    <row r="20" spans="1:14">
      <c r="A20" s="8" t="s">
        <v>41</v>
      </c>
      <c r="B20">
        <v>680300.53</v>
      </c>
      <c r="C20">
        <v>210163.74</v>
      </c>
      <c r="G20" s="7" t="s">
        <v>2818</v>
      </c>
      <c r="H20" s="11">
        <v>0.27321940789473725</v>
      </c>
      <c r="M20" s="8">
        <v>3</v>
      </c>
      <c r="N20">
        <v>410709.79000000004</v>
      </c>
    </row>
    <row r="21" spans="1:14">
      <c r="A21" s="7" t="s">
        <v>27</v>
      </c>
      <c r="B21">
        <v>2771602.9699999997</v>
      </c>
      <c r="C21">
        <v>792429.62000000011</v>
      </c>
      <c r="M21" s="8">
        <v>4</v>
      </c>
      <c r="N21">
        <v>400501.95000000007</v>
      </c>
    </row>
    <row r="22" spans="1:14">
      <c r="A22" s="8" t="s">
        <v>47</v>
      </c>
      <c r="B22">
        <v>574781.86</v>
      </c>
      <c r="C22">
        <v>159295.95000000001</v>
      </c>
      <c r="M22" s="8">
        <v>5</v>
      </c>
      <c r="N22">
        <v>358724.07000000007</v>
      </c>
    </row>
    <row r="23" spans="1:14">
      <c r="A23" s="8" t="s">
        <v>152</v>
      </c>
      <c r="B23">
        <v>555372.08999999985</v>
      </c>
      <c r="C23">
        <v>166544.86000000007</v>
      </c>
      <c r="M23" s="8">
        <v>6</v>
      </c>
      <c r="N23">
        <v>364698.03</v>
      </c>
    </row>
    <row r="24" spans="1:14" ht="15.6">
      <c r="A24" s="8" t="s">
        <v>90</v>
      </c>
      <c r="B24">
        <v>345051.7099999999</v>
      </c>
      <c r="C24">
        <v>109654.13</v>
      </c>
      <c r="G24" s="21" t="s">
        <v>2845</v>
      </c>
      <c r="H24" s="21"/>
      <c r="I24" s="21"/>
      <c r="J24" s="21"/>
      <c r="K24" s="21"/>
      <c r="M24" s="8">
        <v>7</v>
      </c>
      <c r="N24">
        <v>430188.6100000001</v>
      </c>
    </row>
    <row r="25" spans="1:14">
      <c r="A25" s="8" t="s">
        <v>28</v>
      </c>
      <c r="B25">
        <v>618542.90999999992</v>
      </c>
      <c r="C25">
        <v>178622.27</v>
      </c>
      <c r="M25" s="8">
        <v>8</v>
      </c>
      <c r="N25">
        <v>532405.44000000006</v>
      </c>
    </row>
    <row r="26" spans="1:14">
      <c r="A26" s="8" t="s">
        <v>123</v>
      </c>
      <c r="B26">
        <v>677854.39999999991</v>
      </c>
      <c r="C26">
        <v>178312.41000000003</v>
      </c>
      <c r="G26" s="6" t="s">
        <v>2819</v>
      </c>
      <c r="H26" s="6" t="s">
        <v>2820</v>
      </c>
      <c r="M26" s="8">
        <v>9</v>
      </c>
      <c r="N26">
        <v>446496.46</v>
      </c>
    </row>
    <row r="27" spans="1:14">
      <c r="A27" s="7" t="s">
        <v>73</v>
      </c>
      <c r="B27">
        <v>3107362.6800000006</v>
      </c>
      <c r="C27">
        <v>885131.22</v>
      </c>
      <c r="H27" t="s">
        <v>67</v>
      </c>
      <c r="J27" t="s">
        <v>2839</v>
      </c>
      <c r="K27" t="s">
        <v>2818</v>
      </c>
      <c r="M27" s="8">
        <v>10</v>
      </c>
      <c r="N27">
        <v>222760.42999999996</v>
      </c>
    </row>
    <row r="28" spans="1:14">
      <c r="A28" s="8" t="s">
        <v>74</v>
      </c>
      <c r="B28">
        <v>814006.59000000032</v>
      </c>
      <c r="C28">
        <v>240329.01000000004</v>
      </c>
      <c r="G28" s="6" t="s">
        <v>2817</v>
      </c>
      <c r="H28" t="s">
        <v>154</v>
      </c>
      <c r="I28" t="s">
        <v>101</v>
      </c>
      <c r="M28" s="8">
        <v>11</v>
      </c>
      <c r="N28">
        <v>33806.33</v>
      </c>
    </row>
    <row r="29" spans="1:14">
      <c r="A29" s="8" t="s">
        <v>79</v>
      </c>
      <c r="B29">
        <v>892083.25999999989</v>
      </c>
      <c r="C29">
        <v>260680.93</v>
      </c>
      <c r="G29" s="7" t="s">
        <v>37</v>
      </c>
      <c r="H29">
        <v>5</v>
      </c>
      <c r="I29">
        <v>6</v>
      </c>
      <c r="J29">
        <v>11</v>
      </c>
      <c r="K29">
        <v>11</v>
      </c>
      <c r="M29" s="8">
        <v>12</v>
      </c>
      <c r="N29">
        <v>31084.639999999999</v>
      </c>
    </row>
    <row r="30" spans="1:14">
      <c r="A30" s="8" t="s">
        <v>273</v>
      </c>
      <c r="B30">
        <v>629848.30000000028</v>
      </c>
      <c r="C30">
        <v>180322.41999999998</v>
      </c>
      <c r="G30" s="7" t="s">
        <v>24</v>
      </c>
      <c r="H30">
        <v>12</v>
      </c>
      <c r="I30">
        <v>13</v>
      </c>
      <c r="J30">
        <v>25</v>
      </c>
      <c r="K30">
        <v>25</v>
      </c>
      <c r="M30" s="7" t="s">
        <v>2818</v>
      </c>
      <c r="N30">
        <v>9079590.4700000025</v>
      </c>
    </row>
    <row r="31" spans="1:14">
      <c r="A31" s="8" t="s">
        <v>170</v>
      </c>
      <c r="B31">
        <v>771424.53</v>
      </c>
      <c r="C31">
        <v>203798.85999999987</v>
      </c>
      <c r="G31" s="7" t="s">
        <v>53</v>
      </c>
      <c r="H31">
        <v>7</v>
      </c>
      <c r="I31">
        <v>11</v>
      </c>
      <c r="J31">
        <v>18</v>
      </c>
      <c r="K31">
        <v>18</v>
      </c>
    </row>
    <row r="32" spans="1:14">
      <c r="A32" s="7" t="s">
        <v>2818</v>
      </c>
      <c r="B32">
        <v>8991867.839999998</v>
      </c>
      <c r="C32">
        <v>2583310.9900000002</v>
      </c>
      <c r="G32" s="7" t="s">
        <v>2762</v>
      </c>
      <c r="H32">
        <v>1</v>
      </c>
      <c r="I32">
        <v>1</v>
      </c>
      <c r="J32">
        <v>2</v>
      </c>
      <c r="K32">
        <v>2</v>
      </c>
    </row>
    <row r="33" spans="7:11">
      <c r="G33" s="7" t="s">
        <v>62</v>
      </c>
      <c r="H33">
        <v>7</v>
      </c>
      <c r="I33">
        <v>6</v>
      </c>
      <c r="J33">
        <v>13</v>
      </c>
      <c r="K33">
        <v>13</v>
      </c>
    </row>
    <row r="34" spans="7:11">
      <c r="G34" s="7" t="s">
        <v>2818</v>
      </c>
      <c r="H34">
        <v>32</v>
      </c>
      <c r="I34">
        <v>37</v>
      </c>
      <c r="J34">
        <v>69</v>
      </c>
      <c r="K34">
        <v>69</v>
      </c>
    </row>
  </sheetData>
  <mergeCells count="6">
    <mergeCell ref="G24:K24"/>
    <mergeCell ref="M2:N2"/>
    <mergeCell ref="A2:C2"/>
    <mergeCell ref="A13:C13"/>
    <mergeCell ref="G2:H2"/>
    <mergeCell ref="G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DATA_SUMMERY</vt:lpstr>
      <vt:lpstr>Pivort_Tabel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Rathore</dc:creator>
  <cp:lastModifiedBy>Ajay Rathore</cp:lastModifiedBy>
  <dcterms:created xsi:type="dcterms:W3CDTF">2026-06-23T12:12:11Z</dcterms:created>
  <dcterms:modified xsi:type="dcterms:W3CDTF">2026-06-28T08:02:52Z</dcterms:modified>
</cp:coreProperties>
</file>