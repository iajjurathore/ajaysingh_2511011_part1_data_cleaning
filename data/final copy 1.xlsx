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10f741228aacd2/Desktop/"/>
    </mc:Choice>
  </mc:AlternateContent>
  <xr:revisionPtr revIDLastSave="16" documentId="8_{503802D1-C9BF-4AE0-B1F9-F524A8BE356F}" xr6:coauthVersionLast="47" xr6:coauthVersionMax="47" xr10:uidLastSave="{B8EED337-898A-4D3C-8153-B6D5FB63E693}"/>
  <bookViews>
    <workbookView xWindow="-108" yWindow="-108" windowWidth="23256" windowHeight="12456" firstSheet="4" activeTab="7" xr2:uid="{900A380F-433A-4BAC-93D1-0B592B8862A0}"/>
  </bookViews>
  <sheets>
    <sheet name="Sheet1" sheetId="1" r:id="rId1"/>
    <sheet name="PIVORT_TABLE" sheetId="5" r:id="rId2"/>
    <sheet name="P.T.CATEG" sheetId="6" r:id="rId3"/>
    <sheet name="SHIP_MODE P" sheetId="7" r:id="rId4"/>
    <sheet name="PRO.M_CUS_SEG" sheetId="8" r:id="rId5"/>
    <sheet name="R.C.F PIV" sheetId="9" r:id="rId6"/>
    <sheet name="MON.SALES.TREND" sheetId="10" r:id="rId7"/>
    <sheet name="Sheet2" sheetId="2" r:id="rId8"/>
    <sheet name="DATA_SUMMERY" sheetId="3" r:id="rId9"/>
  </sheets>
  <definedNames>
    <definedName name="_xlnm._FilterDatabase" localSheetId="0" hidden="1">Sheet1!$A$1:$X$913</definedName>
    <definedName name="_xlnm._FilterDatabase" localSheetId="7" hidden="1">Sheet2!$A$1:$AE$697</definedName>
  </definedNames>
  <calcPr calcId="191029"/>
  <pivotCaches>
    <pivotCache cacheId="3" r:id="rId10"/>
    <pivotCache cacheId="2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" i="2" l="1"/>
  <c r="Y4" i="2"/>
  <c r="Y5" i="2"/>
  <c r="Y6" i="2"/>
  <c r="Y7" i="2"/>
  <c r="Y8" i="2"/>
  <c r="Y9" i="2"/>
  <c r="Y10" i="2"/>
  <c r="Y11" i="2"/>
  <c r="Y12" i="2"/>
  <c r="Y13" i="2"/>
  <c r="Y14" i="2"/>
  <c r="Z14" i="2" s="1"/>
  <c r="AA14" i="2" s="1"/>
  <c r="AB14" i="2" s="1"/>
  <c r="Y15" i="2"/>
  <c r="Y16" i="2"/>
  <c r="Y17" i="2"/>
  <c r="Y18" i="2"/>
  <c r="Y19" i="2"/>
  <c r="Y20" i="2"/>
  <c r="Y21" i="2"/>
  <c r="Y22" i="2"/>
  <c r="Y23" i="2"/>
  <c r="Y24" i="2"/>
  <c r="Y25" i="2"/>
  <c r="Y26" i="2"/>
  <c r="Z26" i="2" s="1"/>
  <c r="AA26" i="2" s="1"/>
  <c r="AB26" i="2" s="1"/>
  <c r="Y27" i="2"/>
  <c r="Y28" i="2"/>
  <c r="Y29" i="2"/>
  <c r="Y30" i="2"/>
  <c r="Y31" i="2"/>
  <c r="Y32" i="2"/>
  <c r="Y33" i="2"/>
  <c r="Y34" i="2"/>
  <c r="Y35" i="2"/>
  <c r="Y36" i="2"/>
  <c r="Y37" i="2"/>
  <c r="Y38" i="2"/>
  <c r="Z38" i="2" s="1"/>
  <c r="AA38" i="2" s="1"/>
  <c r="AB38" i="2" s="1"/>
  <c r="Y39" i="2"/>
  <c r="Y40" i="2"/>
  <c r="Y41" i="2"/>
  <c r="Y42" i="2"/>
  <c r="Y43" i="2"/>
  <c r="Y44" i="2"/>
  <c r="Y45" i="2"/>
  <c r="Y46" i="2"/>
  <c r="Y47" i="2"/>
  <c r="Y48" i="2"/>
  <c r="Y49" i="2"/>
  <c r="Y50" i="2"/>
  <c r="Z50" i="2" s="1"/>
  <c r="AA50" i="2" s="1"/>
  <c r="AB50" i="2" s="1"/>
  <c r="Y51" i="2"/>
  <c r="Y52" i="2"/>
  <c r="Y53" i="2"/>
  <c r="Y54" i="2"/>
  <c r="Y55" i="2"/>
  <c r="Y56" i="2"/>
  <c r="Y57" i="2"/>
  <c r="Y58" i="2"/>
  <c r="Y59" i="2"/>
  <c r="Y60" i="2"/>
  <c r="Y61" i="2"/>
  <c r="Y62" i="2"/>
  <c r="Z62" i="2" s="1"/>
  <c r="AA62" i="2" s="1"/>
  <c r="AB62" i="2" s="1"/>
  <c r="Y63" i="2"/>
  <c r="Y64" i="2"/>
  <c r="Y65" i="2"/>
  <c r="Y66" i="2"/>
  <c r="Y67" i="2"/>
  <c r="Y68" i="2"/>
  <c r="Y69" i="2"/>
  <c r="Y70" i="2"/>
  <c r="Y71" i="2"/>
  <c r="Y72" i="2"/>
  <c r="Y73" i="2"/>
  <c r="Y74" i="2"/>
  <c r="Z74" i="2" s="1"/>
  <c r="AA74" i="2" s="1"/>
  <c r="AB74" i="2" s="1"/>
  <c r="Y75" i="2"/>
  <c r="Y76" i="2"/>
  <c r="Y77" i="2"/>
  <c r="Y78" i="2"/>
  <c r="Y79" i="2"/>
  <c r="Y80" i="2"/>
  <c r="Y81" i="2"/>
  <c r="Y82" i="2"/>
  <c r="Y83" i="2"/>
  <c r="Y84" i="2"/>
  <c r="Y85" i="2"/>
  <c r="Y86" i="2"/>
  <c r="Z86" i="2" s="1"/>
  <c r="AA86" i="2" s="1"/>
  <c r="AB86" i="2" s="1"/>
  <c r="Y87" i="2"/>
  <c r="Y88" i="2"/>
  <c r="Y89" i="2"/>
  <c r="Y90" i="2"/>
  <c r="Y91" i="2"/>
  <c r="Y92" i="2"/>
  <c r="Y93" i="2"/>
  <c r="Y94" i="2"/>
  <c r="Y95" i="2"/>
  <c r="Y96" i="2"/>
  <c r="Y97" i="2"/>
  <c r="Y98" i="2"/>
  <c r="Z98" i="2" s="1"/>
  <c r="AA98" i="2" s="1"/>
  <c r="AB98" i="2" s="1"/>
  <c r="Y99" i="2"/>
  <c r="Y100" i="2"/>
  <c r="Y101" i="2"/>
  <c r="Y102" i="2"/>
  <c r="Y103" i="2"/>
  <c r="Y104" i="2"/>
  <c r="Y105" i="2"/>
  <c r="Y106" i="2"/>
  <c r="Y107" i="2"/>
  <c r="Y108" i="2"/>
  <c r="Y109" i="2"/>
  <c r="Y110" i="2"/>
  <c r="Z110" i="2" s="1"/>
  <c r="AA110" i="2" s="1"/>
  <c r="AB110" i="2" s="1"/>
  <c r="Y111" i="2"/>
  <c r="Y112" i="2"/>
  <c r="Y113" i="2"/>
  <c r="Y114" i="2"/>
  <c r="Y115" i="2"/>
  <c r="Y116" i="2"/>
  <c r="Y117" i="2"/>
  <c r="Y118" i="2"/>
  <c r="Y119" i="2"/>
  <c r="Y120" i="2"/>
  <c r="Y121" i="2"/>
  <c r="Y122" i="2"/>
  <c r="Z122" i="2" s="1"/>
  <c r="AA122" i="2" s="1"/>
  <c r="AB122" i="2" s="1"/>
  <c r="Y123" i="2"/>
  <c r="Y124" i="2"/>
  <c r="Y125" i="2"/>
  <c r="Y126" i="2"/>
  <c r="Y127" i="2"/>
  <c r="Y128" i="2"/>
  <c r="Y129" i="2"/>
  <c r="Y130" i="2"/>
  <c r="Y131" i="2"/>
  <c r="Y132" i="2"/>
  <c r="Y133" i="2"/>
  <c r="Y134" i="2"/>
  <c r="Z134" i="2" s="1"/>
  <c r="AA134" i="2" s="1"/>
  <c r="AB134" i="2" s="1"/>
  <c r="Y135" i="2"/>
  <c r="Y136" i="2"/>
  <c r="Y137" i="2"/>
  <c r="Y138" i="2"/>
  <c r="Y139" i="2"/>
  <c r="Y140" i="2"/>
  <c r="Y141" i="2"/>
  <c r="Y142" i="2"/>
  <c r="Y143" i="2"/>
  <c r="Y144" i="2"/>
  <c r="Y145" i="2"/>
  <c r="Y146" i="2"/>
  <c r="Z146" i="2" s="1"/>
  <c r="AA146" i="2" s="1"/>
  <c r="AB146" i="2" s="1"/>
  <c r="Y147" i="2"/>
  <c r="Y148" i="2"/>
  <c r="Y149" i="2"/>
  <c r="Y150" i="2"/>
  <c r="Y151" i="2"/>
  <c r="Y152" i="2"/>
  <c r="Y153" i="2"/>
  <c r="Y154" i="2"/>
  <c r="Y155" i="2"/>
  <c r="Y156" i="2"/>
  <c r="Y157" i="2"/>
  <c r="Y158" i="2"/>
  <c r="Z158" i="2" s="1"/>
  <c r="AA158" i="2" s="1"/>
  <c r="AB158" i="2" s="1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Z182" i="2" s="1"/>
  <c r="AA182" i="2" s="1"/>
  <c r="AB182" i="2" s="1"/>
  <c r="Y183" i="2"/>
  <c r="Y184" i="2"/>
  <c r="Y185" i="2"/>
  <c r="Y186" i="2"/>
  <c r="Y187" i="2"/>
  <c r="Y188" i="2"/>
  <c r="Y189" i="2"/>
  <c r="Y190" i="2"/>
  <c r="Y191" i="2"/>
  <c r="Y192" i="2"/>
  <c r="Y193" i="2"/>
  <c r="Y194" i="2"/>
  <c r="Z194" i="2" s="1"/>
  <c r="AA194" i="2" s="1"/>
  <c r="AB194" i="2" s="1"/>
  <c r="Y195" i="2"/>
  <c r="Y196" i="2"/>
  <c r="Y197" i="2"/>
  <c r="Y198" i="2"/>
  <c r="Y199" i="2"/>
  <c r="Y200" i="2"/>
  <c r="Y201" i="2"/>
  <c r="Y202" i="2"/>
  <c r="Y203" i="2"/>
  <c r="Y204" i="2"/>
  <c r="Y205" i="2"/>
  <c r="Y206" i="2"/>
  <c r="Z206" i="2" s="1"/>
  <c r="AA206" i="2" s="1"/>
  <c r="AB206" i="2" s="1"/>
  <c r="Y207" i="2"/>
  <c r="Y208" i="2"/>
  <c r="Y209" i="2"/>
  <c r="Y210" i="2"/>
  <c r="Y211" i="2"/>
  <c r="Y212" i="2"/>
  <c r="Y213" i="2"/>
  <c r="Y214" i="2"/>
  <c r="Y215" i="2"/>
  <c r="Y216" i="2"/>
  <c r="Y217" i="2"/>
  <c r="Y218" i="2"/>
  <c r="Z218" i="2" s="1"/>
  <c r="AA218" i="2" s="1"/>
  <c r="AB218" i="2" s="1"/>
  <c r="Y219" i="2"/>
  <c r="Y220" i="2"/>
  <c r="Y221" i="2"/>
  <c r="Y222" i="2"/>
  <c r="Y223" i="2"/>
  <c r="Y224" i="2"/>
  <c r="Y225" i="2"/>
  <c r="Y226" i="2"/>
  <c r="Y227" i="2"/>
  <c r="Y228" i="2"/>
  <c r="Y229" i="2"/>
  <c r="Y230" i="2"/>
  <c r="Z230" i="2" s="1"/>
  <c r="AA230" i="2" s="1"/>
  <c r="AB230" i="2" s="1"/>
  <c r="Y231" i="2"/>
  <c r="Y232" i="2"/>
  <c r="Y233" i="2"/>
  <c r="Y234" i="2"/>
  <c r="Y235" i="2"/>
  <c r="Y236" i="2"/>
  <c r="Y237" i="2"/>
  <c r="Y238" i="2"/>
  <c r="Y239" i="2"/>
  <c r="Y240" i="2"/>
  <c r="Y241" i="2"/>
  <c r="Y242" i="2"/>
  <c r="Z242" i="2" s="1"/>
  <c r="AA242" i="2" s="1"/>
  <c r="AB242" i="2" s="1"/>
  <c r="Y243" i="2"/>
  <c r="Y244" i="2"/>
  <c r="Y245" i="2"/>
  <c r="Y246" i="2"/>
  <c r="Y247" i="2"/>
  <c r="Y248" i="2"/>
  <c r="Y249" i="2"/>
  <c r="Y250" i="2"/>
  <c r="Y251" i="2"/>
  <c r="Y252" i="2"/>
  <c r="Y253" i="2"/>
  <c r="Y254" i="2"/>
  <c r="Z254" i="2" s="1"/>
  <c r="AA254" i="2" s="1"/>
  <c r="AB254" i="2" s="1"/>
  <c r="Y255" i="2"/>
  <c r="Y256" i="2"/>
  <c r="Y257" i="2"/>
  <c r="Y258" i="2"/>
  <c r="Y259" i="2"/>
  <c r="Y260" i="2"/>
  <c r="Y261" i="2"/>
  <c r="Y262" i="2"/>
  <c r="Y263" i="2"/>
  <c r="Y264" i="2"/>
  <c r="Y265" i="2"/>
  <c r="Y266" i="2"/>
  <c r="Z266" i="2" s="1"/>
  <c r="AA266" i="2" s="1"/>
  <c r="AB266" i="2" s="1"/>
  <c r="Y267" i="2"/>
  <c r="Y268" i="2"/>
  <c r="Y269" i="2"/>
  <c r="Y270" i="2"/>
  <c r="Y271" i="2"/>
  <c r="Y272" i="2"/>
  <c r="Y273" i="2"/>
  <c r="Y274" i="2"/>
  <c r="Y275" i="2"/>
  <c r="Y276" i="2"/>
  <c r="Y277" i="2"/>
  <c r="Y278" i="2"/>
  <c r="Z278" i="2" s="1"/>
  <c r="AA278" i="2" s="1"/>
  <c r="AB278" i="2" s="1"/>
  <c r="Y279" i="2"/>
  <c r="Y280" i="2"/>
  <c r="Y281" i="2"/>
  <c r="Y282" i="2"/>
  <c r="Y283" i="2"/>
  <c r="Y284" i="2"/>
  <c r="Y285" i="2"/>
  <c r="Y286" i="2"/>
  <c r="Y287" i="2"/>
  <c r="Y288" i="2"/>
  <c r="Y289" i="2"/>
  <c r="Y290" i="2"/>
  <c r="Z290" i="2" s="1"/>
  <c r="AA290" i="2" s="1"/>
  <c r="AB290" i="2" s="1"/>
  <c r="Y291" i="2"/>
  <c r="Y292" i="2"/>
  <c r="Y293" i="2"/>
  <c r="Y294" i="2"/>
  <c r="Y295" i="2"/>
  <c r="Y296" i="2"/>
  <c r="Y297" i="2"/>
  <c r="Y298" i="2"/>
  <c r="Y299" i="2"/>
  <c r="Y300" i="2"/>
  <c r="Y301" i="2"/>
  <c r="Y302" i="2"/>
  <c r="Z302" i="2" s="1"/>
  <c r="AA302" i="2" s="1"/>
  <c r="AB302" i="2" s="1"/>
  <c r="Y303" i="2"/>
  <c r="Y304" i="2"/>
  <c r="Y305" i="2"/>
  <c r="Y306" i="2"/>
  <c r="Y307" i="2"/>
  <c r="Y308" i="2"/>
  <c r="Y309" i="2"/>
  <c r="Y310" i="2"/>
  <c r="Y311" i="2"/>
  <c r="Y312" i="2"/>
  <c r="Y313" i="2"/>
  <c r="Y314" i="2"/>
  <c r="Z314" i="2" s="1"/>
  <c r="AA314" i="2" s="1"/>
  <c r="AB314" i="2" s="1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Z338" i="2" s="1"/>
  <c r="AA338" i="2" s="1"/>
  <c r="AB338" i="2" s="1"/>
  <c r="Y339" i="2"/>
  <c r="Y340" i="2"/>
  <c r="Y341" i="2"/>
  <c r="Y342" i="2"/>
  <c r="Y343" i="2"/>
  <c r="Y344" i="2"/>
  <c r="Y345" i="2"/>
  <c r="Y346" i="2"/>
  <c r="Y347" i="2"/>
  <c r="Y348" i="2"/>
  <c r="Y349" i="2"/>
  <c r="Y350" i="2"/>
  <c r="Z350" i="2" s="1"/>
  <c r="AA350" i="2" s="1"/>
  <c r="AB350" i="2" s="1"/>
  <c r="Y351" i="2"/>
  <c r="Y352" i="2"/>
  <c r="Y353" i="2"/>
  <c r="Y354" i="2"/>
  <c r="Y355" i="2"/>
  <c r="Y356" i="2"/>
  <c r="Y357" i="2"/>
  <c r="Y358" i="2"/>
  <c r="Y359" i="2"/>
  <c r="Y360" i="2"/>
  <c r="Y361" i="2"/>
  <c r="Y362" i="2"/>
  <c r="Z362" i="2" s="1"/>
  <c r="AA362" i="2" s="1"/>
  <c r="AB362" i="2" s="1"/>
  <c r="Y363" i="2"/>
  <c r="Y364" i="2"/>
  <c r="Y365" i="2"/>
  <c r="Y366" i="2"/>
  <c r="Y367" i="2"/>
  <c r="Y368" i="2"/>
  <c r="Y369" i="2"/>
  <c r="Y370" i="2"/>
  <c r="Y371" i="2"/>
  <c r="Y372" i="2"/>
  <c r="Y373" i="2"/>
  <c r="Y374" i="2"/>
  <c r="Z374" i="2" s="1"/>
  <c r="AA374" i="2" s="1"/>
  <c r="AB374" i="2" s="1"/>
  <c r="Y375" i="2"/>
  <c r="Y376" i="2"/>
  <c r="Y377" i="2"/>
  <c r="Y378" i="2"/>
  <c r="Y379" i="2"/>
  <c r="Y380" i="2"/>
  <c r="Y381" i="2"/>
  <c r="Y382" i="2"/>
  <c r="Y383" i="2"/>
  <c r="Y384" i="2"/>
  <c r="Y385" i="2"/>
  <c r="Y386" i="2"/>
  <c r="Z386" i="2" s="1"/>
  <c r="AA386" i="2" s="1"/>
  <c r="AB386" i="2" s="1"/>
  <c r="Y387" i="2"/>
  <c r="Y388" i="2"/>
  <c r="Y389" i="2"/>
  <c r="Y390" i="2"/>
  <c r="Y391" i="2"/>
  <c r="Y392" i="2"/>
  <c r="Y393" i="2"/>
  <c r="Y394" i="2"/>
  <c r="Y395" i="2"/>
  <c r="Y396" i="2"/>
  <c r="Y397" i="2"/>
  <c r="Y398" i="2"/>
  <c r="Z398" i="2" s="1"/>
  <c r="AA398" i="2" s="1"/>
  <c r="AB398" i="2" s="1"/>
  <c r="Y399" i="2"/>
  <c r="Y400" i="2"/>
  <c r="Y401" i="2"/>
  <c r="Y402" i="2"/>
  <c r="Y403" i="2"/>
  <c r="Y404" i="2"/>
  <c r="Y405" i="2"/>
  <c r="Y406" i="2"/>
  <c r="Y407" i="2"/>
  <c r="Y408" i="2"/>
  <c r="Y409" i="2"/>
  <c r="Y410" i="2"/>
  <c r="Z410" i="2" s="1"/>
  <c r="AA410" i="2" s="1"/>
  <c r="AB410" i="2" s="1"/>
  <c r="Y411" i="2"/>
  <c r="Y412" i="2"/>
  <c r="Y413" i="2"/>
  <c r="Y414" i="2"/>
  <c r="Y415" i="2"/>
  <c r="Y416" i="2"/>
  <c r="Y417" i="2"/>
  <c r="Y418" i="2"/>
  <c r="Y419" i="2"/>
  <c r="Y420" i="2"/>
  <c r="Y421" i="2"/>
  <c r="Y422" i="2"/>
  <c r="Z422" i="2" s="1"/>
  <c r="AA422" i="2" s="1"/>
  <c r="AB422" i="2" s="1"/>
  <c r="Y423" i="2"/>
  <c r="Y424" i="2"/>
  <c r="Y425" i="2"/>
  <c r="Y426" i="2"/>
  <c r="Y427" i="2"/>
  <c r="Y428" i="2"/>
  <c r="Y429" i="2"/>
  <c r="Y430" i="2"/>
  <c r="Y431" i="2"/>
  <c r="Y432" i="2"/>
  <c r="Y433" i="2"/>
  <c r="Y434" i="2"/>
  <c r="Z434" i="2" s="1"/>
  <c r="AA434" i="2" s="1"/>
  <c r="AB434" i="2" s="1"/>
  <c r="Y435" i="2"/>
  <c r="Y436" i="2"/>
  <c r="Y437" i="2"/>
  <c r="Y438" i="2"/>
  <c r="Y439" i="2"/>
  <c r="Y440" i="2"/>
  <c r="Y441" i="2"/>
  <c r="Y442" i="2"/>
  <c r="Y443" i="2"/>
  <c r="Y444" i="2"/>
  <c r="Y445" i="2"/>
  <c r="Y446" i="2"/>
  <c r="Z446" i="2" s="1"/>
  <c r="AA446" i="2" s="1"/>
  <c r="AB446" i="2" s="1"/>
  <c r="Y447" i="2"/>
  <c r="Y448" i="2"/>
  <c r="Y449" i="2"/>
  <c r="Y450" i="2"/>
  <c r="Y451" i="2"/>
  <c r="Y452" i="2"/>
  <c r="Y453" i="2"/>
  <c r="Y454" i="2"/>
  <c r="Y455" i="2"/>
  <c r="Y456" i="2"/>
  <c r="Y457" i="2"/>
  <c r="Y458" i="2"/>
  <c r="Z458" i="2" s="1"/>
  <c r="AA458" i="2" s="1"/>
  <c r="AB458" i="2" s="1"/>
  <c r="Y459" i="2"/>
  <c r="Y460" i="2"/>
  <c r="Y461" i="2"/>
  <c r="Y462" i="2"/>
  <c r="Y463" i="2"/>
  <c r="Y464" i="2"/>
  <c r="Y465" i="2"/>
  <c r="Y466" i="2"/>
  <c r="Y467" i="2"/>
  <c r="Y468" i="2"/>
  <c r="Y469" i="2"/>
  <c r="Y470" i="2"/>
  <c r="Z470" i="2" s="1"/>
  <c r="AA470" i="2" s="1"/>
  <c r="AB470" i="2" s="1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Z494" i="2" s="1"/>
  <c r="AA494" i="2" s="1"/>
  <c r="AB494" i="2" s="1"/>
  <c r="Y495" i="2"/>
  <c r="Y496" i="2"/>
  <c r="Y497" i="2"/>
  <c r="Y498" i="2"/>
  <c r="Y499" i="2"/>
  <c r="Y500" i="2"/>
  <c r="Y501" i="2"/>
  <c r="Y502" i="2"/>
  <c r="Y503" i="2"/>
  <c r="Y504" i="2"/>
  <c r="Y505" i="2"/>
  <c r="Y506" i="2"/>
  <c r="Z506" i="2" s="1"/>
  <c r="AA506" i="2" s="1"/>
  <c r="AB506" i="2" s="1"/>
  <c r="Y507" i="2"/>
  <c r="Y508" i="2"/>
  <c r="Y509" i="2"/>
  <c r="Y510" i="2"/>
  <c r="Y511" i="2"/>
  <c r="Y512" i="2"/>
  <c r="Y513" i="2"/>
  <c r="Y514" i="2"/>
  <c r="Y515" i="2"/>
  <c r="Y516" i="2"/>
  <c r="Y517" i="2"/>
  <c r="Y518" i="2"/>
  <c r="Z518" i="2" s="1"/>
  <c r="AA518" i="2" s="1"/>
  <c r="AB518" i="2" s="1"/>
  <c r="Y519" i="2"/>
  <c r="Y520" i="2"/>
  <c r="Y521" i="2"/>
  <c r="Y522" i="2"/>
  <c r="Y523" i="2"/>
  <c r="Y524" i="2"/>
  <c r="Y525" i="2"/>
  <c r="Y526" i="2"/>
  <c r="Y527" i="2"/>
  <c r="Y528" i="2"/>
  <c r="Y529" i="2"/>
  <c r="Y530" i="2"/>
  <c r="Z530" i="2" s="1"/>
  <c r="AA530" i="2" s="1"/>
  <c r="AB530" i="2" s="1"/>
  <c r="Y531" i="2"/>
  <c r="Y532" i="2"/>
  <c r="Y533" i="2"/>
  <c r="Y534" i="2"/>
  <c r="Y535" i="2"/>
  <c r="Y536" i="2"/>
  <c r="Y537" i="2"/>
  <c r="Y538" i="2"/>
  <c r="Y539" i="2"/>
  <c r="Y540" i="2"/>
  <c r="Y541" i="2"/>
  <c r="Y542" i="2"/>
  <c r="Z542" i="2" s="1"/>
  <c r="AA542" i="2" s="1"/>
  <c r="AB542" i="2" s="1"/>
  <c r="Y543" i="2"/>
  <c r="Y544" i="2"/>
  <c r="Y545" i="2"/>
  <c r="Y546" i="2"/>
  <c r="Y547" i="2"/>
  <c r="Y548" i="2"/>
  <c r="Y549" i="2"/>
  <c r="Y550" i="2"/>
  <c r="Y551" i="2"/>
  <c r="Y552" i="2"/>
  <c r="Y553" i="2"/>
  <c r="Y554" i="2"/>
  <c r="Z554" i="2" s="1"/>
  <c r="AA554" i="2" s="1"/>
  <c r="AB554" i="2" s="1"/>
  <c r="Y555" i="2"/>
  <c r="Y556" i="2"/>
  <c r="Y557" i="2"/>
  <c r="Y558" i="2"/>
  <c r="Y559" i="2"/>
  <c r="Y560" i="2"/>
  <c r="Y561" i="2"/>
  <c r="Y562" i="2"/>
  <c r="Y563" i="2"/>
  <c r="Y564" i="2"/>
  <c r="Y565" i="2"/>
  <c r="Y566" i="2"/>
  <c r="Z566" i="2" s="1"/>
  <c r="AA566" i="2" s="1"/>
  <c r="AB566" i="2" s="1"/>
  <c r="Y567" i="2"/>
  <c r="Y568" i="2"/>
  <c r="Y569" i="2"/>
  <c r="Y570" i="2"/>
  <c r="Y571" i="2"/>
  <c r="Y572" i="2"/>
  <c r="Y573" i="2"/>
  <c r="Y574" i="2"/>
  <c r="Y575" i="2"/>
  <c r="Y576" i="2"/>
  <c r="Y577" i="2"/>
  <c r="Y578" i="2"/>
  <c r="Z578" i="2" s="1"/>
  <c r="AA578" i="2" s="1"/>
  <c r="AB578" i="2" s="1"/>
  <c r="Y579" i="2"/>
  <c r="Y580" i="2"/>
  <c r="Y581" i="2"/>
  <c r="Y582" i="2"/>
  <c r="Z582" i="2" s="1"/>
  <c r="AA582" i="2" s="1"/>
  <c r="AB582" i="2" s="1"/>
  <c r="Y583" i="2"/>
  <c r="Y584" i="2"/>
  <c r="Y585" i="2"/>
  <c r="Y586" i="2"/>
  <c r="Y587" i="2"/>
  <c r="Y588" i="2"/>
  <c r="Y589" i="2"/>
  <c r="Y590" i="2"/>
  <c r="Z590" i="2" s="1"/>
  <c r="AA590" i="2" s="1"/>
  <c r="AB590" i="2" s="1"/>
  <c r="Y591" i="2"/>
  <c r="Y592" i="2"/>
  <c r="Y593" i="2"/>
  <c r="Y594" i="2"/>
  <c r="Y595" i="2"/>
  <c r="Y596" i="2"/>
  <c r="Y597" i="2"/>
  <c r="Y598" i="2"/>
  <c r="Y599" i="2"/>
  <c r="Y600" i="2"/>
  <c r="Y601" i="2"/>
  <c r="Y602" i="2"/>
  <c r="Z602" i="2" s="1"/>
  <c r="AA602" i="2" s="1"/>
  <c r="AB602" i="2" s="1"/>
  <c r="Y603" i="2"/>
  <c r="Y604" i="2"/>
  <c r="Y605" i="2"/>
  <c r="Y606" i="2"/>
  <c r="Y607" i="2"/>
  <c r="Y608" i="2"/>
  <c r="Y609" i="2"/>
  <c r="Y610" i="2"/>
  <c r="Y611" i="2"/>
  <c r="Y612" i="2"/>
  <c r="Y613" i="2"/>
  <c r="Y614" i="2"/>
  <c r="Z614" i="2" s="1"/>
  <c r="AA614" i="2" s="1"/>
  <c r="AB614" i="2" s="1"/>
  <c r="Y615" i="2"/>
  <c r="Y616" i="2"/>
  <c r="Y617" i="2"/>
  <c r="Y618" i="2"/>
  <c r="Y619" i="2"/>
  <c r="Y620" i="2"/>
  <c r="Y621" i="2"/>
  <c r="Y622" i="2"/>
  <c r="Y623" i="2"/>
  <c r="Y624" i="2"/>
  <c r="Y625" i="2"/>
  <c r="Y626" i="2"/>
  <c r="Z626" i="2" s="1"/>
  <c r="AA626" i="2" s="1"/>
  <c r="AB626" i="2" s="1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Z650" i="2" s="1"/>
  <c r="AA650" i="2" s="1"/>
  <c r="AB650" i="2" s="1"/>
  <c r="Y651" i="2"/>
  <c r="Y652" i="2"/>
  <c r="Y653" i="2"/>
  <c r="Y654" i="2"/>
  <c r="Y655" i="2"/>
  <c r="Y656" i="2"/>
  <c r="Y657" i="2"/>
  <c r="Y658" i="2"/>
  <c r="Y659" i="2"/>
  <c r="Y660" i="2"/>
  <c r="Y661" i="2"/>
  <c r="Y662" i="2"/>
  <c r="Z662" i="2" s="1"/>
  <c r="AA662" i="2" s="1"/>
  <c r="AB662" i="2" s="1"/>
  <c r="Y663" i="2"/>
  <c r="Y664" i="2"/>
  <c r="Y665" i="2"/>
  <c r="Y666" i="2"/>
  <c r="Y667" i="2"/>
  <c r="Y668" i="2"/>
  <c r="Y669" i="2"/>
  <c r="Y670" i="2"/>
  <c r="Y671" i="2"/>
  <c r="Y672" i="2"/>
  <c r="Y673" i="2"/>
  <c r="Y674" i="2"/>
  <c r="Z674" i="2" s="1"/>
  <c r="AA674" i="2" s="1"/>
  <c r="AB674" i="2" s="1"/>
  <c r="Y675" i="2"/>
  <c r="Y676" i="2"/>
  <c r="Y677" i="2"/>
  <c r="Y678" i="2"/>
  <c r="Y679" i="2"/>
  <c r="Y680" i="2"/>
  <c r="Y681" i="2"/>
  <c r="Y682" i="2"/>
  <c r="Y683" i="2"/>
  <c r="Y684" i="2"/>
  <c r="Y685" i="2"/>
  <c r="Y686" i="2"/>
  <c r="Z686" i="2" s="1"/>
  <c r="AA686" i="2" s="1"/>
  <c r="AB686" i="2" s="1"/>
  <c r="Y687" i="2"/>
  <c r="Y688" i="2"/>
  <c r="Y689" i="2"/>
  <c r="Y690" i="2"/>
  <c r="Y691" i="2"/>
  <c r="Y692" i="2"/>
  <c r="Y693" i="2"/>
  <c r="Y694" i="2"/>
  <c r="Y695" i="2"/>
  <c r="Y696" i="2"/>
  <c r="Y697" i="2"/>
  <c r="Z170" i="2"/>
  <c r="AA170" i="2" s="1"/>
  <c r="AB170" i="2" s="1"/>
  <c r="Z326" i="2"/>
  <c r="AA326" i="2" s="1"/>
  <c r="AB326" i="2" s="1"/>
  <c r="Z482" i="2"/>
  <c r="AA482" i="2" s="1"/>
  <c r="AB482" i="2" s="1"/>
  <c r="Z638" i="2"/>
  <c r="AA638" i="2" s="1"/>
  <c r="AB638" i="2" s="1"/>
  <c r="Y2" i="2"/>
  <c r="Z2" i="2" s="1"/>
  <c r="AA2" i="2" s="1"/>
  <c r="AB2" i="2" s="1"/>
  <c r="B46" i="3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90" i="2"/>
  <c r="AD291" i="2"/>
  <c r="AD292" i="2"/>
  <c r="AD293" i="2"/>
  <c r="AD294" i="2"/>
  <c r="AD295" i="2"/>
  <c r="AD296" i="2"/>
  <c r="AD297" i="2"/>
  <c r="AD298" i="2"/>
  <c r="AD299" i="2"/>
  <c r="AD300" i="2"/>
  <c r="AD301" i="2"/>
  <c r="AD302" i="2"/>
  <c r="AD303" i="2"/>
  <c r="AD304" i="2"/>
  <c r="AD305" i="2"/>
  <c r="AD306" i="2"/>
  <c r="AD307" i="2"/>
  <c r="AD308" i="2"/>
  <c r="AD309" i="2"/>
  <c r="AD310" i="2"/>
  <c r="AD311" i="2"/>
  <c r="AD312" i="2"/>
  <c r="AD313" i="2"/>
  <c r="AD314" i="2"/>
  <c r="AD315" i="2"/>
  <c r="AD316" i="2"/>
  <c r="AD31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D366" i="2"/>
  <c r="AD367" i="2"/>
  <c r="AD368" i="2"/>
  <c r="AD369" i="2"/>
  <c r="AD370" i="2"/>
  <c r="AD371" i="2"/>
  <c r="AD372" i="2"/>
  <c r="AD373" i="2"/>
  <c r="AD374" i="2"/>
  <c r="AD375" i="2"/>
  <c r="AD376" i="2"/>
  <c r="AD377" i="2"/>
  <c r="AD378" i="2"/>
  <c r="AD379" i="2"/>
  <c r="AD380" i="2"/>
  <c r="AD381" i="2"/>
  <c r="AD382" i="2"/>
  <c r="AD383" i="2"/>
  <c r="AD384" i="2"/>
  <c r="AD385" i="2"/>
  <c r="AD386" i="2"/>
  <c r="AD387" i="2"/>
  <c r="AD388" i="2"/>
  <c r="AD389" i="2"/>
  <c r="AD390" i="2"/>
  <c r="AD391" i="2"/>
  <c r="AD392" i="2"/>
  <c r="AD393" i="2"/>
  <c r="AD394" i="2"/>
  <c r="AD395" i="2"/>
  <c r="AD396" i="2"/>
  <c r="AD397" i="2"/>
  <c r="AD398" i="2"/>
  <c r="AD399" i="2"/>
  <c r="AD400" i="2"/>
  <c r="AD401" i="2"/>
  <c r="AD402" i="2"/>
  <c r="AD403" i="2"/>
  <c r="AD404" i="2"/>
  <c r="AD405" i="2"/>
  <c r="AD406" i="2"/>
  <c r="AD407" i="2"/>
  <c r="AD408" i="2"/>
  <c r="AD409" i="2"/>
  <c r="AD410" i="2"/>
  <c r="AD411" i="2"/>
  <c r="AD412" i="2"/>
  <c r="AD413" i="2"/>
  <c r="AD414" i="2"/>
  <c r="AD415" i="2"/>
  <c r="AD416" i="2"/>
  <c r="AD417" i="2"/>
  <c r="AD418" i="2"/>
  <c r="AD419" i="2"/>
  <c r="AD420" i="2"/>
  <c r="AD421" i="2"/>
  <c r="AD422" i="2"/>
  <c r="AD423" i="2"/>
  <c r="AD424" i="2"/>
  <c r="AD425" i="2"/>
  <c r="AD426" i="2"/>
  <c r="AD427" i="2"/>
  <c r="AD428" i="2"/>
  <c r="AD429" i="2"/>
  <c r="AD430" i="2"/>
  <c r="AD431" i="2"/>
  <c r="AD432" i="2"/>
  <c r="AD433" i="2"/>
  <c r="AD434" i="2"/>
  <c r="AD435" i="2"/>
  <c r="AD436" i="2"/>
  <c r="AD437" i="2"/>
  <c r="AD438" i="2"/>
  <c r="AD439" i="2"/>
  <c r="AD440" i="2"/>
  <c r="AD441" i="2"/>
  <c r="AD442" i="2"/>
  <c r="AD443" i="2"/>
  <c r="AD444" i="2"/>
  <c r="AD445" i="2"/>
  <c r="AD446" i="2"/>
  <c r="AD447" i="2"/>
  <c r="AD448" i="2"/>
  <c r="AD449" i="2"/>
  <c r="AD450" i="2"/>
  <c r="AD451" i="2"/>
  <c r="AD452" i="2"/>
  <c r="AD453" i="2"/>
  <c r="AD454" i="2"/>
  <c r="AD455" i="2"/>
  <c r="AD456" i="2"/>
  <c r="AD457" i="2"/>
  <c r="AD458" i="2"/>
  <c r="AD459" i="2"/>
  <c r="AD460" i="2"/>
  <c r="AD461" i="2"/>
  <c r="AD462" i="2"/>
  <c r="AD463" i="2"/>
  <c r="AD464" i="2"/>
  <c r="AD465" i="2"/>
  <c r="AD466" i="2"/>
  <c r="AD467" i="2"/>
  <c r="AD468" i="2"/>
  <c r="AD469" i="2"/>
  <c r="AD470" i="2"/>
  <c r="AD471" i="2"/>
  <c r="AD472" i="2"/>
  <c r="AD473" i="2"/>
  <c r="AD474" i="2"/>
  <c r="AD475" i="2"/>
  <c r="AD476" i="2"/>
  <c r="AD477" i="2"/>
  <c r="AD478" i="2"/>
  <c r="AD479" i="2"/>
  <c r="AD480" i="2"/>
  <c r="AD481" i="2"/>
  <c r="AD482" i="2"/>
  <c r="AD483" i="2"/>
  <c r="AD484" i="2"/>
  <c r="AD485" i="2"/>
  <c r="AD486" i="2"/>
  <c r="AD487" i="2"/>
  <c r="AD488" i="2"/>
  <c r="AD489" i="2"/>
  <c r="AD490" i="2"/>
  <c r="AD491" i="2"/>
  <c r="AD492" i="2"/>
  <c r="AD493" i="2"/>
  <c r="AD494" i="2"/>
  <c r="AD495" i="2"/>
  <c r="AD496" i="2"/>
  <c r="AD497" i="2"/>
  <c r="AD498" i="2"/>
  <c r="AD499" i="2"/>
  <c r="AD500" i="2"/>
  <c r="AD501" i="2"/>
  <c r="AD502" i="2"/>
  <c r="AD503" i="2"/>
  <c r="AD504" i="2"/>
  <c r="AD505" i="2"/>
  <c r="AD506" i="2"/>
  <c r="AD507" i="2"/>
  <c r="AD508" i="2"/>
  <c r="AD509" i="2"/>
  <c r="AD510" i="2"/>
  <c r="AD511" i="2"/>
  <c r="AD512" i="2"/>
  <c r="AD513" i="2"/>
  <c r="AD514" i="2"/>
  <c r="AD515" i="2"/>
  <c r="AD516" i="2"/>
  <c r="AD517" i="2"/>
  <c r="AD518" i="2"/>
  <c r="AD519" i="2"/>
  <c r="AD520" i="2"/>
  <c r="AD521" i="2"/>
  <c r="AD522" i="2"/>
  <c r="AD523" i="2"/>
  <c r="AD524" i="2"/>
  <c r="AD525" i="2"/>
  <c r="AD526" i="2"/>
  <c r="AD527" i="2"/>
  <c r="AD528" i="2"/>
  <c r="AD529" i="2"/>
  <c r="AD530" i="2"/>
  <c r="AD531" i="2"/>
  <c r="AD532" i="2"/>
  <c r="AD533" i="2"/>
  <c r="AD534" i="2"/>
  <c r="AD535" i="2"/>
  <c r="AD536" i="2"/>
  <c r="AD537" i="2"/>
  <c r="AD538" i="2"/>
  <c r="AD539" i="2"/>
  <c r="AD540" i="2"/>
  <c r="AD541" i="2"/>
  <c r="AD542" i="2"/>
  <c r="AD543" i="2"/>
  <c r="AD544" i="2"/>
  <c r="AD545" i="2"/>
  <c r="AD546" i="2"/>
  <c r="AD547" i="2"/>
  <c r="AD548" i="2"/>
  <c r="AD549" i="2"/>
  <c r="AD550" i="2"/>
  <c r="AD551" i="2"/>
  <c r="AD552" i="2"/>
  <c r="AD553" i="2"/>
  <c r="AD554" i="2"/>
  <c r="AD555" i="2"/>
  <c r="AD556" i="2"/>
  <c r="AD557" i="2"/>
  <c r="AD558" i="2"/>
  <c r="AD559" i="2"/>
  <c r="AD560" i="2"/>
  <c r="AD561" i="2"/>
  <c r="AD562" i="2"/>
  <c r="AD563" i="2"/>
  <c r="AD564" i="2"/>
  <c r="AD565" i="2"/>
  <c r="AD566" i="2"/>
  <c r="AD567" i="2"/>
  <c r="AD568" i="2"/>
  <c r="AD569" i="2"/>
  <c r="AD570" i="2"/>
  <c r="AD571" i="2"/>
  <c r="AD572" i="2"/>
  <c r="AD573" i="2"/>
  <c r="AD574" i="2"/>
  <c r="AD575" i="2"/>
  <c r="AD576" i="2"/>
  <c r="AD577" i="2"/>
  <c r="AD578" i="2"/>
  <c r="AD579" i="2"/>
  <c r="AD580" i="2"/>
  <c r="AD581" i="2"/>
  <c r="AD582" i="2"/>
  <c r="AD583" i="2"/>
  <c r="AD584" i="2"/>
  <c r="AD585" i="2"/>
  <c r="AD586" i="2"/>
  <c r="AD587" i="2"/>
  <c r="AD588" i="2"/>
  <c r="AD589" i="2"/>
  <c r="AD590" i="2"/>
  <c r="AD591" i="2"/>
  <c r="AD592" i="2"/>
  <c r="AD593" i="2"/>
  <c r="AD594" i="2"/>
  <c r="AD595" i="2"/>
  <c r="AD596" i="2"/>
  <c r="AD597" i="2"/>
  <c r="AD598" i="2"/>
  <c r="AD599" i="2"/>
  <c r="AD600" i="2"/>
  <c r="AD601" i="2"/>
  <c r="AD602" i="2"/>
  <c r="AD603" i="2"/>
  <c r="AD604" i="2"/>
  <c r="AD605" i="2"/>
  <c r="AD606" i="2"/>
  <c r="AD607" i="2"/>
  <c r="AD608" i="2"/>
  <c r="AD609" i="2"/>
  <c r="AD610" i="2"/>
  <c r="AD611" i="2"/>
  <c r="AD612" i="2"/>
  <c r="AD613" i="2"/>
  <c r="AD614" i="2"/>
  <c r="AD615" i="2"/>
  <c r="AD616" i="2"/>
  <c r="AD617" i="2"/>
  <c r="AD618" i="2"/>
  <c r="AD619" i="2"/>
  <c r="AD620" i="2"/>
  <c r="AD621" i="2"/>
  <c r="AD622" i="2"/>
  <c r="AD623" i="2"/>
  <c r="AD624" i="2"/>
  <c r="AD625" i="2"/>
  <c r="AD626" i="2"/>
  <c r="AD627" i="2"/>
  <c r="AD628" i="2"/>
  <c r="AD629" i="2"/>
  <c r="AD630" i="2"/>
  <c r="AD631" i="2"/>
  <c r="AD632" i="2"/>
  <c r="AD633" i="2"/>
  <c r="AD634" i="2"/>
  <c r="AD635" i="2"/>
  <c r="AD636" i="2"/>
  <c r="AD637" i="2"/>
  <c r="AD638" i="2"/>
  <c r="AD639" i="2"/>
  <c r="AD640" i="2"/>
  <c r="AD641" i="2"/>
  <c r="AD642" i="2"/>
  <c r="AD643" i="2"/>
  <c r="AD644" i="2"/>
  <c r="AD645" i="2"/>
  <c r="AD646" i="2"/>
  <c r="AD647" i="2"/>
  <c r="AD648" i="2"/>
  <c r="AD649" i="2"/>
  <c r="AD650" i="2"/>
  <c r="AD651" i="2"/>
  <c r="AD652" i="2"/>
  <c r="AD653" i="2"/>
  <c r="AD654" i="2"/>
  <c r="AD655" i="2"/>
  <c r="AD656" i="2"/>
  <c r="AD657" i="2"/>
  <c r="AD658" i="2"/>
  <c r="AD659" i="2"/>
  <c r="AD660" i="2"/>
  <c r="AD661" i="2"/>
  <c r="AD662" i="2"/>
  <c r="AD663" i="2"/>
  <c r="AD664" i="2"/>
  <c r="AD665" i="2"/>
  <c r="AD666" i="2"/>
  <c r="AD667" i="2"/>
  <c r="AD668" i="2"/>
  <c r="AD669" i="2"/>
  <c r="AD670" i="2"/>
  <c r="AD671" i="2"/>
  <c r="AD672" i="2"/>
  <c r="AD673" i="2"/>
  <c r="AD674" i="2"/>
  <c r="AD675" i="2"/>
  <c r="AD676" i="2"/>
  <c r="AD677" i="2"/>
  <c r="AD678" i="2"/>
  <c r="AD679" i="2"/>
  <c r="AD680" i="2"/>
  <c r="AD681" i="2"/>
  <c r="AD682" i="2"/>
  <c r="AD683" i="2"/>
  <c r="AD684" i="2"/>
  <c r="AD685" i="2"/>
  <c r="AD686" i="2"/>
  <c r="AD687" i="2"/>
  <c r="AD688" i="2"/>
  <c r="AD689" i="2"/>
  <c r="AD690" i="2"/>
  <c r="AD691" i="2"/>
  <c r="AD692" i="2"/>
  <c r="AD693" i="2"/>
  <c r="AD694" i="2"/>
  <c r="AD695" i="2"/>
  <c r="AD696" i="2"/>
  <c r="AD697" i="2"/>
  <c r="AD2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299" i="2"/>
  <c r="AC300" i="2"/>
  <c r="AC301" i="2"/>
  <c r="AC302" i="2"/>
  <c r="AC303" i="2"/>
  <c r="AC304" i="2"/>
  <c r="AC305" i="2"/>
  <c r="AC306" i="2"/>
  <c r="AC307" i="2"/>
  <c r="AC308" i="2"/>
  <c r="AC309" i="2"/>
  <c r="AC310" i="2"/>
  <c r="AC311" i="2"/>
  <c r="AC312" i="2"/>
  <c r="AC313" i="2"/>
  <c r="AC314" i="2"/>
  <c r="AC315" i="2"/>
  <c r="AC316" i="2"/>
  <c r="AC317" i="2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AC374" i="2"/>
  <c r="AC375" i="2"/>
  <c r="AC376" i="2"/>
  <c r="AC377" i="2"/>
  <c r="AC378" i="2"/>
  <c r="AC379" i="2"/>
  <c r="AC380" i="2"/>
  <c r="AC381" i="2"/>
  <c r="AC382" i="2"/>
  <c r="AC383" i="2"/>
  <c r="AC384" i="2"/>
  <c r="AC385" i="2"/>
  <c r="AC386" i="2"/>
  <c r="AC387" i="2"/>
  <c r="AC388" i="2"/>
  <c r="AC389" i="2"/>
  <c r="AC390" i="2"/>
  <c r="AC391" i="2"/>
  <c r="AC392" i="2"/>
  <c r="AC393" i="2"/>
  <c r="AC394" i="2"/>
  <c r="AC395" i="2"/>
  <c r="AC396" i="2"/>
  <c r="AC397" i="2"/>
  <c r="AC398" i="2"/>
  <c r="AC399" i="2"/>
  <c r="AC400" i="2"/>
  <c r="AC401" i="2"/>
  <c r="AC402" i="2"/>
  <c r="AC403" i="2"/>
  <c r="AC404" i="2"/>
  <c r="AC405" i="2"/>
  <c r="AC406" i="2"/>
  <c r="AC407" i="2"/>
  <c r="AC408" i="2"/>
  <c r="AC409" i="2"/>
  <c r="AC410" i="2"/>
  <c r="AC411" i="2"/>
  <c r="AC412" i="2"/>
  <c r="AC413" i="2"/>
  <c r="AC414" i="2"/>
  <c r="AC415" i="2"/>
  <c r="AC416" i="2"/>
  <c r="AC417" i="2"/>
  <c r="AC418" i="2"/>
  <c r="AC419" i="2"/>
  <c r="AC420" i="2"/>
  <c r="AC421" i="2"/>
  <c r="AC422" i="2"/>
  <c r="AC423" i="2"/>
  <c r="AC424" i="2"/>
  <c r="AC425" i="2"/>
  <c r="AC426" i="2"/>
  <c r="AC427" i="2"/>
  <c r="AC428" i="2"/>
  <c r="AC429" i="2"/>
  <c r="AC430" i="2"/>
  <c r="AC431" i="2"/>
  <c r="AC432" i="2"/>
  <c r="AC433" i="2"/>
  <c r="AC434" i="2"/>
  <c r="AC435" i="2"/>
  <c r="AC436" i="2"/>
  <c r="AC437" i="2"/>
  <c r="AC438" i="2"/>
  <c r="AC439" i="2"/>
  <c r="AC440" i="2"/>
  <c r="AC441" i="2"/>
  <c r="AC442" i="2"/>
  <c r="AC443" i="2"/>
  <c r="AC444" i="2"/>
  <c r="AC445" i="2"/>
  <c r="AC446" i="2"/>
  <c r="AC447" i="2"/>
  <c r="AC448" i="2"/>
  <c r="AC449" i="2"/>
  <c r="AC450" i="2"/>
  <c r="AC451" i="2"/>
  <c r="AC452" i="2"/>
  <c r="AC453" i="2"/>
  <c r="AC454" i="2"/>
  <c r="AC455" i="2"/>
  <c r="AC456" i="2"/>
  <c r="AC457" i="2"/>
  <c r="AC458" i="2"/>
  <c r="AC459" i="2"/>
  <c r="AC460" i="2"/>
  <c r="AC461" i="2"/>
  <c r="AC462" i="2"/>
  <c r="AC463" i="2"/>
  <c r="AC464" i="2"/>
  <c r="AC465" i="2"/>
  <c r="AC466" i="2"/>
  <c r="AC467" i="2"/>
  <c r="AC468" i="2"/>
  <c r="AC469" i="2"/>
  <c r="AC470" i="2"/>
  <c r="AC471" i="2"/>
  <c r="AC472" i="2"/>
  <c r="AC473" i="2"/>
  <c r="AC474" i="2"/>
  <c r="AC475" i="2"/>
  <c r="AC476" i="2"/>
  <c r="AC477" i="2"/>
  <c r="AC478" i="2"/>
  <c r="AC479" i="2"/>
  <c r="AC480" i="2"/>
  <c r="AC481" i="2"/>
  <c r="AC482" i="2"/>
  <c r="AC483" i="2"/>
  <c r="AC484" i="2"/>
  <c r="AC485" i="2"/>
  <c r="AC486" i="2"/>
  <c r="AC487" i="2"/>
  <c r="AC488" i="2"/>
  <c r="AC489" i="2"/>
  <c r="AC490" i="2"/>
  <c r="AC491" i="2"/>
  <c r="AC492" i="2"/>
  <c r="AC493" i="2"/>
  <c r="AC494" i="2"/>
  <c r="AC495" i="2"/>
  <c r="AC496" i="2"/>
  <c r="AC497" i="2"/>
  <c r="AC498" i="2"/>
  <c r="AC499" i="2"/>
  <c r="AC500" i="2"/>
  <c r="AC501" i="2"/>
  <c r="AC502" i="2"/>
  <c r="AC503" i="2"/>
  <c r="AC504" i="2"/>
  <c r="AC505" i="2"/>
  <c r="AC506" i="2"/>
  <c r="AC507" i="2"/>
  <c r="AC508" i="2"/>
  <c r="AC509" i="2"/>
  <c r="AC510" i="2"/>
  <c r="AC511" i="2"/>
  <c r="AC512" i="2"/>
  <c r="AC513" i="2"/>
  <c r="AC514" i="2"/>
  <c r="AC515" i="2"/>
  <c r="AC516" i="2"/>
  <c r="AC517" i="2"/>
  <c r="AC518" i="2"/>
  <c r="AC519" i="2"/>
  <c r="AC520" i="2"/>
  <c r="AC521" i="2"/>
  <c r="AC522" i="2"/>
  <c r="AC523" i="2"/>
  <c r="AC524" i="2"/>
  <c r="AC525" i="2"/>
  <c r="AC526" i="2"/>
  <c r="AC527" i="2"/>
  <c r="AC528" i="2"/>
  <c r="AC529" i="2"/>
  <c r="AC530" i="2"/>
  <c r="AC531" i="2"/>
  <c r="AC532" i="2"/>
  <c r="AC533" i="2"/>
  <c r="AC534" i="2"/>
  <c r="AC535" i="2"/>
  <c r="AC536" i="2"/>
  <c r="AC537" i="2"/>
  <c r="AC538" i="2"/>
  <c r="AC539" i="2"/>
  <c r="AC540" i="2"/>
  <c r="AC541" i="2"/>
  <c r="AC542" i="2"/>
  <c r="AC543" i="2"/>
  <c r="AC544" i="2"/>
  <c r="AC545" i="2"/>
  <c r="AC546" i="2"/>
  <c r="AC547" i="2"/>
  <c r="AC548" i="2"/>
  <c r="AC549" i="2"/>
  <c r="AC550" i="2"/>
  <c r="AC551" i="2"/>
  <c r="AC552" i="2"/>
  <c r="AC553" i="2"/>
  <c r="AC554" i="2"/>
  <c r="AC555" i="2"/>
  <c r="AC556" i="2"/>
  <c r="AC557" i="2"/>
  <c r="AC558" i="2"/>
  <c r="AC559" i="2"/>
  <c r="AC560" i="2"/>
  <c r="AC561" i="2"/>
  <c r="AC562" i="2"/>
  <c r="AC563" i="2"/>
  <c r="AC564" i="2"/>
  <c r="AC565" i="2"/>
  <c r="AC566" i="2"/>
  <c r="AC567" i="2"/>
  <c r="AC568" i="2"/>
  <c r="AC569" i="2"/>
  <c r="AC570" i="2"/>
  <c r="AC571" i="2"/>
  <c r="AC572" i="2"/>
  <c r="AC573" i="2"/>
  <c r="AC574" i="2"/>
  <c r="AC575" i="2"/>
  <c r="AC576" i="2"/>
  <c r="AC577" i="2"/>
  <c r="AC578" i="2"/>
  <c r="AC579" i="2"/>
  <c r="AC580" i="2"/>
  <c r="AC581" i="2"/>
  <c r="AC582" i="2"/>
  <c r="AC583" i="2"/>
  <c r="AC584" i="2"/>
  <c r="AC585" i="2"/>
  <c r="AC586" i="2"/>
  <c r="AC587" i="2"/>
  <c r="AC588" i="2"/>
  <c r="AC589" i="2"/>
  <c r="AC590" i="2"/>
  <c r="AC591" i="2"/>
  <c r="AC592" i="2"/>
  <c r="AC593" i="2"/>
  <c r="AC594" i="2"/>
  <c r="AC595" i="2"/>
  <c r="AC596" i="2"/>
  <c r="AC597" i="2"/>
  <c r="AC598" i="2"/>
  <c r="AC599" i="2"/>
  <c r="AC600" i="2"/>
  <c r="AC601" i="2"/>
  <c r="AC602" i="2"/>
  <c r="AC603" i="2"/>
  <c r="AC604" i="2"/>
  <c r="AC605" i="2"/>
  <c r="AC606" i="2"/>
  <c r="AC607" i="2"/>
  <c r="AC608" i="2"/>
  <c r="AC609" i="2"/>
  <c r="AC610" i="2"/>
  <c r="AC611" i="2"/>
  <c r="AC612" i="2"/>
  <c r="AC613" i="2"/>
  <c r="AC614" i="2"/>
  <c r="AC615" i="2"/>
  <c r="AC616" i="2"/>
  <c r="AC617" i="2"/>
  <c r="AC618" i="2"/>
  <c r="AC619" i="2"/>
  <c r="AC620" i="2"/>
  <c r="AC621" i="2"/>
  <c r="AC622" i="2"/>
  <c r="AC623" i="2"/>
  <c r="AC624" i="2"/>
  <c r="AC625" i="2"/>
  <c r="AC626" i="2"/>
  <c r="AC627" i="2"/>
  <c r="AC628" i="2"/>
  <c r="AC629" i="2"/>
  <c r="AC630" i="2"/>
  <c r="AC631" i="2"/>
  <c r="AC632" i="2"/>
  <c r="AC633" i="2"/>
  <c r="AC634" i="2"/>
  <c r="AC635" i="2"/>
  <c r="AC636" i="2"/>
  <c r="AC637" i="2"/>
  <c r="AC638" i="2"/>
  <c r="AC639" i="2"/>
  <c r="AC640" i="2"/>
  <c r="AC641" i="2"/>
  <c r="AC642" i="2"/>
  <c r="AC643" i="2"/>
  <c r="AC644" i="2"/>
  <c r="AC645" i="2"/>
  <c r="AC646" i="2"/>
  <c r="AC647" i="2"/>
  <c r="AC648" i="2"/>
  <c r="AC649" i="2"/>
  <c r="AC650" i="2"/>
  <c r="AC651" i="2"/>
  <c r="AC652" i="2"/>
  <c r="AC653" i="2"/>
  <c r="AC654" i="2"/>
  <c r="AC655" i="2"/>
  <c r="AC656" i="2"/>
  <c r="AC657" i="2"/>
  <c r="AC658" i="2"/>
  <c r="AC659" i="2"/>
  <c r="AC660" i="2"/>
  <c r="AC661" i="2"/>
  <c r="AC662" i="2"/>
  <c r="AC663" i="2"/>
  <c r="AC664" i="2"/>
  <c r="AC665" i="2"/>
  <c r="AC666" i="2"/>
  <c r="AC667" i="2"/>
  <c r="AC668" i="2"/>
  <c r="AC669" i="2"/>
  <c r="AC670" i="2"/>
  <c r="AC671" i="2"/>
  <c r="AC672" i="2"/>
  <c r="AC673" i="2"/>
  <c r="AC674" i="2"/>
  <c r="AC675" i="2"/>
  <c r="AC676" i="2"/>
  <c r="AC677" i="2"/>
  <c r="AC678" i="2"/>
  <c r="AC679" i="2"/>
  <c r="AC680" i="2"/>
  <c r="AC681" i="2"/>
  <c r="AC682" i="2"/>
  <c r="AC683" i="2"/>
  <c r="AC684" i="2"/>
  <c r="AC685" i="2"/>
  <c r="AC686" i="2"/>
  <c r="AC687" i="2"/>
  <c r="AC688" i="2"/>
  <c r="AC689" i="2"/>
  <c r="AC690" i="2"/>
  <c r="AC691" i="2"/>
  <c r="AC692" i="2"/>
  <c r="AC693" i="2"/>
  <c r="AC694" i="2"/>
  <c r="AC695" i="2"/>
  <c r="AC696" i="2"/>
  <c r="AC697" i="2"/>
  <c r="AC2" i="2"/>
  <c r="Z6" i="2"/>
  <c r="AA6" i="2" s="1"/>
  <c r="AB6" i="2" s="1"/>
  <c r="Z7" i="2"/>
  <c r="AA7" i="2" s="1"/>
  <c r="AB7" i="2" s="1"/>
  <c r="Z19" i="2"/>
  <c r="AA19" i="2" s="1"/>
  <c r="AB19" i="2" s="1"/>
  <c r="Z21" i="2"/>
  <c r="AA21" i="2" s="1"/>
  <c r="AB21" i="2" s="1"/>
  <c r="Z30" i="2"/>
  <c r="AA30" i="2" s="1"/>
  <c r="AB30" i="2" s="1"/>
  <c r="Z42" i="2"/>
  <c r="AA42" i="2" s="1"/>
  <c r="AB42" i="2" s="1"/>
  <c r="Z60" i="2"/>
  <c r="AA60" i="2" s="1"/>
  <c r="AB60" i="2" s="1"/>
  <c r="Z67" i="2"/>
  <c r="AA67" i="2" s="1"/>
  <c r="AB67" i="2" s="1"/>
  <c r="Z81" i="2"/>
  <c r="AA81" i="2" s="1"/>
  <c r="AB81" i="2" s="1"/>
  <c r="Z100" i="2"/>
  <c r="AA100" i="2" s="1"/>
  <c r="AB100" i="2" s="1"/>
  <c r="Z119" i="2"/>
  <c r="AA119" i="2" s="1"/>
  <c r="AB119" i="2" s="1"/>
  <c r="Z136" i="2"/>
  <c r="AA136" i="2" s="1"/>
  <c r="AB136" i="2" s="1"/>
  <c r="Z155" i="2"/>
  <c r="AA155" i="2" s="1"/>
  <c r="AB155" i="2" s="1"/>
  <c r="Z172" i="2"/>
  <c r="AA172" i="2" s="1"/>
  <c r="AB172" i="2" s="1"/>
  <c r="Z191" i="2"/>
  <c r="AA191" i="2" s="1"/>
  <c r="AB191" i="2" s="1"/>
  <c r="Z208" i="2"/>
  <c r="AA208" i="2" s="1"/>
  <c r="AB208" i="2" s="1"/>
  <c r="Z227" i="2"/>
  <c r="AA227" i="2" s="1"/>
  <c r="AB227" i="2" s="1"/>
  <c r="Z244" i="2"/>
  <c r="AA244" i="2" s="1"/>
  <c r="AB244" i="2" s="1"/>
  <c r="Z263" i="2"/>
  <c r="AA263" i="2" s="1"/>
  <c r="AB263" i="2" s="1"/>
  <c r="Z280" i="2"/>
  <c r="AA280" i="2" s="1"/>
  <c r="AB280" i="2" s="1"/>
  <c r="Z299" i="2"/>
  <c r="AA299" i="2" s="1"/>
  <c r="AB299" i="2" s="1"/>
  <c r="Z316" i="2"/>
  <c r="AA316" i="2" s="1"/>
  <c r="AB316" i="2" s="1"/>
  <c r="Z334" i="2"/>
  <c r="AA334" i="2" s="1"/>
  <c r="AB334" i="2" s="1"/>
  <c r="Z365" i="2"/>
  <c r="AA365" i="2" s="1"/>
  <c r="AB365" i="2" s="1"/>
  <c r="Z382" i="2"/>
  <c r="AA382" i="2" s="1"/>
  <c r="AB382" i="2" s="1"/>
  <c r="Z413" i="2"/>
  <c r="AA413" i="2" s="1"/>
  <c r="AB413" i="2" s="1"/>
  <c r="Z430" i="2"/>
  <c r="AA430" i="2" s="1"/>
  <c r="AB430" i="2" s="1"/>
  <c r="Z461" i="2"/>
  <c r="AA461" i="2" s="1"/>
  <c r="AB461" i="2" s="1"/>
  <c r="Z477" i="2"/>
  <c r="AA477" i="2" s="1"/>
  <c r="AB477" i="2" s="1"/>
  <c r="Z491" i="2"/>
  <c r="AA491" i="2" s="1"/>
  <c r="AB491" i="2" s="1"/>
  <c r="Z517" i="2"/>
  <c r="AA517" i="2" s="1"/>
  <c r="AB517" i="2" s="1"/>
  <c r="Z543" i="2"/>
  <c r="AA543" i="2" s="1"/>
  <c r="AB543" i="2" s="1"/>
  <c r="Z556" i="2"/>
  <c r="AA556" i="2" s="1"/>
  <c r="AB556" i="2" s="1"/>
  <c r="Z569" i="2"/>
  <c r="AA569" i="2" s="1"/>
  <c r="AB569" i="2" s="1"/>
  <c r="Z596" i="2"/>
  <c r="AA596" i="2" s="1"/>
  <c r="AB596" i="2" s="1"/>
  <c r="Z609" i="2"/>
  <c r="AA609" i="2" s="1"/>
  <c r="AB609" i="2" s="1"/>
  <c r="Z622" i="2"/>
  <c r="AA622" i="2" s="1"/>
  <c r="AB622" i="2" s="1"/>
  <c r="Z635" i="2"/>
  <c r="AA635" i="2" s="1"/>
  <c r="AB635" i="2" s="1"/>
  <c r="Z3" i="2"/>
  <c r="AA3" i="2" s="1"/>
  <c r="AB3" i="2" s="1"/>
  <c r="Z4" i="2"/>
  <c r="AA4" i="2" s="1"/>
  <c r="AB4" i="2" s="1"/>
  <c r="Z5" i="2"/>
  <c r="AA5" i="2" s="1"/>
  <c r="AB5" i="2" s="1"/>
  <c r="Z8" i="2"/>
  <c r="AA8" i="2" s="1"/>
  <c r="AB8" i="2" s="1"/>
  <c r="Z9" i="2"/>
  <c r="AA9" i="2" s="1"/>
  <c r="AB9" i="2" s="1"/>
  <c r="Z10" i="2"/>
  <c r="AA10" i="2" s="1"/>
  <c r="AB10" i="2" s="1"/>
  <c r="Z11" i="2"/>
  <c r="AA11" i="2" s="1"/>
  <c r="AB11" i="2" s="1"/>
  <c r="Z12" i="2"/>
  <c r="AA12" i="2" s="1"/>
  <c r="AB12" i="2" s="1"/>
  <c r="Z13" i="2"/>
  <c r="AA13" i="2" s="1"/>
  <c r="AB13" i="2" s="1"/>
  <c r="Z15" i="2"/>
  <c r="AA15" i="2" s="1"/>
  <c r="AB15" i="2" s="1"/>
  <c r="Z16" i="2"/>
  <c r="AA16" i="2" s="1"/>
  <c r="AB16" i="2" s="1"/>
  <c r="Z17" i="2"/>
  <c r="AA17" i="2" s="1"/>
  <c r="AB17" i="2" s="1"/>
  <c r="Z18" i="2"/>
  <c r="AA18" i="2" s="1"/>
  <c r="AB18" i="2" s="1"/>
  <c r="Z20" i="2"/>
  <c r="AA20" i="2" s="1"/>
  <c r="AB20" i="2" s="1"/>
  <c r="Z22" i="2"/>
  <c r="AA22" i="2" s="1"/>
  <c r="AB22" i="2" s="1"/>
  <c r="Z23" i="2"/>
  <c r="AA23" i="2" s="1"/>
  <c r="AB23" i="2" s="1"/>
  <c r="Z24" i="2"/>
  <c r="AA24" i="2" s="1"/>
  <c r="AB24" i="2" s="1"/>
  <c r="Z25" i="2"/>
  <c r="AA25" i="2" s="1"/>
  <c r="AB25" i="2" s="1"/>
  <c r="Z27" i="2"/>
  <c r="AA27" i="2" s="1"/>
  <c r="AB27" i="2" s="1"/>
  <c r="Z28" i="2"/>
  <c r="AA28" i="2" s="1"/>
  <c r="AB28" i="2" s="1"/>
  <c r="Z29" i="2"/>
  <c r="AA29" i="2" s="1"/>
  <c r="AB29" i="2" s="1"/>
  <c r="Z31" i="2"/>
  <c r="AA31" i="2" s="1"/>
  <c r="AB31" i="2" s="1"/>
  <c r="Z32" i="2"/>
  <c r="AA32" i="2" s="1"/>
  <c r="AB32" i="2" s="1"/>
  <c r="Z33" i="2"/>
  <c r="AA33" i="2" s="1"/>
  <c r="AB33" i="2" s="1"/>
  <c r="Z34" i="2"/>
  <c r="AA34" i="2" s="1"/>
  <c r="AB34" i="2" s="1"/>
  <c r="Z35" i="2"/>
  <c r="AA35" i="2" s="1"/>
  <c r="AB35" i="2" s="1"/>
  <c r="Z36" i="2"/>
  <c r="AA36" i="2" s="1"/>
  <c r="AB36" i="2" s="1"/>
  <c r="Z37" i="2"/>
  <c r="AA37" i="2" s="1"/>
  <c r="AB37" i="2" s="1"/>
  <c r="Z39" i="2"/>
  <c r="AA39" i="2" s="1"/>
  <c r="AB39" i="2" s="1"/>
  <c r="Z40" i="2"/>
  <c r="AA40" i="2" s="1"/>
  <c r="AB40" i="2" s="1"/>
  <c r="Z41" i="2"/>
  <c r="AA41" i="2" s="1"/>
  <c r="AB41" i="2" s="1"/>
  <c r="Z43" i="2"/>
  <c r="AA43" i="2" s="1"/>
  <c r="AB43" i="2" s="1"/>
  <c r="Z44" i="2"/>
  <c r="AA44" i="2" s="1"/>
  <c r="AB44" i="2" s="1"/>
  <c r="Z45" i="2"/>
  <c r="AA45" i="2" s="1"/>
  <c r="AB45" i="2" s="1"/>
  <c r="Z46" i="2"/>
  <c r="AA46" i="2" s="1"/>
  <c r="AB46" i="2" s="1"/>
  <c r="Z47" i="2"/>
  <c r="AA47" i="2" s="1"/>
  <c r="AB47" i="2" s="1"/>
  <c r="Z48" i="2"/>
  <c r="AA48" i="2" s="1"/>
  <c r="AB48" i="2" s="1"/>
  <c r="Z49" i="2"/>
  <c r="AA49" i="2" s="1"/>
  <c r="AB49" i="2" s="1"/>
  <c r="Z51" i="2"/>
  <c r="AA51" i="2" s="1"/>
  <c r="AB51" i="2" s="1"/>
  <c r="Z52" i="2"/>
  <c r="AA52" i="2" s="1"/>
  <c r="AB52" i="2" s="1"/>
  <c r="Z53" i="2"/>
  <c r="AA53" i="2" s="1"/>
  <c r="AB53" i="2" s="1"/>
  <c r="Z54" i="2"/>
  <c r="AA54" i="2" s="1"/>
  <c r="AB54" i="2" s="1"/>
  <c r="Z55" i="2"/>
  <c r="AA55" i="2" s="1"/>
  <c r="AB55" i="2" s="1"/>
  <c r="Z56" i="2"/>
  <c r="AA56" i="2" s="1"/>
  <c r="AB56" i="2" s="1"/>
  <c r="Z57" i="2"/>
  <c r="AA57" i="2" s="1"/>
  <c r="AB57" i="2" s="1"/>
  <c r="Z58" i="2"/>
  <c r="AA58" i="2" s="1"/>
  <c r="AB58" i="2" s="1"/>
  <c r="Z59" i="2"/>
  <c r="AA59" i="2" s="1"/>
  <c r="AB59" i="2" s="1"/>
  <c r="Z61" i="2"/>
  <c r="AA61" i="2" s="1"/>
  <c r="AB61" i="2" s="1"/>
  <c r="Z63" i="2"/>
  <c r="AA63" i="2" s="1"/>
  <c r="AB63" i="2" s="1"/>
  <c r="Z64" i="2"/>
  <c r="AA64" i="2" s="1"/>
  <c r="AB64" i="2" s="1"/>
  <c r="Z65" i="2"/>
  <c r="AA65" i="2" s="1"/>
  <c r="AB65" i="2" s="1"/>
  <c r="Z66" i="2"/>
  <c r="AA66" i="2" s="1"/>
  <c r="AB66" i="2" s="1"/>
  <c r="Z68" i="2"/>
  <c r="AA68" i="2" s="1"/>
  <c r="AB68" i="2" s="1"/>
  <c r="Z69" i="2"/>
  <c r="AA69" i="2" s="1"/>
  <c r="AB69" i="2" s="1"/>
  <c r="Z70" i="2"/>
  <c r="AA70" i="2" s="1"/>
  <c r="AB70" i="2" s="1"/>
  <c r="Z71" i="2"/>
  <c r="AA71" i="2" s="1"/>
  <c r="AB71" i="2" s="1"/>
  <c r="Z72" i="2"/>
  <c r="AA72" i="2" s="1"/>
  <c r="AB72" i="2" s="1"/>
  <c r="Z73" i="2"/>
  <c r="AA73" i="2" s="1"/>
  <c r="AB73" i="2" s="1"/>
  <c r="Z75" i="2"/>
  <c r="AA75" i="2" s="1"/>
  <c r="AB75" i="2" s="1"/>
  <c r="Z76" i="2"/>
  <c r="AA76" i="2" s="1"/>
  <c r="AB76" i="2" s="1"/>
  <c r="Z77" i="2"/>
  <c r="AA77" i="2" s="1"/>
  <c r="AB77" i="2" s="1"/>
  <c r="Z78" i="2"/>
  <c r="AA78" i="2" s="1"/>
  <c r="AB78" i="2" s="1"/>
  <c r="Z79" i="2"/>
  <c r="AA79" i="2" s="1"/>
  <c r="AB79" i="2" s="1"/>
  <c r="Z80" i="2"/>
  <c r="AA80" i="2" s="1"/>
  <c r="AB80" i="2" s="1"/>
  <c r="Z82" i="2"/>
  <c r="AA82" i="2" s="1"/>
  <c r="AB82" i="2" s="1"/>
  <c r="Z83" i="2"/>
  <c r="AA83" i="2" s="1"/>
  <c r="AB83" i="2" s="1"/>
  <c r="Z84" i="2"/>
  <c r="AA84" i="2" s="1"/>
  <c r="AB84" i="2" s="1"/>
  <c r="Z85" i="2"/>
  <c r="AA85" i="2" s="1"/>
  <c r="AB85" i="2" s="1"/>
  <c r="Z87" i="2"/>
  <c r="AA87" i="2" s="1"/>
  <c r="AB87" i="2" s="1"/>
  <c r="Z88" i="2"/>
  <c r="AA88" i="2" s="1"/>
  <c r="AB88" i="2" s="1"/>
  <c r="Z89" i="2"/>
  <c r="AA89" i="2" s="1"/>
  <c r="AB89" i="2" s="1"/>
  <c r="Z90" i="2"/>
  <c r="AA90" i="2" s="1"/>
  <c r="AB90" i="2" s="1"/>
  <c r="Z91" i="2"/>
  <c r="AA91" i="2" s="1"/>
  <c r="AB91" i="2" s="1"/>
  <c r="Z92" i="2"/>
  <c r="AA92" i="2" s="1"/>
  <c r="AB92" i="2" s="1"/>
  <c r="Z93" i="2"/>
  <c r="AA93" i="2" s="1"/>
  <c r="AB93" i="2" s="1"/>
  <c r="Z94" i="2"/>
  <c r="AA94" i="2" s="1"/>
  <c r="AB94" i="2" s="1"/>
  <c r="Z95" i="2"/>
  <c r="AA95" i="2" s="1"/>
  <c r="AB95" i="2" s="1"/>
  <c r="Z96" i="2"/>
  <c r="AA96" i="2" s="1"/>
  <c r="AB96" i="2" s="1"/>
  <c r="Z97" i="2"/>
  <c r="AA97" i="2" s="1"/>
  <c r="AB97" i="2" s="1"/>
  <c r="Z99" i="2"/>
  <c r="AA99" i="2" s="1"/>
  <c r="AB99" i="2" s="1"/>
  <c r="Z101" i="2"/>
  <c r="AA101" i="2" s="1"/>
  <c r="AB101" i="2" s="1"/>
  <c r="Z102" i="2"/>
  <c r="AA102" i="2" s="1"/>
  <c r="AB102" i="2" s="1"/>
  <c r="Z103" i="2"/>
  <c r="AA103" i="2" s="1"/>
  <c r="AB103" i="2" s="1"/>
  <c r="Z104" i="2"/>
  <c r="AA104" i="2" s="1"/>
  <c r="AB104" i="2" s="1"/>
  <c r="Z105" i="2"/>
  <c r="AA105" i="2" s="1"/>
  <c r="AB105" i="2" s="1"/>
  <c r="Z106" i="2"/>
  <c r="AA106" i="2" s="1"/>
  <c r="AB106" i="2" s="1"/>
  <c r="Z107" i="2"/>
  <c r="AA107" i="2" s="1"/>
  <c r="AB107" i="2" s="1"/>
  <c r="Z108" i="2"/>
  <c r="AA108" i="2" s="1"/>
  <c r="AB108" i="2" s="1"/>
  <c r="Z109" i="2"/>
  <c r="AA109" i="2" s="1"/>
  <c r="AB109" i="2" s="1"/>
  <c r="Z111" i="2"/>
  <c r="AA111" i="2" s="1"/>
  <c r="AB111" i="2" s="1"/>
  <c r="Z112" i="2"/>
  <c r="AA112" i="2" s="1"/>
  <c r="AB112" i="2" s="1"/>
  <c r="Z113" i="2"/>
  <c r="AA113" i="2" s="1"/>
  <c r="AB113" i="2" s="1"/>
  <c r="Z114" i="2"/>
  <c r="AA114" i="2" s="1"/>
  <c r="AB114" i="2" s="1"/>
  <c r="Z115" i="2"/>
  <c r="AA115" i="2" s="1"/>
  <c r="AB115" i="2" s="1"/>
  <c r="Z116" i="2"/>
  <c r="AA116" i="2" s="1"/>
  <c r="AB116" i="2" s="1"/>
  <c r="Z117" i="2"/>
  <c r="AA117" i="2" s="1"/>
  <c r="AB117" i="2" s="1"/>
  <c r="Z118" i="2"/>
  <c r="AA118" i="2" s="1"/>
  <c r="AB118" i="2" s="1"/>
  <c r="Z120" i="2"/>
  <c r="AA120" i="2" s="1"/>
  <c r="AB120" i="2" s="1"/>
  <c r="Z121" i="2"/>
  <c r="AA121" i="2" s="1"/>
  <c r="AB121" i="2" s="1"/>
  <c r="Z123" i="2"/>
  <c r="AA123" i="2" s="1"/>
  <c r="AB123" i="2" s="1"/>
  <c r="Z124" i="2"/>
  <c r="AA124" i="2" s="1"/>
  <c r="AB124" i="2" s="1"/>
  <c r="Z125" i="2"/>
  <c r="AA125" i="2" s="1"/>
  <c r="AB125" i="2" s="1"/>
  <c r="Z126" i="2"/>
  <c r="AA126" i="2" s="1"/>
  <c r="AB126" i="2" s="1"/>
  <c r="Z127" i="2"/>
  <c r="AA127" i="2" s="1"/>
  <c r="AB127" i="2" s="1"/>
  <c r="Z128" i="2"/>
  <c r="AA128" i="2" s="1"/>
  <c r="AB128" i="2" s="1"/>
  <c r="Z129" i="2"/>
  <c r="AA129" i="2" s="1"/>
  <c r="AB129" i="2" s="1"/>
  <c r="Z130" i="2"/>
  <c r="AA130" i="2" s="1"/>
  <c r="AB130" i="2" s="1"/>
  <c r="Z131" i="2"/>
  <c r="AA131" i="2" s="1"/>
  <c r="AB131" i="2" s="1"/>
  <c r="Z132" i="2"/>
  <c r="AA132" i="2" s="1"/>
  <c r="AB132" i="2" s="1"/>
  <c r="Z133" i="2"/>
  <c r="AA133" i="2" s="1"/>
  <c r="AB133" i="2" s="1"/>
  <c r="Z135" i="2"/>
  <c r="AA135" i="2" s="1"/>
  <c r="AB135" i="2" s="1"/>
  <c r="Z137" i="2"/>
  <c r="AA137" i="2" s="1"/>
  <c r="AB137" i="2" s="1"/>
  <c r="Z138" i="2"/>
  <c r="AA138" i="2" s="1"/>
  <c r="AB138" i="2" s="1"/>
  <c r="Z139" i="2"/>
  <c r="AA139" i="2" s="1"/>
  <c r="AB139" i="2" s="1"/>
  <c r="Z140" i="2"/>
  <c r="AA140" i="2" s="1"/>
  <c r="AB140" i="2" s="1"/>
  <c r="Z141" i="2"/>
  <c r="AA141" i="2" s="1"/>
  <c r="AB141" i="2" s="1"/>
  <c r="Z142" i="2"/>
  <c r="AA142" i="2" s="1"/>
  <c r="AB142" i="2" s="1"/>
  <c r="Z143" i="2"/>
  <c r="AA143" i="2" s="1"/>
  <c r="AB143" i="2" s="1"/>
  <c r="Z144" i="2"/>
  <c r="AA144" i="2" s="1"/>
  <c r="AB144" i="2" s="1"/>
  <c r="Z145" i="2"/>
  <c r="AA145" i="2" s="1"/>
  <c r="AB145" i="2" s="1"/>
  <c r="Z147" i="2"/>
  <c r="AA147" i="2" s="1"/>
  <c r="AB147" i="2" s="1"/>
  <c r="Z148" i="2"/>
  <c r="AA148" i="2" s="1"/>
  <c r="AB148" i="2" s="1"/>
  <c r="Z149" i="2"/>
  <c r="AA149" i="2" s="1"/>
  <c r="AB149" i="2" s="1"/>
  <c r="Z150" i="2"/>
  <c r="AA150" i="2" s="1"/>
  <c r="AB150" i="2" s="1"/>
  <c r="Z151" i="2"/>
  <c r="AA151" i="2" s="1"/>
  <c r="AB151" i="2" s="1"/>
  <c r="Z152" i="2"/>
  <c r="AA152" i="2" s="1"/>
  <c r="AB152" i="2" s="1"/>
  <c r="Z153" i="2"/>
  <c r="AA153" i="2" s="1"/>
  <c r="AB153" i="2" s="1"/>
  <c r="Z154" i="2"/>
  <c r="AA154" i="2" s="1"/>
  <c r="AB154" i="2" s="1"/>
  <c r="Z156" i="2"/>
  <c r="AA156" i="2" s="1"/>
  <c r="AB156" i="2" s="1"/>
  <c r="Z157" i="2"/>
  <c r="AA157" i="2" s="1"/>
  <c r="AB157" i="2" s="1"/>
  <c r="Z159" i="2"/>
  <c r="AA159" i="2" s="1"/>
  <c r="AB159" i="2" s="1"/>
  <c r="Z160" i="2"/>
  <c r="AA160" i="2" s="1"/>
  <c r="AB160" i="2" s="1"/>
  <c r="Z161" i="2"/>
  <c r="AA161" i="2" s="1"/>
  <c r="AB161" i="2" s="1"/>
  <c r="Z162" i="2"/>
  <c r="AA162" i="2" s="1"/>
  <c r="AB162" i="2" s="1"/>
  <c r="Z163" i="2"/>
  <c r="AA163" i="2" s="1"/>
  <c r="AB163" i="2" s="1"/>
  <c r="Z164" i="2"/>
  <c r="AA164" i="2" s="1"/>
  <c r="AB164" i="2" s="1"/>
  <c r="Z165" i="2"/>
  <c r="AA165" i="2" s="1"/>
  <c r="AB165" i="2" s="1"/>
  <c r="Z166" i="2"/>
  <c r="AA166" i="2" s="1"/>
  <c r="AB166" i="2" s="1"/>
  <c r="Z167" i="2"/>
  <c r="AA167" i="2" s="1"/>
  <c r="AB167" i="2" s="1"/>
  <c r="Z168" i="2"/>
  <c r="AA168" i="2" s="1"/>
  <c r="AB168" i="2" s="1"/>
  <c r="Z169" i="2"/>
  <c r="AA169" i="2" s="1"/>
  <c r="AB169" i="2" s="1"/>
  <c r="Z171" i="2"/>
  <c r="AA171" i="2" s="1"/>
  <c r="AB171" i="2" s="1"/>
  <c r="Z173" i="2"/>
  <c r="AA173" i="2" s="1"/>
  <c r="AB173" i="2" s="1"/>
  <c r="Z174" i="2"/>
  <c r="AA174" i="2" s="1"/>
  <c r="AB174" i="2" s="1"/>
  <c r="Z175" i="2"/>
  <c r="AA175" i="2" s="1"/>
  <c r="AB175" i="2" s="1"/>
  <c r="Z176" i="2"/>
  <c r="AA176" i="2" s="1"/>
  <c r="AB176" i="2" s="1"/>
  <c r="Z177" i="2"/>
  <c r="AA177" i="2" s="1"/>
  <c r="AB177" i="2" s="1"/>
  <c r="Z178" i="2"/>
  <c r="AA178" i="2" s="1"/>
  <c r="AB178" i="2" s="1"/>
  <c r="Z179" i="2"/>
  <c r="AA179" i="2" s="1"/>
  <c r="AB179" i="2" s="1"/>
  <c r="Z180" i="2"/>
  <c r="AA180" i="2" s="1"/>
  <c r="AB180" i="2" s="1"/>
  <c r="Z181" i="2"/>
  <c r="AA181" i="2" s="1"/>
  <c r="AB181" i="2" s="1"/>
  <c r="Z183" i="2"/>
  <c r="AA183" i="2" s="1"/>
  <c r="AB183" i="2" s="1"/>
  <c r="Z184" i="2"/>
  <c r="AA184" i="2" s="1"/>
  <c r="AB184" i="2" s="1"/>
  <c r="Z185" i="2"/>
  <c r="AA185" i="2" s="1"/>
  <c r="AB185" i="2" s="1"/>
  <c r="Z186" i="2"/>
  <c r="AA186" i="2" s="1"/>
  <c r="AB186" i="2" s="1"/>
  <c r="Z187" i="2"/>
  <c r="AA187" i="2" s="1"/>
  <c r="AB187" i="2" s="1"/>
  <c r="Z188" i="2"/>
  <c r="AA188" i="2" s="1"/>
  <c r="AB188" i="2" s="1"/>
  <c r="Z189" i="2"/>
  <c r="AA189" i="2" s="1"/>
  <c r="AB189" i="2" s="1"/>
  <c r="Z190" i="2"/>
  <c r="AA190" i="2" s="1"/>
  <c r="AB190" i="2" s="1"/>
  <c r="Z192" i="2"/>
  <c r="AA192" i="2" s="1"/>
  <c r="AB192" i="2" s="1"/>
  <c r="Z193" i="2"/>
  <c r="AA193" i="2" s="1"/>
  <c r="AB193" i="2" s="1"/>
  <c r="Z195" i="2"/>
  <c r="AA195" i="2" s="1"/>
  <c r="AB195" i="2" s="1"/>
  <c r="Z196" i="2"/>
  <c r="AA196" i="2" s="1"/>
  <c r="AB196" i="2" s="1"/>
  <c r="Z197" i="2"/>
  <c r="AA197" i="2" s="1"/>
  <c r="AB197" i="2" s="1"/>
  <c r="Z198" i="2"/>
  <c r="AA198" i="2" s="1"/>
  <c r="AB198" i="2" s="1"/>
  <c r="Z199" i="2"/>
  <c r="AA199" i="2" s="1"/>
  <c r="AB199" i="2" s="1"/>
  <c r="Z200" i="2"/>
  <c r="AA200" i="2" s="1"/>
  <c r="AB200" i="2" s="1"/>
  <c r="Z201" i="2"/>
  <c r="AA201" i="2" s="1"/>
  <c r="AB201" i="2" s="1"/>
  <c r="Z202" i="2"/>
  <c r="AA202" i="2" s="1"/>
  <c r="AB202" i="2" s="1"/>
  <c r="Z203" i="2"/>
  <c r="AA203" i="2" s="1"/>
  <c r="AB203" i="2" s="1"/>
  <c r="Z204" i="2"/>
  <c r="AA204" i="2" s="1"/>
  <c r="AB204" i="2" s="1"/>
  <c r="Z205" i="2"/>
  <c r="AA205" i="2" s="1"/>
  <c r="AB205" i="2" s="1"/>
  <c r="Z207" i="2"/>
  <c r="AA207" i="2" s="1"/>
  <c r="AB207" i="2" s="1"/>
  <c r="Z209" i="2"/>
  <c r="AA209" i="2" s="1"/>
  <c r="AB209" i="2" s="1"/>
  <c r="Z210" i="2"/>
  <c r="AA210" i="2" s="1"/>
  <c r="AB210" i="2" s="1"/>
  <c r="Z211" i="2"/>
  <c r="AA211" i="2" s="1"/>
  <c r="AB211" i="2" s="1"/>
  <c r="Z212" i="2"/>
  <c r="AA212" i="2" s="1"/>
  <c r="AB212" i="2" s="1"/>
  <c r="Z213" i="2"/>
  <c r="AA213" i="2" s="1"/>
  <c r="AB213" i="2" s="1"/>
  <c r="Z214" i="2"/>
  <c r="AA214" i="2" s="1"/>
  <c r="AB214" i="2" s="1"/>
  <c r="Z215" i="2"/>
  <c r="AA215" i="2" s="1"/>
  <c r="AB215" i="2" s="1"/>
  <c r="Z216" i="2"/>
  <c r="AA216" i="2" s="1"/>
  <c r="AB216" i="2" s="1"/>
  <c r="Z217" i="2"/>
  <c r="AA217" i="2" s="1"/>
  <c r="AB217" i="2" s="1"/>
  <c r="Z219" i="2"/>
  <c r="AA219" i="2" s="1"/>
  <c r="AB219" i="2" s="1"/>
  <c r="Z220" i="2"/>
  <c r="AA220" i="2" s="1"/>
  <c r="AB220" i="2" s="1"/>
  <c r="Z221" i="2"/>
  <c r="AA221" i="2" s="1"/>
  <c r="AB221" i="2" s="1"/>
  <c r="Z222" i="2"/>
  <c r="AA222" i="2" s="1"/>
  <c r="AB222" i="2" s="1"/>
  <c r="Z223" i="2"/>
  <c r="AA223" i="2" s="1"/>
  <c r="AB223" i="2" s="1"/>
  <c r="Z224" i="2"/>
  <c r="AA224" i="2" s="1"/>
  <c r="AB224" i="2" s="1"/>
  <c r="Z225" i="2"/>
  <c r="AA225" i="2" s="1"/>
  <c r="AB225" i="2" s="1"/>
  <c r="Z226" i="2"/>
  <c r="AA226" i="2" s="1"/>
  <c r="AB226" i="2" s="1"/>
  <c r="Z228" i="2"/>
  <c r="AA228" i="2" s="1"/>
  <c r="AB228" i="2" s="1"/>
  <c r="Z229" i="2"/>
  <c r="AA229" i="2" s="1"/>
  <c r="AB229" i="2" s="1"/>
  <c r="Z231" i="2"/>
  <c r="AA231" i="2" s="1"/>
  <c r="AB231" i="2" s="1"/>
  <c r="Z232" i="2"/>
  <c r="AA232" i="2" s="1"/>
  <c r="AB232" i="2" s="1"/>
  <c r="Z233" i="2"/>
  <c r="AA233" i="2" s="1"/>
  <c r="AB233" i="2" s="1"/>
  <c r="Z234" i="2"/>
  <c r="AA234" i="2" s="1"/>
  <c r="AB234" i="2" s="1"/>
  <c r="Z235" i="2"/>
  <c r="AA235" i="2" s="1"/>
  <c r="AB235" i="2" s="1"/>
  <c r="Z236" i="2"/>
  <c r="AA236" i="2" s="1"/>
  <c r="AB236" i="2" s="1"/>
  <c r="Z237" i="2"/>
  <c r="AA237" i="2" s="1"/>
  <c r="AB237" i="2" s="1"/>
  <c r="Z238" i="2"/>
  <c r="AA238" i="2" s="1"/>
  <c r="AB238" i="2" s="1"/>
  <c r="Z239" i="2"/>
  <c r="AA239" i="2" s="1"/>
  <c r="AB239" i="2" s="1"/>
  <c r="Z240" i="2"/>
  <c r="AA240" i="2" s="1"/>
  <c r="AB240" i="2" s="1"/>
  <c r="Z241" i="2"/>
  <c r="AA241" i="2" s="1"/>
  <c r="AB241" i="2" s="1"/>
  <c r="Z243" i="2"/>
  <c r="AA243" i="2" s="1"/>
  <c r="AB243" i="2" s="1"/>
  <c r="Z245" i="2"/>
  <c r="AA245" i="2" s="1"/>
  <c r="AB245" i="2" s="1"/>
  <c r="Z246" i="2"/>
  <c r="AA246" i="2" s="1"/>
  <c r="AB246" i="2" s="1"/>
  <c r="Z247" i="2"/>
  <c r="AA247" i="2" s="1"/>
  <c r="AB247" i="2" s="1"/>
  <c r="Z248" i="2"/>
  <c r="AA248" i="2" s="1"/>
  <c r="AB248" i="2" s="1"/>
  <c r="Z249" i="2"/>
  <c r="AA249" i="2" s="1"/>
  <c r="AB249" i="2" s="1"/>
  <c r="Z250" i="2"/>
  <c r="AA250" i="2" s="1"/>
  <c r="AB250" i="2" s="1"/>
  <c r="Z251" i="2"/>
  <c r="AA251" i="2" s="1"/>
  <c r="AB251" i="2" s="1"/>
  <c r="Z252" i="2"/>
  <c r="AA252" i="2" s="1"/>
  <c r="AB252" i="2" s="1"/>
  <c r="Z253" i="2"/>
  <c r="AA253" i="2" s="1"/>
  <c r="AB253" i="2" s="1"/>
  <c r="Z255" i="2"/>
  <c r="AA255" i="2" s="1"/>
  <c r="AB255" i="2" s="1"/>
  <c r="Z256" i="2"/>
  <c r="AA256" i="2" s="1"/>
  <c r="AB256" i="2" s="1"/>
  <c r="Z257" i="2"/>
  <c r="AA257" i="2" s="1"/>
  <c r="AB257" i="2" s="1"/>
  <c r="Z258" i="2"/>
  <c r="AA258" i="2" s="1"/>
  <c r="AB258" i="2" s="1"/>
  <c r="Z259" i="2"/>
  <c r="AA259" i="2" s="1"/>
  <c r="AB259" i="2" s="1"/>
  <c r="Z260" i="2"/>
  <c r="AA260" i="2" s="1"/>
  <c r="AB260" i="2" s="1"/>
  <c r="Z261" i="2"/>
  <c r="AA261" i="2" s="1"/>
  <c r="AB261" i="2" s="1"/>
  <c r="Z262" i="2"/>
  <c r="AA262" i="2" s="1"/>
  <c r="AB262" i="2" s="1"/>
  <c r="Z264" i="2"/>
  <c r="AA264" i="2" s="1"/>
  <c r="AB264" i="2" s="1"/>
  <c r="Z265" i="2"/>
  <c r="AA265" i="2" s="1"/>
  <c r="AB265" i="2" s="1"/>
  <c r="Z267" i="2"/>
  <c r="AA267" i="2" s="1"/>
  <c r="AB267" i="2" s="1"/>
  <c r="Z268" i="2"/>
  <c r="AA268" i="2" s="1"/>
  <c r="AB268" i="2" s="1"/>
  <c r="Z269" i="2"/>
  <c r="AA269" i="2" s="1"/>
  <c r="AB269" i="2" s="1"/>
  <c r="Z270" i="2"/>
  <c r="AA270" i="2" s="1"/>
  <c r="AB270" i="2" s="1"/>
  <c r="Z271" i="2"/>
  <c r="AA271" i="2" s="1"/>
  <c r="AB271" i="2" s="1"/>
  <c r="Z272" i="2"/>
  <c r="AA272" i="2" s="1"/>
  <c r="AB272" i="2" s="1"/>
  <c r="Z273" i="2"/>
  <c r="AA273" i="2" s="1"/>
  <c r="AB273" i="2" s="1"/>
  <c r="Z274" i="2"/>
  <c r="AA274" i="2" s="1"/>
  <c r="AB274" i="2" s="1"/>
  <c r="Z275" i="2"/>
  <c r="AA275" i="2" s="1"/>
  <c r="AB275" i="2" s="1"/>
  <c r="Z276" i="2"/>
  <c r="AA276" i="2" s="1"/>
  <c r="AB276" i="2" s="1"/>
  <c r="Z277" i="2"/>
  <c r="AA277" i="2" s="1"/>
  <c r="AB277" i="2" s="1"/>
  <c r="Z279" i="2"/>
  <c r="AA279" i="2" s="1"/>
  <c r="AB279" i="2" s="1"/>
  <c r="Z281" i="2"/>
  <c r="AA281" i="2" s="1"/>
  <c r="AB281" i="2" s="1"/>
  <c r="Z282" i="2"/>
  <c r="AA282" i="2" s="1"/>
  <c r="AB282" i="2" s="1"/>
  <c r="Z283" i="2"/>
  <c r="AA283" i="2" s="1"/>
  <c r="AB283" i="2" s="1"/>
  <c r="Z284" i="2"/>
  <c r="AA284" i="2" s="1"/>
  <c r="AB284" i="2" s="1"/>
  <c r="Z285" i="2"/>
  <c r="AA285" i="2" s="1"/>
  <c r="AB285" i="2" s="1"/>
  <c r="Z286" i="2"/>
  <c r="AA286" i="2" s="1"/>
  <c r="AB286" i="2" s="1"/>
  <c r="Z287" i="2"/>
  <c r="AA287" i="2" s="1"/>
  <c r="AB287" i="2" s="1"/>
  <c r="Z288" i="2"/>
  <c r="AA288" i="2" s="1"/>
  <c r="AB288" i="2" s="1"/>
  <c r="Z289" i="2"/>
  <c r="AA289" i="2" s="1"/>
  <c r="AB289" i="2" s="1"/>
  <c r="Z291" i="2"/>
  <c r="AA291" i="2" s="1"/>
  <c r="AB291" i="2" s="1"/>
  <c r="Z292" i="2"/>
  <c r="AA292" i="2" s="1"/>
  <c r="AB292" i="2" s="1"/>
  <c r="Z293" i="2"/>
  <c r="AA293" i="2" s="1"/>
  <c r="AB293" i="2" s="1"/>
  <c r="Z294" i="2"/>
  <c r="AA294" i="2" s="1"/>
  <c r="AB294" i="2" s="1"/>
  <c r="Z295" i="2"/>
  <c r="AA295" i="2" s="1"/>
  <c r="AB295" i="2" s="1"/>
  <c r="Z296" i="2"/>
  <c r="AA296" i="2" s="1"/>
  <c r="AB296" i="2" s="1"/>
  <c r="Z297" i="2"/>
  <c r="AA297" i="2" s="1"/>
  <c r="AB297" i="2" s="1"/>
  <c r="Z298" i="2"/>
  <c r="AA298" i="2" s="1"/>
  <c r="AB298" i="2" s="1"/>
  <c r="Z300" i="2"/>
  <c r="AA300" i="2" s="1"/>
  <c r="AB300" i="2" s="1"/>
  <c r="Z301" i="2"/>
  <c r="AA301" i="2" s="1"/>
  <c r="AB301" i="2" s="1"/>
  <c r="Z303" i="2"/>
  <c r="AA303" i="2" s="1"/>
  <c r="AB303" i="2" s="1"/>
  <c r="Z304" i="2"/>
  <c r="AA304" i="2" s="1"/>
  <c r="AB304" i="2" s="1"/>
  <c r="Z305" i="2"/>
  <c r="AA305" i="2" s="1"/>
  <c r="AB305" i="2" s="1"/>
  <c r="Z306" i="2"/>
  <c r="AA306" i="2" s="1"/>
  <c r="AB306" i="2" s="1"/>
  <c r="Z307" i="2"/>
  <c r="AA307" i="2" s="1"/>
  <c r="AB307" i="2" s="1"/>
  <c r="Z308" i="2"/>
  <c r="AA308" i="2" s="1"/>
  <c r="AB308" i="2" s="1"/>
  <c r="Z309" i="2"/>
  <c r="AA309" i="2" s="1"/>
  <c r="AB309" i="2" s="1"/>
  <c r="Z310" i="2"/>
  <c r="AA310" i="2" s="1"/>
  <c r="AB310" i="2" s="1"/>
  <c r="Z311" i="2"/>
  <c r="AA311" i="2" s="1"/>
  <c r="AB311" i="2" s="1"/>
  <c r="Z312" i="2"/>
  <c r="AA312" i="2" s="1"/>
  <c r="AB312" i="2" s="1"/>
  <c r="Z313" i="2"/>
  <c r="AA313" i="2" s="1"/>
  <c r="AB313" i="2" s="1"/>
  <c r="Z315" i="2"/>
  <c r="AA315" i="2" s="1"/>
  <c r="AB315" i="2" s="1"/>
  <c r="Z317" i="2"/>
  <c r="AA317" i="2" s="1"/>
  <c r="AB317" i="2" s="1"/>
  <c r="Z318" i="2"/>
  <c r="AA318" i="2" s="1"/>
  <c r="AB318" i="2" s="1"/>
  <c r="Z319" i="2"/>
  <c r="AA319" i="2" s="1"/>
  <c r="AB319" i="2" s="1"/>
  <c r="Z320" i="2"/>
  <c r="AA320" i="2" s="1"/>
  <c r="AB320" i="2" s="1"/>
  <c r="Z321" i="2"/>
  <c r="AA321" i="2" s="1"/>
  <c r="AB321" i="2" s="1"/>
  <c r="Z322" i="2"/>
  <c r="AA322" i="2" s="1"/>
  <c r="AB322" i="2" s="1"/>
  <c r="Z323" i="2"/>
  <c r="AA323" i="2" s="1"/>
  <c r="AB323" i="2" s="1"/>
  <c r="Z324" i="2"/>
  <c r="AA324" i="2" s="1"/>
  <c r="AB324" i="2" s="1"/>
  <c r="Z325" i="2"/>
  <c r="AA325" i="2" s="1"/>
  <c r="AB325" i="2" s="1"/>
  <c r="Z327" i="2"/>
  <c r="AA327" i="2" s="1"/>
  <c r="AB327" i="2" s="1"/>
  <c r="Z328" i="2"/>
  <c r="AA328" i="2" s="1"/>
  <c r="AB328" i="2" s="1"/>
  <c r="Z329" i="2"/>
  <c r="AA329" i="2" s="1"/>
  <c r="AB329" i="2" s="1"/>
  <c r="Z330" i="2"/>
  <c r="AA330" i="2" s="1"/>
  <c r="AB330" i="2" s="1"/>
  <c r="Z331" i="2"/>
  <c r="AA331" i="2" s="1"/>
  <c r="AB331" i="2" s="1"/>
  <c r="Z332" i="2"/>
  <c r="AA332" i="2" s="1"/>
  <c r="AB332" i="2" s="1"/>
  <c r="Z333" i="2"/>
  <c r="AA333" i="2" s="1"/>
  <c r="AB333" i="2" s="1"/>
  <c r="Z335" i="2"/>
  <c r="AA335" i="2" s="1"/>
  <c r="AB335" i="2" s="1"/>
  <c r="Z336" i="2"/>
  <c r="AA336" i="2" s="1"/>
  <c r="AB336" i="2" s="1"/>
  <c r="Z337" i="2"/>
  <c r="AA337" i="2" s="1"/>
  <c r="AB337" i="2" s="1"/>
  <c r="Z339" i="2"/>
  <c r="AA339" i="2" s="1"/>
  <c r="AB339" i="2" s="1"/>
  <c r="Z340" i="2"/>
  <c r="AA340" i="2" s="1"/>
  <c r="AB340" i="2" s="1"/>
  <c r="Z341" i="2"/>
  <c r="AA341" i="2" s="1"/>
  <c r="AB341" i="2" s="1"/>
  <c r="Z342" i="2"/>
  <c r="AA342" i="2" s="1"/>
  <c r="AB342" i="2" s="1"/>
  <c r="Z343" i="2"/>
  <c r="AA343" i="2" s="1"/>
  <c r="AB343" i="2" s="1"/>
  <c r="Z344" i="2"/>
  <c r="AA344" i="2" s="1"/>
  <c r="AB344" i="2" s="1"/>
  <c r="Z345" i="2"/>
  <c r="AA345" i="2" s="1"/>
  <c r="AB345" i="2" s="1"/>
  <c r="Z346" i="2"/>
  <c r="AA346" i="2" s="1"/>
  <c r="AB346" i="2" s="1"/>
  <c r="Z347" i="2"/>
  <c r="AA347" i="2" s="1"/>
  <c r="AB347" i="2" s="1"/>
  <c r="Z348" i="2"/>
  <c r="AA348" i="2" s="1"/>
  <c r="AB348" i="2" s="1"/>
  <c r="Z349" i="2"/>
  <c r="AA349" i="2" s="1"/>
  <c r="AB349" i="2" s="1"/>
  <c r="Z351" i="2"/>
  <c r="AA351" i="2" s="1"/>
  <c r="AB351" i="2" s="1"/>
  <c r="Z352" i="2"/>
  <c r="AA352" i="2" s="1"/>
  <c r="AB352" i="2" s="1"/>
  <c r="Z353" i="2"/>
  <c r="AA353" i="2" s="1"/>
  <c r="AB353" i="2" s="1"/>
  <c r="Z354" i="2"/>
  <c r="AA354" i="2" s="1"/>
  <c r="AB354" i="2" s="1"/>
  <c r="Z355" i="2"/>
  <c r="AA355" i="2" s="1"/>
  <c r="AB355" i="2" s="1"/>
  <c r="Z356" i="2"/>
  <c r="AA356" i="2" s="1"/>
  <c r="AB356" i="2" s="1"/>
  <c r="Z357" i="2"/>
  <c r="AA357" i="2" s="1"/>
  <c r="AB357" i="2" s="1"/>
  <c r="Z358" i="2"/>
  <c r="AA358" i="2" s="1"/>
  <c r="AB358" i="2" s="1"/>
  <c r="Z359" i="2"/>
  <c r="AA359" i="2" s="1"/>
  <c r="AB359" i="2" s="1"/>
  <c r="Z360" i="2"/>
  <c r="AA360" i="2" s="1"/>
  <c r="AB360" i="2" s="1"/>
  <c r="Z361" i="2"/>
  <c r="AA361" i="2" s="1"/>
  <c r="AB361" i="2" s="1"/>
  <c r="Z363" i="2"/>
  <c r="AA363" i="2" s="1"/>
  <c r="AB363" i="2" s="1"/>
  <c r="Z364" i="2"/>
  <c r="AA364" i="2" s="1"/>
  <c r="AB364" i="2" s="1"/>
  <c r="Z366" i="2"/>
  <c r="AA366" i="2" s="1"/>
  <c r="AB366" i="2" s="1"/>
  <c r="Z367" i="2"/>
  <c r="AA367" i="2" s="1"/>
  <c r="AB367" i="2" s="1"/>
  <c r="Z368" i="2"/>
  <c r="AA368" i="2" s="1"/>
  <c r="AB368" i="2" s="1"/>
  <c r="Z369" i="2"/>
  <c r="AA369" i="2" s="1"/>
  <c r="AB369" i="2" s="1"/>
  <c r="Z370" i="2"/>
  <c r="AA370" i="2" s="1"/>
  <c r="AB370" i="2" s="1"/>
  <c r="Z371" i="2"/>
  <c r="AA371" i="2" s="1"/>
  <c r="AB371" i="2" s="1"/>
  <c r="Z372" i="2"/>
  <c r="AA372" i="2" s="1"/>
  <c r="AB372" i="2" s="1"/>
  <c r="Z373" i="2"/>
  <c r="AA373" i="2" s="1"/>
  <c r="AB373" i="2" s="1"/>
  <c r="Z375" i="2"/>
  <c r="AA375" i="2" s="1"/>
  <c r="AB375" i="2" s="1"/>
  <c r="Z376" i="2"/>
  <c r="AA376" i="2" s="1"/>
  <c r="AB376" i="2" s="1"/>
  <c r="Z377" i="2"/>
  <c r="AA377" i="2" s="1"/>
  <c r="AB377" i="2" s="1"/>
  <c r="Z378" i="2"/>
  <c r="AA378" i="2" s="1"/>
  <c r="AB378" i="2" s="1"/>
  <c r="Z379" i="2"/>
  <c r="AA379" i="2" s="1"/>
  <c r="AB379" i="2" s="1"/>
  <c r="Z380" i="2"/>
  <c r="AA380" i="2" s="1"/>
  <c r="AB380" i="2" s="1"/>
  <c r="Z381" i="2"/>
  <c r="AA381" i="2" s="1"/>
  <c r="AB381" i="2" s="1"/>
  <c r="Z383" i="2"/>
  <c r="AA383" i="2" s="1"/>
  <c r="AB383" i="2" s="1"/>
  <c r="Z384" i="2"/>
  <c r="AA384" i="2" s="1"/>
  <c r="AB384" i="2" s="1"/>
  <c r="Z385" i="2"/>
  <c r="AA385" i="2" s="1"/>
  <c r="AB385" i="2" s="1"/>
  <c r="Z387" i="2"/>
  <c r="AA387" i="2" s="1"/>
  <c r="AB387" i="2" s="1"/>
  <c r="Z388" i="2"/>
  <c r="AA388" i="2" s="1"/>
  <c r="AB388" i="2" s="1"/>
  <c r="Z389" i="2"/>
  <c r="AA389" i="2" s="1"/>
  <c r="AB389" i="2" s="1"/>
  <c r="Z390" i="2"/>
  <c r="AA390" i="2" s="1"/>
  <c r="AB390" i="2" s="1"/>
  <c r="Z391" i="2"/>
  <c r="AA391" i="2" s="1"/>
  <c r="AB391" i="2" s="1"/>
  <c r="Z392" i="2"/>
  <c r="AA392" i="2" s="1"/>
  <c r="AB392" i="2" s="1"/>
  <c r="Z393" i="2"/>
  <c r="AA393" i="2" s="1"/>
  <c r="AB393" i="2" s="1"/>
  <c r="Z394" i="2"/>
  <c r="AA394" i="2" s="1"/>
  <c r="AB394" i="2" s="1"/>
  <c r="Z395" i="2"/>
  <c r="AA395" i="2" s="1"/>
  <c r="AB395" i="2" s="1"/>
  <c r="Z396" i="2"/>
  <c r="AA396" i="2" s="1"/>
  <c r="AB396" i="2" s="1"/>
  <c r="Z397" i="2"/>
  <c r="AA397" i="2" s="1"/>
  <c r="AB397" i="2" s="1"/>
  <c r="Z399" i="2"/>
  <c r="AA399" i="2" s="1"/>
  <c r="AB399" i="2" s="1"/>
  <c r="Z400" i="2"/>
  <c r="AA400" i="2" s="1"/>
  <c r="AB400" i="2" s="1"/>
  <c r="Z401" i="2"/>
  <c r="AA401" i="2" s="1"/>
  <c r="AB401" i="2" s="1"/>
  <c r="Z402" i="2"/>
  <c r="AA402" i="2" s="1"/>
  <c r="AB402" i="2" s="1"/>
  <c r="Z403" i="2"/>
  <c r="AA403" i="2" s="1"/>
  <c r="AB403" i="2" s="1"/>
  <c r="Z404" i="2"/>
  <c r="AA404" i="2" s="1"/>
  <c r="AB404" i="2" s="1"/>
  <c r="Z405" i="2"/>
  <c r="AA405" i="2" s="1"/>
  <c r="AB405" i="2" s="1"/>
  <c r="Z406" i="2"/>
  <c r="AA406" i="2" s="1"/>
  <c r="AB406" i="2" s="1"/>
  <c r="Z407" i="2"/>
  <c r="AA407" i="2" s="1"/>
  <c r="AB407" i="2" s="1"/>
  <c r="Z408" i="2"/>
  <c r="AA408" i="2" s="1"/>
  <c r="AB408" i="2" s="1"/>
  <c r="Z409" i="2"/>
  <c r="AA409" i="2" s="1"/>
  <c r="AB409" i="2" s="1"/>
  <c r="Z411" i="2"/>
  <c r="AA411" i="2" s="1"/>
  <c r="AB411" i="2" s="1"/>
  <c r="Z412" i="2"/>
  <c r="AA412" i="2" s="1"/>
  <c r="AB412" i="2" s="1"/>
  <c r="Z414" i="2"/>
  <c r="AA414" i="2" s="1"/>
  <c r="AB414" i="2" s="1"/>
  <c r="Z415" i="2"/>
  <c r="AA415" i="2" s="1"/>
  <c r="AB415" i="2" s="1"/>
  <c r="Z416" i="2"/>
  <c r="AA416" i="2" s="1"/>
  <c r="AB416" i="2" s="1"/>
  <c r="Z417" i="2"/>
  <c r="AA417" i="2" s="1"/>
  <c r="AB417" i="2" s="1"/>
  <c r="Z418" i="2"/>
  <c r="AA418" i="2" s="1"/>
  <c r="AB418" i="2" s="1"/>
  <c r="Z419" i="2"/>
  <c r="AA419" i="2" s="1"/>
  <c r="AB419" i="2" s="1"/>
  <c r="Z420" i="2"/>
  <c r="AA420" i="2" s="1"/>
  <c r="AB420" i="2" s="1"/>
  <c r="Z421" i="2"/>
  <c r="AA421" i="2" s="1"/>
  <c r="AB421" i="2" s="1"/>
  <c r="Z423" i="2"/>
  <c r="AA423" i="2" s="1"/>
  <c r="AB423" i="2" s="1"/>
  <c r="Z424" i="2"/>
  <c r="AA424" i="2" s="1"/>
  <c r="AB424" i="2" s="1"/>
  <c r="Z425" i="2"/>
  <c r="AA425" i="2" s="1"/>
  <c r="AB425" i="2" s="1"/>
  <c r="Z426" i="2"/>
  <c r="AA426" i="2" s="1"/>
  <c r="AB426" i="2" s="1"/>
  <c r="Z427" i="2"/>
  <c r="AA427" i="2" s="1"/>
  <c r="AB427" i="2" s="1"/>
  <c r="Z428" i="2"/>
  <c r="AA428" i="2" s="1"/>
  <c r="AB428" i="2" s="1"/>
  <c r="Z429" i="2"/>
  <c r="AA429" i="2" s="1"/>
  <c r="AB429" i="2" s="1"/>
  <c r="Z431" i="2"/>
  <c r="AA431" i="2" s="1"/>
  <c r="AB431" i="2" s="1"/>
  <c r="Z432" i="2"/>
  <c r="AA432" i="2" s="1"/>
  <c r="AB432" i="2" s="1"/>
  <c r="Z433" i="2"/>
  <c r="AA433" i="2" s="1"/>
  <c r="AB433" i="2" s="1"/>
  <c r="Z435" i="2"/>
  <c r="AA435" i="2" s="1"/>
  <c r="AB435" i="2" s="1"/>
  <c r="Z436" i="2"/>
  <c r="AA436" i="2" s="1"/>
  <c r="AB436" i="2" s="1"/>
  <c r="Z437" i="2"/>
  <c r="AA437" i="2" s="1"/>
  <c r="AB437" i="2" s="1"/>
  <c r="Z438" i="2"/>
  <c r="AA438" i="2" s="1"/>
  <c r="AB438" i="2" s="1"/>
  <c r="Z439" i="2"/>
  <c r="AA439" i="2" s="1"/>
  <c r="AB439" i="2" s="1"/>
  <c r="Z440" i="2"/>
  <c r="AA440" i="2" s="1"/>
  <c r="AB440" i="2" s="1"/>
  <c r="Z441" i="2"/>
  <c r="AA441" i="2" s="1"/>
  <c r="AB441" i="2" s="1"/>
  <c r="Z442" i="2"/>
  <c r="AA442" i="2" s="1"/>
  <c r="AB442" i="2" s="1"/>
  <c r="Z443" i="2"/>
  <c r="AA443" i="2" s="1"/>
  <c r="AB443" i="2" s="1"/>
  <c r="Z444" i="2"/>
  <c r="AA444" i="2" s="1"/>
  <c r="AB444" i="2" s="1"/>
  <c r="Z445" i="2"/>
  <c r="AA445" i="2" s="1"/>
  <c r="AB445" i="2" s="1"/>
  <c r="Z447" i="2"/>
  <c r="AA447" i="2" s="1"/>
  <c r="AB447" i="2" s="1"/>
  <c r="Z448" i="2"/>
  <c r="AA448" i="2" s="1"/>
  <c r="AB448" i="2" s="1"/>
  <c r="Z449" i="2"/>
  <c r="AA449" i="2" s="1"/>
  <c r="AB449" i="2" s="1"/>
  <c r="Z450" i="2"/>
  <c r="AA450" i="2" s="1"/>
  <c r="AB450" i="2" s="1"/>
  <c r="Z451" i="2"/>
  <c r="AA451" i="2" s="1"/>
  <c r="AB451" i="2" s="1"/>
  <c r="Z452" i="2"/>
  <c r="AA452" i="2" s="1"/>
  <c r="AB452" i="2" s="1"/>
  <c r="Z453" i="2"/>
  <c r="AA453" i="2" s="1"/>
  <c r="AB453" i="2" s="1"/>
  <c r="Z454" i="2"/>
  <c r="AA454" i="2" s="1"/>
  <c r="AB454" i="2" s="1"/>
  <c r="Z455" i="2"/>
  <c r="AA455" i="2" s="1"/>
  <c r="AB455" i="2" s="1"/>
  <c r="Z456" i="2"/>
  <c r="AA456" i="2" s="1"/>
  <c r="AB456" i="2" s="1"/>
  <c r="Z457" i="2"/>
  <c r="AA457" i="2" s="1"/>
  <c r="AB457" i="2" s="1"/>
  <c r="Z459" i="2"/>
  <c r="AA459" i="2" s="1"/>
  <c r="AB459" i="2" s="1"/>
  <c r="Z460" i="2"/>
  <c r="AA460" i="2" s="1"/>
  <c r="AB460" i="2" s="1"/>
  <c r="Z462" i="2"/>
  <c r="AA462" i="2" s="1"/>
  <c r="AB462" i="2" s="1"/>
  <c r="Z463" i="2"/>
  <c r="AA463" i="2" s="1"/>
  <c r="AB463" i="2" s="1"/>
  <c r="Z464" i="2"/>
  <c r="AA464" i="2" s="1"/>
  <c r="AB464" i="2" s="1"/>
  <c r="Z465" i="2"/>
  <c r="AA465" i="2" s="1"/>
  <c r="AB465" i="2" s="1"/>
  <c r="Z466" i="2"/>
  <c r="AA466" i="2" s="1"/>
  <c r="AB466" i="2" s="1"/>
  <c r="Z467" i="2"/>
  <c r="AA467" i="2" s="1"/>
  <c r="AB467" i="2" s="1"/>
  <c r="Z468" i="2"/>
  <c r="AA468" i="2" s="1"/>
  <c r="AB468" i="2" s="1"/>
  <c r="Z469" i="2"/>
  <c r="AA469" i="2" s="1"/>
  <c r="AB469" i="2" s="1"/>
  <c r="Z471" i="2"/>
  <c r="AA471" i="2" s="1"/>
  <c r="AB471" i="2" s="1"/>
  <c r="Z472" i="2"/>
  <c r="AA472" i="2" s="1"/>
  <c r="AB472" i="2" s="1"/>
  <c r="Z473" i="2"/>
  <c r="AA473" i="2" s="1"/>
  <c r="AB473" i="2" s="1"/>
  <c r="Z474" i="2"/>
  <c r="AA474" i="2" s="1"/>
  <c r="AB474" i="2" s="1"/>
  <c r="Z475" i="2"/>
  <c r="AA475" i="2" s="1"/>
  <c r="AB475" i="2" s="1"/>
  <c r="Z476" i="2"/>
  <c r="AA476" i="2" s="1"/>
  <c r="AB476" i="2" s="1"/>
  <c r="Z478" i="2"/>
  <c r="AA478" i="2" s="1"/>
  <c r="AB478" i="2" s="1"/>
  <c r="Z479" i="2"/>
  <c r="AA479" i="2" s="1"/>
  <c r="AB479" i="2" s="1"/>
  <c r="Z480" i="2"/>
  <c r="AA480" i="2" s="1"/>
  <c r="AB480" i="2" s="1"/>
  <c r="Z481" i="2"/>
  <c r="AA481" i="2" s="1"/>
  <c r="AB481" i="2" s="1"/>
  <c r="Z483" i="2"/>
  <c r="AA483" i="2" s="1"/>
  <c r="AB483" i="2" s="1"/>
  <c r="Z484" i="2"/>
  <c r="AA484" i="2" s="1"/>
  <c r="AB484" i="2" s="1"/>
  <c r="Z485" i="2"/>
  <c r="AA485" i="2" s="1"/>
  <c r="AB485" i="2" s="1"/>
  <c r="Z486" i="2"/>
  <c r="AA486" i="2" s="1"/>
  <c r="AB486" i="2" s="1"/>
  <c r="Z487" i="2"/>
  <c r="AA487" i="2" s="1"/>
  <c r="AB487" i="2" s="1"/>
  <c r="Z488" i="2"/>
  <c r="AA488" i="2" s="1"/>
  <c r="AB488" i="2" s="1"/>
  <c r="Z489" i="2"/>
  <c r="AA489" i="2" s="1"/>
  <c r="AB489" i="2" s="1"/>
  <c r="Z490" i="2"/>
  <c r="AA490" i="2" s="1"/>
  <c r="AB490" i="2" s="1"/>
  <c r="Z492" i="2"/>
  <c r="AA492" i="2" s="1"/>
  <c r="AB492" i="2" s="1"/>
  <c r="Z493" i="2"/>
  <c r="AA493" i="2" s="1"/>
  <c r="AB493" i="2" s="1"/>
  <c r="Z495" i="2"/>
  <c r="AA495" i="2" s="1"/>
  <c r="AB495" i="2" s="1"/>
  <c r="Z496" i="2"/>
  <c r="AA496" i="2" s="1"/>
  <c r="AB496" i="2" s="1"/>
  <c r="Z497" i="2"/>
  <c r="AA497" i="2" s="1"/>
  <c r="AB497" i="2" s="1"/>
  <c r="Z498" i="2"/>
  <c r="AA498" i="2" s="1"/>
  <c r="AB498" i="2" s="1"/>
  <c r="Z499" i="2"/>
  <c r="AA499" i="2" s="1"/>
  <c r="AB499" i="2" s="1"/>
  <c r="Z500" i="2"/>
  <c r="AA500" i="2" s="1"/>
  <c r="AB500" i="2" s="1"/>
  <c r="Z501" i="2"/>
  <c r="AA501" i="2" s="1"/>
  <c r="AB501" i="2" s="1"/>
  <c r="Z502" i="2"/>
  <c r="AA502" i="2" s="1"/>
  <c r="AB502" i="2" s="1"/>
  <c r="Z503" i="2"/>
  <c r="AA503" i="2" s="1"/>
  <c r="AB503" i="2" s="1"/>
  <c r="Z504" i="2"/>
  <c r="AA504" i="2" s="1"/>
  <c r="AB504" i="2" s="1"/>
  <c r="Z505" i="2"/>
  <c r="AA505" i="2" s="1"/>
  <c r="AB505" i="2" s="1"/>
  <c r="Z507" i="2"/>
  <c r="AA507" i="2" s="1"/>
  <c r="AB507" i="2" s="1"/>
  <c r="Z508" i="2"/>
  <c r="AA508" i="2" s="1"/>
  <c r="AB508" i="2" s="1"/>
  <c r="Z509" i="2"/>
  <c r="AA509" i="2" s="1"/>
  <c r="AB509" i="2" s="1"/>
  <c r="Z510" i="2"/>
  <c r="AA510" i="2" s="1"/>
  <c r="AB510" i="2" s="1"/>
  <c r="Z511" i="2"/>
  <c r="AA511" i="2" s="1"/>
  <c r="AB511" i="2" s="1"/>
  <c r="Z512" i="2"/>
  <c r="AA512" i="2" s="1"/>
  <c r="AB512" i="2" s="1"/>
  <c r="Z513" i="2"/>
  <c r="AA513" i="2" s="1"/>
  <c r="AB513" i="2" s="1"/>
  <c r="Z514" i="2"/>
  <c r="AA514" i="2" s="1"/>
  <c r="AB514" i="2" s="1"/>
  <c r="Z515" i="2"/>
  <c r="AA515" i="2" s="1"/>
  <c r="AB515" i="2" s="1"/>
  <c r="Z516" i="2"/>
  <c r="AA516" i="2" s="1"/>
  <c r="AB516" i="2" s="1"/>
  <c r="Z519" i="2"/>
  <c r="AA519" i="2" s="1"/>
  <c r="AB519" i="2" s="1"/>
  <c r="Z520" i="2"/>
  <c r="AA520" i="2" s="1"/>
  <c r="AB520" i="2" s="1"/>
  <c r="Z521" i="2"/>
  <c r="AA521" i="2" s="1"/>
  <c r="AB521" i="2" s="1"/>
  <c r="Z522" i="2"/>
  <c r="AA522" i="2" s="1"/>
  <c r="AB522" i="2" s="1"/>
  <c r="Z523" i="2"/>
  <c r="AA523" i="2" s="1"/>
  <c r="AB523" i="2" s="1"/>
  <c r="Z524" i="2"/>
  <c r="AA524" i="2" s="1"/>
  <c r="AB524" i="2" s="1"/>
  <c r="Z525" i="2"/>
  <c r="AA525" i="2" s="1"/>
  <c r="AB525" i="2" s="1"/>
  <c r="Z526" i="2"/>
  <c r="AA526" i="2" s="1"/>
  <c r="AB526" i="2" s="1"/>
  <c r="Z527" i="2"/>
  <c r="AA527" i="2" s="1"/>
  <c r="AB527" i="2" s="1"/>
  <c r="Z528" i="2"/>
  <c r="AA528" i="2" s="1"/>
  <c r="AB528" i="2" s="1"/>
  <c r="Z529" i="2"/>
  <c r="AA529" i="2" s="1"/>
  <c r="AB529" i="2" s="1"/>
  <c r="Z531" i="2"/>
  <c r="AA531" i="2" s="1"/>
  <c r="AB531" i="2" s="1"/>
  <c r="Z532" i="2"/>
  <c r="AA532" i="2" s="1"/>
  <c r="AB532" i="2" s="1"/>
  <c r="Z533" i="2"/>
  <c r="AA533" i="2" s="1"/>
  <c r="AB533" i="2" s="1"/>
  <c r="Z534" i="2"/>
  <c r="AA534" i="2" s="1"/>
  <c r="AB534" i="2" s="1"/>
  <c r="Z535" i="2"/>
  <c r="AA535" i="2" s="1"/>
  <c r="AB535" i="2" s="1"/>
  <c r="Z536" i="2"/>
  <c r="AA536" i="2" s="1"/>
  <c r="AB536" i="2" s="1"/>
  <c r="Z537" i="2"/>
  <c r="AA537" i="2" s="1"/>
  <c r="AB537" i="2" s="1"/>
  <c r="Z538" i="2"/>
  <c r="AA538" i="2" s="1"/>
  <c r="AB538" i="2" s="1"/>
  <c r="Z539" i="2"/>
  <c r="AA539" i="2" s="1"/>
  <c r="AB539" i="2" s="1"/>
  <c r="Z540" i="2"/>
  <c r="AA540" i="2" s="1"/>
  <c r="AB540" i="2" s="1"/>
  <c r="Z541" i="2"/>
  <c r="AA541" i="2" s="1"/>
  <c r="AB541" i="2" s="1"/>
  <c r="Z544" i="2"/>
  <c r="AA544" i="2" s="1"/>
  <c r="AB544" i="2" s="1"/>
  <c r="Z545" i="2"/>
  <c r="AA545" i="2" s="1"/>
  <c r="AB545" i="2" s="1"/>
  <c r="Z546" i="2"/>
  <c r="AA546" i="2" s="1"/>
  <c r="AB546" i="2" s="1"/>
  <c r="Z547" i="2"/>
  <c r="AA547" i="2" s="1"/>
  <c r="AB547" i="2" s="1"/>
  <c r="Z548" i="2"/>
  <c r="AA548" i="2" s="1"/>
  <c r="AB548" i="2" s="1"/>
  <c r="Z549" i="2"/>
  <c r="AA549" i="2" s="1"/>
  <c r="AB549" i="2" s="1"/>
  <c r="Z550" i="2"/>
  <c r="AA550" i="2" s="1"/>
  <c r="AB550" i="2" s="1"/>
  <c r="Z551" i="2"/>
  <c r="AA551" i="2" s="1"/>
  <c r="AB551" i="2" s="1"/>
  <c r="Z552" i="2"/>
  <c r="AA552" i="2" s="1"/>
  <c r="AB552" i="2" s="1"/>
  <c r="Z553" i="2"/>
  <c r="AA553" i="2" s="1"/>
  <c r="AB553" i="2" s="1"/>
  <c r="Z555" i="2"/>
  <c r="AA555" i="2" s="1"/>
  <c r="AB555" i="2" s="1"/>
  <c r="Z557" i="2"/>
  <c r="AA557" i="2" s="1"/>
  <c r="AB557" i="2" s="1"/>
  <c r="Z558" i="2"/>
  <c r="AA558" i="2" s="1"/>
  <c r="AB558" i="2" s="1"/>
  <c r="Z559" i="2"/>
  <c r="AA559" i="2" s="1"/>
  <c r="AB559" i="2" s="1"/>
  <c r="Z560" i="2"/>
  <c r="AA560" i="2" s="1"/>
  <c r="AB560" i="2" s="1"/>
  <c r="Z561" i="2"/>
  <c r="AA561" i="2" s="1"/>
  <c r="AB561" i="2" s="1"/>
  <c r="Z562" i="2"/>
  <c r="AA562" i="2" s="1"/>
  <c r="AB562" i="2" s="1"/>
  <c r="Z563" i="2"/>
  <c r="AA563" i="2" s="1"/>
  <c r="AB563" i="2" s="1"/>
  <c r="Z564" i="2"/>
  <c r="AA564" i="2" s="1"/>
  <c r="AB564" i="2" s="1"/>
  <c r="Z565" i="2"/>
  <c r="AA565" i="2" s="1"/>
  <c r="AB565" i="2" s="1"/>
  <c r="Z567" i="2"/>
  <c r="AA567" i="2" s="1"/>
  <c r="AB567" i="2" s="1"/>
  <c r="Z568" i="2"/>
  <c r="AA568" i="2" s="1"/>
  <c r="AB568" i="2" s="1"/>
  <c r="Z570" i="2"/>
  <c r="AA570" i="2" s="1"/>
  <c r="AB570" i="2" s="1"/>
  <c r="Z571" i="2"/>
  <c r="AA571" i="2" s="1"/>
  <c r="AB571" i="2" s="1"/>
  <c r="Z572" i="2"/>
  <c r="AA572" i="2" s="1"/>
  <c r="AB572" i="2" s="1"/>
  <c r="Z573" i="2"/>
  <c r="AA573" i="2" s="1"/>
  <c r="AB573" i="2" s="1"/>
  <c r="Z574" i="2"/>
  <c r="AA574" i="2" s="1"/>
  <c r="AB574" i="2" s="1"/>
  <c r="Z575" i="2"/>
  <c r="AA575" i="2" s="1"/>
  <c r="AB575" i="2" s="1"/>
  <c r="Z576" i="2"/>
  <c r="AA576" i="2" s="1"/>
  <c r="AB576" i="2" s="1"/>
  <c r="Z577" i="2"/>
  <c r="AA577" i="2" s="1"/>
  <c r="AB577" i="2" s="1"/>
  <c r="Z579" i="2"/>
  <c r="AA579" i="2" s="1"/>
  <c r="AB579" i="2" s="1"/>
  <c r="Z580" i="2"/>
  <c r="AA580" i="2" s="1"/>
  <c r="AB580" i="2" s="1"/>
  <c r="Z581" i="2"/>
  <c r="AA581" i="2" s="1"/>
  <c r="AB581" i="2" s="1"/>
  <c r="Z583" i="2"/>
  <c r="AA583" i="2" s="1"/>
  <c r="AB583" i="2" s="1"/>
  <c r="Z584" i="2"/>
  <c r="AA584" i="2" s="1"/>
  <c r="AB584" i="2" s="1"/>
  <c r="Z585" i="2"/>
  <c r="AA585" i="2" s="1"/>
  <c r="AB585" i="2" s="1"/>
  <c r="Z586" i="2"/>
  <c r="AA586" i="2" s="1"/>
  <c r="AB586" i="2" s="1"/>
  <c r="Z587" i="2"/>
  <c r="AA587" i="2" s="1"/>
  <c r="AB587" i="2" s="1"/>
  <c r="Z588" i="2"/>
  <c r="AA588" i="2" s="1"/>
  <c r="AB588" i="2" s="1"/>
  <c r="Z589" i="2"/>
  <c r="AA589" i="2" s="1"/>
  <c r="AB589" i="2" s="1"/>
  <c r="Z591" i="2"/>
  <c r="AA591" i="2" s="1"/>
  <c r="AB591" i="2" s="1"/>
  <c r="Z592" i="2"/>
  <c r="AA592" i="2" s="1"/>
  <c r="AB592" i="2" s="1"/>
  <c r="Z593" i="2"/>
  <c r="AA593" i="2" s="1"/>
  <c r="AB593" i="2" s="1"/>
  <c r="Z594" i="2"/>
  <c r="AA594" i="2" s="1"/>
  <c r="AB594" i="2" s="1"/>
  <c r="Z595" i="2"/>
  <c r="AA595" i="2" s="1"/>
  <c r="AB595" i="2" s="1"/>
  <c r="Z597" i="2"/>
  <c r="AA597" i="2" s="1"/>
  <c r="AB597" i="2" s="1"/>
  <c r="Z598" i="2"/>
  <c r="AA598" i="2" s="1"/>
  <c r="AB598" i="2" s="1"/>
  <c r="Z599" i="2"/>
  <c r="AA599" i="2" s="1"/>
  <c r="AB599" i="2" s="1"/>
  <c r="Z600" i="2"/>
  <c r="AA600" i="2" s="1"/>
  <c r="AB600" i="2" s="1"/>
  <c r="Z601" i="2"/>
  <c r="AA601" i="2" s="1"/>
  <c r="AB601" i="2" s="1"/>
  <c r="Z603" i="2"/>
  <c r="AA603" i="2" s="1"/>
  <c r="AB603" i="2" s="1"/>
  <c r="Z604" i="2"/>
  <c r="AA604" i="2" s="1"/>
  <c r="AB604" i="2" s="1"/>
  <c r="Z605" i="2"/>
  <c r="AA605" i="2" s="1"/>
  <c r="AB605" i="2" s="1"/>
  <c r="Z606" i="2"/>
  <c r="AA606" i="2" s="1"/>
  <c r="AB606" i="2" s="1"/>
  <c r="Z607" i="2"/>
  <c r="AA607" i="2" s="1"/>
  <c r="AB607" i="2" s="1"/>
  <c r="Z608" i="2"/>
  <c r="AA608" i="2" s="1"/>
  <c r="AB608" i="2" s="1"/>
  <c r="Z610" i="2"/>
  <c r="AA610" i="2" s="1"/>
  <c r="AB610" i="2" s="1"/>
  <c r="Z611" i="2"/>
  <c r="AA611" i="2" s="1"/>
  <c r="AB611" i="2" s="1"/>
  <c r="Z612" i="2"/>
  <c r="AA612" i="2" s="1"/>
  <c r="AB612" i="2" s="1"/>
  <c r="Z613" i="2"/>
  <c r="AA613" i="2" s="1"/>
  <c r="AB613" i="2" s="1"/>
  <c r="Z615" i="2"/>
  <c r="AA615" i="2" s="1"/>
  <c r="AB615" i="2" s="1"/>
  <c r="Z616" i="2"/>
  <c r="AA616" i="2" s="1"/>
  <c r="AB616" i="2" s="1"/>
  <c r="Z617" i="2"/>
  <c r="AA617" i="2" s="1"/>
  <c r="AB617" i="2" s="1"/>
  <c r="Z618" i="2"/>
  <c r="AA618" i="2" s="1"/>
  <c r="AB618" i="2" s="1"/>
  <c r="Z619" i="2"/>
  <c r="AA619" i="2" s="1"/>
  <c r="AB619" i="2" s="1"/>
  <c r="Z620" i="2"/>
  <c r="AA620" i="2" s="1"/>
  <c r="AB620" i="2" s="1"/>
  <c r="Z621" i="2"/>
  <c r="AA621" i="2" s="1"/>
  <c r="AB621" i="2" s="1"/>
  <c r="Z623" i="2"/>
  <c r="AA623" i="2" s="1"/>
  <c r="AB623" i="2" s="1"/>
  <c r="Z624" i="2"/>
  <c r="AA624" i="2" s="1"/>
  <c r="AB624" i="2" s="1"/>
  <c r="Z625" i="2"/>
  <c r="AA625" i="2" s="1"/>
  <c r="AB625" i="2" s="1"/>
  <c r="Z627" i="2"/>
  <c r="AA627" i="2" s="1"/>
  <c r="AB627" i="2" s="1"/>
  <c r="Z628" i="2"/>
  <c r="AA628" i="2" s="1"/>
  <c r="AB628" i="2" s="1"/>
  <c r="Z629" i="2"/>
  <c r="AA629" i="2" s="1"/>
  <c r="AB629" i="2" s="1"/>
  <c r="Z630" i="2"/>
  <c r="AA630" i="2" s="1"/>
  <c r="AB630" i="2" s="1"/>
  <c r="Z631" i="2"/>
  <c r="AA631" i="2" s="1"/>
  <c r="AB631" i="2" s="1"/>
  <c r="Z632" i="2"/>
  <c r="AA632" i="2" s="1"/>
  <c r="AB632" i="2" s="1"/>
  <c r="Z633" i="2"/>
  <c r="AA633" i="2" s="1"/>
  <c r="AB633" i="2" s="1"/>
  <c r="Z634" i="2"/>
  <c r="AA634" i="2" s="1"/>
  <c r="AB634" i="2" s="1"/>
  <c r="Z636" i="2"/>
  <c r="AA636" i="2" s="1"/>
  <c r="AB636" i="2" s="1"/>
  <c r="Z637" i="2"/>
  <c r="AA637" i="2" s="1"/>
  <c r="AB637" i="2" s="1"/>
  <c r="Z639" i="2"/>
  <c r="AA639" i="2" s="1"/>
  <c r="AB639" i="2" s="1"/>
  <c r="Z640" i="2"/>
  <c r="AA640" i="2" s="1"/>
  <c r="AB640" i="2" s="1"/>
  <c r="Z641" i="2"/>
  <c r="AA641" i="2" s="1"/>
  <c r="AB641" i="2" s="1"/>
  <c r="Z642" i="2"/>
  <c r="AA642" i="2" s="1"/>
  <c r="AB642" i="2" s="1"/>
  <c r="Z643" i="2"/>
  <c r="AA643" i="2" s="1"/>
  <c r="AB643" i="2" s="1"/>
  <c r="Z644" i="2"/>
  <c r="AA644" i="2" s="1"/>
  <c r="AB644" i="2" s="1"/>
  <c r="Z645" i="2"/>
  <c r="AA645" i="2" s="1"/>
  <c r="AB645" i="2" s="1"/>
  <c r="Z646" i="2"/>
  <c r="AA646" i="2" s="1"/>
  <c r="AB646" i="2" s="1"/>
  <c r="Z647" i="2"/>
  <c r="AA647" i="2" s="1"/>
  <c r="AB647" i="2" s="1"/>
  <c r="Z648" i="2"/>
  <c r="AA648" i="2" s="1"/>
  <c r="AB648" i="2" s="1"/>
  <c r="Z649" i="2"/>
  <c r="AA649" i="2" s="1"/>
  <c r="AB649" i="2" s="1"/>
  <c r="Z651" i="2"/>
  <c r="AA651" i="2" s="1"/>
  <c r="AB651" i="2" s="1"/>
  <c r="Z652" i="2"/>
  <c r="AA652" i="2" s="1"/>
  <c r="AB652" i="2" s="1"/>
  <c r="Z653" i="2"/>
  <c r="AA653" i="2" s="1"/>
  <c r="AB653" i="2" s="1"/>
  <c r="Z654" i="2"/>
  <c r="AA654" i="2" s="1"/>
  <c r="AB654" i="2" s="1"/>
  <c r="Z655" i="2"/>
  <c r="AA655" i="2" s="1"/>
  <c r="AB655" i="2" s="1"/>
  <c r="Z656" i="2"/>
  <c r="AA656" i="2" s="1"/>
  <c r="AB656" i="2" s="1"/>
  <c r="Z657" i="2"/>
  <c r="AA657" i="2" s="1"/>
  <c r="AB657" i="2" s="1"/>
  <c r="Z658" i="2"/>
  <c r="AA658" i="2" s="1"/>
  <c r="AB658" i="2" s="1"/>
  <c r="Z659" i="2"/>
  <c r="AA659" i="2" s="1"/>
  <c r="AB659" i="2" s="1"/>
  <c r="Z660" i="2"/>
  <c r="AA660" i="2" s="1"/>
  <c r="AB660" i="2" s="1"/>
  <c r="Z661" i="2"/>
  <c r="AA661" i="2" s="1"/>
  <c r="AB661" i="2" s="1"/>
  <c r="Z663" i="2"/>
  <c r="AA663" i="2" s="1"/>
  <c r="AB663" i="2" s="1"/>
  <c r="Z664" i="2"/>
  <c r="AA664" i="2" s="1"/>
  <c r="AB664" i="2" s="1"/>
  <c r="Z665" i="2"/>
  <c r="AA665" i="2" s="1"/>
  <c r="AB665" i="2" s="1"/>
  <c r="Z666" i="2"/>
  <c r="AA666" i="2" s="1"/>
  <c r="AB666" i="2" s="1"/>
  <c r="Z667" i="2"/>
  <c r="AA667" i="2" s="1"/>
  <c r="AB667" i="2" s="1"/>
  <c r="Z668" i="2"/>
  <c r="AA668" i="2" s="1"/>
  <c r="AB668" i="2" s="1"/>
  <c r="Z669" i="2"/>
  <c r="AA669" i="2" s="1"/>
  <c r="AB669" i="2" s="1"/>
  <c r="Z670" i="2"/>
  <c r="AA670" i="2" s="1"/>
  <c r="AB670" i="2" s="1"/>
  <c r="Z671" i="2"/>
  <c r="AA671" i="2" s="1"/>
  <c r="AB671" i="2" s="1"/>
  <c r="Z672" i="2"/>
  <c r="AA672" i="2" s="1"/>
  <c r="AB672" i="2" s="1"/>
  <c r="Z673" i="2"/>
  <c r="AA673" i="2" s="1"/>
  <c r="AB673" i="2" s="1"/>
  <c r="Z675" i="2"/>
  <c r="AA675" i="2" s="1"/>
  <c r="AB675" i="2" s="1"/>
  <c r="Z676" i="2"/>
  <c r="AA676" i="2" s="1"/>
  <c r="AB676" i="2" s="1"/>
  <c r="Z677" i="2"/>
  <c r="AA677" i="2" s="1"/>
  <c r="AB677" i="2" s="1"/>
  <c r="Z678" i="2"/>
  <c r="AA678" i="2" s="1"/>
  <c r="AB678" i="2" s="1"/>
  <c r="Z679" i="2"/>
  <c r="AA679" i="2" s="1"/>
  <c r="AB679" i="2" s="1"/>
  <c r="Z680" i="2"/>
  <c r="AA680" i="2" s="1"/>
  <c r="AB680" i="2" s="1"/>
  <c r="Z681" i="2"/>
  <c r="AA681" i="2" s="1"/>
  <c r="AB681" i="2" s="1"/>
  <c r="Z682" i="2"/>
  <c r="AA682" i="2" s="1"/>
  <c r="AB682" i="2" s="1"/>
  <c r="Z683" i="2"/>
  <c r="AA683" i="2" s="1"/>
  <c r="AB683" i="2" s="1"/>
  <c r="Z684" i="2"/>
  <c r="AA684" i="2" s="1"/>
  <c r="AB684" i="2" s="1"/>
  <c r="Z685" i="2"/>
  <c r="AA685" i="2" s="1"/>
  <c r="AB685" i="2" s="1"/>
  <c r="Z687" i="2"/>
  <c r="AA687" i="2" s="1"/>
  <c r="AB687" i="2" s="1"/>
  <c r="Z688" i="2"/>
  <c r="AA688" i="2" s="1"/>
  <c r="AB688" i="2" s="1"/>
  <c r="Z689" i="2"/>
  <c r="AA689" i="2" s="1"/>
  <c r="AB689" i="2" s="1"/>
  <c r="Z690" i="2"/>
  <c r="AA690" i="2" s="1"/>
  <c r="AB690" i="2" s="1"/>
  <c r="Z691" i="2"/>
  <c r="AA691" i="2" s="1"/>
  <c r="AB691" i="2" s="1"/>
  <c r="Z692" i="2"/>
  <c r="AA692" i="2" s="1"/>
  <c r="AB692" i="2" s="1"/>
  <c r="Z693" i="2"/>
  <c r="AA693" i="2" s="1"/>
  <c r="AB693" i="2" s="1"/>
  <c r="Z694" i="2"/>
  <c r="AA694" i="2" s="1"/>
  <c r="AB694" i="2" s="1"/>
  <c r="Z695" i="2"/>
  <c r="AA695" i="2" s="1"/>
  <c r="AB695" i="2" s="1"/>
  <c r="Z696" i="2"/>
  <c r="AA696" i="2" s="1"/>
  <c r="AB696" i="2" s="1"/>
  <c r="Z697" i="2"/>
  <c r="AA697" i="2" s="1"/>
  <c r="AB697" i="2" s="1"/>
  <c r="Y2" i="1"/>
  <c r="S697" i="2"/>
  <c r="D697" i="2"/>
  <c r="S696" i="2"/>
  <c r="D696" i="2"/>
  <c r="S695" i="2"/>
  <c r="D695" i="2"/>
  <c r="S694" i="2"/>
  <c r="D694" i="2"/>
  <c r="S693" i="2"/>
  <c r="D693" i="2"/>
  <c r="S692" i="2"/>
  <c r="D692" i="2"/>
  <c r="S691" i="2"/>
  <c r="D691" i="2"/>
  <c r="S690" i="2"/>
  <c r="D690" i="2"/>
  <c r="S689" i="2"/>
  <c r="D689" i="2"/>
  <c r="S688" i="2"/>
  <c r="D688" i="2"/>
  <c r="S687" i="2"/>
  <c r="D687" i="2"/>
  <c r="S686" i="2"/>
  <c r="D686" i="2"/>
  <c r="S685" i="2"/>
  <c r="D685" i="2"/>
  <c r="S684" i="2"/>
  <c r="D684" i="2"/>
  <c r="S683" i="2"/>
  <c r="D683" i="2"/>
  <c r="S682" i="2"/>
  <c r="D682" i="2"/>
  <c r="S681" i="2"/>
  <c r="D681" i="2"/>
  <c r="S680" i="2"/>
  <c r="D680" i="2"/>
  <c r="S679" i="2"/>
  <c r="D679" i="2"/>
  <c r="S678" i="2"/>
  <c r="D678" i="2"/>
  <c r="S677" i="2"/>
  <c r="D677" i="2"/>
  <c r="S676" i="2"/>
  <c r="D676" i="2"/>
  <c r="S675" i="2"/>
  <c r="D675" i="2"/>
  <c r="S674" i="2"/>
  <c r="D674" i="2"/>
  <c r="S673" i="2"/>
  <c r="D673" i="2"/>
  <c r="S672" i="2"/>
  <c r="D672" i="2"/>
  <c r="S671" i="2"/>
  <c r="D671" i="2"/>
  <c r="S670" i="2"/>
  <c r="D670" i="2"/>
  <c r="S669" i="2"/>
  <c r="D669" i="2"/>
  <c r="S668" i="2"/>
  <c r="D668" i="2"/>
  <c r="S667" i="2"/>
  <c r="D667" i="2"/>
  <c r="S666" i="2"/>
  <c r="D666" i="2"/>
  <c r="S665" i="2"/>
  <c r="D665" i="2"/>
  <c r="S664" i="2"/>
  <c r="D664" i="2"/>
  <c r="S663" i="2"/>
  <c r="D663" i="2"/>
  <c r="S662" i="2"/>
  <c r="D662" i="2"/>
  <c r="S661" i="2"/>
  <c r="D661" i="2"/>
  <c r="S660" i="2"/>
  <c r="D660" i="2"/>
  <c r="S659" i="2"/>
  <c r="D659" i="2"/>
  <c r="S658" i="2"/>
  <c r="D658" i="2"/>
  <c r="S657" i="2"/>
  <c r="D657" i="2"/>
  <c r="S656" i="2"/>
  <c r="D656" i="2"/>
  <c r="S655" i="2"/>
  <c r="D655" i="2"/>
  <c r="S654" i="2"/>
  <c r="D654" i="2"/>
  <c r="S653" i="2"/>
  <c r="D653" i="2"/>
  <c r="S652" i="2"/>
  <c r="D652" i="2"/>
  <c r="S651" i="2"/>
  <c r="D651" i="2"/>
  <c r="S650" i="2"/>
  <c r="D650" i="2"/>
  <c r="S649" i="2"/>
  <c r="D649" i="2"/>
  <c r="S648" i="2"/>
  <c r="D648" i="2"/>
  <c r="S647" i="2"/>
  <c r="D647" i="2"/>
  <c r="S646" i="2"/>
  <c r="D646" i="2"/>
  <c r="S645" i="2"/>
  <c r="D645" i="2"/>
  <c r="S644" i="2"/>
  <c r="D644" i="2"/>
  <c r="S643" i="2"/>
  <c r="D643" i="2"/>
  <c r="S642" i="2"/>
  <c r="D642" i="2"/>
  <c r="S641" i="2"/>
  <c r="D641" i="2"/>
  <c r="S640" i="2"/>
  <c r="D640" i="2"/>
  <c r="S639" i="2"/>
  <c r="D639" i="2"/>
  <c r="S638" i="2"/>
  <c r="D638" i="2"/>
  <c r="S637" i="2"/>
  <c r="D637" i="2"/>
  <c r="S636" i="2"/>
  <c r="D636" i="2"/>
  <c r="S635" i="2"/>
  <c r="D635" i="2"/>
  <c r="S634" i="2"/>
  <c r="D634" i="2"/>
  <c r="S633" i="2"/>
  <c r="D633" i="2"/>
  <c r="S632" i="2"/>
  <c r="D632" i="2"/>
  <c r="S631" i="2"/>
  <c r="D631" i="2"/>
  <c r="S630" i="2"/>
  <c r="D630" i="2"/>
  <c r="S629" i="2"/>
  <c r="D629" i="2"/>
  <c r="S628" i="2"/>
  <c r="D628" i="2"/>
  <c r="S627" i="2"/>
  <c r="D627" i="2"/>
  <c r="S626" i="2"/>
  <c r="D626" i="2"/>
  <c r="S625" i="2"/>
  <c r="D625" i="2"/>
  <c r="S624" i="2"/>
  <c r="D624" i="2"/>
  <c r="S623" i="2"/>
  <c r="D623" i="2"/>
  <c r="S622" i="2"/>
  <c r="D622" i="2"/>
  <c r="S621" i="2"/>
  <c r="D621" i="2"/>
  <c r="S620" i="2"/>
  <c r="D620" i="2"/>
  <c r="S619" i="2"/>
  <c r="D619" i="2"/>
  <c r="S618" i="2"/>
  <c r="D618" i="2"/>
  <c r="S617" i="2"/>
  <c r="D617" i="2"/>
  <c r="S616" i="2"/>
  <c r="D616" i="2"/>
  <c r="S615" i="2"/>
  <c r="D615" i="2"/>
  <c r="S614" i="2"/>
  <c r="D614" i="2"/>
  <c r="S613" i="2"/>
  <c r="D613" i="2"/>
  <c r="S612" i="2"/>
  <c r="D612" i="2"/>
  <c r="S611" i="2"/>
  <c r="D611" i="2"/>
  <c r="S610" i="2"/>
  <c r="D610" i="2"/>
  <c r="S609" i="2"/>
  <c r="D609" i="2"/>
  <c r="S608" i="2"/>
  <c r="D608" i="2"/>
  <c r="S607" i="2"/>
  <c r="D607" i="2"/>
  <c r="S606" i="2"/>
  <c r="D606" i="2"/>
  <c r="S605" i="2"/>
  <c r="D605" i="2"/>
  <c r="S604" i="2"/>
  <c r="D604" i="2"/>
  <c r="S603" i="2"/>
  <c r="D603" i="2"/>
  <c r="S602" i="2"/>
  <c r="D602" i="2"/>
  <c r="S601" i="2"/>
  <c r="D601" i="2"/>
  <c r="S600" i="2"/>
  <c r="D600" i="2"/>
  <c r="S599" i="2"/>
  <c r="D599" i="2"/>
  <c r="S598" i="2"/>
  <c r="D598" i="2"/>
  <c r="S597" i="2"/>
  <c r="D597" i="2"/>
  <c r="S596" i="2"/>
  <c r="D596" i="2"/>
  <c r="S595" i="2"/>
  <c r="D595" i="2"/>
  <c r="S594" i="2"/>
  <c r="D594" i="2"/>
  <c r="S593" i="2"/>
  <c r="D593" i="2"/>
  <c r="S592" i="2"/>
  <c r="D592" i="2"/>
  <c r="S591" i="2"/>
  <c r="D591" i="2"/>
  <c r="S590" i="2"/>
  <c r="D590" i="2"/>
  <c r="S589" i="2"/>
  <c r="D589" i="2"/>
  <c r="S588" i="2"/>
  <c r="D588" i="2"/>
  <c r="S587" i="2"/>
  <c r="D587" i="2"/>
  <c r="S586" i="2"/>
  <c r="D586" i="2"/>
  <c r="S585" i="2"/>
  <c r="D585" i="2"/>
  <c r="S584" i="2"/>
  <c r="D584" i="2"/>
  <c r="S583" i="2"/>
  <c r="D583" i="2"/>
  <c r="S582" i="2"/>
  <c r="D582" i="2"/>
  <c r="S581" i="2"/>
  <c r="D581" i="2"/>
  <c r="S580" i="2"/>
  <c r="D580" i="2"/>
  <c r="S579" i="2"/>
  <c r="D579" i="2"/>
  <c r="S578" i="2"/>
  <c r="D578" i="2"/>
  <c r="S577" i="2"/>
  <c r="D577" i="2"/>
  <c r="S576" i="2"/>
  <c r="D576" i="2"/>
  <c r="S575" i="2"/>
  <c r="D575" i="2"/>
  <c r="S574" i="2"/>
  <c r="D574" i="2"/>
  <c r="S573" i="2"/>
  <c r="D573" i="2"/>
  <c r="S572" i="2"/>
  <c r="D572" i="2"/>
  <c r="S571" i="2"/>
  <c r="D571" i="2"/>
  <c r="S570" i="2"/>
  <c r="D570" i="2"/>
  <c r="S569" i="2"/>
  <c r="D569" i="2"/>
  <c r="S568" i="2"/>
  <c r="D568" i="2"/>
  <c r="S567" i="2"/>
  <c r="D567" i="2"/>
  <c r="S566" i="2"/>
  <c r="D566" i="2"/>
  <c r="S565" i="2"/>
  <c r="D565" i="2"/>
  <c r="S564" i="2"/>
  <c r="D564" i="2"/>
  <c r="S563" i="2"/>
  <c r="D563" i="2"/>
  <c r="S562" i="2"/>
  <c r="D562" i="2"/>
  <c r="S561" i="2"/>
  <c r="D561" i="2"/>
  <c r="S560" i="2"/>
  <c r="D560" i="2"/>
  <c r="S559" i="2"/>
  <c r="D559" i="2"/>
  <c r="S558" i="2"/>
  <c r="D558" i="2"/>
  <c r="S557" i="2"/>
  <c r="D557" i="2"/>
  <c r="S556" i="2"/>
  <c r="D556" i="2"/>
  <c r="S555" i="2"/>
  <c r="D555" i="2"/>
  <c r="S554" i="2"/>
  <c r="D554" i="2"/>
  <c r="S553" i="2"/>
  <c r="D553" i="2"/>
  <c r="S552" i="2"/>
  <c r="D552" i="2"/>
  <c r="S551" i="2"/>
  <c r="D551" i="2"/>
  <c r="S550" i="2"/>
  <c r="D550" i="2"/>
  <c r="S549" i="2"/>
  <c r="D549" i="2"/>
  <c r="S548" i="2"/>
  <c r="D548" i="2"/>
  <c r="S547" i="2"/>
  <c r="D547" i="2"/>
  <c r="S546" i="2"/>
  <c r="D546" i="2"/>
  <c r="S545" i="2"/>
  <c r="D545" i="2"/>
  <c r="S544" i="2"/>
  <c r="D544" i="2"/>
  <c r="S543" i="2"/>
  <c r="D543" i="2"/>
  <c r="S542" i="2"/>
  <c r="D542" i="2"/>
  <c r="S541" i="2"/>
  <c r="D541" i="2"/>
  <c r="S540" i="2"/>
  <c r="D540" i="2"/>
  <c r="S539" i="2"/>
  <c r="D539" i="2"/>
  <c r="S538" i="2"/>
  <c r="D538" i="2"/>
  <c r="S537" i="2"/>
  <c r="D537" i="2"/>
  <c r="S536" i="2"/>
  <c r="D536" i="2"/>
  <c r="S535" i="2"/>
  <c r="D535" i="2"/>
  <c r="S534" i="2"/>
  <c r="D534" i="2"/>
  <c r="S533" i="2"/>
  <c r="D533" i="2"/>
  <c r="S532" i="2"/>
  <c r="D532" i="2"/>
  <c r="S531" i="2"/>
  <c r="D531" i="2"/>
  <c r="S530" i="2"/>
  <c r="D530" i="2"/>
  <c r="S529" i="2"/>
  <c r="D529" i="2"/>
  <c r="S528" i="2"/>
  <c r="D528" i="2"/>
  <c r="S527" i="2"/>
  <c r="D527" i="2"/>
  <c r="S526" i="2"/>
  <c r="D526" i="2"/>
  <c r="S525" i="2"/>
  <c r="D525" i="2"/>
  <c r="S524" i="2"/>
  <c r="D524" i="2"/>
  <c r="S523" i="2"/>
  <c r="D523" i="2"/>
  <c r="S522" i="2"/>
  <c r="D522" i="2"/>
  <c r="S521" i="2"/>
  <c r="D521" i="2"/>
  <c r="S520" i="2"/>
  <c r="D520" i="2"/>
  <c r="S519" i="2"/>
  <c r="D519" i="2"/>
  <c r="S518" i="2"/>
  <c r="D518" i="2"/>
  <c r="S517" i="2"/>
  <c r="D517" i="2"/>
  <c r="S516" i="2"/>
  <c r="D516" i="2"/>
  <c r="S515" i="2"/>
  <c r="D515" i="2"/>
  <c r="S514" i="2"/>
  <c r="D514" i="2"/>
  <c r="S513" i="2"/>
  <c r="D513" i="2"/>
  <c r="S512" i="2"/>
  <c r="D512" i="2"/>
  <c r="S511" i="2"/>
  <c r="D511" i="2"/>
  <c r="S510" i="2"/>
  <c r="D510" i="2"/>
  <c r="S509" i="2"/>
  <c r="D509" i="2"/>
  <c r="S508" i="2"/>
  <c r="D508" i="2"/>
  <c r="S507" i="2"/>
  <c r="D507" i="2"/>
  <c r="S506" i="2"/>
  <c r="D506" i="2"/>
  <c r="S505" i="2"/>
  <c r="D505" i="2"/>
  <c r="S504" i="2"/>
  <c r="D504" i="2"/>
  <c r="S503" i="2"/>
  <c r="D503" i="2"/>
  <c r="S502" i="2"/>
  <c r="D502" i="2"/>
  <c r="S501" i="2"/>
  <c r="D501" i="2"/>
  <c r="S500" i="2"/>
  <c r="D500" i="2"/>
  <c r="S499" i="2"/>
  <c r="D499" i="2"/>
  <c r="S498" i="2"/>
  <c r="D498" i="2"/>
  <c r="S497" i="2"/>
  <c r="D497" i="2"/>
  <c r="S496" i="2"/>
  <c r="D496" i="2"/>
  <c r="S495" i="2"/>
  <c r="D495" i="2"/>
  <c r="S494" i="2"/>
  <c r="D494" i="2"/>
  <c r="S493" i="2"/>
  <c r="D493" i="2"/>
  <c r="S492" i="2"/>
  <c r="D492" i="2"/>
  <c r="S491" i="2"/>
  <c r="D491" i="2"/>
  <c r="S490" i="2"/>
  <c r="D490" i="2"/>
  <c r="S489" i="2"/>
  <c r="D489" i="2"/>
  <c r="S488" i="2"/>
  <c r="D488" i="2"/>
  <c r="S487" i="2"/>
  <c r="D487" i="2"/>
  <c r="S486" i="2"/>
  <c r="D486" i="2"/>
  <c r="S485" i="2"/>
  <c r="D485" i="2"/>
  <c r="S484" i="2"/>
  <c r="D484" i="2"/>
  <c r="S483" i="2"/>
  <c r="D483" i="2"/>
  <c r="S482" i="2"/>
  <c r="D482" i="2"/>
  <c r="S481" i="2"/>
  <c r="D481" i="2"/>
  <c r="S480" i="2"/>
  <c r="D480" i="2"/>
  <c r="S479" i="2"/>
  <c r="D479" i="2"/>
  <c r="S478" i="2"/>
  <c r="D478" i="2"/>
  <c r="S477" i="2"/>
  <c r="D477" i="2"/>
  <c r="S476" i="2"/>
  <c r="D476" i="2"/>
  <c r="S475" i="2"/>
  <c r="D475" i="2"/>
  <c r="S474" i="2"/>
  <c r="D474" i="2"/>
  <c r="S473" i="2"/>
  <c r="D473" i="2"/>
  <c r="S472" i="2"/>
  <c r="D472" i="2"/>
  <c r="S471" i="2"/>
  <c r="D471" i="2"/>
  <c r="S470" i="2"/>
  <c r="D470" i="2"/>
  <c r="S469" i="2"/>
  <c r="D469" i="2"/>
  <c r="S468" i="2"/>
  <c r="D468" i="2"/>
  <c r="S467" i="2"/>
  <c r="D467" i="2"/>
  <c r="S466" i="2"/>
  <c r="D466" i="2"/>
  <c r="S465" i="2"/>
  <c r="D465" i="2"/>
  <c r="S464" i="2"/>
  <c r="D464" i="2"/>
  <c r="S463" i="2"/>
  <c r="D463" i="2"/>
  <c r="S462" i="2"/>
  <c r="D462" i="2"/>
  <c r="S461" i="2"/>
  <c r="D461" i="2"/>
  <c r="S460" i="2"/>
  <c r="D460" i="2"/>
  <c r="S459" i="2"/>
  <c r="D459" i="2"/>
  <c r="S458" i="2"/>
  <c r="D458" i="2"/>
  <c r="S457" i="2"/>
  <c r="D457" i="2"/>
  <c r="S456" i="2"/>
  <c r="D456" i="2"/>
  <c r="S455" i="2"/>
  <c r="D455" i="2"/>
  <c r="S454" i="2"/>
  <c r="D454" i="2"/>
  <c r="S453" i="2"/>
  <c r="D453" i="2"/>
  <c r="S452" i="2"/>
  <c r="D452" i="2"/>
  <c r="S451" i="2"/>
  <c r="D451" i="2"/>
  <c r="S450" i="2"/>
  <c r="D450" i="2"/>
  <c r="S449" i="2"/>
  <c r="D449" i="2"/>
  <c r="S448" i="2"/>
  <c r="D448" i="2"/>
  <c r="S447" i="2"/>
  <c r="D447" i="2"/>
  <c r="S446" i="2"/>
  <c r="D446" i="2"/>
  <c r="S445" i="2"/>
  <c r="D445" i="2"/>
  <c r="S444" i="2"/>
  <c r="D444" i="2"/>
  <c r="S443" i="2"/>
  <c r="D443" i="2"/>
  <c r="S442" i="2"/>
  <c r="D442" i="2"/>
  <c r="S441" i="2"/>
  <c r="D441" i="2"/>
  <c r="S440" i="2"/>
  <c r="D440" i="2"/>
  <c r="S439" i="2"/>
  <c r="D439" i="2"/>
  <c r="S438" i="2"/>
  <c r="D438" i="2"/>
  <c r="S437" i="2"/>
  <c r="D437" i="2"/>
  <c r="S436" i="2"/>
  <c r="D436" i="2"/>
  <c r="S435" i="2"/>
  <c r="D435" i="2"/>
  <c r="S434" i="2"/>
  <c r="D434" i="2"/>
  <c r="S433" i="2"/>
  <c r="D433" i="2"/>
  <c r="S432" i="2"/>
  <c r="D432" i="2"/>
  <c r="S431" i="2"/>
  <c r="D431" i="2"/>
  <c r="S430" i="2"/>
  <c r="D430" i="2"/>
  <c r="S429" i="2"/>
  <c r="D429" i="2"/>
  <c r="S428" i="2"/>
  <c r="D428" i="2"/>
  <c r="S427" i="2"/>
  <c r="D427" i="2"/>
  <c r="S426" i="2"/>
  <c r="D426" i="2"/>
  <c r="S425" i="2"/>
  <c r="D425" i="2"/>
  <c r="S424" i="2"/>
  <c r="D424" i="2"/>
  <c r="S423" i="2"/>
  <c r="D423" i="2"/>
  <c r="S422" i="2"/>
  <c r="D422" i="2"/>
  <c r="S421" i="2"/>
  <c r="D421" i="2"/>
  <c r="S420" i="2"/>
  <c r="D420" i="2"/>
  <c r="S419" i="2"/>
  <c r="D419" i="2"/>
  <c r="S418" i="2"/>
  <c r="D418" i="2"/>
  <c r="S417" i="2"/>
  <c r="D417" i="2"/>
  <c r="S416" i="2"/>
  <c r="D416" i="2"/>
  <c r="S415" i="2"/>
  <c r="D415" i="2"/>
  <c r="S414" i="2"/>
  <c r="D414" i="2"/>
  <c r="S413" i="2"/>
  <c r="D413" i="2"/>
  <c r="S412" i="2"/>
  <c r="D412" i="2"/>
  <c r="S411" i="2"/>
  <c r="D411" i="2"/>
  <c r="S410" i="2"/>
  <c r="D410" i="2"/>
  <c r="S409" i="2"/>
  <c r="D409" i="2"/>
  <c r="S408" i="2"/>
  <c r="D408" i="2"/>
  <c r="S407" i="2"/>
  <c r="D407" i="2"/>
  <c r="S406" i="2"/>
  <c r="D406" i="2"/>
  <c r="S405" i="2"/>
  <c r="D405" i="2"/>
  <c r="S404" i="2"/>
  <c r="D404" i="2"/>
  <c r="S403" i="2"/>
  <c r="D403" i="2"/>
  <c r="S402" i="2"/>
  <c r="D402" i="2"/>
  <c r="S401" i="2"/>
  <c r="D401" i="2"/>
  <c r="S400" i="2"/>
  <c r="D400" i="2"/>
  <c r="S399" i="2"/>
  <c r="D399" i="2"/>
  <c r="S398" i="2"/>
  <c r="D398" i="2"/>
  <c r="S397" i="2"/>
  <c r="D397" i="2"/>
  <c r="S396" i="2"/>
  <c r="D396" i="2"/>
  <c r="S395" i="2"/>
  <c r="D395" i="2"/>
  <c r="S394" i="2"/>
  <c r="D394" i="2"/>
  <c r="S393" i="2"/>
  <c r="D393" i="2"/>
  <c r="S392" i="2"/>
  <c r="D392" i="2"/>
  <c r="S391" i="2"/>
  <c r="D391" i="2"/>
  <c r="S390" i="2"/>
  <c r="D390" i="2"/>
  <c r="S389" i="2"/>
  <c r="D389" i="2"/>
  <c r="S388" i="2"/>
  <c r="D388" i="2"/>
  <c r="S387" i="2"/>
  <c r="D387" i="2"/>
  <c r="S386" i="2"/>
  <c r="D386" i="2"/>
  <c r="S385" i="2"/>
  <c r="D385" i="2"/>
  <c r="S384" i="2"/>
  <c r="D384" i="2"/>
  <c r="S383" i="2"/>
  <c r="D383" i="2"/>
  <c r="S382" i="2"/>
  <c r="D382" i="2"/>
  <c r="S381" i="2"/>
  <c r="D381" i="2"/>
  <c r="S380" i="2"/>
  <c r="D380" i="2"/>
  <c r="S379" i="2"/>
  <c r="D379" i="2"/>
  <c r="S378" i="2"/>
  <c r="D378" i="2"/>
  <c r="S377" i="2"/>
  <c r="D377" i="2"/>
  <c r="S376" i="2"/>
  <c r="D376" i="2"/>
  <c r="S375" i="2"/>
  <c r="D375" i="2"/>
  <c r="S374" i="2"/>
  <c r="D374" i="2"/>
  <c r="S373" i="2"/>
  <c r="D373" i="2"/>
  <c r="S372" i="2"/>
  <c r="D372" i="2"/>
  <c r="S371" i="2"/>
  <c r="D371" i="2"/>
  <c r="S370" i="2"/>
  <c r="D370" i="2"/>
  <c r="S369" i="2"/>
  <c r="D369" i="2"/>
  <c r="S368" i="2"/>
  <c r="D368" i="2"/>
  <c r="S367" i="2"/>
  <c r="D367" i="2"/>
  <c r="S366" i="2"/>
  <c r="D366" i="2"/>
  <c r="S365" i="2"/>
  <c r="D365" i="2"/>
  <c r="S364" i="2"/>
  <c r="D364" i="2"/>
  <c r="S363" i="2"/>
  <c r="D363" i="2"/>
  <c r="S362" i="2"/>
  <c r="D362" i="2"/>
  <c r="S361" i="2"/>
  <c r="D361" i="2"/>
  <c r="S360" i="2"/>
  <c r="D360" i="2"/>
  <c r="S359" i="2"/>
  <c r="D359" i="2"/>
  <c r="S358" i="2"/>
  <c r="D358" i="2"/>
  <c r="S357" i="2"/>
  <c r="D357" i="2"/>
  <c r="S356" i="2"/>
  <c r="D356" i="2"/>
  <c r="S355" i="2"/>
  <c r="D355" i="2"/>
  <c r="S354" i="2"/>
  <c r="D354" i="2"/>
  <c r="S353" i="2"/>
  <c r="D353" i="2"/>
  <c r="S352" i="2"/>
  <c r="D352" i="2"/>
  <c r="S351" i="2"/>
  <c r="D351" i="2"/>
  <c r="S350" i="2"/>
  <c r="D350" i="2"/>
  <c r="S349" i="2"/>
  <c r="D349" i="2"/>
  <c r="S348" i="2"/>
  <c r="D348" i="2"/>
  <c r="S347" i="2"/>
  <c r="D347" i="2"/>
  <c r="S346" i="2"/>
  <c r="D346" i="2"/>
  <c r="S345" i="2"/>
  <c r="D345" i="2"/>
  <c r="S344" i="2"/>
  <c r="D344" i="2"/>
  <c r="S343" i="2"/>
  <c r="D343" i="2"/>
  <c r="S342" i="2"/>
  <c r="D342" i="2"/>
  <c r="S341" i="2"/>
  <c r="D341" i="2"/>
  <c r="S340" i="2"/>
  <c r="D340" i="2"/>
  <c r="S339" i="2"/>
  <c r="D339" i="2"/>
  <c r="S338" i="2"/>
  <c r="D338" i="2"/>
  <c r="S337" i="2"/>
  <c r="D337" i="2"/>
  <c r="S336" i="2"/>
  <c r="D336" i="2"/>
  <c r="S335" i="2"/>
  <c r="D335" i="2"/>
  <c r="S334" i="2"/>
  <c r="D334" i="2"/>
  <c r="S333" i="2"/>
  <c r="D333" i="2"/>
  <c r="S332" i="2"/>
  <c r="D332" i="2"/>
  <c r="S331" i="2"/>
  <c r="D331" i="2"/>
  <c r="S330" i="2"/>
  <c r="D330" i="2"/>
  <c r="S329" i="2"/>
  <c r="D329" i="2"/>
  <c r="S328" i="2"/>
  <c r="D328" i="2"/>
  <c r="S327" i="2"/>
  <c r="D327" i="2"/>
  <c r="S326" i="2"/>
  <c r="D326" i="2"/>
  <c r="S325" i="2"/>
  <c r="D325" i="2"/>
  <c r="S324" i="2"/>
  <c r="D324" i="2"/>
  <c r="S323" i="2"/>
  <c r="D323" i="2"/>
  <c r="S322" i="2"/>
  <c r="D322" i="2"/>
  <c r="S321" i="2"/>
  <c r="D321" i="2"/>
  <c r="S320" i="2"/>
  <c r="D320" i="2"/>
  <c r="S319" i="2"/>
  <c r="D319" i="2"/>
  <c r="S318" i="2"/>
  <c r="D318" i="2"/>
  <c r="S317" i="2"/>
  <c r="D317" i="2"/>
  <c r="S316" i="2"/>
  <c r="D316" i="2"/>
  <c r="S315" i="2"/>
  <c r="D315" i="2"/>
  <c r="S314" i="2"/>
  <c r="D314" i="2"/>
  <c r="S313" i="2"/>
  <c r="D313" i="2"/>
  <c r="S312" i="2"/>
  <c r="D312" i="2"/>
  <c r="S311" i="2"/>
  <c r="D311" i="2"/>
  <c r="S310" i="2"/>
  <c r="D310" i="2"/>
  <c r="S309" i="2"/>
  <c r="D309" i="2"/>
  <c r="S308" i="2"/>
  <c r="D308" i="2"/>
  <c r="S307" i="2"/>
  <c r="D307" i="2"/>
  <c r="S306" i="2"/>
  <c r="D306" i="2"/>
  <c r="S305" i="2"/>
  <c r="D305" i="2"/>
  <c r="S304" i="2"/>
  <c r="D304" i="2"/>
  <c r="S303" i="2"/>
  <c r="D303" i="2"/>
  <c r="S302" i="2"/>
  <c r="D302" i="2"/>
  <c r="S301" i="2"/>
  <c r="D301" i="2"/>
  <c r="S300" i="2"/>
  <c r="D300" i="2"/>
  <c r="S299" i="2"/>
  <c r="D299" i="2"/>
  <c r="S298" i="2"/>
  <c r="D298" i="2"/>
  <c r="S297" i="2"/>
  <c r="D297" i="2"/>
  <c r="S296" i="2"/>
  <c r="D296" i="2"/>
  <c r="S295" i="2"/>
  <c r="D295" i="2"/>
  <c r="S294" i="2"/>
  <c r="D294" i="2"/>
  <c r="S293" i="2"/>
  <c r="D293" i="2"/>
  <c r="S292" i="2"/>
  <c r="D292" i="2"/>
  <c r="S291" i="2"/>
  <c r="D291" i="2"/>
  <c r="S290" i="2"/>
  <c r="D290" i="2"/>
  <c r="S289" i="2"/>
  <c r="D289" i="2"/>
  <c r="S288" i="2"/>
  <c r="D288" i="2"/>
  <c r="S287" i="2"/>
  <c r="D287" i="2"/>
  <c r="S286" i="2"/>
  <c r="D286" i="2"/>
  <c r="S285" i="2"/>
  <c r="D285" i="2"/>
  <c r="S284" i="2"/>
  <c r="D284" i="2"/>
  <c r="S283" i="2"/>
  <c r="D283" i="2"/>
  <c r="S282" i="2"/>
  <c r="D282" i="2"/>
  <c r="S281" i="2"/>
  <c r="D281" i="2"/>
  <c r="S280" i="2"/>
  <c r="D280" i="2"/>
  <c r="S279" i="2"/>
  <c r="D279" i="2"/>
  <c r="S278" i="2"/>
  <c r="D278" i="2"/>
  <c r="S277" i="2"/>
  <c r="D277" i="2"/>
  <c r="S276" i="2"/>
  <c r="D276" i="2"/>
  <c r="S275" i="2"/>
  <c r="D275" i="2"/>
  <c r="S274" i="2"/>
  <c r="D274" i="2"/>
  <c r="S273" i="2"/>
  <c r="D273" i="2"/>
  <c r="S272" i="2"/>
  <c r="D272" i="2"/>
  <c r="S271" i="2"/>
  <c r="D271" i="2"/>
  <c r="S270" i="2"/>
  <c r="D270" i="2"/>
  <c r="S269" i="2"/>
  <c r="D269" i="2"/>
  <c r="S268" i="2"/>
  <c r="D268" i="2"/>
  <c r="S267" i="2"/>
  <c r="D267" i="2"/>
  <c r="S266" i="2"/>
  <c r="D266" i="2"/>
  <c r="S265" i="2"/>
  <c r="D265" i="2"/>
  <c r="S264" i="2"/>
  <c r="D264" i="2"/>
  <c r="S263" i="2"/>
  <c r="D263" i="2"/>
  <c r="S262" i="2"/>
  <c r="D262" i="2"/>
  <c r="S261" i="2"/>
  <c r="D261" i="2"/>
  <c r="S260" i="2"/>
  <c r="D260" i="2"/>
  <c r="S259" i="2"/>
  <c r="D259" i="2"/>
  <c r="S258" i="2"/>
  <c r="D258" i="2"/>
  <c r="S257" i="2"/>
  <c r="D257" i="2"/>
  <c r="S256" i="2"/>
  <c r="D256" i="2"/>
  <c r="S255" i="2"/>
  <c r="D255" i="2"/>
  <c r="S254" i="2"/>
  <c r="D254" i="2"/>
  <c r="S253" i="2"/>
  <c r="D253" i="2"/>
  <c r="S252" i="2"/>
  <c r="D252" i="2"/>
  <c r="S251" i="2"/>
  <c r="D251" i="2"/>
  <c r="S250" i="2"/>
  <c r="D250" i="2"/>
  <c r="S249" i="2"/>
  <c r="D249" i="2"/>
  <c r="S248" i="2"/>
  <c r="D248" i="2"/>
  <c r="S247" i="2"/>
  <c r="D247" i="2"/>
  <c r="S246" i="2"/>
  <c r="D246" i="2"/>
  <c r="S245" i="2"/>
  <c r="D245" i="2"/>
  <c r="S244" i="2"/>
  <c r="D244" i="2"/>
  <c r="S243" i="2"/>
  <c r="D243" i="2"/>
  <c r="S242" i="2"/>
  <c r="D242" i="2"/>
  <c r="S241" i="2"/>
  <c r="D241" i="2"/>
  <c r="S240" i="2"/>
  <c r="D240" i="2"/>
  <c r="S239" i="2"/>
  <c r="D239" i="2"/>
  <c r="S238" i="2"/>
  <c r="D238" i="2"/>
  <c r="S237" i="2"/>
  <c r="D237" i="2"/>
  <c r="S236" i="2"/>
  <c r="D236" i="2"/>
  <c r="S235" i="2"/>
  <c r="D235" i="2"/>
  <c r="S234" i="2"/>
  <c r="D234" i="2"/>
  <c r="S233" i="2"/>
  <c r="D233" i="2"/>
  <c r="S232" i="2"/>
  <c r="D232" i="2"/>
  <c r="S231" i="2"/>
  <c r="D231" i="2"/>
  <c r="S230" i="2"/>
  <c r="D230" i="2"/>
  <c r="S229" i="2"/>
  <c r="D229" i="2"/>
  <c r="S228" i="2"/>
  <c r="D228" i="2"/>
  <c r="S227" i="2"/>
  <c r="D227" i="2"/>
  <c r="S226" i="2"/>
  <c r="D226" i="2"/>
  <c r="S225" i="2"/>
  <c r="D225" i="2"/>
  <c r="S224" i="2"/>
  <c r="D224" i="2"/>
  <c r="S223" i="2"/>
  <c r="D223" i="2"/>
  <c r="S222" i="2"/>
  <c r="D222" i="2"/>
  <c r="S221" i="2"/>
  <c r="D221" i="2"/>
  <c r="S220" i="2"/>
  <c r="D220" i="2"/>
  <c r="S219" i="2"/>
  <c r="D219" i="2"/>
  <c r="S218" i="2"/>
  <c r="D218" i="2"/>
  <c r="S217" i="2"/>
  <c r="D217" i="2"/>
  <c r="S216" i="2"/>
  <c r="D216" i="2"/>
  <c r="S215" i="2"/>
  <c r="D215" i="2"/>
  <c r="S214" i="2"/>
  <c r="D214" i="2"/>
  <c r="S213" i="2"/>
  <c r="D213" i="2"/>
  <c r="S212" i="2"/>
  <c r="D212" i="2"/>
  <c r="S211" i="2"/>
  <c r="D211" i="2"/>
  <c r="S210" i="2"/>
  <c r="D210" i="2"/>
  <c r="S209" i="2"/>
  <c r="D209" i="2"/>
  <c r="S208" i="2"/>
  <c r="D208" i="2"/>
  <c r="S207" i="2"/>
  <c r="D207" i="2"/>
  <c r="S206" i="2"/>
  <c r="D206" i="2"/>
  <c r="S205" i="2"/>
  <c r="D205" i="2"/>
  <c r="S204" i="2"/>
  <c r="D204" i="2"/>
  <c r="S203" i="2"/>
  <c r="D203" i="2"/>
  <c r="S202" i="2"/>
  <c r="D202" i="2"/>
  <c r="S201" i="2"/>
  <c r="D201" i="2"/>
  <c r="S200" i="2"/>
  <c r="D200" i="2"/>
  <c r="S199" i="2"/>
  <c r="D199" i="2"/>
  <c r="S198" i="2"/>
  <c r="D198" i="2"/>
  <c r="S197" i="2"/>
  <c r="D197" i="2"/>
  <c r="S196" i="2"/>
  <c r="D196" i="2"/>
  <c r="S195" i="2"/>
  <c r="D195" i="2"/>
  <c r="S194" i="2"/>
  <c r="D194" i="2"/>
  <c r="S193" i="2"/>
  <c r="D193" i="2"/>
  <c r="S192" i="2"/>
  <c r="D192" i="2"/>
  <c r="S191" i="2"/>
  <c r="D191" i="2"/>
  <c r="S190" i="2"/>
  <c r="D190" i="2"/>
  <c r="S189" i="2"/>
  <c r="D189" i="2"/>
  <c r="S188" i="2"/>
  <c r="D188" i="2"/>
  <c r="S187" i="2"/>
  <c r="D187" i="2"/>
  <c r="S186" i="2"/>
  <c r="D186" i="2"/>
  <c r="S185" i="2"/>
  <c r="D185" i="2"/>
  <c r="S184" i="2"/>
  <c r="D184" i="2"/>
  <c r="S183" i="2"/>
  <c r="D183" i="2"/>
  <c r="S182" i="2"/>
  <c r="D182" i="2"/>
  <c r="S181" i="2"/>
  <c r="D181" i="2"/>
  <c r="S180" i="2"/>
  <c r="D180" i="2"/>
  <c r="S179" i="2"/>
  <c r="D179" i="2"/>
  <c r="S178" i="2"/>
  <c r="D178" i="2"/>
  <c r="S177" i="2"/>
  <c r="D177" i="2"/>
  <c r="S176" i="2"/>
  <c r="D176" i="2"/>
  <c r="S175" i="2"/>
  <c r="D175" i="2"/>
  <c r="S174" i="2"/>
  <c r="D174" i="2"/>
  <c r="S173" i="2"/>
  <c r="D173" i="2"/>
  <c r="S172" i="2"/>
  <c r="D172" i="2"/>
  <c r="S171" i="2"/>
  <c r="D171" i="2"/>
  <c r="S170" i="2"/>
  <c r="D170" i="2"/>
  <c r="S169" i="2"/>
  <c r="D169" i="2"/>
  <c r="S168" i="2"/>
  <c r="D168" i="2"/>
  <c r="S167" i="2"/>
  <c r="D167" i="2"/>
  <c r="S166" i="2"/>
  <c r="D166" i="2"/>
  <c r="S165" i="2"/>
  <c r="D165" i="2"/>
  <c r="S164" i="2"/>
  <c r="D164" i="2"/>
  <c r="S163" i="2"/>
  <c r="D163" i="2"/>
  <c r="S162" i="2"/>
  <c r="D162" i="2"/>
  <c r="S161" i="2"/>
  <c r="D161" i="2"/>
  <c r="S160" i="2"/>
  <c r="D160" i="2"/>
  <c r="S159" i="2"/>
  <c r="D159" i="2"/>
  <c r="S158" i="2"/>
  <c r="D158" i="2"/>
  <c r="S157" i="2"/>
  <c r="D157" i="2"/>
  <c r="S156" i="2"/>
  <c r="D156" i="2"/>
  <c r="S155" i="2"/>
  <c r="D155" i="2"/>
  <c r="S154" i="2"/>
  <c r="D154" i="2"/>
  <c r="S153" i="2"/>
  <c r="D153" i="2"/>
  <c r="S152" i="2"/>
  <c r="D152" i="2"/>
  <c r="S151" i="2"/>
  <c r="D151" i="2"/>
  <c r="S150" i="2"/>
  <c r="D150" i="2"/>
  <c r="S149" i="2"/>
  <c r="D149" i="2"/>
  <c r="S148" i="2"/>
  <c r="D148" i="2"/>
  <c r="S147" i="2"/>
  <c r="D147" i="2"/>
  <c r="S146" i="2"/>
  <c r="D146" i="2"/>
  <c r="S145" i="2"/>
  <c r="D145" i="2"/>
  <c r="S144" i="2"/>
  <c r="D144" i="2"/>
  <c r="S143" i="2"/>
  <c r="D143" i="2"/>
  <c r="S142" i="2"/>
  <c r="D142" i="2"/>
  <c r="S141" i="2"/>
  <c r="D141" i="2"/>
  <c r="S140" i="2"/>
  <c r="D140" i="2"/>
  <c r="S139" i="2"/>
  <c r="D139" i="2"/>
  <c r="S138" i="2"/>
  <c r="D138" i="2"/>
  <c r="S137" i="2"/>
  <c r="D137" i="2"/>
  <c r="S136" i="2"/>
  <c r="D136" i="2"/>
  <c r="S135" i="2"/>
  <c r="D135" i="2"/>
  <c r="S134" i="2"/>
  <c r="D134" i="2"/>
  <c r="S133" i="2"/>
  <c r="D133" i="2"/>
  <c r="S132" i="2"/>
  <c r="D132" i="2"/>
  <c r="S131" i="2"/>
  <c r="D131" i="2"/>
  <c r="S130" i="2"/>
  <c r="D130" i="2"/>
  <c r="S129" i="2"/>
  <c r="D129" i="2"/>
  <c r="S128" i="2"/>
  <c r="D128" i="2"/>
  <c r="S127" i="2"/>
  <c r="D127" i="2"/>
  <c r="S126" i="2"/>
  <c r="D126" i="2"/>
  <c r="S125" i="2"/>
  <c r="D125" i="2"/>
  <c r="S124" i="2"/>
  <c r="D124" i="2"/>
  <c r="S123" i="2"/>
  <c r="D123" i="2"/>
  <c r="S122" i="2"/>
  <c r="D122" i="2"/>
  <c r="S121" i="2"/>
  <c r="D121" i="2"/>
  <c r="S120" i="2"/>
  <c r="D120" i="2"/>
  <c r="S119" i="2"/>
  <c r="D119" i="2"/>
  <c r="S118" i="2"/>
  <c r="D118" i="2"/>
  <c r="S117" i="2"/>
  <c r="D117" i="2"/>
  <c r="S116" i="2"/>
  <c r="D116" i="2"/>
  <c r="S115" i="2"/>
  <c r="D115" i="2"/>
  <c r="S114" i="2"/>
  <c r="D114" i="2"/>
  <c r="S113" i="2"/>
  <c r="D113" i="2"/>
  <c r="S112" i="2"/>
  <c r="D112" i="2"/>
  <c r="S111" i="2"/>
  <c r="D111" i="2"/>
  <c r="S110" i="2"/>
  <c r="D110" i="2"/>
  <c r="S109" i="2"/>
  <c r="D109" i="2"/>
  <c r="S108" i="2"/>
  <c r="D108" i="2"/>
  <c r="S107" i="2"/>
  <c r="D107" i="2"/>
  <c r="S106" i="2"/>
  <c r="D106" i="2"/>
  <c r="S105" i="2"/>
  <c r="D105" i="2"/>
  <c r="S104" i="2"/>
  <c r="D104" i="2"/>
  <c r="S103" i="2"/>
  <c r="D103" i="2"/>
  <c r="S102" i="2"/>
  <c r="D102" i="2"/>
  <c r="S101" i="2"/>
  <c r="D101" i="2"/>
  <c r="S100" i="2"/>
  <c r="D100" i="2"/>
  <c r="S99" i="2"/>
  <c r="D99" i="2"/>
  <c r="S98" i="2"/>
  <c r="D98" i="2"/>
  <c r="S97" i="2"/>
  <c r="D97" i="2"/>
  <c r="S96" i="2"/>
  <c r="D96" i="2"/>
  <c r="S95" i="2"/>
  <c r="D95" i="2"/>
  <c r="S94" i="2"/>
  <c r="D94" i="2"/>
  <c r="S93" i="2"/>
  <c r="D93" i="2"/>
  <c r="S92" i="2"/>
  <c r="D92" i="2"/>
  <c r="S91" i="2"/>
  <c r="D91" i="2"/>
  <c r="S90" i="2"/>
  <c r="D90" i="2"/>
  <c r="S89" i="2"/>
  <c r="D89" i="2"/>
  <c r="S88" i="2"/>
  <c r="D88" i="2"/>
  <c r="S87" i="2"/>
  <c r="D87" i="2"/>
  <c r="S86" i="2"/>
  <c r="D86" i="2"/>
  <c r="S85" i="2"/>
  <c r="D85" i="2"/>
  <c r="S84" i="2"/>
  <c r="D84" i="2"/>
  <c r="S83" i="2"/>
  <c r="D83" i="2"/>
  <c r="S82" i="2"/>
  <c r="D82" i="2"/>
  <c r="S81" i="2"/>
  <c r="D81" i="2"/>
  <c r="S80" i="2"/>
  <c r="D80" i="2"/>
  <c r="S79" i="2"/>
  <c r="D79" i="2"/>
  <c r="S78" i="2"/>
  <c r="D78" i="2"/>
  <c r="S77" i="2"/>
  <c r="D77" i="2"/>
  <c r="S76" i="2"/>
  <c r="D76" i="2"/>
  <c r="S75" i="2"/>
  <c r="D75" i="2"/>
  <c r="S74" i="2"/>
  <c r="D74" i="2"/>
  <c r="S73" i="2"/>
  <c r="D73" i="2"/>
  <c r="S72" i="2"/>
  <c r="D72" i="2"/>
  <c r="S71" i="2"/>
  <c r="D71" i="2"/>
  <c r="S70" i="2"/>
  <c r="D70" i="2"/>
  <c r="S69" i="2"/>
  <c r="D69" i="2"/>
  <c r="S68" i="2"/>
  <c r="D68" i="2"/>
  <c r="S67" i="2"/>
  <c r="D67" i="2"/>
  <c r="S66" i="2"/>
  <c r="D66" i="2"/>
  <c r="S65" i="2"/>
  <c r="D65" i="2"/>
  <c r="S64" i="2"/>
  <c r="D64" i="2"/>
  <c r="S63" i="2"/>
  <c r="D63" i="2"/>
  <c r="S62" i="2"/>
  <c r="D62" i="2"/>
  <c r="S61" i="2"/>
  <c r="D61" i="2"/>
  <c r="S60" i="2"/>
  <c r="D60" i="2"/>
  <c r="S59" i="2"/>
  <c r="D59" i="2"/>
  <c r="S58" i="2"/>
  <c r="D58" i="2"/>
  <c r="S57" i="2"/>
  <c r="D57" i="2"/>
  <c r="S56" i="2"/>
  <c r="D56" i="2"/>
  <c r="S55" i="2"/>
  <c r="D55" i="2"/>
  <c r="S54" i="2"/>
  <c r="D54" i="2"/>
  <c r="S53" i="2"/>
  <c r="D53" i="2"/>
  <c r="S52" i="2"/>
  <c r="D52" i="2"/>
  <c r="S51" i="2"/>
  <c r="D51" i="2"/>
  <c r="S50" i="2"/>
  <c r="D50" i="2"/>
  <c r="S49" i="2"/>
  <c r="D49" i="2"/>
  <c r="S48" i="2"/>
  <c r="D48" i="2"/>
  <c r="S47" i="2"/>
  <c r="D47" i="2"/>
  <c r="S46" i="2"/>
  <c r="D46" i="2"/>
  <c r="S45" i="2"/>
  <c r="D45" i="2"/>
  <c r="S44" i="2"/>
  <c r="D44" i="2"/>
  <c r="S43" i="2"/>
  <c r="D43" i="2"/>
  <c r="S42" i="2"/>
  <c r="D42" i="2"/>
  <c r="S41" i="2"/>
  <c r="D41" i="2"/>
  <c r="S40" i="2"/>
  <c r="D40" i="2"/>
  <c r="S39" i="2"/>
  <c r="D39" i="2"/>
  <c r="S38" i="2"/>
  <c r="D38" i="2"/>
  <c r="S37" i="2"/>
  <c r="D37" i="2"/>
  <c r="S36" i="2"/>
  <c r="D36" i="2"/>
  <c r="S35" i="2"/>
  <c r="D35" i="2"/>
  <c r="S34" i="2"/>
  <c r="D34" i="2"/>
  <c r="S33" i="2"/>
  <c r="D33" i="2"/>
  <c r="S32" i="2"/>
  <c r="D32" i="2"/>
  <c r="S31" i="2"/>
  <c r="D31" i="2"/>
  <c r="S30" i="2"/>
  <c r="D30" i="2"/>
  <c r="S29" i="2"/>
  <c r="D29" i="2"/>
  <c r="S28" i="2"/>
  <c r="D28" i="2"/>
  <c r="S27" i="2"/>
  <c r="D27" i="2"/>
  <c r="S26" i="2"/>
  <c r="D26" i="2"/>
  <c r="S25" i="2"/>
  <c r="D25" i="2"/>
  <c r="S24" i="2"/>
  <c r="D24" i="2"/>
  <c r="S23" i="2"/>
  <c r="D23" i="2"/>
  <c r="S22" i="2"/>
  <c r="D22" i="2"/>
  <c r="S21" i="2"/>
  <c r="D21" i="2"/>
  <c r="S20" i="2"/>
  <c r="D20" i="2"/>
  <c r="S19" i="2"/>
  <c r="D19" i="2"/>
  <c r="S18" i="2"/>
  <c r="D18" i="2"/>
  <c r="S17" i="2"/>
  <c r="D17" i="2"/>
  <c r="S16" i="2"/>
  <c r="D16" i="2"/>
  <c r="S15" i="2"/>
  <c r="D15" i="2"/>
  <c r="S14" i="2"/>
  <c r="D14" i="2"/>
  <c r="S13" i="2"/>
  <c r="D13" i="2"/>
  <c r="S12" i="2"/>
  <c r="D12" i="2"/>
  <c r="S11" i="2"/>
  <c r="D11" i="2"/>
  <c r="S10" i="2"/>
  <c r="D10" i="2"/>
  <c r="S9" i="2"/>
  <c r="D9" i="2"/>
  <c r="S8" i="2"/>
  <c r="D8" i="2"/>
  <c r="S7" i="2"/>
  <c r="D7" i="2"/>
  <c r="S6" i="2"/>
  <c r="D6" i="2"/>
  <c r="S5" i="2"/>
  <c r="D5" i="2"/>
  <c r="S4" i="2"/>
  <c r="D4" i="2"/>
  <c r="S3" i="2"/>
  <c r="D3" i="2"/>
  <c r="S2" i="2"/>
  <c r="D2" i="2"/>
  <c r="E2" i="2" s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2" i="1"/>
  <c r="D2" i="1"/>
  <c r="E2" i="1" s="1"/>
  <c r="D3" i="1"/>
  <c r="E3" i="1" s="1"/>
  <c r="D4" i="1"/>
  <c r="E4" i="1" s="1"/>
  <c r="D5" i="1"/>
  <c r="E5" i="1" s="1"/>
  <c r="D493" i="1"/>
  <c r="E493" i="1" s="1"/>
  <c r="D6" i="1"/>
  <c r="E6" i="1" s="1"/>
  <c r="D494" i="1"/>
  <c r="E494" i="1" s="1"/>
  <c r="D495" i="1"/>
  <c r="E495" i="1" s="1"/>
  <c r="D7" i="1"/>
  <c r="E7" i="1" s="1"/>
  <c r="D496" i="1"/>
  <c r="E496" i="1" s="1"/>
  <c r="D497" i="1"/>
  <c r="E497" i="1" s="1"/>
  <c r="D8" i="1"/>
  <c r="E8" i="1" s="1"/>
  <c r="D9" i="1"/>
  <c r="E9" i="1" s="1"/>
  <c r="D498" i="1"/>
  <c r="E498" i="1" s="1"/>
  <c r="D10" i="1"/>
  <c r="E10" i="1" s="1"/>
  <c r="D11" i="1"/>
  <c r="E11" i="1" s="1"/>
  <c r="D12" i="1"/>
  <c r="E12" i="1" s="1"/>
  <c r="D13" i="1"/>
  <c r="E13" i="1" s="1"/>
  <c r="D499" i="1"/>
  <c r="E499" i="1" s="1"/>
  <c r="D14" i="1"/>
  <c r="E14" i="1" s="1"/>
  <c r="D500" i="1"/>
  <c r="E500" i="1" s="1"/>
  <c r="D501" i="1"/>
  <c r="E501" i="1" s="1"/>
  <c r="D502" i="1"/>
  <c r="E502" i="1" s="1"/>
  <c r="D503" i="1"/>
  <c r="E503" i="1" s="1"/>
  <c r="D15" i="1"/>
  <c r="E15" i="1" s="1"/>
  <c r="D16" i="1"/>
  <c r="E16" i="1" s="1"/>
  <c r="D17" i="1"/>
  <c r="E17" i="1" s="1"/>
  <c r="D504" i="1"/>
  <c r="E504" i="1" s="1"/>
  <c r="D18" i="1"/>
  <c r="E18" i="1" s="1"/>
  <c r="D505" i="1"/>
  <c r="E505" i="1" s="1"/>
  <c r="D19" i="1"/>
  <c r="E19" i="1" s="1"/>
  <c r="D506" i="1"/>
  <c r="E506" i="1" s="1"/>
  <c r="D20" i="1"/>
  <c r="E20" i="1" s="1"/>
  <c r="D21" i="1"/>
  <c r="E21" i="1" s="1"/>
  <c r="D507" i="1"/>
  <c r="E507" i="1" s="1"/>
  <c r="D22" i="1"/>
  <c r="E22" i="1" s="1"/>
  <c r="D23" i="1"/>
  <c r="E23" i="1" s="1"/>
  <c r="D508" i="1"/>
  <c r="E508" i="1" s="1"/>
  <c r="D24" i="1"/>
  <c r="E24" i="1" s="1"/>
  <c r="D25" i="1"/>
  <c r="E25" i="1" s="1"/>
  <c r="D26" i="1"/>
  <c r="E26" i="1" s="1"/>
  <c r="D27" i="1"/>
  <c r="E27" i="1" s="1"/>
  <c r="D509" i="1"/>
  <c r="E509" i="1" s="1"/>
  <c r="D28" i="1"/>
  <c r="E28" i="1" s="1"/>
  <c r="D29" i="1"/>
  <c r="E29" i="1" s="1"/>
  <c r="D30" i="1"/>
  <c r="E30" i="1" s="1"/>
  <c r="D31" i="1"/>
  <c r="E31" i="1" s="1"/>
  <c r="D32" i="1"/>
  <c r="E32" i="1" s="1"/>
  <c r="D510" i="1"/>
  <c r="E510" i="1" s="1"/>
  <c r="D33" i="1"/>
  <c r="E33" i="1" s="1"/>
  <c r="D511" i="1"/>
  <c r="E511" i="1" s="1"/>
  <c r="D34" i="1"/>
  <c r="E34" i="1" s="1"/>
  <c r="D35" i="1"/>
  <c r="E35" i="1" s="1"/>
  <c r="D512" i="1"/>
  <c r="E512" i="1" s="1"/>
  <c r="D513" i="1"/>
  <c r="E513" i="1" s="1"/>
  <c r="D514" i="1"/>
  <c r="E514" i="1" s="1"/>
  <c r="D515" i="1"/>
  <c r="E51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516" i="1"/>
  <c r="E516" i="1" s="1"/>
  <c r="D517" i="1"/>
  <c r="E517" i="1" s="1"/>
  <c r="D45" i="1"/>
  <c r="E45" i="1" s="1"/>
  <c r="D46" i="1"/>
  <c r="E46" i="1" s="1"/>
  <c r="D518" i="1"/>
  <c r="E518" i="1" s="1"/>
  <c r="D519" i="1"/>
  <c r="E519" i="1" s="1"/>
  <c r="D47" i="1"/>
  <c r="E47" i="1" s="1"/>
  <c r="D520" i="1"/>
  <c r="E520" i="1" s="1"/>
  <c r="D521" i="1"/>
  <c r="E521" i="1" s="1"/>
  <c r="D522" i="1"/>
  <c r="E522" i="1" s="1"/>
  <c r="D48" i="1"/>
  <c r="E48" i="1" s="1"/>
  <c r="D523" i="1"/>
  <c r="E523" i="1" s="1"/>
  <c r="D524" i="1"/>
  <c r="E524" i="1" s="1"/>
  <c r="D525" i="1"/>
  <c r="E525" i="1" s="1"/>
  <c r="D49" i="1"/>
  <c r="E49" i="1" s="1"/>
  <c r="D526" i="1"/>
  <c r="E526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27" i="1"/>
  <c r="E527" i="1" s="1"/>
  <c r="D529" i="1"/>
  <c r="E529" i="1" s="1"/>
  <c r="D530" i="1"/>
  <c r="E530" i="1" s="1"/>
  <c r="D58" i="1"/>
  <c r="E58" i="1" s="1"/>
  <c r="D59" i="1"/>
  <c r="E59" i="1" s="1"/>
  <c r="D531" i="1"/>
  <c r="E531" i="1" s="1"/>
  <c r="D60" i="1"/>
  <c r="E60" i="1" s="1"/>
  <c r="D532" i="1"/>
  <c r="E532" i="1" s="1"/>
  <c r="D61" i="1"/>
  <c r="E61" i="1" s="1"/>
  <c r="D533" i="1"/>
  <c r="E533" i="1" s="1"/>
  <c r="D534" i="1"/>
  <c r="E534" i="1" s="1"/>
  <c r="D62" i="1"/>
  <c r="E62" i="1" s="1"/>
  <c r="D535" i="1"/>
  <c r="E535" i="1" s="1"/>
  <c r="D536" i="1"/>
  <c r="E536" i="1" s="1"/>
  <c r="D537" i="1"/>
  <c r="E537" i="1" s="1"/>
  <c r="D63" i="1"/>
  <c r="E63" i="1" s="1"/>
  <c r="D64" i="1"/>
  <c r="E64" i="1" s="1"/>
  <c r="D65" i="1"/>
  <c r="E65" i="1" s="1"/>
  <c r="D66" i="1"/>
  <c r="E66" i="1" s="1"/>
  <c r="D538" i="1"/>
  <c r="E538" i="1" s="1"/>
  <c r="D67" i="1"/>
  <c r="E67" i="1" s="1"/>
  <c r="D539" i="1"/>
  <c r="E539" i="1" s="1"/>
  <c r="D68" i="1"/>
  <c r="E68" i="1" s="1"/>
  <c r="D69" i="1"/>
  <c r="E69" i="1" s="1"/>
  <c r="D70" i="1"/>
  <c r="E70" i="1" s="1"/>
  <c r="D71" i="1"/>
  <c r="E71" i="1" s="1"/>
  <c r="D540" i="1"/>
  <c r="E540" i="1" s="1"/>
  <c r="D72" i="1"/>
  <c r="E72" i="1" s="1"/>
  <c r="D73" i="1"/>
  <c r="E73" i="1" s="1"/>
  <c r="D74" i="1"/>
  <c r="E74" i="1" s="1"/>
  <c r="D75" i="1"/>
  <c r="E75" i="1" s="1"/>
  <c r="D541" i="1"/>
  <c r="E541" i="1" s="1"/>
  <c r="D76" i="1"/>
  <c r="E76" i="1" s="1"/>
  <c r="D77" i="1"/>
  <c r="E77" i="1" s="1"/>
  <c r="D79" i="1"/>
  <c r="E79" i="1" s="1"/>
  <c r="D542" i="1"/>
  <c r="E542" i="1" s="1"/>
  <c r="D543" i="1"/>
  <c r="E543" i="1" s="1"/>
  <c r="D544" i="1"/>
  <c r="E544" i="1" s="1"/>
  <c r="D80" i="1"/>
  <c r="E80" i="1" s="1"/>
  <c r="D81" i="1"/>
  <c r="E81" i="1" s="1"/>
  <c r="D82" i="1"/>
  <c r="E82" i="1" s="1"/>
  <c r="D545" i="1"/>
  <c r="E545" i="1" s="1"/>
  <c r="D83" i="1"/>
  <c r="E83" i="1" s="1"/>
  <c r="D84" i="1"/>
  <c r="E84" i="1" s="1"/>
  <c r="D546" i="1"/>
  <c r="E546" i="1" s="1"/>
  <c r="D547" i="1"/>
  <c r="E547" i="1" s="1"/>
  <c r="D548" i="1"/>
  <c r="E548" i="1" s="1"/>
  <c r="D549" i="1"/>
  <c r="E549" i="1" s="1"/>
  <c r="D85" i="1"/>
  <c r="E85" i="1" s="1"/>
  <c r="D550" i="1"/>
  <c r="E550" i="1" s="1"/>
  <c r="D86" i="1"/>
  <c r="E86" i="1" s="1"/>
  <c r="D87" i="1"/>
  <c r="E87" i="1" s="1"/>
  <c r="D88" i="1"/>
  <c r="E88" i="1" s="1"/>
  <c r="D90" i="1"/>
  <c r="E90" i="1" s="1"/>
  <c r="D91" i="1"/>
  <c r="E91" i="1" s="1"/>
  <c r="D551" i="1"/>
  <c r="E551" i="1" s="1"/>
  <c r="D552" i="1"/>
  <c r="E552" i="1" s="1"/>
  <c r="D92" i="1"/>
  <c r="E92" i="1" s="1"/>
  <c r="D553" i="1"/>
  <c r="E553" i="1" s="1"/>
  <c r="D93" i="1"/>
  <c r="E93" i="1" s="1"/>
  <c r="D94" i="1"/>
  <c r="E94" i="1" s="1"/>
  <c r="D95" i="1"/>
  <c r="E95" i="1" s="1"/>
  <c r="D96" i="1"/>
  <c r="E96" i="1" s="1"/>
  <c r="D554" i="1"/>
  <c r="E554" i="1" s="1"/>
  <c r="D97" i="1"/>
  <c r="E97" i="1" s="1"/>
  <c r="D555" i="1"/>
  <c r="E555" i="1" s="1"/>
  <c r="D556" i="1"/>
  <c r="E556" i="1" s="1"/>
  <c r="D98" i="1"/>
  <c r="E98" i="1" s="1"/>
  <c r="D99" i="1"/>
  <c r="E99" i="1" s="1"/>
  <c r="D557" i="1"/>
  <c r="E557" i="1" s="1"/>
  <c r="D558" i="1"/>
  <c r="E558" i="1" s="1"/>
  <c r="D559" i="1"/>
  <c r="E559" i="1" s="1"/>
  <c r="D100" i="1"/>
  <c r="E100" i="1" s="1"/>
  <c r="D560" i="1"/>
  <c r="E560" i="1" s="1"/>
  <c r="D561" i="1"/>
  <c r="E561" i="1" s="1"/>
  <c r="D101" i="1"/>
  <c r="E101" i="1" s="1"/>
  <c r="D562" i="1"/>
  <c r="E562" i="1" s="1"/>
  <c r="D563" i="1"/>
  <c r="E563" i="1" s="1"/>
  <c r="D564" i="1"/>
  <c r="E564" i="1" s="1"/>
  <c r="D565" i="1"/>
  <c r="E565" i="1" s="1"/>
  <c r="D566" i="1"/>
  <c r="E566" i="1" s="1"/>
  <c r="D568" i="1"/>
  <c r="E568" i="1" s="1"/>
  <c r="D569" i="1"/>
  <c r="E569" i="1" s="1"/>
  <c r="D102" i="1"/>
  <c r="E102" i="1" s="1"/>
  <c r="D570" i="1"/>
  <c r="E570" i="1" s="1"/>
  <c r="D103" i="1"/>
  <c r="E103" i="1" s="1"/>
  <c r="D571" i="1"/>
  <c r="E571" i="1" s="1"/>
  <c r="D104" i="1"/>
  <c r="E104" i="1" s="1"/>
  <c r="D105" i="1"/>
  <c r="E105" i="1" s="1"/>
  <c r="D106" i="1"/>
  <c r="E106" i="1" s="1"/>
  <c r="D107" i="1"/>
  <c r="E107" i="1" s="1"/>
  <c r="D572" i="1"/>
  <c r="E572" i="1" s="1"/>
  <c r="D108" i="1"/>
  <c r="E108" i="1" s="1"/>
  <c r="D573" i="1"/>
  <c r="E573" i="1" s="1"/>
  <c r="D109" i="1"/>
  <c r="E109" i="1" s="1"/>
  <c r="D110" i="1"/>
  <c r="E110" i="1" s="1"/>
  <c r="D111" i="1"/>
  <c r="E111" i="1" s="1"/>
  <c r="D574" i="1"/>
  <c r="E574" i="1" s="1"/>
  <c r="D575" i="1"/>
  <c r="E575" i="1" s="1"/>
  <c r="D576" i="1"/>
  <c r="E576" i="1" s="1"/>
  <c r="D577" i="1"/>
  <c r="E577" i="1" s="1"/>
  <c r="D112" i="1"/>
  <c r="E112" i="1" s="1"/>
  <c r="D113" i="1"/>
  <c r="E113" i="1" s="1"/>
  <c r="D114" i="1"/>
  <c r="E114" i="1" s="1"/>
  <c r="D578" i="1"/>
  <c r="E578" i="1" s="1"/>
  <c r="D579" i="1"/>
  <c r="E579" i="1" s="1"/>
  <c r="D115" i="1"/>
  <c r="E115" i="1" s="1"/>
  <c r="D580" i="1"/>
  <c r="E580" i="1" s="1"/>
  <c r="D116" i="1"/>
  <c r="E116" i="1" s="1"/>
  <c r="D117" i="1"/>
  <c r="E117" i="1" s="1"/>
  <c r="D581" i="1"/>
  <c r="E581" i="1" s="1"/>
  <c r="D582" i="1"/>
  <c r="E582" i="1" s="1"/>
  <c r="D583" i="1"/>
  <c r="E583" i="1" s="1"/>
  <c r="D118" i="1"/>
  <c r="E118" i="1" s="1"/>
  <c r="D584" i="1"/>
  <c r="E584" i="1" s="1"/>
  <c r="D585" i="1"/>
  <c r="E585" i="1" s="1"/>
  <c r="D586" i="1"/>
  <c r="E586" i="1" s="1"/>
  <c r="D119" i="1"/>
  <c r="E119" i="1" s="1"/>
  <c r="D587" i="1"/>
  <c r="E587" i="1" s="1"/>
  <c r="D588" i="1"/>
  <c r="E588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589" i="1"/>
  <c r="E589" i="1" s="1"/>
  <c r="D590" i="1"/>
  <c r="E590" i="1" s="1"/>
  <c r="D591" i="1"/>
  <c r="E591" i="1" s="1"/>
  <c r="D126" i="1"/>
  <c r="E126" i="1" s="1"/>
  <c r="D127" i="1"/>
  <c r="E127" i="1" s="1"/>
  <c r="D592" i="1"/>
  <c r="E592" i="1" s="1"/>
  <c r="D593" i="1"/>
  <c r="E593" i="1" s="1"/>
  <c r="D594" i="1"/>
  <c r="E594" i="1" s="1"/>
  <c r="D595" i="1"/>
  <c r="E595" i="1" s="1"/>
  <c r="D128" i="1"/>
  <c r="E128" i="1" s="1"/>
  <c r="D597" i="1"/>
  <c r="E597" i="1" s="1"/>
  <c r="D129" i="1"/>
  <c r="E129" i="1" s="1"/>
  <c r="D130" i="1"/>
  <c r="E130" i="1" s="1"/>
  <c r="D598" i="1"/>
  <c r="E598" i="1" s="1"/>
  <c r="D131" i="1"/>
  <c r="E131" i="1" s="1"/>
  <c r="D132" i="1"/>
  <c r="E132" i="1" s="1"/>
  <c r="D599" i="1"/>
  <c r="E599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600" i="1"/>
  <c r="E600" i="1" s="1"/>
  <c r="D601" i="1"/>
  <c r="E601" i="1" s="1"/>
  <c r="D602" i="1"/>
  <c r="E602" i="1" s="1"/>
  <c r="D141" i="1"/>
  <c r="E141" i="1" s="1"/>
  <c r="D142" i="1"/>
  <c r="E142" i="1" s="1"/>
  <c r="D143" i="1"/>
  <c r="E143" i="1" s="1"/>
  <c r="D144" i="1"/>
  <c r="E144" i="1" s="1"/>
  <c r="D145" i="1"/>
  <c r="E145" i="1" s="1"/>
  <c r="D603" i="1"/>
  <c r="E603" i="1" s="1"/>
  <c r="D146" i="1"/>
  <c r="E146" i="1" s="1"/>
  <c r="D604" i="1"/>
  <c r="E604" i="1" s="1"/>
  <c r="D605" i="1"/>
  <c r="E605" i="1" s="1"/>
  <c r="D147" i="1"/>
  <c r="E147" i="1" s="1"/>
  <c r="D606" i="1"/>
  <c r="E606" i="1" s="1"/>
  <c r="D607" i="1"/>
  <c r="E607" i="1" s="1"/>
  <c r="D148" i="1"/>
  <c r="E148" i="1" s="1"/>
  <c r="D608" i="1"/>
  <c r="E608" i="1" s="1"/>
  <c r="D149" i="1"/>
  <c r="E149" i="1" s="1"/>
  <c r="D150" i="1"/>
  <c r="E150" i="1" s="1"/>
  <c r="D609" i="1"/>
  <c r="E609" i="1" s="1"/>
  <c r="D610" i="1"/>
  <c r="E610" i="1" s="1"/>
  <c r="D611" i="1"/>
  <c r="E611" i="1" s="1"/>
  <c r="D612" i="1"/>
  <c r="E612" i="1" s="1"/>
  <c r="D151" i="1"/>
  <c r="E151" i="1" s="1"/>
  <c r="D152" i="1"/>
  <c r="E152" i="1" s="1"/>
  <c r="D613" i="1"/>
  <c r="E613" i="1" s="1"/>
  <c r="D614" i="1"/>
  <c r="E614" i="1" s="1"/>
  <c r="D615" i="1"/>
  <c r="E615" i="1" s="1"/>
  <c r="D616" i="1"/>
  <c r="E616" i="1" s="1"/>
  <c r="D153" i="1"/>
  <c r="E153" i="1" s="1"/>
  <c r="D154" i="1"/>
  <c r="E154" i="1" s="1"/>
  <c r="D155" i="1"/>
  <c r="E155" i="1" s="1"/>
  <c r="D617" i="1"/>
  <c r="E617" i="1" s="1"/>
  <c r="D157" i="1"/>
  <c r="E157" i="1" s="1"/>
  <c r="D158" i="1"/>
  <c r="E158" i="1" s="1"/>
  <c r="D159" i="1"/>
  <c r="E159" i="1" s="1"/>
  <c r="D618" i="1"/>
  <c r="E618" i="1" s="1"/>
  <c r="D619" i="1"/>
  <c r="E619" i="1" s="1"/>
  <c r="D160" i="1"/>
  <c r="E160" i="1" s="1"/>
  <c r="D161" i="1"/>
  <c r="E161" i="1" s="1"/>
  <c r="D620" i="1"/>
  <c r="E620" i="1" s="1"/>
  <c r="D162" i="1"/>
  <c r="E162" i="1" s="1"/>
  <c r="D621" i="1"/>
  <c r="E621" i="1" s="1"/>
  <c r="D163" i="1"/>
  <c r="E163" i="1" s="1"/>
  <c r="D622" i="1"/>
  <c r="E622" i="1" s="1"/>
  <c r="D164" i="1"/>
  <c r="E164" i="1" s="1"/>
  <c r="D165" i="1"/>
  <c r="E165" i="1" s="1"/>
  <c r="D166" i="1"/>
  <c r="E166" i="1" s="1"/>
  <c r="D623" i="1"/>
  <c r="E623" i="1" s="1"/>
  <c r="D624" i="1"/>
  <c r="E624" i="1" s="1"/>
  <c r="D167" i="1"/>
  <c r="E167" i="1" s="1"/>
  <c r="D625" i="1"/>
  <c r="E625" i="1" s="1"/>
  <c r="D168" i="1"/>
  <c r="E168" i="1" s="1"/>
  <c r="D626" i="1"/>
  <c r="E626" i="1" s="1"/>
  <c r="D627" i="1"/>
  <c r="E627" i="1" s="1"/>
  <c r="D628" i="1"/>
  <c r="E628" i="1" s="1"/>
  <c r="D169" i="1"/>
  <c r="E169" i="1" s="1"/>
  <c r="D629" i="1"/>
  <c r="E629" i="1" s="1"/>
  <c r="D170" i="1"/>
  <c r="E170" i="1" s="1"/>
  <c r="D171" i="1"/>
  <c r="E171" i="1" s="1"/>
  <c r="D630" i="1"/>
  <c r="E630" i="1" s="1"/>
  <c r="D631" i="1"/>
  <c r="E631" i="1" s="1"/>
  <c r="D172" i="1"/>
  <c r="E172" i="1" s="1"/>
  <c r="D173" i="1"/>
  <c r="E173" i="1" s="1"/>
  <c r="D174" i="1"/>
  <c r="E174" i="1" s="1"/>
  <c r="D632" i="1"/>
  <c r="E632" i="1" s="1"/>
  <c r="D633" i="1"/>
  <c r="E633" i="1" s="1"/>
  <c r="D634" i="1"/>
  <c r="E634" i="1" s="1"/>
  <c r="D175" i="1"/>
  <c r="E175" i="1" s="1"/>
  <c r="D176" i="1"/>
  <c r="E176" i="1" s="1"/>
  <c r="D177" i="1"/>
  <c r="E177" i="1" s="1"/>
  <c r="D178" i="1"/>
  <c r="E178" i="1" s="1"/>
  <c r="D635" i="1"/>
  <c r="E635" i="1" s="1"/>
  <c r="D636" i="1"/>
  <c r="E636" i="1" s="1"/>
  <c r="D179" i="1"/>
  <c r="E179" i="1" s="1"/>
  <c r="D180" i="1"/>
  <c r="E180" i="1" s="1"/>
  <c r="D638" i="1"/>
  <c r="E638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639" i="1"/>
  <c r="E639" i="1" s="1"/>
  <c r="D640" i="1"/>
  <c r="E640" i="1" s="1"/>
  <c r="D641" i="1"/>
  <c r="E641" i="1" s="1"/>
  <c r="D187" i="1"/>
  <c r="E187" i="1" s="1"/>
  <c r="D642" i="1"/>
  <c r="E642" i="1" s="1"/>
  <c r="D643" i="1"/>
  <c r="E643" i="1" s="1"/>
  <c r="D188" i="1"/>
  <c r="E188" i="1" s="1"/>
  <c r="D189" i="1"/>
  <c r="E189" i="1" s="1"/>
  <c r="D644" i="1"/>
  <c r="E644" i="1" s="1"/>
  <c r="D645" i="1"/>
  <c r="E645" i="1" s="1"/>
  <c r="D191" i="1"/>
  <c r="E191" i="1" s="1"/>
  <c r="D646" i="1"/>
  <c r="E646" i="1" s="1"/>
  <c r="D192" i="1"/>
  <c r="E192" i="1" s="1"/>
  <c r="D193" i="1"/>
  <c r="E193" i="1" s="1"/>
  <c r="D194" i="1"/>
  <c r="E194" i="1" s="1"/>
  <c r="D648" i="1"/>
  <c r="E648" i="1" s="1"/>
  <c r="D195" i="1"/>
  <c r="E195" i="1" s="1"/>
  <c r="D649" i="1"/>
  <c r="E649" i="1" s="1"/>
  <c r="D650" i="1"/>
  <c r="E650" i="1" s="1"/>
  <c r="D651" i="1"/>
  <c r="E651" i="1" s="1"/>
  <c r="D196" i="1"/>
  <c r="E196" i="1" s="1"/>
  <c r="D197" i="1"/>
  <c r="E197" i="1" s="1"/>
  <c r="D652" i="1"/>
  <c r="E652" i="1" s="1"/>
  <c r="D198" i="1"/>
  <c r="E198" i="1" s="1"/>
  <c r="D199" i="1"/>
  <c r="E199" i="1" s="1"/>
  <c r="D653" i="1"/>
  <c r="E653" i="1" s="1"/>
  <c r="D200" i="1"/>
  <c r="E200" i="1" s="1"/>
  <c r="D654" i="1"/>
  <c r="E654" i="1" s="1"/>
  <c r="D655" i="1"/>
  <c r="E655" i="1" s="1"/>
  <c r="D656" i="1"/>
  <c r="E656" i="1" s="1"/>
  <c r="D201" i="1"/>
  <c r="E201" i="1" s="1"/>
  <c r="D202" i="1"/>
  <c r="E202" i="1" s="1"/>
  <c r="D657" i="1"/>
  <c r="E657" i="1" s="1"/>
  <c r="D658" i="1"/>
  <c r="E658" i="1" s="1"/>
  <c r="D659" i="1"/>
  <c r="E659" i="1" s="1"/>
  <c r="D203" i="1"/>
  <c r="E203" i="1" s="1"/>
  <c r="D204" i="1"/>
  <c r="E204" i="1" s="1"/>
  <c r="D660" i="1"/>
  <c r="E660" i="1" s="1"/>
  <c r="D205" i="1"/>
  <c r="E205" i="1" s="1"/>
  <c r="D661" i="1"/>
  <c r="E661" i="1" s="1"/>
  <c r="D662" i="1"/>
  <c r="E662" i="1" s="1"/>
  <c r="D206" i="1"/>
  <c r="E206" i="1" s="1"/>
  <c r="D663" i="1"/>
  <c r="E663" i="1" s="1"/>
  <c r="D207" i="1"/>
  <c r="E207" i="1" s="1"/>
  <c r="D664" i="1"/>
  <c r="E664" i="1" s="1"/>
  <c r="D665" i="1"/>
  <c r="E665" i="1" s="1"/>
  <c r="D208" i="1"/>
  <c r="E208" i="1" s="1"/>
  <c r="D209" i="1"/>
  <c r="E209" i="1" s="1"/>
  <c r="D666" i="1"/>
  <c r="E666" i="1" s="1"/>
  <c r="D667" i="1"/>
  <c r="E667" i="1" s="1"/>
  <c r="D669" i="1"/>
  <c r="E669" i="1" s="1"/>
  <c r="D210" i="1"/>
  <c r="E210" i="1" s="1"/>
  <c r="D211" i="1"/>
  <c r="E211" i="1" s="1"/>
  <c r="D670" i="1"/>
  <c r="E670" i="1" s="1"/>
  <c r="D671" i="1"/>
  <c r="E671" i="1" s="1"/>
  <c r="D212" i="1"/>
  <c r="E212" i="1" s="1"/>
  <c r="D213" i="1"/>
  <c r="E213" i="1" s="1"/>
  <c r="D672" i="1"/>
  <c r="E672" i="1" s="1"/>
  <c r="D673" i="1"/>
  <c r="E673" i="1" s="1"/>
  <c r="D674" i="1"/>
  <c r="E674" i="1" s="1"/>
  <c r="D214" i="1"/>
  <c r="E214" i="1" s="1"/>
  <c r="D675" i="1"/>
  <c r="E675" i="1" s="1"/>
  <c r="D676" i="1"/>
  <c r="E676" i="1" s="1"/>
  <c r="D677" i="1"/>
  <c r="E677" i="1" s="1"/>
  <c r="D215" i="1"/>
  <c r="E215" i="1" s="1"/>
  <c r="D216" i="1"/>
  <c r="E216" i="1" s="1"/>
  <c r="D217" i="1"/>
  <c r="E217" i="1" s="1"/>
  <c r="D678" i="1"/>
  <c r="E678" i="1" s="1"/>
  <c r="D218" i="1"/>
  <c r="E218" i="1" s="1"/>
  <c r="D219" i="1"/>
  <c r="E219" i="1" s="1"/>
  <c r="D220" i="1"/>
  <c r="E220" i="1" s="1"/>
  <c r="D221" i="1"/>
  <c r="E221" i="1" s="1"/>
  <c r="D679" i="1"/>
  <c r="E679" i="1" s="1"/>
  <c r="D680" i="1"/>
  <c r="E680" i="1" s="1"/>
  <c r="D222" i="1"/>
  <c r="E222" i="1" s="1"/>
  <c r="D681" i="1"/>
  <c r="E681" i="1" s="1"/>
  <c r="D682" i="1"/>
  <c r="E682" i="1" s="1"/>
  <c r="D683" i="1"/>
  <c r="E683" i="1" s="1"/>
  <c r="D223" i="1"/>
  <c r="E223" i="1" s="1"/>
  <c r="D224" i="1"/>
  <c r="E224" i="1" s="1"/>
  <c r="D225" i="1"/>
  <c r="E225" i="1" s="1"/>
  <c r="D226" i="1"/>
  <c r="E226" i="1" s="1"/>
  <c r="D684" i="1"/>
  <c r="E684" i="1" s="1"/>
  <c r="D227" i="1"/>
  <c r="E227" i="1" s="1"/>
  <c r="D685" i="1"/>
  <c r="E685" i="1" s="1"/>
  <c r="D686" i="1"/>
  <c r="E686" i="1" s="1"/>
  <c r="D228" i="1"/>
  <c r="E228" i="1" s="1"/>
  <c r="D687" i="1"/>
  <c r="E687" i="1" s="1"/>
  <c r="D229" i="1"/>
  <c r="E229" i="1" s="1"/>
  <c r="D688" i="1"/>
  <c r="E688" i="1" s="1"/>
  <c r="D230" i="1"/>
  <c r="E230" i="1" s="1"/>
  <c r="D231" i="1"/>
  <c r="E231" i="1" s="1"/>
  <c r="D689" i="1"/>
  <c r="E689" i="1" s="1"/>
  <c r="D690" i="1"/>
  <c r="E690" i="1" s="1"/>
  <c r="D232" i="1"/>
  <c r="E232" i="1" s="1"/>
  <c r="D691" i="1"/>
  <c r="E691" i="1" s="1"/>
  <c r="D692" i="1"/>
  <c r="E692" i="1" s="1"/>
  <c r="D693" i="1"/>
  <c r="E693" i="1" s="1"/>
  <c r="D694" i="1"/>
  <c r="E694" i="1" s="1"/>
  <c r="D233" i="1"/>
  <c r="E233" i="1" s="1"/>
  <c r="D235" i="1"/>
  <c r="E235" i="1" s="1"/>
  <c r="D236" i="1"/>
  <c r="E236" i="1" s="1"/>
  <c r="D237" i="1"/>
  <c r="E237" i="1" s="1"/>
  <c r="D695" i="1"/>
  <c r="E695" i="1" s="1"/>
  <c r="D696" i="1"/>
  <c r="E696" i="1" s="1"/>
  <c r="D697" i="1"/>
  <c r="E697" i="1" s="1"/>
  <c r="D238" i="1"/>
  <c r="E238" i="1" s="1"/>
  <c r="D239" i="1"/>
  <c r="E239" i="1" s="1"/>
  <c r="D240" i="1"/>
  <c r="E240" i="1" s="1"/>
  <c r="D241" i="1"/>
  <c r="E241" i="1" s="1"/>
  <c r="D698" i="1"/>
  <c r="E698" i="1" s="1"/>
  <c r="D699" i="1"/>
  <c r="E699" i="1" s="1"/>
  <c r="D242" i="1"/>
  <c r="E242" i="1" s="1"/>
  <c r="D243" i="1"/>
  <c r="E243" i="1" s="1"/>
  <c r="D700" i="1"/>
  <c r="E700" i="1" s="1"/>
  <c r="D701" i="1"/>
  <c r="E701" i="1" s="1"/>
  <c r="D244" i="1"/>
  <c r="E244" i="1" s="1"/>
  <c r="D245" i="1"/>
  <c r="E245" i="1" s="1"/>
  <c r="D702" i="1"/>
  <c r="E702" i="1" s="1"/>
  <c r="D246" i="1"/>
  <c r="E246" i="1" s="1"/>
  <c r="D703" i="1"/>
  <c r="E703" i="1" s="1"/>
  <c r="D247" i="1"/>
  <c r="E247" i="1" s="1"/>
  <c r="D704" i="1"/>
  <c r="E704" i="1" s="1"/>
  <c r="D705" i="1"/>
  <c r="E705" i="1" s="1"/>
  <c r="D248" i="1"/>
  <c r="E248" i="1" s="1"/>
  <c r="D249" i="1"/>
  <c r="E249" i="1" s="1"/>
  <c r="D706" i="1"/>
  <c r="E706" i="1" s="1"/>
  <c r="D250" i="1"/>
  <c r="E250" i="1" s="1"/>
  <c r="D251" i="1"/>
  <c r="E251" i="1" s="1"/>
  <c r="D707" i="1"/>
  <c r="E707" i="1" s="1"/>
  <c r="D708" i="1"/>
  <c r="E708" i="1" s="1"/>
  <c r="D252" i="1"/>
  <c r="E252" i="1" s="1"/>
  <c r="D253" i="1"/>
  <c r="E253" i="1" s="1"/>
  <c r="D254" i="1"/>
  <c r="E254" i="1" s="1"/>
  <c r="D255" i="1"/>
  <c r="E255" i="1" s="1"/>
  <c r="D256" i="1"/>
  <c r="E256" i="1" s="1"/>
  <c r="D709" i="1"/>
  <c r="E709" i="1" s="1"/>
  <c r="D710" i="1"/>
  <c r="E710" i="1" s="1"/>
  <c r="D257" i="1"/>
  <c r="E257" i="1" s="1"/>
  <c r="D711" i="1"/>
  <c r="E711" i="1" s="1"/>
  <c r="D712" i="1"/>
  <c r="E712" i="1" s="1"/>
  <c r="D258" i="1"/>
  <c r="E258" i="1" s="1"/>
  <c r="D259" i="1"/>
  <c r="E259" i="1" s="1"/>
  <c r="D260" i="1"/>
  <c r="E260" i="1" s="1"/>
  <c r="D713" i="1"/>
  <c r="E713" i="1" s="1"/>
  <c r="D261" i="1"/>
  <c r="E261" i="1" s="1"/>
  <c r="D262" i="1"/>
  <c r="E262" i="1" s="1"/>
  <c r="D263" i="1"/>
  <c r="E263" i="1" s="1"/>
  <c r="D264" i="1"/>
  <c r="E264" i="1" s="1"/>
  <c r="D265" i="1"/>
  <c r="E265" i="1" s="1"/>
  <c r="D266" i="1"/>
  <c r="E266" i="1" s="1"/>
  <c r="D714" i="1"/>
  <c r="E714" i="1" s="1"/>
  <c r="D267" i="1"/>
  <c r="E267" i="1" s="1"/>
  <c r="D715" i="1"/>
  <c r="E715" i="1" s="1"/>
  <c r="D268" i="1"/>
  <c r="E268" i="1" s="1"/>
  <c r="D269" i="1"/>
  <c r="E269" i="1" s="1"/>
  <c r="D716" i="1"/>
  <c r="E716" i="1" s="1"/>
  <c r="D717" i="1"/>
  <c r="E717" i="1" s="1"/>
  <c r="D270" i="1"/>
  <c r="E270" i="1" s="1"/>
  <c r="D271" i="1"/>
  <c r="E271" i="1" s="1"/>
  <c r="D272" i="1"/>
  <c r="E272" i="1" s="1"/>
  <c r="D718" i="1"/>
  <c r="E718" i="1" s="1"/>
  <c r="D719" i="1"/>
  <c r="E719" i="1" s="1"/>
  <c r="D720" i="1"/>
  <c r="E720" i="1" s="1"/>
  <c r="D273" i="1"/>
  <c r="E273" i="1" s="1"/>
  <c r="D274" i="1"/>
  <c r="E274" i="1" s="1"/>
  <c r="D275" i="1"/>
  <c r="E275" i="1" s="1"/>
  <c r="D721" i="1"/>
  <c r="E721" i="1" s="1"/>
  <c r="D722" i="1"/>
  <c r="E722" i="1" s="1"/>
  <c r="D723" i="1"/>
  <c r="E723" i="1" s="1"/>
  <c r="D276" i="1"/>
  <c r="E276" i="1" s="1"/>
  <c r="D277" i="1"/>
  <c r="E277" i="1" s="1"/>
  <c r="D724" i="1"/>
  <c r="E724" i="1" s="1"/>
  <c r="D278" i="1"/>
  <c r="E278" i="1" s="1"/>
  <c r="D725" i="1"/>
  <c r="E725" i="1" s="1"/>
  <c r="D279" i="1"/>
  <c r="E279" i="1" s="1"/>
  <c r="D280" i="1"/>
  <c r="E280" i="1" s="1"/>
  <c r="D281" i="1"/>
  <c r="E281" i="1" s="1"/>
  <c r="D282" i="1"/>
  <c r="E282" i="1" s="1"/>
  <c r="D283" i="1"/>
  <c r="E283" i="1" s="1"/>
  <c r="D726" i="1"/>
  <c r="E726" i="1" s="1"/>
  <c r="D284" i="1"/>
  <c r="E284" i="1" s="1"/>
  <c r="D285" i="1"/>
  <c r="E285" i="1" s="1"/>
  <c r="D727" i="1"/>
  <c r="E727" i="1" s="1"/>
  <c r="D286" i="1"/>
  <c r="E286" i="1" s="1"/>
  <c r="D728" i="1"/>
  <c r="E728" i="1" s="1"/>
  <c r="D287" i="1"/>
  <c r="E287" i="1" s="1"/>
  <c r="D288" i="1"/>
  <c r="E288" i="1" s="1"/>
  <c r="D729" i="1"/>
  <c r="E729" i="1" s="1"/>
  <c r="D730" i="1"/>
  <c r="E730" i="1" s="1"/>
  <c r="D289" i="1"/>
  <c r="E289" i="1" s="1"/>
  <c r="D731" i="1"/>
  <c r="E731" i="1" s="1"/>
  <c r="D290" i="1"/>
  <c r="E290" i="1" s="1"/>
  <c r="D732" i="1"/>
  <c r="E732" i="1" s="1"/>
  <c r="D733" i="1"/>
  <c r="E733" i="1" s="1"/>
  <c r="D734" i="1"/>
  <c r="E734" i="1" s="1"/>
  <c r="D291" i="1"/>
  <c r="E291" i="1" s="1"/>
  <c r="D735" i="1"/>
  <c r="E735" i="1" s="1"/>
  <c r="D736" i="1"/>
  <c r="E736" i="1" s="1"/>
  <c r="D292" i="1"/>
  <c r="E292" i="1" s="1"/>
  <c r="D293" i="1"/>
  <c r="E293" i="1" s="1"/>
  <c r="D294" i="1"/>
  <c r="E294" i="1" s="1"/>
  <c r="D737" i="1"/>
  <c r="E737" i="1" s="1"/>
  <c r="D738" i="1"/>
  <c r="E738" i="1" s="1"/>
  <c r="D295" i="1"/>
  <c r="E295" i="1" s="1"/>
  <c r="D296" i="1"/>
  <c r="E296" i="1" s="1"/>
  <c r="D739" i="1"/>
  <c r="E739" i="1" s="1"/>
  <c r="D297" i="1"/>
  <c r="E297" i="1" s="1"/>
  <c r="D740" i="1"/>
  <c r="E740" i="1" s="1"/>
  <c r="D298" i="1"/>
  <c r="E298" i="1" s="1"/>
  <c r="D741" i="1"/>
  <c r="E741" i="1" s="1"/>
  <c r="D299" i="1"/>
  <c r="E299" i="1" s="1"/>
  <c r="D742" i="1"/>
  <c r="E742" i="1" s="1"/>
  <c r="D300" i="1"/>
  <c r="E300" i="1" s="1"/>
  <c r="D301" i="1"/>
  <c r="E301" i="1" s="1"/>
  <c r="D743" i="1"/>
  <c r="E743" i="1" s="1"/>
  <c r="D302" i="1"/>
  <c r="E302" i="1" s="1"/>
  <c r="D744" i="1"/>
  <c r="E744" i="1" s="1"/>
  <c r="D303" i="1"/>
  <c r="E303" i="1" s="1"/>
  <c r="D304" i="1"/>
  <c r="E304" i="1" s="1"/>
  <c r="D745" i="1"/>
  <c r="E745" i="1" s="1"/>
  <c r="D305" i="1"/>
  <c r="E305" i="1" s="1"/>
  <c r="D746" i="1"/>
  <c r="E746" i="1" s="1"/>
  <c r="D306" i="1"/>
  <c r="E306" i="1" s="1"/>
  <c r="D307" i="1"/>
  <c r="E307" i="1" s="1"/>
  <c r="D747" i="1"/>
  <c r="E747" i="1" s="1"/>
  <c r="D308" i="1"/>
  <c r="E308" i="1" s="1"/>
  <c r="D309" i="1"/>
  <c r="E309" i="1" s="1"/>
  <c r="D748" i="1"/>
  <c r="E748" i="1" s="1"/>
  <c r="D749" i="1"/>
  <c r="E749" i="1" s="1"/>
  <c r="D310" i="1"/>
  <c r="E310" i="1" s="1"/>
  <c r="D750" i="1"/>
  <c r="E750" i="1" s="1"/>
  <c r="D311" i="1"/>
  <c r="E311" i="1" s="1"/>
  <c r="D312" i="1"/>
  <c r="E312" i="1" s="1"/>
  <c r="D751" i="1"/>
  <c r="E751" i="1" s="1"/>
  <c r="D752" i="1"/>
  <c r="E752" i="1" s="1"/>
  <c r="D313" i="1"/>
  <c r="E313" i="1" s="1"/>
  <c r="D753" i="1"/>
  <c r="E753" i="1" s="1"/>
  <c r="D314" i="1"/>
  <c r="E314" i="1" s="1"/>
  <c r="D315" i="1"/>
  <c r="E315" i="1" s="1"/>
  <c r="D316" i="1"/>
  <c r="E316" i="1" s="1"/>
  <c r="D754" i="1"/>
  <c r="E754" i="1" s="1"/>
  <c r="D317" i="1"/>
  <c r="E317" i="1" s="1"/>
  <c r="D318" i="1"/>
  <c r="E318" i="1" s="1"/>
  <c r="D319" i="1"/>
  <c r="E319" i="1" s="1"/>
  <c r="D755" i="1"/>
  <c r="E755" i="1" s="1"/>
  <c r="D756" i="1"/>
  <c r="E756" i="1" s="1"/>
  <c r="D757" i="1"/>
  <c r="E757" i="1" s="1"/>
  <c r="D320" i="1"/>
  <c r="E320" i="1" s="1"/>
  <c r="D759" i="1"/>
  <c r="E759" i="1" s="1"/>
  <c r="D321" i="1"/>
  <c r="E321" i="1" s="1"/>
  <c r="D760" i="1"/>
  <c r="E760" i="1" s="1"/>
  <c r="D322" i="1"/>
  <c r="E322" i="1" s="1"/>
  <c r="D761" i="1"/>
  <c r="E761" i="1" s="1"/>
  <c r="D323" i="1"/>
  <c r="E323" i="1" s="1"/>
  <c r="D324" i="1"/>
  <c r="E324" i="1" s="1"/>
  <c r="D762" i="1"/>
  <c r="E762" i="1" s="1"/>
  <c r="D763" i="1"/>
  <c r="E763" i="1" s="1"/>
  <c r="D325" i="1"/>
  <c r="E325" i="1" s="1"/>
  <c r="D326" i="1"/>
  <c r="E326" i="1" s="1"/>
  <c r="D327" i="1"/>
  <c r="E327" i="1" s="1"/>
  <c r="D764" i="1"/>
  <c r="E764" i="1" s="1"/>
  <c r="D765" i="1"/>
  <c r="E765" i="1" s="1"/>
  <c r="D766" i="1"/>
  <c r="E766" i="1" s="1"/>
  <c r="D767" i="1"/>
  <c r="E767" i="1" s="1"/>
  <c r="D328" i="1"/>
  <c r="E328" i="1" s="1"/>
  <c r="D329" i="1"/>
  <c r="E329" i="1" s="1"/>
  <c r="D330" i="1"/>
  <c r="E330" i="1" s="1"/>
  <c r="D331" i="1"/>
  <c r="E331" i="1" s="1"/>
  <c r="D768" i="1"/>
  <c r="E768" i="1" s="1"/>
  <c r="D332" i="1"/>
  <c r="E332" i="1" s="1"/>
  <c r="D769" i="1"/>
  <c r="E769" i="1" s="1"/>
  <c r="D333" i="1"/>
  <c r="E333" i="1" s="1"/>
  <c r="D770" i="1"/>
  <c r="E770" i="1" s="1"/>
  <c r="D334" i="1"/>
  <c r="E334" i="1" s="1"/>
  <c r="D335" i="1"/>
  <c r="E335" i="1" s="1"/>
  <c r="D771" i="1"/>
  <c r="E771" i="1" s="1"/>
  <c r="D336" i="1"/>
  <c r="E336" i="1" s="1"/>
  <c r="D337" i="1"/>
  <c r="E337" i="1" s="1"/>
  <c r="D772" i="1"/>
  <c r="E772" i="1" s="1"/>
  <c r="D773" i="1"/>
  <c r="E773" i="1" s="1"/>
  <c r="D774" i="1"/>
  <c r="E774" i="1" s="1"/>
  <c r="D775" i="1"/>
  <c r="E775" i="1" s="1"/>
  <c r="D776" i="1"/>
  <c r="E776" i="1" s="1"/>
  <c r="D338" i="1"/>
  <c r="E338" i="1" s="1"/>
  <c r="D777" i="1"/>
  <c r="E777" i="1" s="1"/>
  <c r="D339" i="1"/>
  <c r="E339" i="1" s="1"/>
  <c r="D778" i="1"/>
  <c r="E778" i="1" s="1"/>
  <c r="D779" i="1"/>
  <c r="E779" i="1" s="1"/>
  <c r="D340" i="1"/>
  <c r="E340" i="1" s="1"/>
  <c r="D341" i="1"/>
  <c r="E341" i="1" s="1"/>
  <c r="D342" i="1"/>
  <c r="E342" i="1" s="1"/>
  <c r="D343" i="1"/>
  <c r="E343" i="1" s="1"/>
  <c r="D344" i="1"/>
  <c r="E344" i="1" s="1"/>
  <c r="D345" i="1"/>
  <c r="E345" i="1" s="1"/>
  <c r="D346" i="1"/>
  <c r="E346" i="1" s="1"/>
  <c r="D347" i="1"/>
  <c r="E347" i="1" s="1"/>
  <c r="D348" i="1"/>
  <c r="E348" i="1" s="1"/>
  <c r="D780" i="1"/>
  <c r="E780" i="1" s="1"/>
  <c r="D349" i="1"/>
  <c r="E349" i="1" s="1"/>
  <c r="D350" i="1"/>
  <c r="E350" i="1" s="1"/>
  <c r="D351" i="1"/>
  <c r="E351" i="1" s="1"/>
  <c r="D781" i="1"/>
  <c r="E781" i="1" s="1"/>
  <c r="D782" i="1"/>
  <c r="E782" i="1" s="1"/>
  <c r="D783" i="1"/>
  <c r="E783" i="1" s="1"/>
  <c r="D784" i="1"/>
  <c r="E784" i="1" s="1"/>
  <c r="D352" i="1"/>
  <c r="E352" i="1" s="1"/>
  <c r="D353" i="1"/>
  <c r="E353" i="1" s="1"/>
  <c r="D785" i="1"/>
  <c r="E785" i="1" s="1"/>
  <c r="D786" i="1"/>
  <c r="E786" i="1" s="1"/>
  <c r="D787" i="1"/>
  <c r="E787" i="1" s="1"/>
  <c r="D354" i="1"/>
  <c r="E354" i="1" s="1"/>
  <c r="D355" i="1"/>
  <c r="E355" i="1" s="1"/>
  <c r="D356" i="1"/>
  <c r="E356" i="1" s="1"/>
  <c r="D357" i="1"/>
  <c r="E357" i="1" s="1"/>
  <c r="D358" i="1"/>
  <c r="E358" i="1" s="1"/>
  <c r="D788" i="1"/>
  <c r="E788" i="1" s="1"/>
  <c r="D789" i="1"/>
  <c r="E789" i="1" s="1"/>
  <c r="D359" i="1"/>
  <c r="E359" i="1" s="1"/>
  <c r="D360" i="1"/>
  <c r="E360" i="1" s="1"/>
  <c r="D790" i="1"/>
  <c r="E790" i="1" s="1"/>
  <c r="D361" i="1"/>
  <c r="E361" i="1" s="1"/>
  <c r="D362" i="1"/>
  <c r="E362" i="1" s="1"/>
  <c r="D791" i="1"/>
  <c r="E791" i="1" s="1"/>
  <c r="D363" i="1"/>
  <c r="E363" i="1" s="1"/>
  <c r="D792" i="1"/>
  <c r="E792" i="1" s="1"/>
  <c r="D364" i="1"/>
  <c r="E364" i="1" s="1"/>
  <c r="D793" i="1"/>
  <c r="E793" i="1" s="1"/>
  <c r="D794" i="1"/>
  <c r="E794" i="1" s="1"/>
  <c r="D795" i="1"/>
  <c r="E795" i="1" s="1"/>
  <c r="D796" i="1"/>
  <c r="E796" i="1" s="1"/>
  <c r="D797" i="1"/>
  <c r="E797" i="1" s="1"/>
  <c r="D365" i="1"/>
  <c r="E365" i="1" s="1"/>
  <c r="D798" i="1"/>
  <c r="E798" i="1" s="1"/>
  <c r="D799" i="1"/>
  <c r="E799" i="1" s="1"/>
  <c r="D800" i="1"/>
  <c r="E800" i="1" s="1"/>
  <c r="D801" i="1"/>
  <c r="E801" i="1" s="1"/>
  <c r="D366" i="1"/>
  <c r="E366" i="1" s="1"/>
  <c r="D367" i="1"/>
  <c r="E367" i="1" s="1"/>
  <c r="D368" i="1"/>
  <c r="E368" i="1" s="1"/>
  <c r="D369" i="1"/>
  <c r="E369" i="1" s="1"/>
  <c r="D802" i="1"/>
  <c r="E802" i="1" s="1"/>
  <c r="D370" i="1"/>
  <c r="E370" i="1" s="1"/>
  <c r="D803" i="1"/>
  <c r="E803" i="1" s="1"/>
  <c r="D371" i="1"/>
  <c r="E371" i="1" s="1"/>
  <c r="D372" i="1"/>
  <c r="E372" i="1" s="1"/>
  <c r="D804" i="1"/>
  <c r="E804" i="1" s="1"/>
  <c r="D373" i="1"/>
  <c r="E373" i="1" s="1"/>
  <c r="D374" i="1"/>
  <c r="E374" i="1" s="1"/>
  <c r="D805" i="1"/>
  <c r="E805" i="1" s="1"/>
  <c r="D375" i="1"/>
  <c r="E375" i="1" s="1"/>
  <c r="D806" i="1"/>
  <c r="E806" i="1" s="1"/>
  <c r="D807" i="1"/>
  <c r="E807" i="1" s="1"/>
  <c r="D376" i="1"/>
  <c r="E376" i="1" s="1"/>
  <c r="D377" i="1"/>
  <c r="E377" i="1" s="1"/>
  <c r="D808" i="1"/>
  <c r="E808" i="1" s="1"/>
  <c r="D378" i="1"/>
  <c r="E378" i="1" s="1"/>
  <c r="D379" i="1"/>
  <c r="E379" i="1" s="1"/>
  <c r="D809" i="1"/>
  <c r="E809" i="1" s="1"/>
  <c r="D810" i="1"/>
  <c r="E810" i="1" s="1"/>
  <c r="D811" i="1"/>
  <c r="E811" i="1" s="1"/>
  <c r="D812" i="1"/>
  <c r="E812" i="1" s="1"/>
  <c r="D380" i="1"/>
  <c r="E380" i="1" s="1"/>
  <c r="D813" i="1"/>
  <c r="E813" i="1" s="1"/>
  <c r="D814" i="1"/>
  <c r="E814" i="1" s="1"/>
  <c r="D381" i="1"/>
  <c r="E381" i="1" s="1"/>
  <c r="D382" i="1"/>
  <c r="E382" i="1" s="1"/>
  <c r="D383" i="1"/>
  <c r="E383" i="1" s="1"/>
  <c r="D815" i="1"/>
  <c r="E815" i="1" s="1"/>
  <c r="D816" i="1"/>
  <c r="E816" i="1" s="1"/>
  <c r="D817" i="1"/>
  <c r="E817" i="1" s="1"/>
  <c r="D384" i="1"/>
  <c r="E384" i="1" s="1"/>
  <c r="D818" i="1"/>
  <c r="E818" i="1" s="1"/>
  <c r="D819" i="1"/>
  <c r="E819" i="1" s="1"/>
  <c r="D385" i="1"/>
  <c r="E385" i="1" s="1"/>
  <c r="D386" i="1"/>
  <c r="E386" i="1" s="1"/>
  <c r="D387" i="1"/>
  <c r="E387" i="1" s="1"/>
  <c r="D388" i="1"/>
  <c r="E388" i="1" s="1"/>
  <c r="D820" i="1"/>
  <c r="E820" i="1" s="1"/>
  <c r="D389" i="1"/>
  <c r="E389" i="1" s="1"/>
  <c r="D390" i="1"/>
  <c r="E390" i="1" s="1"/>
  <c r="D391" i="1"/>
  <c r="E391" i="1" s="1"/>
  <c r="D392" i="1"/>
  <c r="E392" i="1" s="1"/>
  <c r="D821" i="1"/>
  <c r="E821" i="1" s="1"/>
  <c r="D822" i="1"/>
  <c r="E822" i="1" s="1"/>
  <c r="D823" i="1"/>
  <c r="E823" i="1" s="1"/>
  <c r="D393" i="1"/>
  <c r="E393" i="1" s="1"/>
  <c r="D824" i="1"/>
  <c r="E824" i="1" s="1"/>
  <c r="D394" i="1"/>
  <c r="E394" i="1" s="1"/>
  <c r="D825" i="1"/>
  <c r="E825" i="1" s="1"/>
  <c r="D826" i="1"/>
  <c r="E826" i="1" s="1"/>
  <c r="D827" i="1"/>
  <c r="E827" i="1" s="1"/>
  <c r="D828" i="1"/>
  <c r="E828" i="1" s="1"/>
  <c r="D829" i="1"/>
  <c r="E829" i="1" s="1"/>
  <c r="D395" i="1"/>
  <c r="E395" i="1" s="1"/>
  <c r="D830" i="1"/>
  <c r="E830" i="1" s="1"/>
  <c r="D396" i="1"/>
  <c r="E396" i="1" s="1"/>
  <c r="D831" i="1"/>
  <c r="E831" i="1" s="1"/>
  <c r="D397" i="1"/>
  <c r="E397" i="1" s="1"/>
  <c r="D832" i="1"/>
  <c r="E832" i="1" s="1"/>
  <c r="D398" i="1"/>
  <c r="E398" i="1" s="1"/>
  <c r="D833" i="1"/>
  <c r="E833" i="1" s="1"/>
  <c r="D399" i="1"/>
  <c r="E399" i="1" s="1"/>
  <c r="D400" i="1"/>
  <c r="E400" i="1" s="1"/>
  <c r="D401" i="1"/>
  <c r="E401" i="1" s="1"/>
  <c r="D834" i="1"/>
  <c r="E834" i="1" s="1"/>
  <c r="D835" i="1"/>
  <c r="E835" i="1" s="1"/>
  <c r="D402" i="1"/>
  <c r="E402" i="1" s="1"/>
  <c r="D403" i="1"/>
  <c r="E403" i="1" s="1"/>
  <c r="D404" i="1"/>
  <c r="E404" i="1" s="1"/>
  <c r="D405" i="1"/>
  <c r="E405" i="1" s="1"/>
  <c r="D406" i="1"/>
  <c r="E406" i="1" s="1"/>
  <c r="D407" i="1"/>
  <c r="E407" i="1" s="1"/>
  <c r="D408" i="1"/>
  <c r="E408" i="1" s="1"/>
  <c r="D836" i="1"/>
  <c r="E836" i="1" s="1"/>
  <c r="D409" i="1"/>
  <c r="E409" i="1" s="1"/>
  <c r="D410" i="1"/>
  <c r="E410" i="1" s="1"/>
  <c r="D837" i="1"/>
  <c r="E837" i="1" s="1"/>
  <c r="D411" i="1"/>
  <c r="E411" i="1" s="1"/>
  <c r="D838" i="1"/>
  <c r="E838" i="1" s="1"/>
  <c r="D839" i="1"/>
  <c r="E839" i="1" s="1"/>
  <c r="D412" i="1"/>
  <c r="E412" i="1" s="1"/>
  <c r="D840" i="1"/>
  <c r="E840" i="1" s="1"/>
  <c r="D413" i="1"/>
  <c r="E413" i="1" s="1"/>
  <c r="D414" i="1"/>
  <c r="E414" i="1" s="1"/>
  <c r="D415" i="1"/>
  <c r="E415" i="1" s="1"/>
  <c r="D841" i="1"/>
  <c r="E841" i="1" s="1"/>
  <c r="D842" i="1"/>
  <c r="E842" i="1" s="1"/>
  <c r="D416" i="1"/>
  <c r="E416" i="1" s="1"/>
  <c r="D417" i="1"/>
  <c r="E417" i="1" s="1"/>
  <c r="D843" i="1"/>
  <c r="E843" i="1" s="1"/>
  <c r="D844" i="1"/>
  <c r="E844" i="1" s="1"/>
  <c r="D418" i="1"/>
  <c r="E418" i="1" s="1"/>
  <c r="D845" i="1"/>
  <c r="E845" i="1" s="1"/>
  <c r="D419" i="1"/>
  <c r="E419" i="1" s="1"/>
  <c r="D420" i="1"/>
  <c r="E420" i="1" s="1"/>
  <c r="D421" i="1"/>
  <c r="E421" i="1" s="1"/>
  <c r="D846" i="1"/>
  <c r="E846" i="1" s="1"/>
  <c r="D422" i="1"/>
  <c r="E422" i="1" s="1"/>
  <c r="D847" i="1"/>
  <c r="E847" i="1" s="1"/>
  <c r="D848" i="1"/>
  <c r="E848" i="1" s="1"/>
  <c r="D849" i="1"/>
  <c r="E849" i="1" s="1"/>
  <c r="D423" i="1"/>
  <c r="E423" i="1" s="1"/>
  <c r="D424" i="1"/>
  <c r="E424" i="1" s="1"/>
  <c r="D850" i="1"/>
  <c r="E850" i="1" s="1"/>
  <c r="D425" i="1"/>
  <c r="E425" i="1" s="1"/>
  <c r="D426" i="1"/>
  <c r="E426" i="1" s="1"/>
  <c r="D427" i="1"/>
  <c r="E427" i="1" s="1"/>
  <c r="D851" i="1"/>
  <c r="E851" i="1" s="1"/>
  <c r="D852" i="1"/>
  <c r="E852" i="1" s="1"/>
  <c r="D853" i="1"/>
  <c r="E853" i="1" s="1"/>
  <c r="D428" i="1"/>
  <c r="E428" i="1" s="1"/>
  <c r="D854" i="1"/>
  <c r="E854" i="1" s="1"/>
  <c r="D429" i="1"/>
  <c r="E429" i="1" s="1"/>
  <c r="D430" i="1"/>
  <c r="E430" i="1" s="1"/>
  <c r="D431" i="1"/>
  <c r="E431" i="1" s="1"/>
  <c r="D432" i="1"/>
  <c r="E432" i="1" s="1"/>
  <c r="D433" i="1"/>
  <c r="E433" i="1" s="1"/>
  <c r="D855" i="1"/>
  <c r="E855" i="1" s="1"/>
  <c r="D434" i="1"/>
  <c r="E434" i="1" s="1"/>
  <c r="D856" i="1"/>
  <c r="E856" i="1" s="1"/>
  <c r="D435" i="1"/>
  <c r="E435" i="1" s="1"/>
  <c r="D857" i="1"/>
  <c r="E857" i="1" s="1"/>
  <c r="D436" i="1"/>
  <c r="E436" i="1" s="1"/>
  <c r="D437" i="1"/>
  <c r="E437" i="1" s="1"/>
  <c r="D858" i="1"/>
  <c r="E858" i="1" s="1"/>
  <c r="D438" i="1"/>
  <c r="E438" i="1" s="1"/>
  <c r="D439" i="1"/>
  <c r="E439" i="1" s="1"/>
  <c r="D859" i="1"/>
  <c r="E859" i="1" s="1"/>
  <c r="D440" i="1"/>
  <c r="E440" i="1" s="1"/>
  <c r="D860" i="1"/>
  <c r="E860" i="1" s="1"/>
  <c r="D441" i="1"/>
  <c r="E441" i="1" s="1"/>
  <c r="D442" i="1"/>
  <c r="E442" i="1" s="1"/>
  <c r="D443" i="1"/>
  <c r="E443" i="1" s="1"/>
  <c r="D861" i="1"/>
  <c r="E861" i="1" s="1"/>
  <c r="D444" i="1"/>
  <c r="E444" i="1" s="1"/>
  <c r="D445" i="1"/>
  <c r="E445" i="1" s="1"/>
  <c r="D862" i="1"/>
  <c r="E862" i="1" s="1"/>
  <c r="D863" i="1"/>
  <c r="E863" i="1" s="1"/>
  <c r="D446" i="1"/>
  <c r="E446" i="1" s="1"/>
  <c r="D864" i="1"/>
  <c r="E864" i="1" s="1"/>
  <c r="D865" i="1"/>
  <c r="E865" i="1" s="1"/>
  <c r="D447" i="1"/>
  <c r="E447" i="1" s="1"/>
  <c r="D866" i="1"/>
  <c r="E866" i="1" s="1"/>
  <c r="D867" i="1"/>
  <c r="E867" i="1" s="1"/>
  <c r="D868" i="1"/>
  <c r="E868" i="1" s="1"/>
  <c r="D448" i="1"/>
  <c r="E448" i="1" s="1"/>
  <c r="D449" i="1"/>
  <c r="E449" i="1" s="1"/>
  <c r="D450" i="1"/>
  <c r="E450" i="1" s="1"/>
  <c r="D869" i="1"/>
  <c r="E869" i="1" s="1"/>
  <c r="D870" i="1"/>
  <c r="E870" i="1" s="1"/>
  <c r="D451" i="1"/>
  <c r="E451" i="1" s="1"/>
  <c r="D452" i="1"/>
  <c r="E452" i="1" s="1"/>
  <c r="D871" i="1"/>
  <c r="E871" i="1" s="1"/>
  <c r="D453" i="1"/>
  <c r="E453" i="1" s="1"/>
  <c r="D454" i="1"/>
  <c r="E454" i="1" s="1"/>
  <c r="D872" i="1"/>
  <c r="E872" i="1" s="1"/>
  <c r="D455" i="1"/>
  <c r="E455" i="1" s="1"/>
  <c r="D456" i="1"/>
  <c r="E456" i="1" s="1"/>
  <c r="D873" i="1"/>
  <c r="E873" i="1" s="1"/>
  <c r="D874" i="1"/>
  <c r="E874" i="1" s="1"/>
  <c r="D875" i="1"/>
  <c r="E875" i="1" s="1"/>
  <c r="D876" i="1"/>
  <c r="E876" i="1" s="1"/>
  <c r="D457" i="1"/>
  <c r="E457" i="1" s="1"/>
  <c r="D877" i="1"/>
  <c r="E877" i="1" s="1"/>
  <c r="D458" i="1"/>
  <c r="E458" i="1" s="1"/>
  <c r="D878" i="1"/>
  <c r="E878" i="1" s="1"/>
  <c r="D879" i="1"/>
  <c r="E879" i="1" s="1"/>
  <c r="D880" i="1"/>
  <c r="E880" i="1" s="1"/>
  <c r="D459" i="1"/>
  <c r="E459" i="1" s="1"/>
  <c r="D460" i="1"/>
  <c r="E460" i="1" s="1"/>
  <c r="D881" i="1"/>
  <c r="E881" i="1" s="1"/>
  <c r="D461" i="1"/>
  <c r="E461" i="1" s="1"/>
  <c r="D882" i="1"/>
  <c r="E882" i="1" s="1"/>
  <c r="D883" i="1"/>
  <c r="E883" i="1" s="1"/>
  <c r="D462" i="1"/>
  <c r="E462" i="1" s="1"/>
  <c r="D884" i="1"/>
  <c r="E884" i="1" s="1"/>
  <c r="D885" i="1"/>
  <c r="E885" i="1" s="1"/>
  <c r="D463" i="1"/>
  <c r="E463" i="1" s="1"/>
  <c r="D886" i="1"/>
  <c r="E886" i="1" s="1"/>
  <c r="D887" i="1"/>
  <c r="E887" i="1" s="1"/>
  <c r="D464" i="1"/>
  <c r="E464" i="1" s="1"/>
  <c r="D465" i="1"/>
  <c r="E465" i="1" s="1"/>
  <c r="D888" i="1"/>
  <c r="E888" i="1" s="1"/>
  <c r="D889" i="1"/>
  <c r="E889" i="1" s="1"/>
  <c r="D466" i="1"/>
  <c r="E466" i="1" s="1"/>
  <c r="D467" i="1"/>
  <c r="E467" i="1" s="1"/>
  <c r="D468" i="1"/>
  <c r="E468" i="1" s="1"/>
  <c r="D469" i="1"/>
  <c r="E469" i="1" s="1"/>
  <c r="D890" i="1"/>
  <c r="E890" i="1" s="1"/>
  <c r="D891" i="1"/>
  <c r="E891" i="1" s="1"/>
  <c r="D470" i="1"/>
  <c r="E470" i="1" s="1"/>
  <c r="D471" i="1"/>
  <c r="E471" i="1" s="1"/>
  <c r="D472" i="1"/>
  <c r="E472" i="1" s="1"/>
  <c r="D473" i="1"/>
  <c r="E473" i="1" s="1"/>
  <c r="D474" i="1"/>
  <c r="E474" i="1" s="1"/>
  <c r="D475" i="1"/>
  <c r="E475" i="1" s="1"/>
  <c r="D892" i="1"/>
  <c r="E892" i="1" s="1"/>
  <c r="D893" i="1"/>
  <c r="E893" i="1" s="1"/>
  <c r="D894" i="1"/>
  <c r="E894" i="1" s="1"/>
  <c r="D895" i="1"/>
  <c r="E895" i="1" s="1"/>
  <c r="D896" i="1"/>
  <c r="E896" i="1" s="1"/>
  <c r="D897" i="1"/>
  <c r="E897" i="1" s="1"/>
  <c r="D476" i="1"/>
  <c r="E476" i="1" s="1"/>
  <c r="D898" i="1"/>
  <c r="E898" i="1" s="1"/>
  <c r="D899" i="1"/>
  <c r="E899" i="1" s="1"/>
  <c r="D900" i="1"/>
  <c r="E900" i="1" s="1"/>
  <c r="D477" i="1"/>
  <c r="E477" i="1" s="1"/>
  <c r="D478" i="1"/>
  <c r="E478" i="1" s="1"/>
  <c r="D901" i="1"/>
  <c r="E901" i="1" s="1"/>
  <c r="D902" i="1"/>
  <c r="E902" i="1" s="1"/>
  <c r="D479" i="1"/>
  <c r="E479" i="1" s="1"/>
  <c r="D480" i="1"/>
  <c r="E480" i="1" s="1"/>
  <c r="D903" i="1"/>
  <c r="E903" i="1" s="1"/>
  <c r="D481" i="1"/>
  <c r="E481" i="1" s="1"/>
  <c r="D904" i="1"/>
  <c r="E904" i="1" s="1"/>
  <c r="D482" i="1"/>
  <c r="E482" i="1" s="1"/>
  <c r="D483" i="1"/>
  <c r="E483" i="1" s="1"/>
  <c r="D905" i="1"/>
  <c r="E905" i="1" s="1"/>
  <c r="D906" i="1"/>
  <c r="E906" i="1" s="1"/>
  <c r="D907" i="1"/>
  <c r="E907" i="1" s="1"/>
  <c r="D484" i="1"/>
  <c r="E484" i="1" s="1"/>
  <c r="D908" i="1"/>
  <c r="E908" i="1" s="1"/>
  <c r="D485" i="1"/>
  <c r="E485" i="1" s="1"/>
  <c r="D909" i="1"/>
  <c r="E909" i="1" s="1"/>
  <c r="D910" i="1"/>
  <c r="E910" i="1" s="1"/>
  <c r="D486" i="1"/>
  <c r="E486" i="1" s="1"/>
  <c r="D487" i="1"/>
  <c r="E487" i="1" s="1"/>
  <c r="D911" i="1"/>
  <c r="E911" i="1" s="1"/>
  <c r="D488" i="1"/>
  <c r="E488" i="1" s="1"/>
  <c r="D489" i="1"/>
  <c r="E489" i="1" s="1"/>
  <c r="D490" i="1"/>
  <c r="E490" i="1" s="1"/>
  <c r="D491" i="1"/>
  <c r="E491" i="1" s="1"/>
  <c r="D912" i="1"/>
  <c r="E912" i="1" s="1"/>
  <c r="D492" i="1"/>
  <c r="E492" i="1" s="1"/>
  <c r="D913" i="1"/>
  <c r="E913" i="1" s="1"/>
  <c r="D190" i="1"/>
  <c r="E190" i="1" s="1"/>
  <c r="D528" i="1"/>
  <c r="E528" i="1" s="1"/>
  <c r="D668" i="1"/>
  <c r="E668" i="1" s="1"/>
  <c r="D596" i="1"/>
  <c r="E596" i="1" s="1"/>
  <c r="D637" i="1"/>
  <c r="E637" i="1" s="1"/>
  <c r="D567" i="1"/>
  <c r="E567" i="1" s="1"/>
  <c r="D234" i="1"/>
  <c r="E234" i="1" s="1"/>
  <c r="D758" i="1"/>
  <c r="E758" i="1" s="1"/>
  <c r="D89" i="1"/>
  <c r="E89" i="1" s="1"/>
  <c r="D156" i="1"/>
  <c r="E156" i="1" s="1"/>
  <c r="D78" i="1"/>
  <c r="E78" i="1" s="1"/>
  <c r="D647" i="1"/>
  <c r="E647" i="1" s="1"/>
  <c r="E7" i="2" l="1"/>
  <c r="AE7" i="2"/>
  <c r="E13" i="2"/>
  <c r="AE13" i="2"/>
  <c r="E19" i="2"/>
  <c r="AE19" i="2"/>
  <c r="E25" i="2"/>
  <c r="AE25" i="2"/>
  <c r="E31" i="2"/>
  <c r="AE31" i="2"/>
  <c r="E37" i="2"/>
  <c r="AE37" i="2"/>
  <c r="E43" i="2"/>
  <c r="AE43" i="2"/>
  <c r="E49" i="2"/>
  <c r="AE49" i="2"/>
  <c r="E55" i="2"/>
  <c r="AE55" i="2"/>
  <c r="E61" i="2"/>
  <c r="AE61" i="2"/>
  <c r="E67" i="2"/>
  <c r="AE67" i="2"/>
  <c r="E73" i="2"/>
  <c r="AE73" i="2"/>
  <c r="E79" i="2"/>
  <c r="AE79" i="2"/>
  <c r="E85" i="2"/>
  <c r="AE85" i="2"/>
  <c r="E91" i="2"/>
  <c r="AE91" i="2"/>
  <c r="E97" i="2"/>
  <c r="AE97" i="2"/>
  <c r="E103" i="2"/>
  <c r="AE103" i="2"/>
  <c r="E109" i="2"/>
  <c r="AE109" i="2"/>
  <c r="E115" i="2"/>
  <c r="AE115" i="2"/>
  <c r="E121" i="2"/>
  <c r="AE121" i="2"/>
  <c r="E127" i="2"/>
  <c r="AE127" i="2"/>
  <c r="E133" i="2"/>
  <c r="AE133" i="2"/>
  <c r="E139" i="2"/>
  <c r="AE139" i="2"/>
  <c r="E145" i="2"/>
  <c r="AE145" i="2"/>
  <c r="E151" i="2"/>
  <c r="AE151" i="2"/>
  <c r="E157" i="2"/>
  <c r="AE157" i="2"/>
  <c r="E163" i="2"/>
  <c r="AE163" i="2"/>
  <c r="E169" i="2"/>
  <c r="AE169" i="2"/>
  <c r="E175" i="2"/>
  <c r="AE175" i="2"/>
  <c r="E181" i="2"/>
  <c r="AE181" i="2"/>
  <c r="E187" i="2"/>
  <c r="AE187" i="2"/>
  <c r="E193" i="2"/>
  <c r="AE193" i="2"/>
  <c r="E199" i="2"/>
  <c r="AE199" i="2"/>
  <c r="E205" i="2"/>
  <c r="AE205" i="2"/>
  <c r="E211" i="2"/>
  <c r="AE211" i="2"/>
  <c r="E217" i="2"/>
  <c r="AE217" i="2"/>
  <c r="E223" i="2"/>
  <c r="AE223" i="2"/>
  <c r="E229" i="2"/>
  <c r="AE229" i="2"/>
  <c r="E235" i="2"/>
  <c r="AE235" i="2"/>
  <c r="E241" i="2"/>
  <c r="AE241" i="2"/>
  <c r="E247" i="2"/>
  <c r="AE247" i="2"/>
  <c r="E253" i="2"/>
  <c r="AE253" i="2"/>
  <c r="E259" i="2"/>
  <c r="AE259" i="2"/>
  <c r="E265" i="2"/>
  <c r="AE265" i="2"/>
  <c r="E271" i="2"/>
  <c r="AE271" i="2"/>
  <c r="E277" i="2"/>
  <c r="AE277" i="2"/>
  <c r="E283" i="2"/>
  <c r="AE283" i="2"/>
  <c r="E289" i="2"/>
  <c r="AE289" i="2"/>
  <c r="E295" i="2"/>
  <c r="AE295" i="2"/>
  <c r="E301" i="2"/>
  <c r="AE301" i="2"/>
  <c r="E307" i="2"/>
  <c r="AE307" i="2"/>
  <c r="E313" i="2"/>
  <c r="AE313" i="2"/>
  <c r="E319" i="2"/>
  <c r="AE319" i="2"/>
  <c r="E325" i="2"/>
  <c r="AE325" i="2"/>
  <c r="E331" i="2"/>
  <c r="AE331" i="2"/>
  <c r="E337" i="2"/>
  <c r="AE337" i="2"/>
  <c r="E343" i="2"/>
  <c r="AE343" i="2"/>
  <c r="E349" i="2"/>
  <c r="AE349" i="2"/>
  <c r="E355" i="2"/>
  <c r="AE355" i="2"/>
  <c r="E361" i="2"/>
  <c r="AE361" i="2"/>
  <c r="E367" i="2"/>
  <c r="AE367" i="2"/>
  <c r="E373" i="2"/>
  <c r="AE373" i="2"/>
  <c r="E379" i="2"/>
  <c r="AE379" i="2"/>
  <c r="E385" i="2"/>
  <c r="AE385" i="2"/>
  <c r="E391" i="2"/>
  <c r="AE391" i="2"/>
  <c r="E397" i="2"/>
  <c r="AE397" i="2"/>
  <c r="E403" i="2"/>
  <c r="AE403" i="2"/>
  <c r="E409" i="2"/>
  <c r="AE409" i="2"/>
  <c r="E415" i="2"/>
  <c r="AE415" i="2"/>
  <c r="E421" i="2"/>
  <c r="AE421" i="2"/>
  <c r="E427" i="2"/>
  <c r="AE427" i="2"/>
  <c r="E8" i="2"/>
  <c r="AE8" i="2"/>
  <c r="E14" i="2"/>
  <c r="AE14" i="2"/>
  <c r="E20" i="2"/>
  <c r="AE20" i="2"/>
  <c r="E26" i="2"/>
  <c r="AE26" i="2"/>
  <c r="E32" i="2"/>
  <c r="AE32" i="2"/>
  <c r="E38" i="2"/>
  <c r="AE38" i="2"/>
  <c r="E44" i="2"/>
  <c r="AE44" i="2"/>
  <c r="E50" i="2"/>
  <c r="AE50" i="2"/>
  <c r="E56" i="2"/>
  <c r="AE56" i="2"/>
  <c r="E62" i="2"/>
  <c r="AE62" i="2"/>
  <c r="E68" i="2"/>
  <c r="AE68" i="2"/>
  <c r="E74" i="2"/>
  <c r="AE74" i="2"/>
  <c r="E80" i="2"/>
  <c r="AE80" i="2"/>
  <c r="E86" i="2"/>
  <c r="AE86" i="2"/>
  <c r="E92" i="2"/>
  <c r="AE92" i="2"/>
  <c r="E98" i="2"/>
  <c r="AE98" i="2"/>
  <c r="E104" i="2"/>
  <c r="AE104" i="2"/>
  <c r="E110" i="2"/>
  <c r="AE110" i="2"/>
  <c r="E116" i="2"/>
  <c r="AE116" i="2"/>
  <c r="E122" i="2"/>
  <c r="AE122" i="2"/>
  <c r="E128" i="2"/>
  <c r="AE128" i="2"/>
  <c r="E134" i="2"/>
  <c r="AE134" i="2"/>
  <c r="E140" i="2"/>
  <c r="AE140" i="2"/>
  <c r="E146" i="2"/>
  <c r="AE146" i="2"/>
  <c r="E152" i="2"/>
  <c r="AE152" i="2"/>
  <c r="E158" i="2"/>
  <c r="AE158" i="2"/>
  <c r="E164" i="2"/>
  <c r="AE164" i="2"/>
  <c r="E170" i="2"/>
  <c r="AE170" i="2"/>
  <c r="E176" i="2"/>
  <c r="AE176" i="2"/>
  <c r="E182" i="2"/>
  <c r="AE182" i="2"/>
  <c r="E188" i="2"/>
  <c r="AE188" i="2"/>
  <c r="E194" i="2"/>
  <c r="AE194" i="2"/>
  <c r="E3" i="2"/>
  <c r="AE3" i="2"/>
  <c r="E9" i="2"/>
  <c r="AE9" i="2"/>
  <c r="E15" i="2"/>
  <c r="AE15" i="2"/>
  <c r="E21" i="2"/>
  <c r="AE21" i="2"/>
  <c r="E27" i="2"/>
  <c r="AE27" i="2"/>
  <c r="E33" i="2"/>
  <c r="AE33" i="2"/>
  <c r="E39" i="2"/>
  <c r="AE39" i="2"/>
  <c r="E45" i="2"/>
  <c r="AE45" i="2"/>
  <c r="E51" i="2"/>
  <c r="AE51" i="2"/>
  <c r="E57" i="2"/>
  <c r="AE57" i="2"/>
  <c r="E63" i="2"/>
  <c r="AE63" i="2"/>
  <c r="E69" i="2"/>
  <c r="AE69" i="2"/>
  <c r="E75" i="2"/>
  <c r="AE75" i="2"/>
  <c r="E81" i="2"/>
  <c r="AE81" i="2"/>
  <c r="E87" i="2"/>
  <c r="AE87" i="2"/>
  <c r="E93" i="2"/>
  <c r="AE93" i="2"/>
  <c r="E99" i="2"/>
  <c r="AE99" i="2"/>
  <c r="E105" i="2"/>
  <c r="AE105" i="2"/>
  <c r="E111" i="2"/>
  <c r="AE111" i="2"/>
  <c r="E117" i="2"/>
  <c r="AE117" i="2"/>
  <c r="E123" i="2"/>
  <c r="AE123" i="2"/>
  <c r="E129" i="2"/>
  <c r="AE129" i="2"/>
  <c r="E135" i="2"/>
  <c r="AE135" i="2"/>
  <c r="E141" i="2"/>
  <c r="AE141" i="2"/>
  <c r="E147" i="2"/>
  <c r="AE147" i="2"/>
  <c r="E153" i="2"/>
  <c r="AE153" i="2"/>
  <c r="E159" i="2"/>
  <c r="AE159" i="2"/>
  <c r="E165" i="2"/>
  <c r="AE165" i="2"/>
  <c r="E171" i="2"/>
  <c r="AE171" i="2"/>
  <c r="E177" i="2"/>
  <c r="AE177" i="2"/>
  <c r="E183" i="2"/>
  <c r="AE183" i="2"/>
  <c r="E189" i="2"/>
  <c r="AE189" i="2"/>
  <c r="E195" i="2"/>
  <c r="AE195" i="2"/>
  <c r="E201" i="2"/>
  <c r="AE201" i="2"/>
  <c r="E207" i="2"/>
  <c r="AE207" i="2"/>
  <c r="E213" i="2"/>
  <c r="AE213" i="2"/>
  <c r="E219" i="2"/>
  <c r="AE219" i="2"/>
  <c r="E225" i="2"/>
  <c r="AE225" i="2"/>
  <c r="E231" i="2"/>
  <c r="AE231" i="2"/>
  <c r="E237" i="2"/>
  <c r="AE237" i="2"/>
  <c r="E243" i="2"/>
  <c r="AE243" i="2"/>
  <c r="E249" i="2"/>
  <c r="AE249" i="2"/>
  <c r="E255" i="2"/>
  <c r="AE255" i="2"/>
  <c r="E261" i="2"/>
  <c r="AE261" i="2"/>
  <c r="E267" i="2"/>
  <c r="AE267" i="2"/>
  <c r="E273" i="2"/>
  <c r="AE273" i="2"/>
  <c r="E279" i="2"/>
  <c r="AE279" i="2"/>
  <c r="E285" i="2"/>
  <c r="AE285" i="2"/>
  <c r="E291" i="2"/>
  <c r="AE291" i="2"/>
  <c r="E297" i="2"/>
  <c r="AE297" i="2"/>
  <c r="E303" i="2"/>
  <c r="AE303" i="2"/>
  <c r="E309" i="2"/>
  <c r="AE309" i="2"/>
  <c r="E315" i="2"/>
  <c r="AE315" i="2"/>
  <c r="E321" i="2"/>
  <c r="AE321" i="2"/>
  <c r="E327" i="2"/>
  <c r="AE327" i="2"/>
  <c r="E333" i="2"/>
  <c r="AE333" i="2"/>
  <c r="E339" i="2"/>
  <c r="AE339" i="2"/>
  <c r="E345" i="2"/>
  <c r="AE345" i="2"/>
  <c r="E351" i="2"/>
  <c r="AE351" i="2"/>
  <c r="E357" i="2"/>
  <c r="AE357" i="2"/>
  <c r="E363" i="2"/>
  <c r="AE363" i="2"/>
  <c r="E369" i="2"/>
  <c r="AE369" i="2"/>
  <c r="E375" i="2"/>
  <c r="AE375" i="2"/>
  <c r="E381" i="2"/>
  <c r="AE381" i="2"/>
  <c r="E387" i="2"/>
  <c r="AE387" i="2"/>
  <c r="E393" i="2"/>
  <c r="AE393" i="2"/>
  <c r="E399" i="2"/>
  <c r="AE399" i="2"/>
  <c r="E405" i="2"/>
  <c r="AE405" i="2"/>
  <c r="E411" i="2"/>
  <c r="AE411" i="2"/>
  <c r="E417" i="2"/>
  <c r="AE417" i="2"/>
  <c r="E423" i="2"/>
  <c r="AE423" i="2"/>
  <c r="E429" i="2"/>
  <c r="AE429" i="2"/>
  <c r="E435" i="2"/>
  <c r="AE435" i="2"/>
  <c r="E441" i="2"/>
  <c r="AE441" i="2"/>
  <c r="E447" i="2"/>
  <c r="AE447" i="2"/>
  <c r="E453" i="2"/>
  <c r="AE453" i="2"/>
  <c r="E459" i="2"/>
  <c r="AE459" i="2"/>
  <c r="E465" i="2"/>
  <c r="AE465" i="2"/>
  <c r="E471" i="2"/>
  <c r="AE471" i="2"/>
  <c r="E477" i="2"/>
  <c r="AE477" i="2"/>
  <c r="E483" i="2"/>
  <c r="AE483" i="2"/>
  <c r="E489" i="2"/>
  <c r="AE489" i="2"/>
  <c r="E495" i="2"/>
  <c r="AE495" i="2"/>
  <c r="E501" i="2"/>
  <c r="AE501" i="2"/>
  <c r="E507" i="2"/>
  <c r="AE507" i="2"/>
  <c r="E513" i="2"/>
  <c r="AE513" i="2"/>
  <c r="E519" i="2"/>
  <c r="AE519" i="2"/>
  <c r="E525" i="2"/>
  <c r="AE525" i="2"/>
  <c r="E531" i="2"/>
  <c r="AE531" i="2"/>
  <c r="E537" i="2"/>
  <c r="AE537" i="2"/>
  <c r="E543" i="2"/>
  <c r="AE543" i="2"/>
  <c r="E549" i="2"/>
  <c r="AE549" i="2"/>
  <c r="E555" i="2"/>
  <c r="AE555" i="2"/>
  <c r="E561" i="2"/>
  <c r="AE561" i="2"/>
  <c r="E567" i="2"/>
  <c r="AE567" i="2"/>
  <c r="E573" i="2"/>
  <c r="AE573" i="2"/>
  <c r="E579" i="2"/>
  <c r="AE579" i="2"/>
  <c r="E585" i="2"/>
  <c r="AE585" i="2"/>
  <c r="E591" i="2"/>
  <c r="AE591" i="2"/>
  <c r="E597" i="2"/>
  <c r="AE597" i="2"/>
  <c r="E603" i="2"/>
  <c r="AE603" i="2"/>
  <c r="E609" i="2"/>
  <c r="AE609" i="2"/>
  <c r="E615" i="2"/>
  <c r="AE615" i="2"/>
  <c r="E621" i="2"/>
  <c r="AE621" i="2"/>
  <c r="E627" i="2"/>
  <c r="AE627" i="2"/>
  <c r="E633" i="2"/>
  <c r="AE633" i="2"/>
  <c r="E639" i="2"/>
  <c r="AE639" i="2"/>
  <c r="E645" i="2"/>
  <c r="AE645" i="2"/>
  <c r="E651" i="2"/>
  <c r="AE651" i="2"/>
  <c r="E657" i="2"/>
  <c r="AE657" i="2"/>
  <c r="E663" i="2"/>
  <c r="AE663" i="2"/>
  <c r="E669" i="2"/>
  <c r="AE669" i="2"/>
  <c r="E675" i="2"/>
  <c r="AE675" i="2"/>
  <c r="E681" i="2"/>
  <c r="AE681" i="2"/>
  <c r="E687" i="2"/>
  <c r="AE687" i="2"/>
  <c r="E693" i="2"/>
  <c r="AE693" i="2"/>
  <c r="E4" i="2"/>
  <c r="AE4" i="2"/>
  <c r="E10" i="2"/>
  <c r="AE10" i="2"/>
  <c r="E16" i="2"/>
  <c r="AE16" i="2"/>
  <c r="E22" i="2"/>
  <c r="AE22" i="2"/>
  <c r="E28" i="2"/>
  <c r="AE28" i="2"/>
  <c r="E34" i="2"/>
  <c r="AE34" i="2"/>
  <c r="E40" i="2"/>
  <c r="AE40" i="2"/>
  <c r="E46" i="2"/>
  <c r="AE46" i="2"/>
  <c r="E52" i="2"/>
  <c r="AE52" i="2"/>
  <c r="E58" i="2"/>
  <c r="AE58" i="2"/>
  <c r="E64" i="2"/>
  <c r="AE64" i="2"/>
  <c r="E70" i="2"/>
  <c r="AE70" i="2"/>
  <c r="E76" i="2"/>
  <c r="AE76" i="2"/>
  <c r="E82" i="2"/>
  <c r="AE82" i="2"/>
  <c r="E88" i="2"/>
  <c r="AE88" i="2"/>
  <c r="E94" i="2"/>
  <c r="AE94" i="2"/>
  <c r="E100" i="2"/>
  <c r="AE100" i="2"/>
  <c r="E106" i="2"/>
  <c r="AE106" i="2"/>
  <c r="E112" i="2"/>
  <c r="AE112" i="2"/>
  <c r="E118" i="2"/>
  <c r="AE118" i="2"/>
  <c r="E124" i="2"/>
  <c r="AE124" i="2"/>
  <c r="E130" i="2"/>
  <c r="AE130" i="2"/>
  <c r="E136" i="2"/>
  <c r="AE136" i="2"/>
  <c r="E142" i="2"/>
  <c r="AE142" i="2"/>
  <c r="E148" i="2"/>
  <c r="AE148" i="2"/>
  <c r="E154" i="2"/>
  <c r="AE154" i="2"/>
  <c r="E160" i="2"/>
  <c r="AE160" i="2"/>
  <c r="E166" i="2"/>
  <c r="AE166" i="2"/>
  <c r="E172" i="2"/>
  <c r="AE172" i="2"/>
  <c r="E178" i="2"/>
  <c r="AE178" i="2"/>
  <c r="E184" i="2"/>
  <c r="AE184" i="2"/>
  <c r="E190" i="2"/>
  <c r="AE190" i="2"/>
  <c r="E196" i="2"/>
  <c r="AE196" i="2"/>
  <c r="E202" i="2"/>
  <c r="AE202" i="2"/>
  <c r="E208" i="2"/>
  <c r="AE208" i="2"/>
  <c r="E214" i="2"/>
  <c r="AE214" i="2"/>
  <c r="E220" i="2"/>
  <c r="AE220" i="2"/>
  <c r="E226" i="2"/>
  <c r="AE226" i="2"/>
  <c r="E232" i="2"/>
  <c r="AE232" i="2"/>
  <c r="E238" i="2"/>
  <c r="AE238" i="2"/>
  <c r="E244" i="2"/>
  <c r="AE244" i="2"/>
  <c r="E250" i="2"/>
  <c r="AE250" i="2"/>
  <c r="E256" i="2"/>
  <c r="AE256" i="2"/>
  <c r="E262" i="2"/>
  <c r="AE262" i="2"/>
  <c r="E268" i="2"/>
  <c r="AE268" i="2"/>
  <c r="E274" i="2"/>
  <c r="AE274" i="2"/>
  <c r="E280" i="2"/>
  <c r="AE280" i="2"/>
  <c r="E286" i="2"/>
  <c r="AE286" i="2"/>
  <c r="E292" i="2"/>
  <c r="AE292" i="2"/>
  <c r="E298" i="2"/>
  <c r="AE298" i="2"/>
  <c r="E304" i="2"/>
  <c r="AE304" i="2"/>
  <c r="E310" i="2"/>
  <c r="AE310" i="2"/>
  <c r="E316" i="2"/>
  <c r="AE316" i="2"/>
  <c r="E322" i="2"/>
  <c r="AE322" i="2"/>
  <c r="E328" i="2"/>
  <c r="AE328" i="2"/>
  <c r="E334" i="2"/>
  <c r="AE334" i="2"/>
  <c r="E340" i="2"/>
  <c r="AE340" i="2"/>
  <c r="E346" i="2"/>
  <c r="AE346" i="2"/>
  <c r="E352" i="2"/>
  <c r="AE352" i="2"/>
  <c r="E358" i="2"/>
  <c r="AE358" i="2"/>
  <c r="E364" i="2"/>
  <c r="AE364" i="2"/>
  <c r="E370" i="2"/>
  <c r="AE370" i="2"/>
  <c r="E376" i="2"/>
  <c r="AE376" i="2"/>
  <c r="E382" i="2"/>
  <c r="AE382" i="2"/>
  <c r="E388" i="2"/>
  <c r="AE388" i="2"/>
  <c r="E394" i="2"/>
  <c r="AE394" i="2"/>
  <c r="E400" i="2"/>
  <c r="AE400" i="2"/>
  <c r="E406" i="2"/>
  <c r="AE406" i="2"/>
  <c r="E412" i="2"/>
  <c r="AE412" i="2"/>
  <c r="E418" i="2"/>
  <c r="AE418" i="2"/>
  <c r="E424" i="2"/>
  <c r="AE424" i="2"/>
  <c r="E430" i="2"/>
  <c r="AE430" i="2"/>
  <c r="E5" i="2"/>
  <c r="AE5" i="2"/>
  <c r="E11" i="2"/>
  <c r="AE11" i="2"/>
  <c r="E17" i="2"/>
  <c r="AE17" i="2"/>
  <c r="E23" i="2"/>
  <c r="AE23" i="2"/>
  <c r="E29" i="2"/>
  <c r="AE29" i="2"/>
  <c r="E35" i="2"/>
  <c r="AE35" i="2"/>
  <c r="E41" i="2"/>
  <c r="AE41" i="2"/>
  <c r="E47" i="2"/>
  <c r="AE47" i="2"/>
  <c r="E53" i="2"/>
  <c r="AE53" i="2"/>
  <c r="E59" i="2"/>
  <c r="AE59" i="2"/>
  <c r="E65" i="2"/>
  <c r="AE65" i="2"/>
  <c r="E71" i="2"/>
  <c r="AE71" i="2"/>
  <c r="E77" i="2"/>
  <c r="AE77" i="2"/>
  <c r="E83" i="2"/>
  <c r="AE83" i="2"/>
  <c r="E89" i="2"/>
  <c r="AE89" i="2"/>
  <c r="E95" i="2"/>
  <c r="AE95" i="2"/>
  <c r="E101" i="2"/>
  <c r="AE101" i="2"/>
  <c r="E107" i="2"/>
  <c r="AE107" i="2"/>
  <c r="E113" i="2"/>
  <c r="AE113" i="2"/>
  <c r="E119" i="2"/>
  <c r="AE119" i="2"/>
  <c r="E125" i="2"/>
  <c r="AE125" i="2"/>
  <c r="E131" i="2"/>
  <c r="AE131" i="2"/>
  <c r="E137" i="2"/>
  <c r="AE137" i="2"/>
  <c r="E143" i="2"/>
  <c r="AE143" i="2"/>
  <c r="E149" i="2"/>
  <c r="AE149" i="2"/>
  <c r="E155" i="2"/>
  <c r="AE155" i="2"/>
  <c r="E161" i="2"/>
  <c r="AE161" i="2"/>
  <c r="E167" i="2"/>
  <c r="AE167" i="2"/>
  <c r="E173" i="2"/>
  <c r="AE173" i="2"/>
  <c r="E179" i="2"/>
  <c r="AE179" i="2"/>
  <c r="E185" i="2"/>
  <c r="AE185" i="2"/>
  <c r="E191" i="2"/>
  <c r="AE191" i="2"/>
  <c r="E197" i="2"/>
  <c r="AE197" i="2"/>
  <c r="E203" i="2"/>
  <c r="AE203" i="2"/>
  <c r="E209" i="2"/>
  <c r="AE209" i="2"/>
  <c r="E215" i="2"/>
  <c r="AE215" i="2"/>
  <c r="E221" i="2"/>
  <c r="AE221" i="2"/>
  <c r="E227" i="2"/>
  <c r="AE227" i="2"/>
  <c r="E233" i="2"/>
  <c r="AE233" i="2"/>
  <c r="E239" i="2"/>
  <c r="AE239" i="2"/>
  <c r="E245" i="2"/>
  <c r="AE245" i="2"/>
  <c r="E251" i="2"/>
  <c r="AE251" i="2"/>
  <c r="E257" i="2"/>
  <c r="AE257" i="2"/>
  <c r="E263" i="2"/>
  <c r="AE263" i="2"/>
  <c r="E269" i="2"/>
  <c r="AE269" i="2"/>
  <c r="E275" i="2"/>
  <c r="AE275" i="2"/>
  <c r="E281" i="2"/>
  <c r="AE281" i="2"/>
  <c r="E287" i="2"/>
  <c r="AE287" i="2"/>
  <c r="E293" i="2"/>
  <c r="AE293" i="2"/>
  <c r="E299" i="2"/>
  <c r="AE299" i="2"/>
  <c r="E305" i="2"/>
  <c r="AE305" i="2"/>
  <c r="E311" i="2"/>
  <c r="AE311" i="2"/>
  <c r="E317" i="2"/>
  <c r="AE317" i="2"/>
  <c r="E323" i="2"/>
  <c r="AE323" i="2"/>
  <c r="E329" i="2"/>
  <c r="AE329" i="2"/>
  <c r="E335" i="2"/>
  <c r="AE335" i="2"/>
  <c r="E341" i="2"/>
  <c r="AE341" i="2"/>
  <c r="E347" i="2"/>
  <c r="AE347" i="2"/>
  <c r="E353" i="2"/>
  <c r="AE353" i="2"/>
  <c r="E359" i="2"/>
  <c r="AE359" i="2"/>
  <c r="E365" i="2"/>
  <c r="AE365" i="2"/>
  <c r="E371" i="2"/>
  <c r="AE371" i="2"/>
  <c r="E377" i="2"/>
  <c r="AE377" i="2"/>
  <c r="E383" i="2"/>
  <c r="AE383" i="2"/>
  <c r="E389" i="2"/>
  <c r="AE389" i="2"/>
  <c r="E395" i="2"/>
  <c r="AE395" i="2"/>
  <c r="E401" i="2"/>
  <c r="AE401" i="2"/>
  <c r="E407" i="2"/>
  <c r="AE407" i="2"/>
  <c r="E413" i="2"/>
  <c r="AE413" i="2"/>
  <c r="E419" i="2"/>
  <c r="AE419" i="2"/>
  <c r="E425" i="2"/>
  <c r="AE425" i="2"/>
  <c r="E431" i="2"/>
  <c r="AE431" i="2"/>
  <c r="E437" i="2"/>
  <c r="AE437" i="2"/>
  <c r="E443" i="2"/>
  <c r="AE443" i="2"/>
  <c r="E449" i="2"/>
  <c r="AE449" i="2"/>
  <c r="E455" i="2"/>
  <c r="AE455" i="2"/>
  <c r="E461" i="2"/>
  <c r="AE461" i="2"/>
  <c r="E467" i="2"/>
  <c r="AE467" i="2"/>
  <c r="E473" i="2"/>
  <c r="AE473" i="2"/>
  <c r="E479" i="2"/>
  <c r="AE479" i="2"/>
  <c r="E485" i="2"/>
  <c r="AE485" i="2"/>
  <c r="E491" i="2"/>
  <c r="AE491" i="2"/>
  <c r="E497" i="2"/>
  <c r="AE497" i="2"/>
  <c r="E503" i="2"/>
  <c r="AE503" i="2"/>
  <c r="E509" i="2"/>
  <c r="AE509" i="2"/>
  <c r="E515" i="2"/>
  <c r="AE515" i="2"/>
  <c r="E521" i="2"/>
  <c r="AE521" i="2"/>
  <c r="E527" i="2"/>
  <c r="AE527" i="2"/>
  <c r="E533" i="2"/>
  <c r="AE533" i="2"/>
  <c r="E539" i="2"/>
  <c r="AE539" i="2"/>
  <c r="E545" i="2"/>
  <c r="AE545" i="2"/>
  <c r="E551" i="2"/>
  <c r="AE551" i="2"/>
  <c r="E557" i="2"/>
  <c r="AE557" i="2"/>
  <c r="E563" i="2"/>
  <c r="AE563" i="2"/>
  <c r="E569" i="2"/>
  <c r="AE569" i="2"/>
  <c r="E575" i="2"/>
  <c r="AE575" i="2"/>
  <c r="E581" i="2"/>
  <c r="AE581" i="2"/>
  <c r="E587" i="2"/>
  <c r="AE587" i="2"/>
  <c r="E593" i="2"/>
  <c r="AE593" i="2"/>
  <c r="E599" i="2"/>
  <c r="AE599" i="2"/>
  <c r="E436" i="2"/>
  <c r="AE436" i="2"/>
  <c r="E442" i="2"/>
  <c r="AE442" i="2"/>
  <c r="E448" i="2"/>
  <c r="AE448" i="2"/>
  <c r="E454" i="2"/>
  <c r="AE454" i="2"/>
  <c r="E460" i="2"/>
  <c r="AE460" i="2"/>
  <c r="E466" i="2"/>
  <c r="AE466" i="2"/>
  <c r="E472" i="2"/>
  <c r="AE472" i="2"/>
  <c r="E478" i="2"/>
  <c r="AE478" i="2"/>
  <c r="E484" i="2"/>
  <c r="AE484" i="2"/>
  <c r="E490" i="2"/>
  <c r="AE490" i="2"/>
  <c r="E496" i="2"/>
  <c r="AE496" i="2"/>
  <c r="E502" i="2"/>
  <c r="AE502" i="2"/>
  <c r="E508" i="2"/>
  <c r="AE508" i="2"/>
  <c r="E514" i="2"/>
  <c r="AE514" i="2"/>
  <c r="E520" i="2"/>
  <c r="AE520" i="2"/>
  <c r="E526" i="2"/>
  <c r="AE526" i="2"/>
  <c r="E532" i="2"/>
  <c r="AE532" i="2"/>
  <c r="E538" i="2"/>
  <c r="AE538" i="2"/>
  <c r="E544" i="2"/>
  <c r="AE544" i="2"/>
  <c r="E550" i="2"/>
  <c r="AE550" i="2"/>
  <c r="E556" i="2"/>
  <c r="AE556" i="2"/>
  <c r="E562" i="2"/>
  <c r="AE562" i="2"/>
  <c r="E568" i="2"/>
  <c r="AE568" i="2"/>
  <c r="E574" i="2"/>
  <c r="AE574" i="2"/>
  <c r="E580" i="2"/>
  <c r="AE580" i="2"/>
  <c r="E586" i="2"/>
  <c r="AE586" i="2"/>
  <c r="E592" i="2"/>
  <c r="AE592" i="2"/>
  <c r="E598" i="2"/>
  <c r="AE598" i="2"/>
  <c r="E604" i="2"/>
  <c r="AE604" i="2"/>
  <c r="E610" i="2"/>
  <c r="AE610" i="2"/>
  <c r="E616" i="2"/>
  <c r="AE616" i="2"/>
  <c r="E622" i="2"/>
  <c r="AE622" i="2"/>
  <c r="E628" i="2"/>
  <c r="AE628" i="2"/>
  <c r="E634" i="2"/>
  <c r="AE634" i="2"/>
  <c r="E640" i="2"/>
  <c r="AE640" i="2"/>
  <c r="E646" i="2"/>
  <c r="AE646" i="2"/>
  <c r="E652" i="2"/>
  <c r="AE652" i="2"/>
  <c r="E658" i="2"/>
  <c r="AE658" i="2"/>
  <c r="E664" i="2"/>
  <c r="AE664" i="2"/>
  <c r="E670" i="2"/>
  <c r="AE670" i="2"/>
  <c r="E676" i="2"/>
  <c r="AE676" i="2"/>
  <c r="E682" i="2"/>
  <c r="AE682" i="2"/>
  <c r="E688" i="2"/>
  <c r="AE688" i="2"/>
  <c r="E694" i="2"/>
  <c r="AE694" i="2"/>
  <c r="E605" i="2"/>
  <c r="AE605" i="2"/>
  <c r="E611" i="2"/>
  <c r="AE611" i="2"/>
  <c r="E617" i="2"/>
  <c r="AE617" i="2"/>
  <c r="E623" i="2"/>
  <c r="AE623" i="2"/>
  <c r="E629" i="2"/>
  <c r="AE629" i="2"/>
  <c r="E635" i="2"/>
  <c r="AE635" i="2"/>
  <c r="E641" i="2"/>
  <c r="AE641" i="2"/>
  <c r="E647" i="2"/>
  <c r="AE647" i="2"/>
  <c r="E653" i="2"/>
  <c r="AE653" i="2"/>
  <c r="E659" i="2"/>
  <c r="AE659" i="2"/>
  <c r="E665" i="2"/>
  <c r="AE665" i="2"/>
  <c r="E671" i="2"/>
  <c r="AE671" i="2"/>
  <c r="E677" i="2"/>
  <c r="AE677" i="2"/>
  <c r="E683" i="2"/>
  <c r="AE683" i="2"/>
  <c r="E689" i="2"/>
  <c r="AE689" i="2"/>
  <c r="E695" i="2"/>
  <c r="AE695" i="2"/>
  <c r="E6" i="2"/>
  <c r="AE6" i="2"/>
  <c r="E12" i="2"/>
  <c r="AE12" i="2"/>
  <c r="E18" i="2"/>
  <c r="AE18" i="2"/>
  <c r="E24" i="2"/>
  <c r="AE24" i="2"/>
  <c r="E30" i="2"/>
  <c r="AE30" i="2"/>
  <c r="E36" i="2"/>
  <c r="AE36" i="2"/>
  <c r="E42" i="2"/>
  <c r="AE42" i="2"/>
  <c r="E48" i="2"/>
  <c r="AE48" i="2"/>
  <c r="E54" i="2"/>
  <c r="AE54" i="2"/>
  <c r="E60" i="2"/>
  <c r="AE60" i="2"/>
  <c r="E66" i="2"/>
  <c r="AE66" i="2"/>
  <c r="E72" i="2"/>
  <c r="AE72" i="2"/>
  <c r="E78" i="2"/>
  <c r="AE78" i="2"/>
  <c r="E84" i="2"/>
  <c r="AE84" i="2"/>
  <c r="E90" i="2"/>
  <c r="AE90" i="2"/>
  <c r="E96" i="2"/>
  <c r="AE96" i="2"/>
  <c r="E102" i="2"/>
  <c r="AE102" i="2"/>
  <c r="E108" i="2"/>
  <c r="AE108" i="2"/>
  <c r="E114" i="2"/>
  <c r="AE114" i="2"/>
  <c r="E120" i="2"/>
  <c r="AE120" i="2"/>
  <c r="E126" i="2"/>
  <c r="AE126" i="2"/>
  <c r="E132" i="2"/>
  <c r="AE132" i="2"/>
  <c r="E138" i="2"/>
  <c r="AE138" i="2"/>
  <c r="E144" i="2"/>
  <c r="AE144" i="2"/>
  <c r="E150" i="2"/>
  <c r="AE150" i="2"/>
  <c r="E156" i="2"/>
  <c r="AE156" i="2"/>
  <c r="E162" i="2"/>
  <c r="AE162" i="2"/>
  <c r="E168" i="2"/>
  <c r="AE168" i="2"/>
  <c r="E174" i="2"/>
  <c r="AE174" i="2"/>
  <c r="E180" i="2"/>
  <c r="AE180" i="2"/>
  <c r="E186" i="2"/>
  <c r="AE186" i="2"/>
  <c r="E192" i="2"/>
  <c r="AE192" i="2"/>
  <c r="E198" i="2"/>
  <c r="AE198" i="2"/>
  <c r="E204" i="2"/>
  <c r="AE204" i="2"/>
  <c r="E210" i="2"/>
  <c r="AE210" i="2"/>
  <c r="E216" i="2"/>
  <c r="AE216" i="2"/>
  <c r="E222" i="2"/>
  <c r="AE222" i="2"/>
  <c r="E228" i="2"/>
  <c r="AE228" i="2"/>
  <c r="E234" i="2"/>
  <c r="AE234" i="2"/>
  <c r="E240" i="2"/>
  <c r="AE240" i="2"/>
  <c r="E246" i="2"/>
  <c r="AE246" i="2"/>
  <c r="E252" i="2"/>
  <c r="AE252" i="2"/>
  <c r="E258" i="2"/>
  <c r="AE258" i="2"/>
  <c r="E264" i="2"/>
  <c r="AE264" i="2"/>
  <c r="E270" i="2"/>
  <c r="AE270" i="2"/>
  <c r="E276" i="2"/>
  <c r="AE276" i="2"/>
  <c r="E282" i="2"/>
  <c r="AE282" i="2"/>
  <c r="E288" i="2"/>
  <c r="AE288" i="2"/>
  <c r="E294" i="2"/>
  <c r="AE294" i="2"/>
  <c r="E300" i="2"/>
  <c r="AE300" i="2"/>
  <c r="E306" i="2"/>
  <c r="AE306" i="2"/>
  <c r="E312" i="2"/>
  <c r="AE312" i="2"/>
  <c r="E318" i="2"/>
  <c r="AE318" i="2"/>
  <c r="E324" i="2"/>
  <c r="AE324" i="2"/>
  <c r="E330" i="2"/>
  <c r="AE330" i="2"/>
  <c r="E336" i="2"/>
  <c r="AE336" i="2"/>
  <c r="E342" i="2"/>
  <c r="AE342" i="2"/>
  <c r="E348" i="2"/>
  <c r="AE348" i="2"/>
  <c r="E354" i="2"/>
  <c r="AE354" i="2"/>
  <c r="E360" i="2"/>
  <c r="AE360" i="2"/>
  <c r="E366" i="2"/>
  <c r="AE366" i="2"/>
  <c r="E372" i="2"/>
  <c r="AE372" i="2"/>
  <c r="E378" i="2"/>
  <c r="AE378" i="2"/>
  <c r="E384" i="2"/>
  <c r="AE384" i="2"/>
  <c r="E390" i="2"/>
  <c r="AE390" i="2"/>
  <c r="E396" i="2"/>
  <c r="AE396" i="2"/>
  <c r="E402" i="2"/>
  <c r="AE402" i="2"/>
  <c r="E408" i="2"/>
  <c r="AE408" i="2"/>
  <c r="E414" i="2"/>
  <c r="AE414" i="2"/>
  <c r="E420" i="2"/>
  <c r="AE420" i="2"/>
  <c r="E426" i="2"/>
  <c r="AE426" i="2"/>
  <c r="E432" i="2"/>
  <c r="AE432" i="2"/>
  <c r="E438" i="2"/>
  <c r="AE438" i="2"/>
  <c r="E444" i="2"/>
  <c r="AE444" i="2"/>
  <c r="E450" i="2"/>
  <c r="AE450" i="2"/>
  <c r="E456" i="2"/>
  <c r="AE456" i="2"/>
  <c r="E462" i="2"/>
  <c r="AE462" i="2"/>
  <c r="E468" i="2"/>
  <c r="AE468" i="2"/>
  <c r="E474" i="2"/>
  <c r="AE474" i="2"/>
  <c r="E480" i="2"/>
  <c r="AE480" i="2"/>
  <c r="E486" i="2"/>
  <c r="AE486" i="2"/>
  <c r="E492" i="2"/>
  <c r="AE492" i="2"/>
  <c r="E498" i="2"/>
  <c r="AE498" i="2"/>
  <c r="E504" i="2"/>
  <c r="AE504" i="2"/>
  <c r="E510" i="2"/>
  <c r="AE510" i="2"/>
  <c r="E516" i="2"/>
  <c r="AE516" i="2"/>
  <c r="E522" i="2"/>
  <c r="AE522" i="2"/>
  <c r="E528" i="2"/>
  <c r="AE528" i="2"/>
  <c r="E534" i="2"/>
  <c r="AE534" i="2"/>
  <c r="E540" i="2"/>
  <c r="AE540" i="2"/>
  <c r="E546" i="2"/>
  <c r="AE546" i="2"/>
  <c r="E552" i="2"/>
  <c r="AE552" i="2"/>
  <c r="E558" i="2"/>
  <c r="AE558" i="2"/>
  <c r="E564" i="2"/>
  <c r="AE564" i="2"/>
  <c r="E570" i="2"/>
  <c r="AE570" i="2"/>
  <c r="E576" i="2"/>
  <c r="AE576" i="2"/>
  <c r="E582" i="2"/>
  <c r="AE582" i="2"/>
  <c r="E588" i="2"/>
  <c r="AE588" i="2"/>
  <c r="E594" i="2"/>
  <c r="AE594" i="2"/>
  <c r="E600" i="2"/>
  <c r="AE600" i="2"/>
  <c r="E606" i="2"/>
  <c r="AE606" i="2"/>
  <c r="E612" i="2"/>
  <c r="AE612" i="2"/>
  <c r="E618" i="2"/>
  <c r="AE618" i="2"/>
  <c r="E624" i="2"/>
  <c r="AE624" i="2"/>
  <c r="E630" i="2"/>
  <c r="AE630" i="2"/>
  <c r="E636" i="2"/>
  <c r="AE636" i="2"/>
  <c r="E642" i="2"/>
  <c r="AE642" i="2"/>
  <c r="E648" i="2"/>
  <c r="AE648" i="2"/>
  <c r="E654" i="2"/>
  <c r="AE654" i="2"/>
  <c r="E660" i="2"/>
  <c r="AE660" i="2"/>
  <c r="E666" i="2"/>
  <c r="AE666" i="2"/>
  <c r="E672" i="2"/>
  <c r="AE672" i="2"/>
  <c r="E678" i="2"/>
  <c r="AE678" i="2"/>
  <c r="E684" i="2"/>
  <c r="AE684" i="2"/>
  <c r="E690" i="2"/>
  <c r="AE690" i="2"/>
  <c r="E696" i="2"/>
  <c r="AE696" i="2"/>
  <c r="E433" i="2"/>
  <c r="AE433" i="2"/>
  <c r="E439" i="2"/>
  <c r="AE439" i="2"/>
  <c r="E445" i="2"/>
  <c r="AE445" i="2"/>
  <c r="E451" i="2"/>
  <c r="AE451" i="2"/>
  <c r="E457" i="2"/>
  <c r="AE457" i="2"/>
  <c r="E463" i="2"/>
  <c r="AE463" i="2"/>
  <c r="E469" i="2"/>
  <c r="AE469" i="2"/>
  <c r="E475" i="2"/>
  <c r="AE475" i="2"/>
  <c r="E481" i="2"/>
  <c r="AE481" i="2"/>
  <c r="E487" i="2"/>
  <c r="AE487" i="2"/>
  <c r="E493" i="2"/>
  <c r="AE493" i="2"/>
  <c r="E499" i="2"/>
  <c r="AE499" i="2"/>
  <c r="E505" i="2"/>
  <c r="AE505" i="2"/>
  <c r="E511" i="2"/>
  <c r="AE511" i="2"/>
  <c r="E517" i="2"/>
  <c r="AE517" i="2"/>
  <c r="E523" i="2"/>
  <c r="AE523" i="2"/>
  <c r="E529" i="2"/>
  <c r="AE529" i="2"/>
  <c r="E535" i="2"/>
  <c r="AE535" i="2"/>
  <c r="E541" i="2"/>
  <c r="AE541" i="2"/>
  <c r="E547" i="2"/>
  <c r="AE547" i="2"/>
  <c r="E553" i="2"/>
  <c r="AE553" i="2"/>
  <c r="E559" i="2"/>
  <c r="AE559" i="2"/>
  <c r="E565" i="2"/>
  <c r="AE565" i="2"/>
  <c r="E571" i="2"/>
  <c r="AE571" i="2"/>
  <c r="E577" i="2"/>
  <c r="AE577" i="2"/>
  <c r="E583" i="2"/>
  <c r="AE583" i="2"/>
  <c r="E589" i="2"/>
  <c r="AE589" i="2"/>
  <c r="E595" i="2"/>
  <c r="AE595" i="2"/>
  <c r="E601" i="2"/>
  <c r="AE601" i="2"/>
  <c r="E607" i="2"/>
  <c r="AE607" i="2"/>
  <c r="E613" i="2"/>
  <c r="AE613" i="2"/>
  <c r="E619" i="2"/>
  <c r="AE619" i="2"/>
  <c r="E625" i="2"/>
  <c r="AE625" i="2"/>
  <c r="E631" i="2"/>
  <c r="AE631" i="2"/>
  <c r="E637" i="2"/>
  <c r="AE637" i="2"/>
  <c r="E643" i="2"/>
  <c r="AE643" i="2"/>
  <c r="E649" i="2"/>
  <c r="AE649" i="2"/>
  <c r="E655" i="2"/>
  <c r="AE655" i="2"/>
  <c r="E661" i="2"/>
  <c r="AE661" i="2"/>
  <c r="E667" i="2"/>
  <c r="AE667" i="2"/>
  <c r="E673" i="2"/>
  <c r="AE673" i="2"/>
  <c r="E679" i="2"/>
  <c r="AE679" i="2"/>
  <c r="E685" i="2"/>
  <c r="AE685" i="2"/>
  <c r="E691" i="2"/>
  <c r="AE691" i="2"/>
  <c r="E697" i="2"/>
  <c r="AE697" i="2"/>
  <c r="E200" i="2"/>
  <c r="AE200" i="2"/>
  <c r="E206" i="2"/>
  <c r="AE206" i="2"/>
  <c r="E212" i="2"/>
  <c r="AE212" i="2"/>
  <c r="E218" i="2"/>
  <c r="AE218" i="2"/>
  <c r="E224" i="2"/>
  <c r="AE224" i="2"/>
  <c r="E230" i="2"/>
  <c r="AE230" i="2"/>
  <c r="E236" i="2"/>
  <c r="AE236" i="2"/>
  <c r="E242" i="2"/>
  <c r="AE242" i="2"/>
  <c r="E248" i="2"/>
  <c r="AE248" i="2"/>
  <c r="E254" i="2"/>
  <c r="AE254" i="2"/>
  <c r="E260" i="2"/>
  <c r="AE260" i="2"/>
  <c r="E266" i="2"/>
  <c r="AE266" i="2"/>
  <c r="E272" i="2"/>
  <c r="AE272" i="2"/>
  <c r="E278" i="2"/>
  <c r="AE278" i="2"/>
  <c r="E284" i="2"/>
  <c r="AE284" i="2"/>
  <c r="E290" i="2"/>
  <c r="AE290" i="2"/>
  <c r="E296" i="2"/>
  <c r="AE296" i="2"/>
  <c r="E302" i="2"/>
  <c r="AE302" i="2"/>
  <c r="E308" i="2"/>
  <c r="AE308" i="2"/>
  <c r="E314" i="2"/>
  <c r="AE314" i="2"/>
  <c r="E320" i="2"/>
  <c r="AE320" i="2"/>
  <c r="E326" i="2"/>
  <c r="AE326" i="2"/>
  <c r="E332" i="2"/>
  <c r="AE332" i="2"/>
  <c r="E338" i="2"/>
  <c r="AE338" i="2"/>
  <c r="E344" i="2"/>
  <c r="AE344" i="2"/>
  <c r="E350" i="2"/>
  <c r="AE350" i="2"/>
  <c r="E356" i="2"/>
  <c r="AE356" i="2"/>
  <c r="E362" i="2"/>
  <c r="AE362" i="2"/>
  <c r="E368" i="2"/>
  <c r="AE368" i="2"/>
  <c r="E374" i="2"/>
  <c r="AE374" i="2"/>
  <c r="E380" i="2"/>
  <c r="AE380" i="2"/>
  <c r="E386" i="2"/>
  <c r="AE386" i="2"/>
  <c r="E392" i="2"/>
  <c r="AE392" i="2"/>
  <c r="E398" i="2"/>
  <c r="AE398" i="2"/>
  <c r="E404" i="2"/>
  <c r="AE404" i="2"/>
  <c r="E410" i="2"/>
  <c r="AE410" i="2"/>
  <c r="E416" i="2"/>
  <c r="AE416" i="2"/>
  <c r="E422" i="2"/>
  <c r="AE422" i="2"/>
  <c r="E428" i="2"/>
  <c r="AE428" i="2"/>
  <c r="E434" i="2"/>
  <c r="AE434" i="2"/>
  <c r="E440" i="2"/>
  <c r="AE440" i="2"/>
  <c r="E446" i="2"/>
  <c r="AE446" i="2"/>
  <c r="E452" i="2"/>
  <c r="AE452" i="2"/>
  <c r="E458" i="2"/>
  <c r="AE458" i="2"/>
  <c r="E464" i="2"/>
  <c r="AE464" i="2"/>
  <c r="E470" i="2"/>
  <c r="AE470" i="2"/>
  <c r="E476" i="2"/>
  <c r="AE476" i="2"/>
  <c r="E482" i="2"/>
  <c r="AE482" i="2"/>
  <c r="E488" i="2"/>
  <c r="AE488" i="2"/>
  <c r="E494" i="2"/>
  <c r="AE494" i="2"/>
  <c r="E500" i="2"/>
  <c r="AE500" i="2"/>
  <c r="E506" i="2"/>
  <c r="AE506" i="2"/>
  <c r="E512" i="2"/>
  <c r="AE512" i="2"/>
  <c r="E518" i="2"/>
  <c r="AE518" i="2"/>
  <c r="E524" i="2"/>
  <c r="AE524" i="2"/>
  <c r="E530" i="2"/>
  <c r="AE530" i="2"/>
  <c r="E536" i="2"/>
  <c r="AE536" i="2"/>
  <c r="E542" i="2"/>
  <c r="AE542" i="2"/>
  <c r="E548" i="2"/>
  <c r="AE548" i="2"/>
  <c r="E554" i="2"/>
  <c r="AE554" i="2"/>
  <c r="E560" i="2"/>
  <c r="AE560" i="2"/>
  <c r="E566" i="2"/>
  <c r="AE566" i="2"/>
  <c r="E572" i="2"/>
  <c r="AE572" i="2"/>
  <c r="E578" i="2"/>
  <c r="AE578" i="2"/>
  <c r="E584" i="2"/>
  <c r="AE584" i="2"/>
  <c r="E590" i="2"/>
  <c r="AE590" i="2"/>
  <c r="E596" i="2"/>
  <c r="AE596" i="2"/>
  <c r="E602" i="2"/>
  <c r="AE602" i="2"/>
  <c r="E608" i="2"/>
  <c r="AE608" i="2"/>
  <c r="E614" i="2"/>
  <c r="AE614" i="2"/>
  <c r="E620" i="2"/>
  <c r="AE620" i="2"/>
  <c r="E626" i="2"/>
  <c r="AE626" i="2"/>
  <c r="E632" i="2"/>
  <c r="AE632" i="2"/>
  <c r="E638" i="2"/>
  <c r="AE638" i="2"/>
  <c r="E644" i="2"/>
  <c r="AE644" i="2"/>
  <c r="E650" i="2"/>
  <c r="AE650" i="2"/>
  <c r="E656" i="2"/>
  <c r="AE656" i="2"/>
  <c r="E662" i="2"/>
  <c r="AE662" i="2"/>
  <c r="E668" i="2"/>
  <c r="AE668" i="2"/>
  <c r="E674" i="2"/>
  <c r="AE674" i="2"/>
  <c r="E680" i="2"/>
  <c r="AE680" i="2"/>
  <c r="E686" i="2"/>
  <c r="AE686" i="2"/>
  <c r="E692" i="2"/>
  <c r="AE692" i="2"/>
  <c r="AE2" i="2"/>
</calcChain>
</file>

<file path=xl/sharedStrings.xml><?xml version="1.0" encoding="utf-8"?>
<sst xmlns="http://schemas.openxmlformats.org/spreadsheetml/2006/main" count="21105" uniqueCount="2840">
  <si>
    <t>order_id</t>
  </si>
  <si>
    <t>order_date</t>
  </si>
  <si>
    <t>ship_date</t>
  </si>
  <si>
    <t>customer_id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</si>
  <si>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</si>
  <si>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</si>
  <si>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</si>
  <si>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</si>
  <si>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</si>
  <si>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</si>
  <si>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</si>
  <si>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</si>
  <si>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</si>
  <si>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</si>
  <si>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</si>
  <si>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</si>
  <si>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</si>
  <si>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</si>
  <si>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</si>
  <si>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</si>
  <si>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</si>
  <si>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</si>
  <si>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</si>
  <si>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</si>
  <si>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</si>
  <si>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</si>
  <si>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</si>
  <si>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</si>
  <si>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</si>
  <si>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</si>
  <si>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</si>
  <si>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</si>
  <si>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</si>
  <si>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</si>
  <si>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</si>
  <si>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</si>
  <si>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</si>
  <si>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</si>
  <si>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</si>
  <si>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</si>
  <si>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</si>
  <si>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</si>
  <si>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</si>
  <si>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</si>
  <si>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</si>
  <si>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</si>
  <si>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</si>
  <si>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</si>
  <si>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</si>
  <si>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</si>
  <si>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</si>
  <si>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</si>
  <si>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</si>
  <si>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</si>
  <si>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</si>
  <si>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</si>
  <si>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</si>
  <si>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</si>
  <si>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</si>
  <si>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</si>
  <si>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</si>
  <si>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</si>
  <si>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</si>
  <si>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</si>
  <si>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</si>
  <si>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</si>
  <si>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</si>
  <si>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</si>
  <si>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</si>
  <si>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</si>
  <si>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</si>
  <si>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</si>
  <si>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</si>
  <si>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</si>
  <si>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</si>
  <si>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</si>
  <si>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</si>
  <si>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</si>
  <si>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</si>
  <si>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</si>
  <si>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</si>
  <si>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</si>
  <si>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</si>
  <si>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</si>
  <si>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</si>
  <si>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</si>
  <si>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</si>
  <si>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</si>
  <si>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</si>
  <si>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</si>
  <si>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</si>
  <si>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</si>
  <si>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</si>
  <si>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</si>
  <si>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</si>
  <si>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</si>
  <si>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</si>
  <si>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</si>
  <si>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</si>
  <si>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</si>
  <si>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</si>
  <si>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</si>
  <si>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</si>
  <si>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</si>
  <si>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</si>
  <si>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</si>
  <si>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</si>
  <si>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</si>
  <si>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</si>
  <si>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</si>
  <si>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</si>
  <si>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</si>
  <si>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</si>
  <si>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</si>
  <si>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</si>
  <si>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</si>
  <si>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</si>
  <si>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</si>
  <si>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</si>
  <si>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</si>
  <si>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</si>
  <si>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</si>
  <si>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</si>
  <si>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</si>
  <si>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</si>
  <si>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</si>
  <si>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</si>
  <si>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</si>
  <si>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</si>
  <si>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</si>
  <si>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</si>
  <si>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</si>
  <si>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</si>
  <si>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</si>
  <si>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</si>
  <si>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</si>
  <si>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</si>
  <si>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</si>
  <si>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</si>
  <si>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</si>
  <si>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</si>
  <si>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</si>
  <si>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</si>
  <si>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</si>
  <si>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</si>
  <si>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</si>
  <si>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</si>
  <si>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</si>
  <si>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</si>
  <si>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</si>
  <si>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</si>
  <si>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</si>
  <si>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</si>
  <si>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</si>
  <si>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</si>
  <si>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</si>
  <si>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</si>
  <si>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</si>
  <si>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</si>
  <si>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</si>
  <si>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</si>
  <si>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</si>
  <si>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</si>
  <si>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</si>
  <si>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</si>
  <si>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</si>
  <si>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</si>
  <si>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</si>
  <si>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</si>
  <si>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</si>
  <si>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</si>
  <si>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</si>
  <si>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</si>
  <si>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</si>
  <si>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</si>
  <si>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</si>
  <si>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</si>
  <si>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</si>
  <si>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</si>
  <si>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</si>
  <si>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</si>
  <si>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</si>
  <si>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</si>
  <si>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</si>
  <si>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</si>
  <si>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</si>
  <si>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</si>
  <si>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</si>
  <si>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</si>
  <si>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</si>
  <si>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</si>
  <si>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</si>
  <si>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</si>
  <si>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</si>
  <si>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</si>
  <si>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</si>
  <si>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</si>
  <si>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</si>
  <si>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</si>
  <si>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</si>
  <si>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</si>
  <si>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</si>
  <si>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</si>
  <si>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</si>
  <si>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</si>
  <si>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</si>
  <si>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</si>
  <si>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</si>
  <si>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</si>
  <si>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</si>
  <si>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</si>
  <si>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</si>
  <si>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</si>
  <si>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</si>
  <si>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</si>
  <si>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</si>
  <si>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</si>
  <si>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</si>
  <si>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</si>
  <si>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</si>
  <si>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</si>
  <si>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</si>
  <si>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</si>
  <si>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</si>
  <si>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</si>
  <si>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</si>
  <si>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</si>
  <si>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</si>
  <si>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</si>
  <si>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</si>
  <si>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</si>
  <si>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</si>
  <si>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</si>
  <si>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</si>
  <si>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</si>
  <si>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</si>
  <si>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</si>
  <si>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</si>
  <si>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</si>
  <si>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</si>
  <si>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</si>
  <si>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</si>
  <si>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</si>
  <si>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</si>
  <si>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</si>
  <si>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</si>
  <si>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</si>
  <si>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</si>
  <si>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</si>
  <si>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</si>
  <si>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</si>
  <si>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</si>
  <si>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</si>
  <si>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</si>
  <si>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</si>
  <si>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</si>
  <si>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</si>
  <si>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</si>
  <si>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</si>
  <si>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</si>
  <si>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</si>
  <si>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</si>
  <si>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</si>
  <si>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</si>
  <si>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</si>
  <si>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</si>
  <si>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</si>
  <si>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</si>
  <si>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</si>
  <si>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</si>
  <si>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</si>
  <si>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</si>
  <si>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</si>
  <si>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</si>
  <si>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</si>
  <si>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</si>
  <si>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</si>
  <si>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</si>
  <si>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</si>
  <si>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</si>
  <si>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</si>
  <si>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</si>
  <si>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</si>
  <si>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</si>
  <si>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</si>
  <si>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</si>
  <si>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</si>
  <si>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</si>
  <si>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</si>
  <si>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</si>
  <si>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</si>
  <si>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</si>
  <si>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</si>
  <si>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</si>
  <si>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</si>
  <si>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</si>
  <si>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</si>
  <si>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</si>
  <si>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</si>
  <si>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</si>
  <si>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</si>
  <si>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</si>
  <si>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</si>
  <si>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</si>
  <si>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</si>
  <si>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</si>
  <si>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</si>
  <si>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</si>
  <si>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</si>
  <si>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</si>
  <si>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</si>
  <si>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</si>
  <si>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</si>
  <si>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</si>
  <si>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</si>
  <si>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</si>
  <si>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</si>
  <si>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</si>
  <si>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</si>
  <si>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</si>
  <si>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</si>
  <si>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</si>
  <si>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</si>
  <si>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</si>
  <si>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</si>
  <si>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</si>
  <si>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</si>
  <si>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</si>
  <si>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</si>
  <si>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</si>
  <si>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</si>
  <si>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</si>
  <si>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</si>
  <si>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</si>
  <si>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</si>
  <si>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</si>
  <si>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</si>
  <si>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</si>
  <si>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</si>
  <si>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</si>
  <si>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</si>
  <si>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</si>
  <si>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</si>
  <si>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</si>
  <si>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</si>
  <si>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</si>
  <si>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</si>
  <si>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</si>
  <si>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</si>
  <si>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</si>
  <si>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</si>
  <si>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</si>
  <si>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</si>
  <si>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</si>
  <si>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</si>
  <si>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</si>
  <si>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</si>
  <si>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</si>
  <si>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</si>
  <si>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</si>
  <si>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</si>
  <si>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</si>
  <si>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</si>
  <si>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</si>
  <si>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</si>
  <si>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</si>
  <si>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</si>
  <si>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</si>
  <si>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</si>
  <si>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</si>
  <si>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</si>
  <si>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</si>
  <si>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</si>
  <si>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</si>
  <si>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</si>
  <si>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</si>
  <si>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</si>
  <si>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</si>
  <si>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</si>
  <si>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</si>
  <si>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</si>
  <si>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</si>
  <si>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</si>
  <si>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</si>
  <si>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</si>
  <si>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</si>
  <si>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</si>
  <si>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</si>
  <si>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</si>
  <si>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</si>
  <si>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</si>
  <si>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</si>
  <si>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</si>
  <si>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</si>
  <si>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</si>
  <si>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</si>
  <si>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</si>
  <si>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</si>
  <si>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</si>
  <si>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</si>
  <si>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</si>
  <si>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</si>
  <si>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</si>
  <si>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</si>
  <si>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</si>
  <si>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</si>
  <si>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</si>
  <si>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</si>
  <si>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</si>
  <si>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</si>
  <si>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</si>
  <si>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</si>
  <si>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</si>
  <si>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</si>
  <si>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</si>
  <si>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</si>
  <si>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</si>
  <si>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</si>
  <si>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</si>
  <si>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</si>
  <si>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</si>
  <si>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</si>
  <si>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</si>
  <si>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</si>
  <si>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</si>
  <si>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</si>
  <si>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</si>
  <si>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</si>
  <si>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</si>
  <si>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</si>
  <si>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</si>
  <si>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</si>
  <si>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</si>
  <si>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</si>
  <si>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</si>
  <si>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</si>
  <si>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</si>
  <si>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</si>
  <si>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</si>
  <si>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</si>
  <si>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</si>
  <si>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</si>
  <si>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</si>
  <si>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</si>
  <si>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</si>
  <si>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</si>
  <si>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</si>
  <si>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</si>
  <si>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</si>
  <si>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</si>
  <si>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</si>
  <si>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</si>
  <si>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</si>
  <si>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</si>
  <si>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</si>
  <si>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</si>
  <si>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</si>
  <si>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</si>
  <si>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</si>
  <si>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</si>
  <si>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</si>
  <si>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</si>
  <si>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</si>
  <si>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</si>
  <si>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</si>
  <si>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</si>
  <si>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</si>
  <si>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</si>
  <si>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</si>
  <si>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</si>
  <si>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</si>
  <si>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</si>
  <si>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</si>
  <si>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</si>
  <si>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</si>
  <si>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</si>
  <si>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</si>
  <si>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</si>
  <si>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</si>
  <si>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</si>
  <si>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</si>
  <si>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</si>
  <si>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</si>
  <si>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</si>
  <si>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</si>
  <si>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</si>
  <si>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</si>
  <si>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</si>
  <si>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</si>
  <si>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</si>
  <si>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</si>
  <si>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</si>
  <si>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</si>
  <si>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</si>
  <si>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</si>
  <si>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</si>
  <si>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</si>
  <si>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</si>
  <si>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</si>
  <si>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</si>
  <si>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</si>
  <si>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</si>
  <si>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</si>
  <si>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</si>
  <si>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</si>
  <si>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</si>
  <si>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</si>
  <si>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</si>
  <si>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</si>
  <si>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</si>
  <si>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</si>
  <si>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</si>
  <si>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</si>
  <si>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</si>
  <si>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</si>
  <si>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</si>
  <si>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</si>
  <si>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</si>
  <si>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</si>
  <si>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</si>
  <si>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</si>
  <si>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</si>
  <si>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</si>
  <si>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</si>
  <si>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</si>
  <si>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</si>
  <si>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</si>
  <si>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</si>
  <si>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</si>
  <si>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</si>
  <si>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</si>
  <si>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</si>
  <si>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</si>
  <si>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</si>
  <si>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</si>
  <si>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</si>
  <si>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</si>
  <si>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</si>
  <si>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</si>
  <si>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</si>
  <si>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</si>
  <si>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</si>
  <si>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</si>
  <si>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</si>
  <si>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</si>
  <si>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</si>
  <si>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</si>
  <si>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</si>
  <si>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</si>
  <si>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</si>
  <si>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</si>
  <si>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</si>
  <si>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</si>
  <si>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</si>
  <si>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</si>
  <si>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</si>
  <si>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</si>
  <si>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</si>
  <si>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</si>
  <si>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</si>
  <si>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</si>
  <si>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</si>
  <si>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</si>
  <si>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</si>
  <si>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</si>
  <si>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</si>
  <si>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</si>
  <si>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</si>
  <si>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</si>
  <si>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</si>
  <si>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</si>
  <si>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</si>
  <si>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</si>
  <si>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</si>
  <si>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</si>
  <si>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</si>
  <si>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</si>
  <si>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</si>
  <si>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</si>
  <si>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</si>
  <si>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</si>
  <si>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</si>
  <si>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</si>
  <si>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</si>
  <si>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</si>
  <si>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</si>
  <si>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</si>
  <si>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</si>
  <si>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</si>
  <si>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</si>
  <si>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</si>
  <si>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</si>
  <si>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</si>
  <si>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</si>
  <si>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</si>
  <si>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</si>
  <si>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</si>
  <si>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</si>
  <si>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</si>
  <si>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</si>
  <si>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</si>
  <si>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</si>
  <si>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</si>
  <si>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</si>
  <si>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</si>
  <si>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</si>
  <si>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</si>
  <si>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</si>
  <si>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</si>
  <si>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</si>
  <si>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</si>
  <si>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</si>
  <si>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</si>
  <si>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</si>
  <si>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</si>
  <si>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</si>
  <si>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</si>
  <si>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</si>
  <si>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</si>
  <si>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</si>
  <si>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</si>
  <si>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</si>
  <si>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</si>
  <si>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</si>
  <si>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</si>
  <si>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</si>
  <si>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</si>
  <si>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</si>
  <si>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</si>
  <si>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</si>
  <si>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</si>
  <si>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</si>
  <si>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</si>
  <si>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</si>
  <si>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</si>
  <si>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</si>
  <si>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</si>
  <si>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</si>
  <si>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</si>
  <si>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</si>
  <si>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</si>
  <si>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</si>
  <si>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</si>
  <si>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</si>
  <si>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</si>
  <si>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</si>
  <si>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</si>
  <si>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</si>
  <si>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</si>
  <si>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</si>
  <si>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</si>
  <si>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</si>
  <si>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</si>
  <si>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</si>
  <si>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</si>
  <si>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</si>
  <si>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</si>
  <si>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</si>
  <si>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</si>
  <si>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</si>
  <si>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</si>
  <si>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</si>
  <si>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</si>
  <si>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</si>
  <si>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</si>
  <si>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</si>
  <si>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</si>
  <si>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</si>
  <si>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</si>
  <si>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</si>
  <si>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</si>
  <si>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</si>
  <si>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</si>
  <si>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</si>
  <si>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</si>
  <si>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</si>
  <si>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</si>
  <si>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</si>
  <si>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</si>
  <si>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</si>
  <si>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</si>
  <si>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</si>
  <si>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</si>
  <si>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</si>
  <si>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</si>
  <si>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</si>
  <si>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</si>
  <si>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</si>
  <si>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</si>
  <si>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</si>
  <si>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</si>
  <si>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</si>
  <si>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</si>
  <si>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</si>
  <si>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</si>
  <si>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</si>
  <si>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</si>
  <si>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</si>
  <si>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</si>
  <si>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</si>
  <si>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</si>
  <si>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</si>
  <si>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</si>
  <si>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</si>
  <si>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</si>
  <si>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</si>
  <si>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</si>
  <si>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</si>
  <si>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</si>
  <si>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</si>
  <si>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</si>
  <si>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</si>
  <si>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</si>
  <si>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</si>
  <si>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</si>
  <si>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</si>
  <si>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</si>
  <si>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</si>
  <si>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</si>
  <si>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</si>
  <si>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</si>
  <si>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</si>
  <si>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</si>
  <si>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</si>
  <si>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</si>
  <si>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</si>
  <si>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</si>
  <si>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</si>
  <si>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</si>
  <si>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</si>
  <si>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</si>
  <si>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</si>
  <si>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</si>
  <si>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</si>
  <si>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</si>
  <si>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</si>
  <si>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</si>
  <si>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</si>
  <si>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</si>
  <si>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</si>
  <si>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</si>
  <si>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</si>
  <si>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</si>
  <si>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</si>
  <si>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</si>
  <si>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</si>
  <si>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</si>
  <si>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</si>
  <si>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</si>
  <si>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</si>
  <si>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</si>
  <si>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</si>
  <si>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</si>
  <si>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</si>
  <si>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</si>
  <si>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</si>
  <si>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</si>
  <si>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</si>
  <si>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</si>
  <si>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</si>
  <si>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</si>
  <si>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</si>
  <si>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</si>
  <si>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</si>
  <si>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</si>
  <si>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</si>
  <si>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</si>
  <si>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</si>
  <si>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</si>
  <si>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</si>
  <si>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</si>
  <si>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</si>
  <si>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</si>
  <si>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</si>
  <si>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</si>
  <si>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</si>
  <si>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</si>
  <si>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</si>
  <si>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</si>
  <si>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</si>
  <si>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</si>
  <si>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</si>
  <si>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</si>
  <si>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</si>
  <si>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</si>
  <si>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</si>
  <si>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</si>
  <si>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</si>
  <si>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</si>
  <si>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</si>
  <si>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</si>
  <si>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</si>
  <si>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</si>
  <si>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</si>
  <si>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</si>
  <si>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</si>
  <si>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</si>
  <si>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</si>
  <si>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</si>
  <si>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</si>
  <si>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</si>
  <si>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</si>
  <si>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</si>
  <si>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</si>
  <si>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</si>
  <si>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</si>
  <si>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</si>
  <si>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</si>
  <si>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</si>
  <si>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</si>
  <si>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</si>
  <si>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</si>
  <si>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</si>
  <si>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</si>
  <si>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</si>
  <si>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</si>
  <si>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</si>
  <si>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</si>
  <si>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</si>
  <si>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</si>
  <si>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</si>
  <si>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</si>
  <si>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</si>
  <si>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</si>
  <si>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</si>
  <si>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</si>
  <si>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</si>
  <si>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</si>
  <si>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</si>
  <si>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</si>
  <si>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</si>
  <si>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</si>
  <si>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</si>
  <si>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</si>
  <si>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</si>
  <si>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</si>
  <si>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</si>
  <si>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</si>
  <si>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</si>
  <si>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</si>
  <si>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</si>
  <si>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</si>
  <si>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</si>
  <si>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</si>
  <si>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</si>
  <si>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</si>
  <si>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</si>
  <si>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</si>
  <si>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</si>
  <si>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</si>
  <si>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</si>
  <si>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</si>
  <si>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</si>
  <si>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</si>
  <si>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</si>
  <si>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</si>
  <si>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</si>
  <si>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</si>
  <si>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</si>
  <si>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</si>
  <si>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</si>
  <si>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</si>
  <si>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</si>
  <si>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</si>
  <si>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</si>
  <si>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</si>
  <si>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</si>
  <si>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</si>
  <si>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</si>
  <si>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</si>
  <si>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</si>
  <si>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</si>
  <si>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</si>
  <si>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</si>
  <si>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</si>
  <si>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</si>
  <si>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</si>
  <si>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</si>
  <si>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</si>
  <si>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</si>
  <si>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</si>
  <si>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</si>
  <si>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</si>
  <si>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</si>
  <si>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</si>
  <si>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</si>
  <si>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</si>
  <si>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</si>
  <si>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</si>
  <si>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</si>
  <si>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</si>
  <si>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</si>
  <si>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</si>
  <si>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</si>
  <si>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</si>
  <si>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</si>
  <si>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</si>
  <si>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</si>
  <si>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</si>
  <si>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</si>
  <si>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</si>
  <si>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</si>
  <si>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</si>
  <si>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</si>
  <si>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</si>
  <si>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</si>
  <si>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</si>
  <si>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</si>
  <si>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</si>
  <si>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</si>
  <si>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</si>
  <si>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</si>
  <si>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</si>
  <si>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</si>
  <si>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</si>
  <si>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</si>
  <si>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</si>
  <si>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</si>
  <si>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</si>
  <si>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</si>
  <si>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</si>
  <si>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</si>
  <si>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</si>
  <si>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</si>
  <si>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</si>
  <si>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</si>
  <si>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</si>
  <si>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</si>
  <si>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</si>
  <si>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</si>
  <si>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</si>
  <si>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</si>
  <si>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</si>
  <si>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</si>
  <si>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</si>
  <si>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</si>
  <si>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</si>
  <si>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</si>
  <si>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</si>
  <si>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</si>
  <si>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</si>
  <si>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</si>
  <si>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</si>
  <si>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</si>
  <si>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</si>
  <si>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</si>
  <si>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</si>
  <si>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</si>
  <si>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</si>
  <si>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</si>
  <si>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</si>
  <si>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</si>
  <si>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</si>
  <si>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</si>
  <si>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</si>
  <si>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</si>
  <si>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</si>
  <si>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</si>
  <si>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</si>
  <si>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</si>
  <si>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</si>
  <si>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</si>
  <si>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</si>
  <si>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</si>
  <si>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</si>
  <si>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</si>
  <si>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</si>
  <si>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</si>
  <si>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</si>
  <si>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</si>
  <si>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</si>
  <si>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</si>
  <si>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</si>
  <si>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</si>
  <si>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</si>
  <si>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</si>
  <si>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</si>
  <si>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</si>
  <si>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</si>
  <si>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</si>
  <si>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</si>
  <si>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</si>
  <si>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</si>
  <si>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</si>
  <si>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</si>
  <si>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</si>
  <si>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</si>
  <si>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</si>
  <si>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</si>
  <si>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</si>
  <si>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</si>
  <si>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</si>
  <si>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</si>
  <si>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</si>
  <si>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</si>
  <si>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</si>
  <si>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</si>
  <si>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</si>
  <si>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</si>
  <si>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</si>
  <si>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</si>
  <si>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</si>
  <si>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</si>
  <si>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</si>
  <si>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</si>
  <si>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</si>
  <si>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</si>
  <si>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</si>
  <si>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</si>
  <si>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</si>
  <si>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</si>
  <si>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</si>
  <si>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</si>
  <si>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</si>
  <si>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</si>
  <si>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</si>
  <si>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</si>
  <si>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</si>
  <si>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</si>
  <si>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</si>
  <si>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</si>
  <si>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</si>
  <si>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</si>
  <si>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</si>
  <si>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</si>
  <si>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</si>
  <si>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</si>
  <si>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</si>
  <si>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</si>
  <si>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</si>
  <si>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</si>
  <si>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</si>
  <si>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</si>
  <si>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</si>
  <si>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</si>
  <si>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</si>
  <si>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</si>
  <si>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</si>
  <si>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</si>
  <si>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</si>
  <si>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</si>
  <si>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</si>
  <si>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</si>
  <si>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</si>
  <si>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</si>
  <si>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</si>
  <si>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</si>
  <si>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</si>
  <si>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</si>
  <si>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</si>
  <si>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</si>
  <si>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</si>
  <si>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</si>
  <si>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</si>
  <si>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</si>
  <si>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</si>
  <si>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</si>
  <si>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</si>
  <si>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</si>
  <si>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</si>
  <si>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</si>
  <si>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</si>
  <si>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</si>
  <si>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</si>
  <si>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</si>
  <si>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</si>
  <si>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</si>
  <si>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</si>
  <si>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</si>
  <si>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</si>
  <si>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</si>
  <si>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</si>
  <si>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</si>
  <si>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</si>
  <si>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</si>
  <si>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</si>
  <si>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</si>
  <si>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</si>
  <si>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</si>
  <si>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</si>
  <si>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</si>
  <si>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</si>
  <si>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</si>
  <si>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</si>
  <si>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</si>
  <si>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</si>
  <si>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</si>
  <si>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</si>
  <si>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</si>
  <si>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</si>
  <si>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</si>
  <si>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</si>
  <si>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</si>
  <si>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</si>
  <si>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</si>
  <si>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</si>
  <si>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</si>
  <si>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</si>
  <si>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</si>
  <si>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</si>
  <si>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</si>
  <si>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</si>
  <si>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</si>
  <si>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</si>
  <si>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</si>
  <si>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</si>
  <si>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</si>
  <si>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</si>
  <si>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</si>
  <si>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</si>
  <si>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</si>
  <si>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</si>
  <si>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</si>
  <si>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</si>
  <si>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</si>
  <si>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</si>
  <si>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</si>
  <si>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</si>
  <si>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</si>
  <si>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</si>
  <si>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</si>
  <si>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</si>
  <si>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</si>
  <si>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</si>
  <si>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</si>
  <si>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</si>
  <si>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</si>
  <si>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</si>
  <si>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</si>
  <si>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</si>
  <si>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</si>
  <si>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</si>
  <si>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</si>
  <si>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</si>
  <si>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</si>
  <si>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</si>
  <si>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</si>
  <si>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</si>
  <si>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</si>
  <si>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</si>
  <si>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</si>
  <si>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</si>
  <si>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</si>
  <si>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</si>
  <si>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</si>
  <si>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</si>
  <si>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</si>
  <si>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</si>
  <si>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</si>
  <si>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</si>
  <si>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</si>
  <si>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</si>
  <si>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</si>
  <si>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</si>
  <si>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</si>
  <si>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</si>
  <si>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</si>
  <si>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</si>
  <si>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</si>
  <si>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</si>
  <si>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</si>
  <si>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</si>
  <si>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</si>
  <si>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</si>
  <si>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</si>
  <si>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</si>
  <si>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</si>
  <si>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</si>
  <si>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</si>
  <si>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</si>
  <si>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</si>
  <si>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</si>
  <si>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</si>
  <si>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</si>
  <si>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</si>
  <si>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</si>
  <si>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</si>
  <si>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</si>
  <si>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</si>
  <si>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</si>
  <si>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</si>
  <si>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</si>
  <si>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</si>
  <si>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</si>
  <si>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</si>
  <si>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</si>
  <si>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</si>
  <si>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</si>
  <si>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</si>
  <si>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</si>
  <si>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</si>
  <si>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</si>
  <si>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</si>
  <si>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</si>
  <si>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</si>
  <si>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</si>
  <si>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</si>
  <si>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</si>
  <si>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</si>
  <si>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</si>
  <si>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</si>
  <si>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</si>
  <si>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</si>
  <si>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</si>
  <si>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</si>
  <si>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</si>
  <si>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</si>
  <si>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</si>
  <si>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</si>
  <si>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</si>
  <si>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</si>
  <si>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</si>
  <si>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</si>
  <si>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</si>
  <si>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</si>
  <si>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</si>
  <si>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</si>
  <si>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</si>
  <si>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</si>
  <si>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</si>
  <si>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</si>
  <si>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</si>
  <si>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</si>
  <si>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</si>
  <si>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</si>
  <si>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</si>
  <si>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</si>
  <si>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</si>
  <si>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</si>
  <si>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</si>
  <si>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</si>
  <si>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</si>
  <si>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</si>
  <si>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</si>
  <si>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</si>
  <si>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</si>
  <si>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</si>
  <si>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</si>
  <si>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</si>
  <si>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</si>
  <si>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</si>
  <si>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</si>
  <si>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</si>
  <si>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</si>
  <si>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</si>
  <si>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</si>
  <si>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</si>
  <si>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</si>
  <si>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</si>
  <si>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</si>
  <si>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</si>
  <si>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</si>
  <si>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</si>
  <si>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</si>
  <si>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</si>
  <si>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</si>
  <si>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</si>
  <si>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</si>
  <si>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</si>
  <si>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</si>
  <si>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</si>
  <si>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</si>
  <si>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</si>
  <si>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</si>
  <si>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</si>
  <si>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</si>
  <si>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</si>
  <si>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</si>
  <si>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</si>
  <si>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</si>
  <si>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</si>
  <si>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</si>
  <si>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</si>
  <si>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</si>
  <si>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</si>
  <si>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</si>
  <si>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</si>
  <si>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</si>
  <si>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</si>
  <si>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</si>
  <si>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</si>
  <si>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</si>
  <si>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</si>
  <si>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</si>
  <si>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</si>
  <si>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</si>
  <si>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</si>
  <si>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</si>
  <si>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</si>
  <si>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</si>
  <si>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</si>
  <si>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</si>
  <si>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</si>
  <si>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</si>
  <si>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</si>
  <si>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</si>
  <si>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</si>
  <si>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</si>
  <si>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</si>
  <si>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</si>
  <si>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</si>
  <si>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</si>
  <si>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</si>
  <si>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</si>
  <si>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</si>
  <si>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</si>
  <si>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</si>
  <si>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</si>
  <si>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</si>
  <si>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</si>
  <si>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</si>
  <si>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</si>
  <si>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</si>
  <si>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</si>
  <si>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</si>
  <si>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</si>
  <si>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</si>
  <si>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</si>
  <si>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</si>
  <si>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</si>
  <si>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</si>
  <si>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</si>
  <si>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</si>
  <si>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</si>
  <si>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</si>
  <si>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</si>
  <si>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</si>
  <si>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</si>
  <si>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</si>
  <si>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</si>
  <si>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</si>
  <si>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</si>
  <si>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</si>
  <si>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</si>
  <si>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</si>
  <si>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</si>
  <si>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</si>
  <si>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</si>
  <si>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</si>
  <si>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</si>
  <si>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</si>
  <si>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</si>
  <si>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</si>
  <si>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</si>
  <si>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</si>
  <si>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</si>
  <si>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</si>
  <si>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</si>
  <si>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</si>
  <si>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</si>
  <si>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</si>
  <si>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</si>
  <si>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</si>
  <si>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</si>
  <si>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</si>
  <si>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</si>
  <si>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</si>
  <si>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</si>
  <si>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</si>
  <si>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</si>
  <si>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</si>
  <si>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</si>
  <si>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</si>
  <si>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</si>
  <si>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</si>
  <si>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</si>
  <si>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</si>
  <si>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</si>
  <si>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</si>
  <si>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</si>
  <si>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</si>
  <si>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</si>
  <si>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</si>
  <si>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</si>
  <si>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</si>
  <si>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</si>
  <si>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</si>
  <si>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</si>
  <si>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</si>
  <si>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</si>
  <si>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</si>
  <si>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</si>
  <si>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</si>
  <si>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</si>
  <si>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</si>
  <si>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</si>
  <si>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</si>
  <si>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</si>
  <si>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</si>
  <si>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</si>
  <si>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</si>
  <si>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</si>
  <si>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</si>
  <si>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</si>
  <si>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</si>
  <si>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</si>
  <si>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</si>
  <si>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</si>
  <si>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</si>
  <si>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</si>
  <si>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</si>
  <si>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</si>
  <si>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</si>
  <si>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</si>
  <si>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</si>
  <si>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</si>
  <si>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</si>
  <si>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</si>
  <si>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</si>
  <si>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</si>
  <si>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</si>
  <si>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</si>
  <si>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</si>
  <si>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</si>
  <si>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</si>
  <si>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</si>
  <si>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</si>
  <si>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</si>
  <si>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</si>
  <si>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</si>
  <si>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</si>
  <si>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</si>
  <si>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</si>
  <si>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</si>
  <si>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</si>
  <si>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</si>
  <si>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</si>
  <si>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</si>
  <si>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</si>
  <si>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</si>
  <si>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</si>
  <si>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</si>
  <si>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</si>
  <si>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</si>
  <si>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</si>
  <si>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</si>
  <si>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</si>
  <si>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</si>
  <si>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</si>
  <si>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</si>
  <si>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</si>
  <si>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</si>
  <si>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</si>
  <si>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</si>
  <si>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</si>
  <si>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</si>
  <si>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</si>
  <si>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</si>
  <si>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</si>
  <si>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</si>
  <si>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</si>
  <si>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</si>
  <si>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</si>
  <si>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</si>
  <si>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</si>
  <si>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</si>
  <si>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</si>
  <si>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</si>
  <si>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</si>
  <si>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</si>
  <si>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</si>
  <si>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</si>
  <si>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</si>
  <si>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</si>
  <si>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</si>
  <si>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</si>
  <si>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</si>
  <si>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</si>
  <si>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</si>
  <si>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</si>
  <si>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</si>
  <si>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</si>
  <si>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</si>
  <si>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</si>
  <si>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</si>
  <si>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</si>
  <si>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</si>
  <si>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</si>
  <si>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</si>
  <si>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</si>
  <si>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</si>
  <si>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</si>
  <si>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</si>
  <si>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</si>
  <si>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</si>
  <si>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</si>
  <si>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</si>
  <si>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</si>
  <si>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</si>
  <si>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</si>
  <si>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</si>
  <si>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</si>
  <si>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</si>
  <si>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</si>
  <si>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</si>
  <si>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</si>
  <si>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</si>
  <si>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</si>
  <si>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</si>
  <si>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</si>
  <si>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</si>
  <si>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</si>
  <si>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</si>
  <si>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</si>
  <si>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</si>
  <si>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</si>
  <si>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</si>
  <si>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</si>
  <si>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</si>
  <si>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</si>
  <si>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</si>
  <si>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</si>
  <si>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</si>
  <si>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</si>
  <si>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</si>
  <si>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</si>
  <si>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</si>
  <si>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</si>
  <si>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</si>
  <si>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</si>
  <si>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</si>
  <si>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</si>
  <si>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</si>
  <si>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</si>
  <si>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</si>
  <si>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</si>
  <si>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</si>
  <si>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</si>
  <si>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</si>
  <si>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</si>
  <si>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</si>
  <si>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</si>
  <si>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</si>
  <si>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</si>
  <si>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</si>
  <si>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</si>
  <si>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</si>
  <si>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</si>
  <si>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</si>
  <si>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</si>
  <si>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</si>
  <si>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</si>
  <si>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</si>
  <si>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</si>
  <si>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</si>
  <si>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</si>
  <si>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</si>
  <si>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</si>
  <si>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</si>
  <si>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</si>
  <si>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</si>
  <si>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</si>
  <si>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</si>
  <si>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</si>
  <si>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</si>
  <si>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</si>
  <si>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</si>
  <si>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</si>
  <si>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</si>
  <si>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</si>
  <si>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</si>
  <si>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</si>
  <si>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</si>
  <si>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</si>
  <si>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</si>
  <si>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</si>
  <si>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</si>
  <si>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</si>
  <si>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</si>
  <si>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</si>
  <si>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</si>
  <si>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</si>
  <si>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</si>
  <si>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</si>
  <si>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</si>
  <si>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</si>
  <si>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</si>
  <si>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</si>
  <si>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</si>
  <si>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</si>
  <si>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</si>
  <si>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</si>
  <si>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</si>
  <si>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</si>
  <si>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</si>
  <si>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</si>
  <si>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</si>
  <si>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</si>
  <si>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</si>
  <si>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</si>
  <si>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</si>
  <si>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</si>
  <si>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</si>
  <si>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</si>
  <si>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</si>
  <si>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</si>
  <si>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</si>
  <si>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</si>
  <si>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</si>
  <si>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</si>
  <si>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</si>
  <si>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</si>
  <si>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</si>
  <si>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</si>
  <si>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</si>
  <si>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</si>
  <si>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</si>
  <si>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</si>
  <si>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</si>
  <si>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</si>
  <si>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</si>
  <si>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</si>
  <si>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</si>
  <si>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</si>
  <si>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</si>
  <si>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</si>
  <si>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</si>
  <si>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</si>
  <si>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</si>
  <si>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</si>
  <si>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</si>
  <si>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</si>
  <si>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</si>
  <si>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</si>
  <si>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</si>
  <si>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</si>
  <si>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</si>
  <si>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</si>
  <si>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</si>
  <si>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</si>
  <si>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</si>
  <si>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</si>
  <si>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</si>
  <si>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</si>
  <si>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</si>
  <si>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</si>
  <si>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</si>
  <si>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</si>
  <si>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</si>
  <si>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</si>
  <si>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</si>
  <si>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</si>
  <si>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</si>
  <si>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</si>
  <si>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</si>
  <si>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</si>
  <si>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</si>
  <si>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</si>
  <si>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</si>
  <si>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</si>
  <si>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</si>
  <si>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</si>
  <si>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</si>
  <si>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</si>
  <si>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</si>
  <si>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</si>
  <si>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</si>
  <si>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</si>
  <si>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</si>
  <si>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</si>
  <si>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</si>
  <si>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</si>
  <si>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</si>
  <si>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</si>
  <si>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</si>
  <si>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</si>
  <si>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</si>
  <si>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</si>
  <si>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</si>
  <si>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</si>
  <si>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</si>
  <si>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</si>
  <si>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</si>
  <si>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</si>
  <si>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</si>
  <si>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</si>
  <si>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</si>
  <si>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</si>
  <si>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</si>
  <si>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</si>
  <si>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</si>
  <si>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</si>
  <si>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</si>
  <si>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</si>
  <si>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</si>
  <si>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</si>
  <si>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</si>
  <si>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</si>
  <si>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</si>
  <si>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</si>
  <si>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</si>
  <si>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</si>
  <si>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</si>
  <si>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</si>
  <si>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</si>
  <si>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</si>
  <si>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</si>
  <si>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</si>
  <si>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</si>
  <si>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</si>
  <si>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</si>
  <si>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</si>
  <si>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</si>
  <si>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</si>
  <si>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</si>
  <si>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</si>
  <si>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</si>
  <si>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</si>
  <si>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</si>
  <si>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</si>
  <si>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</si>
  <si>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</si>
  <si>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</si>
  <si>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</si>
  <si>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</si>
  <si>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</si>
  <si>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</si>
  <si>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</si>
  <si>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</si>
  <si>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</si>
  <si>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</si>
  <si>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</si>
  <si>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</si>
  <si>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</si>
  <si>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</si>
  <si>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</si>
  <si>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</si>
  <si>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</si>
  <si>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</si>
  <si>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</si>
  <si>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</si>
  <si>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</si>
  <si>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</si>
  <si>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</si>
  <si>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</si>
  <si>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</si>
  <si>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</si>
  <si>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</si>
  <si>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</si>
  <si>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</si>
  <si>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</si>
  <si>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</si>
  <si>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</si>
  <si>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</si>
  <si>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</si>
  <si>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</si>
  <si>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</si>
  <si>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</si>
  <si>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</si>
  <si>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</si>
  <si>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</si>
  <si>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</si>
  <si>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</si>
  <si>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</si>
  <si>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</si>
  <si>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</si>
  <si>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</si>
  <si>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</si>
  <si>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</si>
  <si>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</si>
  <si>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</si>
  <si>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</si>
  <si>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</si>
  <si>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</si>
  <si>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</si>
  <si>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</si>
  <si>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</si>
  <si>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</si>
  <si>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</si>
  <si>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</si>
  <si>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</si>
  <si>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</si>
  <si>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</si>
  <si>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</si>
  <si>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</si>
  <si>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</si>
  <si>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</si>
  <si>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</si>
  <si>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</si>
  <si>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</si>
  <si>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</si>
  <si>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</si>
  <si>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</si>
  <si>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</si>
  <si>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</si>
  <si>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</si>
  <si>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</si>
  <si>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</si>
  <si>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</si>
  <si>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</si>
  <si>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</si>
  <si>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</si>
  <si>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</si>
  <si>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</si>
  <si>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</si>
  <si>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</si>
  <si>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</si>
  <si>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</si>
  <si>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</si>
  <si>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</si>
  <si>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</si>
  <si>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</si>
  <si>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</si>
  <si>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</si>
  <si>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</si>
  <si>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</si>
  <si>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</si>
  <si>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</si>
  <si>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</si>
  <si>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</si>
  <si>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</si>
  <si>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</si>
  <si>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</si>
  <si>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</si>
  <si>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</si>
  <si>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</si>
  <si>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</si>
  <si>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</si>
  <si>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</si>
  <si>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</si>
  <si>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</si>
  <si>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</si>
  <si>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</si>
  <si>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</si>
  <si>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</si>
  <si>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</si>
  <si>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</si>
  <si>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</si>
  <si>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</si>
  <si>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</si>
  <si>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</si>
  <si>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</si>
  <si>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</si>
  <si>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</si>
  <si>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</si>
  <si>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</si>
  <si>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</si>
  <si>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</si>
  <si>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</si>
  <si>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</si>
  <si>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</si>
  <si>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</si>
  <si>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</si>
  <si>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</si>
  <si>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</si>
  <si>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</si>
  <si>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</si>
  <si>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</si>
  <si>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</si>
  <si>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</si>
  <si>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</si>
  <si>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</si>
  <si>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</si>
  <si>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</si>
  <si>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</si>
  <si>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</si>
  <si>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</si>
  <si>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</si>
  <si>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</si>
  <si>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</si>
  <si>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</si>
  <si>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</si>
  <si>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</si>
  <si>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</si>
  <si>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</si>
  <si>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</si>
  <si>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</si>
  <si>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</si>
  <si>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</si>
  <si>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</si>
  <si>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</si>
  <si>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</si>
  <si>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</si>
  <si>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</si>
  <si>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</si>
  <si>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</si>
  <si>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</si>
  <si>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</si>
  <si>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</si>
  <si>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</si>
  <si>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</si>
  <si>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</si>
  <si>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</si>
  <si>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</si>
  <si>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</si>
  <si>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</si>
  <si>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</si>
  <si>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</si>
  <si>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</si>
  <si>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</si>
  <si>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</si>
  <si>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</si>
  <si>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</si>
  <si>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</si>
  <si>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</si>
  <si>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</si>
  <si>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</si>
  <si>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</si>
  <si>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</si>
  <si>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</si>
  <si>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</si>
  <si>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</si>
  <si>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</si>
  <si>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</si>
  <si>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</si>
  <si>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</si>
  <si>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</si>
  <si>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</si>
  <si>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</si>
  <si>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</si>
  <si>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</si>
  <si>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</si>
  <si>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</si>
  <si>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</si>
  <si>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</si>
  <si>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</si>
  <si>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</si>
  <si>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</si>
  <si>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</si>
  <si>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</si>
  <si>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</si>
  <si>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</si>
  <si>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</si>
  <si>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</si>
  <si>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</si>
  <si>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</si>
  <si>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</si>
  <si>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</si>
  <si>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</si>
  <si>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</si>
  <si>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</si>
  <si>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</si>
  <si>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</si>
  <si>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</si>
  <si>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</si>
  <si>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</si>
  <si>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</si>
  <si>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</si>
  <si>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</si>
  <si>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</si>
  <si>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</si>
  <si>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</si>
  <si>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</si>
  <si>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</si>
  <si>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</si>
  <si>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</si>
  <si>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</si>
  <si>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</si>
  <si>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</si>
  <si>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</si>
  <si>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</si>
  <si>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</si>
  <si>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</si>
  <si>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</si>
  <si>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</si>
  <si>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</si>
  <si>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</si>
  <si>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</si>
  <si>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</si>
  <si>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</si>
  <si>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</si>
  <si>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</si>
  <si>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</si>
  <si>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</si>
  <si>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</si>
  <si>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</si>
  <si>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</si>
  <si>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</si>
  <si>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</si>
  <si>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</si>
  <si>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</si>
  <si>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</si>
  <si>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</si>
  <si>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</si>
  <si>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</si>
  <si>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</si>
  <si>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</si>
  <si>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</si>
  <si>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</si>
  <si>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</si>
  <si>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</si>
  <si>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</si>
  <si>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</si>
  <si>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</si>
  <si>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</si>
  <si>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</si>
  <si>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</si>
  <si>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</si>
  <si>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</si>
  <si>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</si>
  <si>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</si>
  <si>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</si>
  <si>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</si>
  <si>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</si>
  <si>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</si>
  <si>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</si>
  <si>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</si>
  <si>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</si>
  <si>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</si>
  <si>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</si>
  <si>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</si>
  <si>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</si>
  <si>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</si>
  <si>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</si>
  <si>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</si>
  <si>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</si>
  <si>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</si>
  <si>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</si>
  <si>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</si>
  <si>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</si>
  <si>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</si>
  <si>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</si>
  <si>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</si>
  <si>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</si>
  <si>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</si>
  <si>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</si>
  <si>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</si>
  <si>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</si>
  <si>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</si>
  <si>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</si>
  <si>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</si>
  <si>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</si>
  <si>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</si>
  <si>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</si>
  <si>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</si>
  <si>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</si>
  <si>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</si>
  <si>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</si>
  <si>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</si>
  <si>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</si>
  <si>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</si>
  <si>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</si>
  <si>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</si>
  <si>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</si>
  <si>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</si>
  <si>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</si>
  <si>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</si>
  <si>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</si>
  <si>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</si>
  <si>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</si>
  <si>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</si>
  <si>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</si>
  <si>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</si>
  <si>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</si>
  <si>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</si>
  <si>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</si>
  <si>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</si>
  <si>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</si>
  <si>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</si>
  <si>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</si>
  <si>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</si>
  <si>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</si>
  <si>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</si>
  <si>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</si>
  <si>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</si>
  <si>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</si>
  <si>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</si>
  <si>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</si>
  <si>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</si>
  <si>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</si>
  <si>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</si>
  <si>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</si>
  <si>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</si>
  <si>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</si>
  <si>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</si>
  <si>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</si>
  <si>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</si>
  <si>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</si>
  <si>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</si>
  <si>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</si>
  <si>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</si>
  <si>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</si>
  <si>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</si>
  <si>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</si>
  <si>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</si>
  <si>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</si>
  <si>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</si>
  <si>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</si>
  <si>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</si>
  <si>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</si>
  <si>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</si>
  <si>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</si>
  <si>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</si>
  <si>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</si>
  <si>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</si>
  <si>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</si>
  <si>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</si>
  <si>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</si>
  <si>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</si>
  <si>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</si>
  <si>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</si>
  <si>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</si>
  <si>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</si>
  <si>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</si>
  <si>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</si>
  <si>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</si>
  <si>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</si>
  <si>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</si>
  <si>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</si>
  <si>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</si>
  <si>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</si>
  <si>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</si>
  <si>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</si>
  <si>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</si>
  <si>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</si>
  <si>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</si>
  <si>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</si>
  <si>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</si>
  <si>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</si>
  <si>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</si>
  <si>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</si>
  <si>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</si>
  <si>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</si>
  <si>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</si>
  <si>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</si>
  <si>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</si>
  <si>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</si>
  <si>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</si>
  <si>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</si>
  <si>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</si>
  <si>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</si>
  <si>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</si>
  <si>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</si>
  <si>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</si>
  <si>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</si>
  <si>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</si>
  <si>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</si>
  <si>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</si>
  <si>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</si>
  <si>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</si>
  <si>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</si>
  <si>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</si>
  <si>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</si>
  <si>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</si>
  <si>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</si>
  <si>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</si>
  <si>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</si>
  <si>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</si>
  <si>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</si>
  <si>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</si>
  <si>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</si>
  <si>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</si>
  <si>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</si>
  <si>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</si>
  <si>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</si>
  <si>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</si>
  <si>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</si>
  <si>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</si>
  <si>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</si>
  <si>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</si>
  <si>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</si>
  <si>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</si>
  <si>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</si>
  <si>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</si>
  <si>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</si>
  <si>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</si>
  <si>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</si>
  <si>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</si>
  <si>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</si>
  <si>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</si>
  <si>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</si>
  <si>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</si>
  <si>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</si>
  <si>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</si>
  <si>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</si>
  <si>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</si>
  <si>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</si>
  <si>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</si>
  <si>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</si>
  <si>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</si>
  <si>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</si>
  <si>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</si>
  <si>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</si>
  <si>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</si>
  <si>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</si>
  <si>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</si>
  <si>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</si>
  <si>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</si>
  <si>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</si>
  <si>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</si>
  <si>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</si>
  <si>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</si>
  <si>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</si>
  <si>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</si>
  <si>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</si>
  <si>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</si>
  <si>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</si>
  <si>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</si>
  <si>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</si>
  <si>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</si>
  <si>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</si>
  <si>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</si>
  <si>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</si>
  <si>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</si>
  <si>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</si>
  <si>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</si>
  <si>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</si>
  <si>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</si>
  <si>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</si>
  <si>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</si>
  <si>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</si>
  <si>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</si>
  <si>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</si>
  <si>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</si>
  <si>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</si>
  <si>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</si>
  <si>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</si>
  <si>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</si>
  <si>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</si>
  <si>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</si>
  <si>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</si>
  <si>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</si>
  <si>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</si>
  <si>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</si>
  <si>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</si>
  <si>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</si>
  <si>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</si>
  <si>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</si>
  <si>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</si>
  <si>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</si>
  <si>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</si>
  <si>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</si>
  <si>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</si>
  <si>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</si>
  <si>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</si>
  <si>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</si>
  <si>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</si>
  <si>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</si>
  <si>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</si>
  <si>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</si>
  <si>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</si>
  <si>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</si>
  <si>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</si>
  <si>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</si>
  <si>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</si>
  <si>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</si>
  <si>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</si>
  <si>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</si>
  <si>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</si>
  <si>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</si>
  <si>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</si>
  <si>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</si>
  <si>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</si>
  <si>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</si>
  <si>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</si>
  <si>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</si>
  <si>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</si>
  <si>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</si>
  <si>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</si>
  <si>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</si>
  <si>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</si>
  <si>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</si>
  <si>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</si>
  <si>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</si>
  <si>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</si>
  <si>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</si>
  <si>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</si>
  <si>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</si>
  <si>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</si>
  <si>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</si>
  <si>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</si>
  <si>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</si>
  <si>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</si>
  <si>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</si>
  <si>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</si>
  <si>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</si>
  <si>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</si>
  <si>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</si>
  <si>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</si>
  <si>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</si>
  <si>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</si>
  <si>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</si>
  <si>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</si>
  <si>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</si>
  <si>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</si>
  <si>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</si>
  <si>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</si>
  <si>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</si>
  <si>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</si>
  <si>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</si>
  <si>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</si>
  <si>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</si>
  <si>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</si>
  <si>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</si>
  <si>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</si>
  <si>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</si>
  <si>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</si>
  <si>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</si>
  <si>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</si>
  <si>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</si>
  <si>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</si>
  <si>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</si>
  <si>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</si>
  <si>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</si>
  <si>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</si>
  <si>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</si>
  <si>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</si>
  <si>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</si>
  <si>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</si>
  <si>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</si>
  <si>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</si>
  <si>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</si>
  <si>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</si>
  <si>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</si>
  <si>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</si>
  <si>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</si>
  <si>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</si>
  <si>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</si>
  <si>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</si>
  <si>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</si>
  <si>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</si>
  <si>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</si>
  <si>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</si>
  <si>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</si>
  <si>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</si>
  <si>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</si>
  <si>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</si>
  <si>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</si>
  <si>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</si>
  <si>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</si>
  <si>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</si>
  <si>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</si>
  <si>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</si>
  <si>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</si>
  <si>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</si>
  <si>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</si>
  <si>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</si>
  <si>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</si>
  <si>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</si>
  <si>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</si>
  <si>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</si>
  <si>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</si>
  <si>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</si>
  <si>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</si>
  <si>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</si>
  <si>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</si>
  <si>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</si>
  <si>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</si>
  <si>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</si>
  <si>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</si>
  <si>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</si>
  <si>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</si>
  <si>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</si>
  <si>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</si>
  <si>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</si>
  <si>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</si>
  <si>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</si>
  <si>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</si>
  <si>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</si>
  <si>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</si>
  <si>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</si>
  <si>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</si>
  <si>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</si>
  <si>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</si>
  <si>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</si>
  <si>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</si>
  <si>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</si>
  <si>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</si>
  <si>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</si>
  <si>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</si>
  <si>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</si>
  <si>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</si>
  <si>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</si>
  <si>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</si>
  <si>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</si>
  <si>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</si>
  <si>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</si>
  <si>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</si>
  <si>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</si>
  <si>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</si>
  <si>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</si>
  <si>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</si>
  <si>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</si>
  <si>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</si>
  <si>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</si>
  <si>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</si>
  <si>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</si>
  <si>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</si>
  <si>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</si>
  <si>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</si>
  <si>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</si>
  <si>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</si>
  <si>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</si>
  <si>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</si>
  <si>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</si>
  <si>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</si>
  <si>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</si>
  <si>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</si>
  <si>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</si>
  <si>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</si>
  <si>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</si>
  <si>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</si>
  <si>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</si>
  <si>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</si>
  <si>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</si>
  <si>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</si>
  <si>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</si>
  <si>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</si>
  <si>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</si>
  <si>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</si>
  <si>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</si>
  <si>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</si>
  <si>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</si>
  <si>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</si>
  <si>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</si>
  <si>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</si>
  <si>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</si>
  <si>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</si>
  <si>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</si>
  <si>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</si>
  <si>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</si>
  <si>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</si>
  <si>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</si>
  <si>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</si>
  <si>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</si>
  <si>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</si>
  <si>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</si>
  <si>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</si>
  <si>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</si>
  <si>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</si>
  <si>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</si>
  <si>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</si>
  <si>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</si>
  <si>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</si>
  <si>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</si>
  <si>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</si>
  <si>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</si>
  <si>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</si>
  <si>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</si>
  <si>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</si>
  <si>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</si>
  <si>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</si>
  <si>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</si>
  <si>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</si>
  <si>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</si>
  <si>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</si>
  <si>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</si>
  <si>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</si>
  <si>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</si>
  <si>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</si>
  <si>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</si>
  <si>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</si>
  <si>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</si>
  <si>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</si>
  <si>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</si>
  <si>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</si>
  <si>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</si>
  <si>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</si>
  <si>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</si>
  <si>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</si>
  <si>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</si>
  <si>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</si>
  <si>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</si>
  <si>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</si>
  <si>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</si>
  <si>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</si>
  <si>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</si>
  <si>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</si>
  <si>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</si>
  <si>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</si>
  <si>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</si>
  <si>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</si>
  <si>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</si>
  <si>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</si>
  <si>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</si>
  <si>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</si>
  <si>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</si>
  <si>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</si>
  <si>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</si>
  <si>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</si>
  <si>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</si>
  <si>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</si>
  <si>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</si>
  <si>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</si>
  <si>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</si>
  <si>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</si>
  <si>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</si>
  <si>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</si>
  <si>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</si>
  <si>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</si>
  <si>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</si>
  <si>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</si>
  <si>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</si>
  <si>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</si>
  <si>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</si>
  <si>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</si>
  <si>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</si>
  <si>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</si>
  <si>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</si>
  <si>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</si>
  <si>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</si>
  <si>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</si>
  <si>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</si>
  <si>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</si>
  <si>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</si>
  <si>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</si>
  <si>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</si>
  <si>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</si>
  <si>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</si>
  <si>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</si>
  <si>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</si>
  <si>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</si>
  <si>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</si>
  <si>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</si>
  <si>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</si>
  <si>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</si>
  <si>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</si>
  <si>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</si>
  <si>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</si>
  <si>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</si>
  <si>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</si>
  <si>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</si>
  <si>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</si>
  <si>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</si>
  <si>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</si>
  <si>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</si>
  <si>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</si>
  <si>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</si>
  <si>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</si>
  <si>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</si>
  <si>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</si>
  <si>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</si>
  <si>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</si>
  <si>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</si>
  <si>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</si>
  <si>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</si>
  <si>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</si>
  <si>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</si>
  <si>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</si>
  <si>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</si>
  <si>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</si>
  <si>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</si>
  <si>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</si>
  <si>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</si>
  <si>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</si>
  <si>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</si>
  <si>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</si>
  <si>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</si>
  <si>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</si>
  <si>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</si>
  <si>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</si>
  <si>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</si>
  <si>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</si>
  <si>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</si>
  <si>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</si>
  <si>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</si>
  <si>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</si>
  <si>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</si>
  <si>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</si>
  <si>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</si>
  <si>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</si>
  <si>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</si>
  <si>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</si>
  <si>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</si>
  <si>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</si>
  <si>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</si>
  <si>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</si>
  <si>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</si>
  <si>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</si>
  <si>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</si>
  <si>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</si>
  <si>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</si>
  <si>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</si>
  <si>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</si>
  <si>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</si>
  <si>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</si>
  <si>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</si>
  <si>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</si>
  <si>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</si>
  <si>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</si>
  <si>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</si>
  <si>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</si>
  <si>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</si>
  <si>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</si>
  <si>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</si>
  <si>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</si>
  <si>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</si>
  <si>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</si>
  <si>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</si>
  <si>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</si>
  <si>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</si>
  <si>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</si>
  <si>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</si>
  <si>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</si>
  <si>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</si>
  <si>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</si>
  <si>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</si>
  <si>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</si>
  <si>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</si>
  <si>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</si>
  <si>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</si>
  <si>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</si>
  <si>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</si>
  <si>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</si>
  <si>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</si>
  <si>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</si>
  <si>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</si>
  <si>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</si>
  <si>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</si>
  <si>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</si>
  <si>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</si>
  <si>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</si>
  <si>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</si>
  <si>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</si>
  <si>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</si>
  <si>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</si>
  <si>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</si>
  <si>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</si>
  <si>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</si>
  <si>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</si>
  <si>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</si>
  <si>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</si>
  <si>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</si>
  <si>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</si>
  <si>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</si>
  <si>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</si>
  <si>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</si>
  <si>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</si>
  <si>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</si>
  <si>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</si>
  <si>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</si>
  <si>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</si>
  <si>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</si>
  <si>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</si>
  <si>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</si>
  <si>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</si>
  <si>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</si>
  <si>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</si>
  <si>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</si>
  <si>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</si>
  <si>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</si>
  <si>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</si>
  <si>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</si>
  <si>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</si>
  <si>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</si>
  <si>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</si>
  <si>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</si>
  <si>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</si>
  <si>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</si>
  <si>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</si>
  <si>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</si>
  <si>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</si>
  <si>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</si>
  <si>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</si>
  <si>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</si>
  <si>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</si>
  <si>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</si>
  <si>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</si>
  <si>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</si>
  <si>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</si>
  <si>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</si>
  <si>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</si>
  <si>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</si>
  <si>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</si>
  <si>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</si>
  <si>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</si>
  <si>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</si>
  <si>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</si>
  <si>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</si>
  <si>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</si>
  <si>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</si>
  <si>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</si>
  <si>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</si>
  <si>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</si>
  <si>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</si>
  <si>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</si>
  <si>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</si>
  <si>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</si>
  <si>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</si>
  <si>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</si>
  <si>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</si>
  <si>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</si>
  <si>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</si>
  <si>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</si>
  <si>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</si>
  <si>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</si>
  <si>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</si>
  <si>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</si>
  <si>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</si>
  <si>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</si>
  <si>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</si>
  <si>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</si>
  <si>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</si>
  <si>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</si>
  <si>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</si>
  <si>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</si>
  <si>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</si>
  <si>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</si>
  <si>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</si>
  <si>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</si>
  <si>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</si>
  <si>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</si>
  <si>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</si>
  <si>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</si>
  <si>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</si>
  <si>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</si>
  <si>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</si>
  <si>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</si>
  <si>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</si>
  <si>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</si>
  <si>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</si>
  <si>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</si>
  <si>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</si>
  <si>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</si>
  <si>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</si>
  <si>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</si>
  <si>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</si>
  <si>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</si>
  <si>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</si>
  <si>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</si>
  <si>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</si>
  <si>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</si>
  <si>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</si>
  <si>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</si>
  <si>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</si>
  <si>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</si>
  <si>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</si>
  <si>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</si>
  <si>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</si>
  <si>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</si>
  <si>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</si>
  <si>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</si>
  <si>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</si>
  <si>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</si>
  <si>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</si>
  <si>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</si>
  <si>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</si>
  <si>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</si>
  <si>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</si>
  <si>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</si>
  <si>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</si>
  <si>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</si>
  <si>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</si>
  <si>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</si>
  <si>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</si>
  <si>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</si>
  <si>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</si>
  <si>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</si>
  <si>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</si>
  <si>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</si>
  <si>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</si>
  <si>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</si>
  <si>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</si>
  <si>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</si>
  <si>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</si>
  <si>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</si>
  <si>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</si>
  <si>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</si>
  <si>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</si>
  <si>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</si>
  <si>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</si>
  <si>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</si>
  <si>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</si>
  <si>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</si>
  <si>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</si>
  <si>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</si>
  <si>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</si>
  <si>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</si>
  <si>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</si>
  <si>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</si>
  <si>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</si>
  <si>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Customer_name</t>
  </si>
  <si>
    <t>Unknown</t>
  </si>
  <si>
    <t>shipping_delay_days</t>
  </si>
  <si>
    <t>date_flag</t>
  </si>
  <si>
    <t>Dis_flag</t>
  </si>
  <si>
    <t>Cleaned_discount</t>
  </si>
  <si>
    <t>Calculated_sales</t>
  </si>
  <si>
    <t>Calculated_profit</t>
  </si>
  <si>
    <t>Profit_margin</t>
  </si>
  <si>
    <t>order_month</t>
  </si>
  <si>
    <t>order_year</t>
  </si>
  <si>
    <t>data_quality_flag</t>
  </si>
  <si>
    <t>COLUMN A</t>
  </si>
  <si>
    <t>COLUMN B</t>
  </si>
  <si>
    <t>Number of exact duplicate rows found</t>
  </si>
  <si>
    <t>Number of duplicate order IDs found</t>
  </si>
  <si>
    <t>Number of records removed</t>
  </si>
  <si>
    <t>Number of records flagged for review</t>
  </si>
  <si>
    <t>Logic used for handling duplicates</t>
  </si>
  <si>
    <t>Duplicate handling summary</t>
  </si>
  <si>
    <t>Exect duplicates removed and conflicting duplicates flag for review.</t>
  </si>
  <si>
    <t>Column1</t>
  </si>
  <si>
    <t>Column2</t>
  </si>
  <si>
    <t>MISSING VALUE  SUMMERY</t>
  </si>
  <si>
    <t xml:space="preserve">COLUMN NAME </t>
  </si>
  <si>
    <t>MISSING COUNT</t>
  </si>
  <si>
    <t>Region</t>
  </si>
  <si>
    <t>Ship_Mode</t>
  </si>
  <si>
    <t>Discount</t>
  </si>
  <si>
    <t>Metric</t>
  </si>
  <si>
    <t>Count</t>
  </si>
  <si>
    <t>Invalid discount summary</t>
  </si>
  <si>
    <t>Negative Discount</t>
  </si>
  <si>
    <t>Discount as text</t>
  </si>
  <si>
    <t>Missing Discount</t>
  </si>
  <si>
    <t>Column3</t>
  </si>
  <si>
    <t>Logic</t>
  </si>
  <si>
    <t>Fill as UNKNOWN</t>
  </si>
  <si>
    <t>Fill as 0</t>
  </si>
  <si>
    <t>High Discount (&gt;0.5)</t>
  </si>
  <si>
    <t>Flag Invalid and fill 0 in clean discount</t>
  </si>
  <si>
    <t>fill as 0</t>
  </si>
  <si>
    <t>with text covert (8+7=15)</t>
  </si>
  <si>
    <t>Date Issue Summery</t>
  </si>
  <si>
    <t>Convert to decimal and high discount fill as 0</t>
  </si>
  <si>
    <t>flag Invalid(Warning) and fill 0 in clean discount</t>
  </si>
  <si>
    <t>Issue</t>
  </si>
  <si>
    <t>Ship before order date</t>
  </si>
  <si>
    <t>missing oreder date</t>
  </si>
  <si>
    <t>missing ship date</t>
  </si>
  <si>
    <t>Flag as Invalid</t>
  </si>
  <si>
    <t>Order status issue summary</t>
  </si>
  <si>
    <t>Status</t>
  </si>
  <si>
    <t>Action</t>
  </si>
  <si>
    <t>Returned order</t>
  </si>
  <si>
    <t>Cancelled order</t>
  </si>
  <si>
    <t>Completed order</t>
  </si>
  <si>
    <t>total</t>
  </si>
  <si>
    <t>Not use in final summery</t>
  </si>
  <si>
    <t>Sales/profit calculation mismatch summary</t>
  </si>
  <si>
    <t>Match</t>
  </si>
  <si>
    <t>Mismatch</t>
  </si>
  <si>
    <t>count(SALES)</t>
  </si>
  <si>
    <t>count(PROFIT)</t>
  </si>
  <si>
    <t xml:space="preserve">Mismatch because some discount data (-) negative and text(%) valuse </t>
  </si>
  <si>
    <t>Final clean vs flagged record count</t>
  </si>
  <si>
    <t>CLEAN</t>
  </si>
  <si>
    <t>WARNING</t>
  </si>
  <si>
    <t>INVALID</t>
  </si>
  <si>
    <t>Sum of Calculated_sales</t>
  </si>
  <si>
    <t>Sum of Calculated_profit</t>
  </si>
  <si>
    <t>Row Labels</t>
  </si>
  <si>
    <t>(blank)</t>
  </si>
  <si>
    <t>Grand Total</t>
  </si>
  <si>
    <t>Count of order_id</t>
  </si>
  <si>
    <t>Sum of Profit_margin</t>
  </si>
  <si>
    <t>Column Labels</t>
  </si>
  <si>
    <t>Paid Total</t>
  </si>
  <si>
    <t>Pending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</si>
</sst>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/mm\/dd"/>
  </numFmts>
  <fonts count="6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/>
    <xf numFmtId="14" fontId="1" fillId="2" borderId="0" xfId="0" applyNumberFormat="1" applyFont="1" applyFill="1" applyAlignment="1">
      <alignment horizontal="center" vertical="center" wrapText="1"/>
    </xf>
    <xf numFmtId="0" fontId="1" fillId="2" borderId="0" xfId="0" applyNumberFormat="1" applyFont="1" applyFill="1" applyAlignment="1">
      <alignment horizontal="center" vertical="center" wrapText="1"/>
    </xf>
    <xf numFmtId="0" fontId="0" fillId="0" borderId="0" xfId="0" applyNumberFormat="1"/>
    <xf numFmtId="167" fontId="1" fillId="2" borderId="0" xfId="0" applyNumberFormat="1" applyFont="1" applyFill="1" applyAlignment="1">
      <alignment horizontal="center" vertical="center" wrapText="1"/>
    </xf>
    <xf numFmtId="167" fontId="0" fillId="0" borderId="0" xfId="0" applyNumberFormat="1"/>
    <xf numFmtId="0" fontId="0" fillId="0" borderId="0" xfId="0" applyAlignment="1">
      <alignment horizontal="center"/>
    </xf>
    <xf numFmtId="0" fontId="4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5" borderId="0" xfId="0" applyFill="1"/>
    <xf numFmtId="0" fontId="5" fillId="4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cision" refreshedDate="46197.408773263887" createdVersion="8" refreshedVersion="8" minRefreshableVersion="3" recordCount="697" xr:uid="{0E40B3B8-487E-427F-9857-6350A23E2F89}">
  <cacheSource type="worksheet">
    <worksheetSource ref="A1:AE1048576" sheet="Sheet2"/>
  </cacheSource>
  <cacheFields count="31">
    <cacheField name="order_id" numFmtId="0">
      <sharedItems containsBlank="1"/>
    </cacheField>
    <cacheField name="order_date" numFmtId="0">
      <sharedItems containsNonDate="0" containsDate="1" containsString="0" containsBlank="1" minDate="2024-01-02T00:00:00" maxDate="2025-12-05T00:00:00"/>
    </cacheField>
    <cacheField name="ship_date" numFmtId="0">
      <sharedItems containsNonDate="0" containsDate="1" containsString="0" containsBlank="1" minDate="2024-01-02T00:00:00" maxDate="2025-12-02T00:00:00"/>
    </cacheField>
    <cacheField name="shipping_delay_days" numFmtId="0">
      <sharedItems containsString="0" containsBlank="1" containsNumber="1" containsInteger="1" minValue="-320" maxValue="327"/>
    </cacheField>
    <cacheField name="date_flag" numFmtId="0">
      <sharedItems containsBlank="1"/>
    </cacheField>
    <cacheField name="customer_id" numFmtId="0">
      <sharedItems containsBlank="1"/>
    </cacheField>
    <cacheField name="Customer_name" numFmtId="0">
      <sharedItems containsBlank="1"/>
    </cacheField>
    <cacheField name="segment" numFmtId="0">
      <sharedItems containsBlank="1"/>
    </cacheField>
    <cacheField name="region" numFmtId="0">
      <sharedItems containsBlank="1" count="6">
        <s v="North"/>
        <s v="East"/>
        <s v="South"/>
        <s v="West"/>
        <s v="Unknown"/>
        <m/>
      </sharedItems>
    </cacheField>
    <cacheField name="state" numFmtId="0">
      <sharedItems containsBlank="1"/>
    </cacheField>
    <cacheField name="city" numFmtId="0">
      <sharedItems containsBlank="1"/>
    </cacheField>
    <cacheField name="category" numFmtId="0">
      <sharedItems containsBlank="1"/>
    </cacheField>
    <cacheField name="sub_category" numFmtId="0">
      <sharedItems containsBlank="1"/>
    </cacheField>
    <cacheField name="product_name" numFmtId="0">
      <sharedItems containsBlank="1"/>
    </cacheField>
    <cacheField name="ship_mode" numFmtId="0">
      <sharedItems containsBlank="1"/>
    </cacheField>
    <cacheField name="quantity" numFmtId="0">
      <sharedItems containsString="0" containsBlank="1" containsNumber="1" containsInteger="1" minValue="1" maxValue="9"/>
    </cacheField>
    <cacheField name="unit_price" numFmtId="0">
      <sharedItems containsString="0" containsBlank="1" containsNumber="1" minValue="121.49" maxValue="4499.46"/>
    </cacheField>
    <cacheField name="discount" numFmtId="0">
      <sharedItems containsBlank="1" containsMixedTypes="1" containsNumber="1" minValue="-0.24" maxValue="0.65"/>
    </cacheField>
    <cacheField name="Dis_flag" numFmtId="0">
      <sharedItems containsBlank="1"/>
    </cacheField>
    <cacheField name="sales" numFmtId="0">
      <sharedItems containsString="0" containsBlank="1" containsNumber="1" minValue="217.48" maxValue="36782.269999999997"/>
    </cacheField>
    <cacheField name="cost" numFmtId="0">
      <sharedItems containsString="0" containsBlank="1" containsNumber="1" minValue="119.77" maxValue="30820.84"/>
    </cacheField>
    <cacheField name="profit" numFmtId="0">
      <sharedItems containsString="0" containsBlank="1" containsNumber="1" minValue="42.35" maxValue="15226"/>
    </cacheField>
    <cacheField name="payment_status" numFmtId="0">
      <sharedItems containsBlank="1"/>
    </cacheField>
    <cacheField name="order_status" numFmtId="0">
      <sharedItems containsBlank="1"/>
    </cacheField>
    <cacheField name="Cleaned_discount" numFmtId="0">
      <sharedItems containsString="0" containsBlank="1" containsNumber="1" minValue="0" maxValue="0.25"/>
    </cacheField>
    <cacheField name="Calculated_sales" numFmtId="0">
      <sharedItems containsString="0" containsBlank="1" containsNumber="1" minValue="217.47750000000002" maxValue="36782.271000000008"/>
    </cacheField>
    <cacheField name="Calculated_profit" numFmtId="0">
      <sharedItems containsString="0" containsBlank="1" containsNumber="1" minValue="41.370000000000346" maxValue="15225.999000000003"/>
    </cacheField>
    <cacheField name="Profit_margin" numFmtId="0">
      <sharedItems containsString="0" containsBlank="1" containsNumber="1" minValue="1.9101045778793699" maxValue="58.70468375394691"/>
    </cacheField>
    <cacheField name="order_month" numFmtId="0">
      <sharedItems containsString="0" containsBlank="1" containsNumber="1" containsInteger="1" minValue="1" maxValue="12"/>
    </cacheField>
    <cacheField name="order_year" numFmtId="0">
      <sharedItems containsString="0" containsBlank="1" containsNumber="1" containsInteger="1" minValue="2024" maxValue="2025"/>
    </cacheField>
    <cacheField name="data_quality_fla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cision" refreshedDate="46197.413547222219" createdVersion="8" refreshedVersion="8" minRefreshableVersion="3" recordCount="696" xr:uid="{1BBD0BFB-BEE6-4234-9304-143B1586DF75}">
  <cacheSource type="worksheet">
    <worksheetSource ref="A1:AE697" sheet="Sheet2"/>
  </cacheSource>
  <cacheFields count="31">
    <cacheField name="order_id" numFmtId="0">
      <sharedItems count="688">
        <s v="ORD-2024-10001"/>
        <s v="ORD-2024-10002"/>
        <s v="ORD-2024-10003"/>
        <s v="ORD-2024-10004"/>
        <s v="ORD-2024-10006"/>
        <s v="ORD-2024-10009"/>
        <s v="ORD-2024-10012"/>
        <s v="ORD-2024-10013"/>
        <s v="ORD-2024-10015"/>
        <s v="ORD-2024-10016"/>
        <s v="ORD-2024-10017"/>
        <s v="ORD-2024-10018"/>
        <s v="ORD-2024-10020"/>
        <s v="ORD-2024-10026"/>
        <s v="ORD-2024-10027"/>
        <s v="ORD-2024-10031"/>
        <s v="ORD-2024-10033"/>
        <s v="ORD-2024-10034"/>
        <s v="ORD-2024-10036"/>
        <s v="ORD-2024-10037"/>
        <s v="ORD-2024-10039"/>
        <s v="ORD-2024-10040"/>
        <s v="ORD-2024-10041"/>
        <s v="ORD-2024-10044"/>
        <s v="ORD-2024-10045"/>
        <s v="ORD-2024-10046"/>
        <s v="ORD-2024-10048"/>
        <s v="ORD-2024-10050"/>
        <s v="ORD-2024-10052"/>
        <s v="ORD-2024-10058"/>
        <s v="ORD-2024-10059"/>
        <s v="ORD-2024-10062"/>
        <s v="ORD-2024-10063"/>
        <s v="ORD-2024-10064"/>
        <s v="ORD-2024-10066"/>
        <s v="ORD-2024-10073"/>
        <s v="ORD-2024-10077"/>
        <s v="ORD-2024-10081"/>
        <s v="ORD-2024-10084"/>
        <s v="ORD-2024-10085"/>
        <s v="ORD-2024-10088"/>
        <s v="ORD-2024-10089"/>
        <s v="ORD-2024-10094"/>
        <s v="ORD-2024-10097"/>
        <s v="ORD-2024-10099"/>
        <s v="ORD-2024-10102"/>
        <s v="ORD-2024-10106"/>
        <s v="ORD-2024-10108"/>
        <s v="ORD-2024-10109"/>
        <s v="ORD-2024-10113"/>
        <s v="ORD-2024-10114"/>
        <s v="ORD-2024-10118"/>
        <s v="ORD-2024-10119"/>
        <s v="ORD-2024-10121"/>
        <s v="ORD-2024-10123"/>
        <s v="ORD-2024-10125"/>
        <s v="ORD-2024-10129"/>
        <s v="ORD-2024-10130"/>
        <s v="ORD-2024-10134"/>
        <s v="ORD-2024-10139"/>
        <s v="ORD-2024-10141"/>
        <s v="ORD-2024-10142"/>
        <s v="ORD-2024-10143"/>
        <s v="ORD-2024-10144"/>
        <s v="ORD-2024-10148"/>
        <s v="ORD-2024-10150"/>
        <s v="ORD-2024-10151"/>
        <s v="ORD-2024-10152"/>
        <s v="ORD-2024-10153"/>
        <s v="ORD-2024-10155"/>
        <s v="ORD-2024-10158"/>
        <s v="ORD-2024-10159"/>
        <s v="ORD-2024-10163"/>
        <s v="ORD-2024-10166"/>
        <s v="ORD-2024-10174"/>
        <s v="ORD-2024-10176"/>
        <s v="ORD-2024-10178"/>
        <s v="ORD-2024-10179"/>
        <s v="ORD-2024-10181"/>
        <s v="ORD-2024-10183"/>
        <s v="ORD-2024-10186"/>
        <s v="ORD-2024-10187"/>
        <s v="ORD-2024-10192"/>
        <s v="ORD-2024-10193"/>
        <s v="ORD-2024-10197"/>
        <s v="ORD-2024-10200"/>
        <s v="ORD-2024-10204"/>
        <s v="ORD-2024-10208"/>
        <s v="ORD-2024-10212"/>
        <s v="ORD-2024-10213"/>
        <s v="ORD-2024-10214"/>
        <s v="ORD-2024-10215"/>
        <s v="ORD-2024-10216"/>
        <s v="ORD-2024-10220"/>
        <s v="ORD-2024-10226"/>
        <s v="ORD-2024-10228"/>
        <s v="ORD-2024-10229"/>
        <s v="ORD-2024-10231"/>
        <s v="ORD-2024-10234"/>
        <s v="ORD-2024-10235"/>
        <s v="ORD-2024-10236"/>
        <s v="ORD-2024-10237"/>
        <s v="ORD-2024-10238"/>
        <s v="ORD-2024-10239"/>
        <s v="ORD-2024-10240"/>
        <s v="ORD-2024-10241"/>
        <s v="ORD-2024-10245"/>
        <s v="ORD-2024-10246"/>
        <s v="ORD-2024-10248"/>
        <s v="ORD-2024-10249"/>
        <s v="ORD-2024-10251"/>
        <s v="ORD-2024-10257"/>
        <s v="ORD-2024-10259"/>
        <s v="ORD-2024-10260"/>
        <s v="ORD-2024-10265"/>
        <s v="ORD-2024-10271"/>
        <s v="ORD-2024-10273"/>
        <s v="ORD-2024-10276"/>
        <s v="ORD-2024-10277"/>
        <s v="ORD-2024-10280"/>
        <s v="ORD-2024-10281"/>
        <s v="ORD-2024-10283"/>
        <s v="ORD-2024-10285"/>
        <s v="ORD-2024-10287"/>
        <s v="ORD-2024-10289"/>
        <s v="ORD-2024-10292"/>
        <s v="ORD-2024-10294"/>
        <s v="ORD-2024-10298"/>
        <s v="ORD-2024-10300"/>
        <s v="ORD-2024-10301"/>
        <s v="ORD-2024-10304"/>
        <s v="ORD-2024-10305"/>
        <s v="ORD-2024-10311"/>
        <s v="ORD-2024-10312"/>
        <s v="ORD-2024-10316"/>
        <s v="ORD-2024-10319"/>
        <s v="ORD-2024-10320"/>
        <s v="ORD-2024-10321"/>
        <s v="ORD-2024-10323"/>
        <s v="ORD-2024-10324"/>
        <s v="ORD-2024-10332"/>
        <s v="ORD-2024-10335"/>
        <s v="ORD-2024-10337"/>
        <s v="ORD-2024-10338"/>
        <s v="ORD-2024-10339"/>
        <s v="ORD-2024-10341"/>
        <s v="ORD-2024-10345"/>
        <s v="ORD-2024-10346"/>
        <s v="ORD-2024-10349"/>
        <s v="ORD-2024-10360"/>
        <s v="ORD-2024-10363"/>
        <s v="ORD-2024-10366"/>
        <s v="ORD-2024-10371"/>
        <s v="ORD-2024-10376"/>
        <s v="ORD-2024-10377"/>
        <s v="ORD-2024-10380"/>
        <s v="ORD-2024-10381"/>
        <s v="ORD-2024-10385"/>
        <s v="ORD-2024-10389"/>
        <s v="ORD-2024-10391"/>
        <s v="ORD-2024-10393"/>
        <s v="ORD-2024-10394"/>
        <s v="ORD-2024-10395"/>
        <s v="ORD-2024-10396"/>
        <s v="ORD-2024-10399"/>
        <s v="ORD-2024-10403"/>
        <s v="ORD-2024-10404"/>
        <s v="ORD-2024-10405"/>
        <s v="ORD-2024-10406"/>
        <s v="ORD-2024-10408"/>
        <s v="ORD-2024-10411"/>
        <s v="ORD-2024-10413"/>
        <s v="ORD-2024-10415"/>
        <s v="ORD-2024-10416"/>
        <s v="ORD-2024-10424"/>
        <s v="ORD-2024-10425"/>
        <s v="ORD-2024-10427"/>
        <s v="ORD-2024-10431"/>
        <s v="ORD-2024-10432"/>
        <s v="ORD-2024-10433"/>
        <s v="ORD-2024-10437"/>
        <s v="ORD-2024-10441"/>
        <s v="ORD-2024-10444"/>
        <s v="ORD-2024-10446"/>
        <s v="ORD-2024-10449"/>
        <s v="ORD-2024-10450"/>
        <s v="ORD-2024-10453"/>
        <s v="ORD-2024-10456"/>
        <s v="ORD-2024-10457"/>
        <s v="ORD-2024-10458"/>
        <s v="ORD-2024-10459"/>
        <s v="ORD-2024-10460"/>
        <s v="ORD-2024-10463"/>
        <s v="ORD-2024-10466"/>
        <s v="ORD-2024-10467"/>
        <s v="ORD-2024-10470"/>
        <s v="ORD-2024-10471"/>
        <s v="ORD-2024-10472"/>
        <s v="ORD-2024-10473"/>
        <s v="ORD-2024-10474"/>
        <s v="ORD-2024-10475"/>
        <s v="ORD-2024-10477"/>
        <s v="ORD-2024-10480"/>
        <s v="ORD-2024-10483"/>
        <s v="ORD-2024-10484"/>
        <s v="ORD-2024-10485"/>
        <s v="ORD-2024-10489"/>
        <s v="ORD-2024-10490"/>
        <s v="ORD-2024-10491"/>
        <s v="ORD-2024-10501"/>
        <s v="ORD-2024-10502"/>
        <s v="ORD-2024-10503"/>
        <s v="ORD-2024-10504"/>
        <s v="ORD-2024-10509"/>
        <s v="ORD-2024-10511"/>
        <s v="ORD-2024-10512"/>
        <s v="ORD-2024-10515"/>
        <s v="ORD-2024-10521"/>
        <s v="ORD-2024-10524"/>
        <s v="ORD-2024-10525"/>
        <s v="ORD-2024-10526"/>
        <s v="ORD-2024-10529"/>
        <s v="ORD-2024-10530"/>
        <s v="ORD-2024-10532"/>
        <s v="ORD-2024-10534"/>
        <s v="ORD-2024-10536"/>
        <s v="ORD-2024-10539"/>
        <s v="ORD-2024-10541"/>
        <s v="ORD-2024-10544"/>
        <s v="ORD-2024-10546"/>
        <s v="ORD-2024-10548"/>
        <s v="ORD-2024-10551"/>
        <s v="ORD-2024-10552"/>
        <s v="ORD-2024-10555"/>
        <s v="ORD-2024-10557"/>
        <s v="ORD-2024-10565"/>
        <s v="ORD-2024-10568"/>
        <s v="ORD-2024-10569"/>
        <s v="ORD-2024-10573"/>
        <s v="ORD-2024-10575"/>
        <s v="ORD-2024-10579"/>
        <s v="ORD-2024-10580"/>
        <s v="ORD-2024-10583"/>
        <s v="ORD-2024-10585"/>
        <s v="ORD-2024-10590"/>
        <s v="ORD-2024-10593"/>
        <s v="ORD-2024-10595"/>
        <s v="ORD-2024-10597"/>
        <s v="ORD-2024-10599"/>
        <s v="ORD-2024-10600"/>
        <s v="ORD-2024-10602"/>
        <s v="ORD-2024-10603"/>
        <s v="ORD-2024-10609"/>
        <s v="ORD-2024-10611"/>
        <s v="ORD-2024-10614"/>
        <s v="ORD-2024-10616"/>
        <s v="ORD-2024-10617"/>
        <s v="ORD-2024-10618"/>
        <s v="ORD-2024-10621"/>
        <s v="ORD-2024-10622"/>
        <s v="ORD-2024-10624"/>
        <s v="ORD-2024-10625"/>
        <s v="ORD-2024-10626"/>
        <s v="ORD-2024-10631"/>
        <s v="ORD-2024-10632"/>
        <s v="ORD-2024-10636"/>
        <s v="ORD-2024-10637"/>
        <s v="ORD-2024-10638"/>
        <s v="ORD-2024-10640"/>
        <s v="ORD-2024-10646"/>
        <s v="ORD-2024-10647"/>
        <s v="ORD-2024-10657"/>
        <s v="ORD-2024-10662"/>
        <s v="ORD-2024-10663"/>
        <s v="ORD-2024-10664"/>
        <s v="ORD-2024-10665"/>
        <s v="ORD-2024-10667"/>
        <s v="ORD-2024-10669"/>
        <s v="ORD-2024-10670"/>
        <s v="ORD-2024-10672"/>
        <s v="ORD-2024-10673"/>
        <s v="ORD-2024-10675"/>
        <s v="ORD-2024-10678"/>
        <s v="ORD-2024-10679"/>
        <s v="ORD-2024-10681"/>
        <s v="ORD-2024-10687"/>
        <s v="ORD-2024-10692"/>
        <s v="ORD-2024-10696"/>
        <s v="ORD-2024-10699"/>
        <s v="ORD-2024-10700"/>
        <s v="ORD-2024-10701"/>
        <s v="ORD-2024-10702"/>
        <s v="ORD-2024-10704"/>
        <s v="ORD-2024-10705"/>
        <s v="ORD-2024-10706"/>
        <s v="ORD-2024-10707"/>
        <s v="ORD-2024-10711"/>
        <s v="ORD-2024-10713"/>
        <s v="ORD-2024-10719"/>
        <s v="ORD-2024-10721"/>
        <s v="ORD-2024-10725"/>
        <s v="ORD-2024-10727"/>
        <s v="ORD-2024-10728"/>
        <s v="ORD-2024-10729"/>
        <s v="ORD-2024-10732"/>
        <s v="ORD-2024-10733"/>
        <s v="ORD-2024-10734"/>
        <s v="ORD-2024-10735"/>
        <s v="ORD-2024-10736"/>
        <s v="ORD-2024-10737"/>
        <s v="ORD-2024-10738"/>
        <s v="ORD-2024-10740"/>
        <s v="ORD-2024-10741"/>
        <s v="ORD-2024-10743"/>
        <s v="ORD-2024-10746"/>
        <s v="ORD-2024-10748"/>
        <s v="ORD-2024-10749"/>
        <s v="ORD-2024-10750"/>
        <s v="ORD-2024-10753"/>
        <s v="ORD-2024-10757"/>
        <s v="ORD-2024-10759"/>
        <s v="ORD-2024-10760"/>
        <s v="ORD-2024-10761"/>
        <s v="ORD-2024-10768"/>
        <s v="ORD-2024-10770"/>
        <s v="ORD-2024-10771"/>
        <s v="ORD-2024-10772"/>
        <s v="ORD-2024-10776"/>
        <s v="ORD-2024-10779"/>
        <s v="ORD-2024-10780"/>
        <s v="ORD-2024-10781"/>
        <s v="ORD-2024-10782"/>
        <s v="ORD-2024-10784"/>
        <s v="ORD-2024-10788"/>
        <s v="ORD-2024-10791"/>
        <s v="ORD-2024-10792"/>
        <s v="ORD-2024-10794"/>
        <s v="ORD-2024-10797"/>
        <s v="ORD-2024-10800"/>
        <s v="ORD-2024-10801"/>
        <s v="ORD-2024-10804"/>
        <s v="ORD-2024-10811"/>
        <s v="ORD-2024-10812"/>
        <s v="ORD-2024-10813"/>
        <s v="ORD-2024-10817"/>
        <s v="ORD-2024-10819"/>
        <s v="ORD-2024-10822"/>
        <s v="ORD-2024-10823"/>
        <s v="ORD-2024-10830"/>
        <s v="ORD-2024-10834"/>
        <s v="ORD-2024-10835"/>
        <s v="ORD-2024-10837"/>
        <s v="ORD-2024-10840"/>
        <s v="ORD-2024-10843"/>
        <s v="ORD-2024-10846"/>
        <s v="ORD-2024-10847"/>
        <s v="ORD-2024-10850"/>
        <s v="ORD-2024-10851"/>
        <s v="ORD-2024-10852"/>
        <s v="ORD-2024-10856"/>
        <s v="ORD-2024-10858"/>
        <s v="ORD-2024-10859"/>
        <s v="ORD-2024-10860"/>
        <s v="ORD-2024-10861"/>
        <s v="ORD-2024-10873"/>
        <s v="ORD-2024-10876"/>
        <s v="ORD-2024-10877"/>
        <s v="ORD-2024-10879"/>
        <s v="ORD-2024-10881"/>
        <s v="ORD-2024-10882"/>
        <s v="ORD-2024-10886"/>
        <s v="ORD-2024-10888"/>
        <s v="ORD-2024-10891"/>
        <s v="ORD-2024-10894"/>
        <s v="ORD-2024-10895"/>
        <s v="ORD-2024-10896"/>
        <s v="ORD-2024-10899"/>
        <s v="ORD-2025-10007"/>
        <s v="ORD-2025-10008"/>
        <s v="ORD-2025-10010"/>
        <s v="ORD-2025-10014"/>
        <s v="ORD-2025-10021"/>
        <s v="ORD-2025-10022"/>
        <s v="ORD-2025-10024"/>
        <s v="ORD-2025-10030"/>
        <s v="ORD-2025-10035"/>
        <s v="ORD-2025-10038"/>
        <s v="ORD-2025-10043"/>
        <s v="ORD-2025-10049"/>
        <s v="ORD-2025-10051"/>
        <s v="ORD-2025-10054"/>
        <s v="ORD-2025-10056"/>
        <s v="ORD-2025-10067"/>
        <s v="ORD-2025-10068"/>
        <s v="ORD-2025-10071"/>
        <s v="ORD-2025-10072"/>
        <s v="ORD-2025-10074"/>
        <s v="ORD-2025-10075"/>
        <s v="ORD-2025-10076"/>
        <s v="ORD-2025-10079"/>
        <s v="ORD-2025-10080"/>
        <s v="ORD-2025-10082"/>
        <s v="ORD-2025-10091"/>
        <s v="ORD-2025-10092"/>
        <s v="ORD-2025-10093"/>
        <s v="ORD-2025-10096"/>
        <s v="ORD-2025-10098"/>
        <s v="ORD-2025-10100"/>
        <s v="ORD-2025-10101"/>
        <s v="ORD-2025-10104"/>
        <s v="ORD-2025-10110"/>
        <s v="ORD-2025-10127"/>
        <s v="ORD-2025-10128"/>
        <s v="ORD-2025-10132"/>
        <s v="ORD-2025-10136"/>
        <s v="ORD-2025-10137"/>
        <s v="ORD-2025-10138"/>
        <s v="ORD-2025-10140"/>
        <s v="ORD-2025-10146"/>
        <s v="ORD-2025-10147"/>
        <s v="ORD-2025-10149"/>
        <s v="ORD-2025-10157"/>
        <s v="ORD-2025-10164"/>
        <s v="ORD-2025-10165"/>
        <s v="ORD-2025-10167"/>
        <s v="ORD-2025-10168"/>
        <s v="ORD-2025-10170"/>
        <s v="ORD-2025-10171"/>
        <s v="ORD-2025-10172"/>
        <s v="ORD-2025-10175"/>
        <s v="ORD-2025-10177"/>
        <s v="ORD-2025-10182"/>
        <s v="ORD-2025-10184"/>
        <s v="ORD-2025-10188"/>
        <s v="ORD-2025-10189"/>
        <s v="ORD-2025-10190"/>
        <s v="ORD-2025-10191"/>
        <s v="ORD-2025-10195"/>
        <s v="ORD-2025-10196"/>
        <s v="ORD-2025-10198"/>
        <s v="ORD-2025-10203"/>
        <s v="ORD-2025-10205"/>
        <s v="ORD-2025-10206"/>
        <s v="ORD-2025-10207"/>
        <s v="ORD-2025-10209"/>
        <s v="ORD-2025-10210"/>
        <s v="ORD-2025-10219"/>
        <s v="ORD-2025-10222"/>
        <s v="ORD-2025-10223"/>
        <s v="ORD-2025-10224"/>
        <s v="ORD-2025-10225"/>
        <s v="ORD-2025-10227"/>
        <s v="ORD-2025-10233"/>
        <s v="ORD-2025-10242"/>
        <s v="ORD-2025-10243"/>
        <s v="ORD-2025-10244"/>
        <s v="ORD-2025-10250"/>
        <s v="ORD-2025-10252"/>
        <s v="ORD-2025-10253"/>
        <s v="ORD-2025-10255"/>
        <s v="ORD-2025-10256"/>
        <s v="ORD-2025-10263"/>
        <s v="ORD-2025-10264"/>
        <s v="ORD-2025-10267"/>
        <s v="ORD-2025-10268"/>
        <s v="ORD-2025-10269"/>
        <s v="ORD-2025-10270"/>
        <s v="ORD-2025-10274"/>
        <s v="ORD-2025-10279"/>
        <s v="ORD-2025-10282"/>
        <s v="ORD-2025-10284"/>
        <s v="ORD-2025-10286"/>
        <s v="ORD-2025-10290"/>
        <s v="ORD-2025-10291"/>
        <s v="ORD-2025-10295"/>
        <s v="ORD-2025-10296"/>
        <s v="ORD-2025-10297"/>
        <s v="ORD-2025-10302"/>
        <s v="ORD-2025-10303"/>
        <s v="ORD-2025-10307"/>
        <s v="ORD-2025-10309"/>
        <s v="ORD-2025-10318"/>
        <s v="ORD-2025-10325"/>
        <s v="ORD-2025-10326"/>
        <s v="ORD-2025-10327"/>
        <s v="ORD-2025-10329"/>
        <s v="ORD-2025-10330"/>
        <s v="ORD-2025-10333"/>
        <s v="ORD-2025-10334"/>
        <s v="ORD-2025-10336"/>
        <s v="ORD-2025-10340"/>
        <s v="ORD-2025-10342"/>
        <s v="ORD-2025-10343"/>
        <s v="ORD-2025-10344"/>
        <s v="ORD-2025-10347"/>
        <s v="ORD-2025-10350"/>
        <s v="ORD-2025-10353"/>
        <s v="ORD-2025-10354"/>
        <s v="ORD-2025-10357"/>
        <s v="ORD-2025-10359"/>
        <s v="ORD-2025-10362"/>
        <s v="ORD-2025-10364"/>
        <s v="ORD-2025-10365"/>
        <s v="ORD-2025-10367"/>
        <s v="ORD-2025-10370"/>
        <s v="ORD-2025-10373"/>
        <s v="ORD-2025-10374"/>
        <s v="ORD-2025-10375"/>
        <s v="ORD-2025-10378"/>
        <s v="ORD-2025-10379"/>
        <s v="ORD-2025-10383"/>
        <s v="ORD-2025-10386"/>
        <s v="ORD-2025-10387"/>
        <s v="ORD-2025-10392"/>
        <s v="ORD-2025-10397"/>
        <s v="ORD-2025-10398"/>
        <s v="ORD-2025-10400"/>
        <s v="ORD-2025-10401"/>
        <s v="ORD-2025-10402"/>
        <s v="ORD-2025-10407"/>
        <s v="ORD-2025-10417"/>
        <s v="ORD-2025-10418"/>
        <s v="ORD-2025-10420"/>
        <s v="ORD-2025-10422"/>
        <s v="ORD-2025-10423"/>
        <s v="ORD-2025-10428"/>
        <s v="ORD-2025-10430"/>
        <s v="ORD-2025-10435"/>
        <s v="ORD-2025-10439"/>
        <s v="ORD-2025-10443"/>
        <s v="ORD-2025-10445"/>
        <s v="ORD-2025-10447"/>
        <s v="ORD-2025-10448"/>
        <s v="ORD-2025-10451"/>
        <s v="ORD-2025-10454"/>
        <s v="ORD-2025-10455"/>
        <s v="ORD-2025-10461"/>
        <s v="ORD-2025-10462"/>
        <s v="ORD-2025-10464"/>
        <s v="ORD-2025-10469"/>
        <s v="ORD-2025-10476"/>
        <s v="ORD-2025-10481"/>
        <s v="ORD-2025-10482"/>
        <s v="ORD-2025-10486"/>
        <s v="ORD-2025-10487"/>
        <s v="ORD-2025-10492"/>
        <s v="ORD-2025-10493"/>
        <s v="ORD-2025-10494"/>
        <s v="ORD-2025-10497"/>
        <s v="ORD-2025-10505"/>
        <s v="ORD-2025-10508"/>
        <s v="ORD-2025-10510"/>
        <s v="ORD-2025-10513"/>
        <s v="ORD-2025-10514"/>
        <s v="ORD-2025-10516"/>
        <s v="ORD-2025-10522"/>
        <s v="ORD-2025-10523"/>
        <s v="ORD-2025-10527"/>
        <s v="ORD-2025-10528"/>
        <s v="ORD-2025-10531"/>
        <s v="ORD-2025-10535"/>
        <s v="ORD-2025-10542"/>
        <s v="ORD-2025-10547"/>
        <s v="ORD-2025-10550"/>
        <s v="ORD-2025-10553"/>
        <s v="ORD-2025-10554"/>
        <s v="ORD-2025-10556"/>
        <s v="ORD-2025-10559"/>
        <s v="ORD-2025-10560"/>
        <s v="ORD-2025-10562"/>
        <s v="ORD-2025-10574"/>
        <s v="ORD-2025-10578"/>
        <s v="ORD-2025-10586"/>
        <s v="ORD-2025-10587"/>
        <s v="ORD-2025-10594"/>
        <s v="ORD-2025-10596"/>
        <s v="ORD-2025-10598"/>
        <s v="ORD-2025-10601"/>
        <s v="ORD-2025-10605"/>
        <s v="ORD-2025-10607"/>
        <s v="ORD-2025-10608"/>
        <s v="ORD-2025-10610"/>
        <s v="ORD-2025-10612"/>
        <s v="ORD-2025-10613"/>
        <s v="ORD-2025-10623"/>
        <s v="ORD-2025-10627"/>
        <s v="ORD-2025-10629"/>
        <s v="ORD-2025-10630"/>
        <s v="ORD-2025-10633"/>
        <s v="ORD-2025-10634"/>
        <s v="ORD-2025-10635"/>
        <s v="ORD-2025-10641"/>
        <s v="ORD-2025-10642"/>
        <s v="ORD-2025-10645"/>
        <s v="ORD-2025-10648"/>
        <s v="ORD-2025-10650"/>
        <s v="ORD-2025-10652"/>
        <s v="ORD-2025-10653"/>
        <s v="ORD-2025-10654"/>
        <s v="ORD-2025-10655"/>
        <s v="ORD-2025-10656"/>
        <s v="ORD-2025-10658"/>
        <s v="ORD-2025-10661"/>
        <s v="ORD-2025-10668"/>
        <s v="ORD-2025-10671"/>
        <s v="ORD-2025-10674"/>
        <s v="ORD-2025-10676"/>
        <s v="ORD-2025-10677"/>
        <s v="ORD-2025-10683"/>
        <s v="ORD-2025-10689"/>
        <s v="ORD-2025-10693"/>
        <s v="ORD-2025-10694"/>
        <s v="ORD-2025-10695"/>
        <s v="ORD-2025-10697"/>
        <s v="ORD-2025-10703"/>
        <s v="ORD-2025-10708"/>
        <s v="ORD-2025-10709"/>
        <s v="ORD-2025-10712"/>
        <s v="ORD-2025-10714"/>
        <s v="ORD-2025-10715"/>
        <s v="ORD-2025-10717"/>
        <s v="ORD-2025-10720"/>
        <s v="ORD-2025-10722"/>
        <s v="ORD-2025-10726"/>
        <s v="ORD-2025-10730"/>
        <s v="ORD-2025-10739"/>
        <s v="ORD-2025-10744"/>
        <s v="ORD-2025-10747"/>
        <s v="ORD-2025-10751"/>
        <s v="ORD-2025-10752"/>
        <s v="ORD-2025-10755"/>
        <s v="ORD-2025-10756"/>
        <s v="ORD-2025-10762"/>
        <s v="ORD-2025-10764"/>
        <s v="ORD-2025-10765"/>
        <s v="ORD-2025-10766"/>
        <s v="ORD-2025-10769"/>
        <s v="ORD-2025-10774"/>
        <s v="ORD-2025-10775"/>
        <s v="ORD-2025-10777"/>
        <s v="ORD-2025-10783"/>
        <s v="ORD-2025-10785"/>
        <s v="ORD-2025-10790"/>
        <s v="ORD-2025-10793"/>
        <s v="ORD-2025-10795"/>
        <s v="ORD-2025-10799"/>
        <s v="ORD-2025-10805"/>
        <s v="ORD-2025-10806"/>
        <s v="ORD-2025-10808"/>
        <s v="ORD-2025-10809"/>
        <s v="ORD-2025-10810"/>
        <s v="ORD-2025-10814"/>
        <s v="ORD-2025-10815"/>
        <s v="ORD-2025-10818"/>
        <s v="ORD-2025-10821"/>
        <s v="ORD-2025-10824"/>
        <s v="ORD-2025-10825"/>
        <s v="ORD-2025-10826"/>
        <s v="ORD-2025-10827"/>
        <s v="ORD-2025-10831"/>
        <s v="ORD-2025-10833"/>
        <s v="ORD-2025-10836"/>
        <s v="ORD-2025-10838"/>
        <s v="ORD-2025-10839"/>
        <s v="ORD-2025-10841"/>
        <s v="ORD-2025-10842"/>
        <s v="ORD-2025-10844"/>
        <s v="ORD-2025-10845"/>
        <s v="ORD-2025-10848"/>
        <s v="ORD-2025-10849"/>
        <s v="ORD-2025-10854"/>
        <s v="ORD-2025-10855"/>
        <s v="ORD-2025-10862"/>
        <s v="ORD-2025-10864"/>
        <s v="ORD-2025-10865"/>
        <s v="ORD-2025-10866"/>
        <s v="ORD-2025-10869"/>
        <s v="ORD-2025-10870"/>
        <s v="ORD-2025-10874"/>
        <s v="ORD-2025-10875"/>
        <s v="ORD-2025-10878"/>
        <s v="ORD-2025-10880"/>
        <s v="ORD-2025-10883"/>
        <s v="ORD-2025-10884"/>
        <s v="ORD-2025-10885"/>
        <s v="ORD-2025-10890"/>
        <s v="ORD-2025-10893"/>
        <s v="ORD-2025-10898"/>
      </sharedItems>
    </cacheField>
    <cacheField name="order_date" numFmtId="14">
      <sharedItems containsSemiMixedTypes="0" containsNonDate="0" containsDate="1" containsString="0" minDate="2024-01-02T00:00:00" maxDate="2025-12-05T00:00:00"/>
    </cacheField>
    <cacheField name="ship_date" numFmtId="14">
      <sharedItems containsSemiMixedTypes="0" containsNonDate="0" containsDate="1" containsString="0" minDate="2024-01-02T00:00:00" maxDate="2025-12-02T00:00:00"/>
    </cacheField>
    <cacheField name="shipping_delay_days" numFmtId="0">
      <sharedItems containsSemiMixedTypes="0" containsString="0" containsNumber="1" containsInteger="1" minValue="-320" maxValue="327"/>
    </cacheField>
    <cacheField name="date_flag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Accessories"/>
        <s v="Labels"/>
        <s v="Copiers"/>
        <s v="Storage"/>
        <s v="Phones"/>
        <s v="Bookcases"/>
        <s v="Chairs"/>
        <s v="Binder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MixedTypes="1" containsNumber="1" minValue="-0.24" maxValue="0.65"/>
    </cacheField>
    <cacheField name="Dis_flag" numFmtId="0">
      <sharedItems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 count="2">
        <s v="Paid"/>
        <s v="Pending"/>
      </sharedItems>
    </cacheField>
    <cacheField name="order_status" numFmtId="0">
      <sharedItems count="2">
        <s v="Completed"/>
        <s v="Returned"/>
      </sharedItems>
    </cacheField>
    <cacheField name="Cleaned_discount" numFmtId="0">
      <sharedItems containsSemiMixedTypes="0" containsString="0" containsNumber="1" minValue="0" maxValue="0.25"/>
    </cacheField>
    <cacheField name="Calculated_sales" numFmtId="0">
      <sharedItems containsSemiMixedTypes="0" containsString="0" containsNumber="1" minValue="217.47750000000002" maxValue="36782.271000000008"/>
    </cacheField>
    <cacheField name="Calculated_profit" numFmtId="0">
      <sharedItems containsSemiMixedTypes="0" containsString="0" containsNumber="1" minValue="41.370000000000346" maxValue="15225.999000000003"/>
    </cacheField>
    <cacheField name="Profit_margin" numFmtId="0">
      <sharedItems containsSemiMixedTypes="0" containsString="0" containsNumber="1" minValue="1.9101045778793699" maxValue="58.70468375394691"/>
    </cacheField>
    <cacheField name="order_month" numFmtId="0">
      <sharedItems containsSemiMixedTypes="0" containsString="0" containsNumber="1" containsInteger="1" minValue="1" maxValue="12" count="12">
        <n v="7"/>
        <n v="8"/>
        <n v="6"/>
        <n v="11"/>
        <n v="5"/>
        <n v="12"/>
        <n v="1"/>
        <n v="2"/>
        <n v="10"/>
        <n v="4"/>
        <n v="9"/>
        <n v="3"/>
      </sharedItems>
    </cacheField>
    <cacheField name="order_year" numFmtId="0">
      <sharedItems containsSemiMixedTypes="0" containsString="0" containsNumber="1" containsInteger="1" minValue="2024" maxValue="2025" count="2">
        <n v="2024"/>
        <n v="2025"/>
      </sharedItems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7">
  <r>
    <s v="ORD-2024-10001"/>
    <d v="2024-07-21T00:00:00"/>
    <d v="2024-07-27T00:00:00"/>
    <n v="6"/>
    <s v="OK"/>
    <s v="CUST-4655"/>
    <s v="Karan Malhotra"/>
    <s v="Consumer"/>
    <x v="0"/>
    <s v="Rajasthan"/>
    <s v="Jaipur"/>
    <s v="Office Supplies"/>
    <s v="Paper"/>
    <s v="Pro Paper 122"/>
    <s v="Second Class"/>
    <n v="8"/>
    <n v="2976.45"/>
    <n v="0.2"/>
    <s v="OK"/>
    <n v="19049.28"/>
    <n v="15841.89"/>
    <n v="3207.39"/>
    <s v="Paid"/>
    <s v="Completed"/>
    <n v="0.2"/>
    <n v="19049.28"/>
    <n v="3207.3899999999994"/>
    <n v="16.837329284886358"/>
    <n v="7"/>
    <n v="2024"/>
    <s v="CLEAN"/>
  </r>
  <r>
    <s v="ORD-2024-10002"/>
    <d v="2024-08-31T00:00:00"/>
    <d v="2024-09-05T00:00:00"/>
    <n v="5"/>
    <s v="OK"/>
    <s v="CUST-2054"/>
    <s v="Mira Das"/>
    <s v="Small Business"/>
    <x v="1"/>
    <s v="Odisha"/>
    <s v="Bhubaneswar"/>
    <s v="Furniture"/>
    <s v="Tables"/>
    <s v="Pro Tables 258"/>
    <s v="Same Day"/>
    <n v="3"/>
    <n v="2437.5"/>
    <n v="0"/>
    <s v="OK"/>
    <n v="7312.5"/>
    <n v="4904.7299999999996"/>
    <n v="2407.77"/>
    <s v="Paid"/>
    <s v="Completed"/>
    <n v="0"/>
    <n v="7312.5"/>
    <n v="2407.7700000000004"/>
    <n v="32.926769230769239"/>
    <n v="8"/>
    <n v="2024"/>
    <s v="CLEAN"/>
  </r>
  <r>
    <s v="ORD-2024-10003"/>
    <d v="2024-06-08T00:00:00"/>
    <d v="2024-06-15T00:00:00"/>
    <n v="7"/>
    <s v="OK"/>
    <s v="CUST-6843"/>
    <s v="Isha Nair"/>
    <s v="Consumer"/>
    <x v="1"/>
    <s v="Odisha"/>
    <s v="Bhubaneswar"/>
    <s v="Office Supplies"/>
    <s v="Art"/>
    <s v="Elite Art 525"/>
    <s v="First Class"/>
    <n v="4"/>
    <n v="1065.43"/>
    <n v="0.55000000000000004"/>
    <s v="INVALID"/>
    <n v="4261.72"/>
    <n v="2465.69"/>
    <n v="1796.03"/>
    <s v="Paid"/>
    <s v="Completed"/>
    <n v="0"/>
    <n v="4261.72"/>
    <n v="1796.0300000000002"/>
    <n v="42.143313028542465"/>
    <n v="6"/>
    <n v="2024"/>
    <s v="WARNING"/>
  </r>
  <r>
    <s v="ORD-2024-10004"/>
    <d v="2024-11-28T00:00:00"/>
    <d v="2024-11-29T00:00:00"/>
    <n v="1"/>
    <s v="OK"/>
    <s v="CUST-3722"/>
    <s v="Arjun Bose"/>
    <s v="Small Business"/>
    <x v="2"/>
    <s v="Telangana"/>
    <s v="Hyderabad"/>
    <s v="Furniture"/>
    <s v="Furnishings"/>
    <s v="Smart Furnishings 294"/>
    <s v="Standard Class"/>
    <n v="6"/>
    <n v="1848.43"/>
    <n v="0.25"/>
    <s v="OK"/>
    <n v="8317.93"/>
    <n v="6796.77"/>
    <n v="1521.16"/>
    <s v="Paid"/>
    <s v="Completed"/>
    <n v="0.25"/>
    <n v="8317.9349999999995"/>
    <n v="1521.1649999999991"/>
    <n v="18.287772145370205"/>
    <n v="11"/>
    <n v="2024"/>
    <s v="CLEAN"/>
  </r>
  <r>
    <s v="ORD-2024-10006"/>
    <d v="2024-05-24T00:00:00"/>
    <d v="2024-05-28T00:00:00"/>
    <n v="4"/>
    <s v="OK"/>
    <s v="CUST-6056"/>
    <s v="Vikram Iyer"/>
    <s v="Small Business"/>
    <x v="3"/>
    <s v="Madhya Pradesh"/>
    <s v="Indore"/>
    <s v="Technology"/>
    <s v="Accessories"/>
    <s v="Pro Accessories 821"/>
    <s v="Same Day"/>
    <n v="3"/>
    <n v="1053.1099999999999"/>
    <n v="0.2"/>
    <s v="OK"/>
    <n v="2527.46"/>
    <n v="1533.58"/>
    <n v="993.88"/>
    <s v="Paid"/>
    <s v="Completed"/>
    <n v="0.2"/>
    <n v="2527.4639999999999"/>
    <n v="993.88400000000001"/>
    <n v="39.323369195367377"/>
    <n v="5"/>
    <n v="2024"/>
    <s v="CLEAN"/>
  </r>
  <r>
    <s v="ORD-2024-10009"/>
    <d v="2024-11-05T00:00:00"/>
    <d v="2024-11-10T00:00:00"/>
    <n v="5"/>
    <s v="OK"/>
    <s v="CUST-2598"/>
    <s v="Aditi Sen"/>
    <s v="Corporate"/>
    <x v="2"/>
    <s v="Telangana"/>
    <s v="Hyderabad"/>
    <s v="Office Supplies"/>
    <s v="Labels"/>
    <s v="Classic Labels 815"/>
    <s v="First Class"/>
    <n v="8"/>
    <n v="3134.2"/>
    <n v="0"/>
    <s v="OK"/>
    <n v="25073.599999999999"/>
    <n v="17347.23"/>
    <n v="7726.37"/>
    <s v="Paid"/>
    <s v="Completed"/>
    <n v="0"/>
    <n v="25073.599999999999"/>
    <n v="7726.369999999999"/>
    <n v="30.814761342607362"/>
    <n v="11"/>
    <n v="2024"/>
    <s v="CLEAN"/>
  </r>
  <r>
    <s v="ORD-2024-10012"/>
    <d v="2024-07-22T00:00:00"/>
    <d v="2024-07-23T00:00:00"/>
    <n v="1"/>
    <s v="OK"/>
    <s v="CUST-6528"/>
    <s v="Vikram Iyer"/>
    <s v="Small Business"/>
    <x v="1"/>
    <s v="Odisha"/>
    <s v="Bhubaneswar"/>
    <s v="Technology"/>
    <s v="Accessories"/>
    <s v="Smart Accessories 603"/>
    <s v="Same Day"/>
    <n v="6"/>
    <n v="2005.95"/>
    <n v="0.2"/>
    <s v="OK"/>
    <n v="9628.56"/>
    <n v="8038.59"/>
    <n v="1589.97"/>
    <s v="Paid"/>
    <s v="Completed"/>
    <n v="0.2"/>
    <n v="9628.5600000000013"/>
    <n v="1589.9700000000012"/>
    <n v="16.513061143099289"/>
    <n v="7"/>
    <n v="2024"/>
    <s v="CLEAN"/>
  </r>
  <r>
    <s v="ORD-2024-10013"/>
    <d v="2024-12-20T00:00:00"/>
    <d v="2024-12-21T00:00:00"/>
    <n v="1"/>
    <s v="OK"/>
    <s v="CUST-2648"/>
    <s v="Ananya Rao"/>
    <s v="Corporate"/>
    <x v="3"/>
    <s v="Rajasthan"/>
    <s v="Udaipur"/>
    <s v="Office Supplies"/>
    <s v="Paper"/>
    <s v="Pro Paper 481"/>
    <s v="First Class"/>
    <n v="1"/>
    <n v="702.14"/>
    <n v="0.15"/>
    <s v="OK"/>
    <n v="596.82000000000005"/>
    <n v="380.25"/>
    <n v="216.57"/>
    <s v="Pending"/>
    <s v="Returned"/>
    <n v="0.15"/>
    <n v="596.81899999999996"/>
    <n v="216.56899999999996"/>
    <n v="36.287216057129548"/>
    <n v="12"/>
    <n v="2024"/>
    <s v="CLEAN"/>
  </r>
  <r>
    <s v="ORD-2024-10015"/>
    <d v="2024-12-27T00:00:00"/>
    <d v="2024-12-28T00:00:00"/>
    <n v="1"/>
    <s v="OK"/>
    <s v="CUST-4912"/>
    <s v="Rahul Verma"/>
    <s v="Consumer"/>
    <x v="3"/>
    <s v="Rajasthan"/>
    <s v="Udaipur"/>
    <s v="Technology"/>
    <s v="Copiers"/>
    <s v="Max Copiers 983"/>
    <s v="Standard Class"/>
    <n v="2"/>
    <n v="2737.83"/>
    <n v="0.25"/>
    <s v="OK"/>
    <n v="4106.74"/>
    <n v="2666.3"/>
    <n v="1440.44"/>
    <s v="Paid"/>
    <s v="Completed"/>
    <n v="0.25"/>
    <n v="4106.7449999999999"/>
    <n v="1440.4449999999997"/>
    <n v="35.075102057712364"/>
    <n v="12"/>
    <n v="2024"/>
    <s v="CLEAN"/>
  </r>
  <r>
    <s v="ORD-2024-10016"/>
    <d v="2024-07-09T00:00:00"/>
    <d v="2024-07-09T00:00:00"/>
    <n v="0"/>
    <s v="OK"/>
    <s v="CUST-7656"/>
    <s v="Karan Malhotra"/>
    <s v="Small Business"/>
    <x v="0"/>
    <s v="Punjab"/>
    <s v="Ludhiana"/>
    <s v="Office Supplies"/>
    <s v="Storage"/>
    <s v="Classic Storage 198"/>
    <s v="Second Class"/>
    <n v="6"/>
    <n v="3965.76"/>
    <n v="0"/>
    <s v="OK"/>
    <n v="23794.560000000001"/>
    <n v="15698.47"/>
    <n v="8096.09"/>
    <s v="Paid"/>
    <s v="Completed"/>
    <n v="0"/>
    <n v="23794.560000000001"/>
    <n v="8096.090000000002"/>
    <n v="34.02496200812287"/>
    <n v="7"/>
    <n v="2024"/>
    <s v="CLEAN"/>
  </r>
  <r>
    <s v="ORD-2024-10017"/>
    <d v="2024-05-08T00:00:00"/>
    <d v="2024-05-15T00:00:00"/>
    <n v="7"/>
    <s v="OK"/>
    <s v="CUST-6214"/>
    <s v="Aarav Sharma"/>
    <s v="Consumer"/>
    <x v="2"/>
    <s v="Telangana"/>
    <s v="Hyderabad"/>
    <s v="Office Supplies"/>
    <s v="Art"/>
    <s v="Basic Art 204"/>
    <s v="First Class"/>
    <n v="4"/>
    <n v="3323.51"/>
    <n v="0.25"/>
    <s v="OK"/>
    <n v="9970.5300000000007"/>
    <n v="5668.17"/>
    <n v="4302.3599999999997"/>
    <s v="Paid"/>
    <s v="Completed"/>
    <n v="0.25"/>
    <n v="9970.5300000000007"/>
    <n v="4302.3600000000006"/>
    <n v="43.150765305354881"/>
    <n v="5"/>
    <n v="2024"/>
    <s v="CLEAN"/>
  </r>
  <r>
    <s v="ORD-2024-10018"/>
    <d v="2024-01-07T00:00:00"/>
    <d v="2024-01-08T00:00:00"/>
    <n v="1"/>
    <s v="OK"/>
    <s v="CUST-1626"/>
    <s v="Sneha Kapoor"/>
    <s v="Small Business"/>
    <x v="0"/>
    <s v="Rajasthan"/>
    <s v="Jaipur"/>
    <s v="Furniture"/>
    <s v="Furnishings"/>
    <s v="Basic Furnishings 434"/>
    <s v="Same Day"/>
    <n v="5"/>
    <n v="1526.78"/>
    <n v="0"/>
    <s v="OK"/>
    <n v="7633.9"/>
    <n v="4706.91"/>
    <n v="2926.99"/>
    <s v="Paid"/>
    <s v="Completed"/>
    <n v="0"/>
    <n v="7633.9"/>
    <n v="2926.99"/>
    <n v="38.342000812166781"/>
    <n v="1"/>
    <n v="2024"/>
    <s v="CLEAN"/>
  </r>
  <r>
    <s v="ORD-2024-10020"/>
    <d v="2024-07-27T00:00:00"/>
    <d v="2024-07-31T00:00:00"/>
    <n v="4"/>
    <s v="OK"/>
    <s v="CUST-3186"/>
    <s v="Rohan Mehta"/>
    <s v="Home Office"/>
    <x v="3"/>
    <s v="Madhya Pradesh"/>
    <s v="Indore"/>
    <s v="Office Supplies"/>
    <s v="Storage"/>
    <s v="Prime Storage 121"/>
    <s v="Second Class"/>
    <n v="3"/>
    <n v="3887.94"/>
    <n v="-0.19"/>
    <s v="INVALID"/>
    <n v="9331.06"/>
    <n v="7529.31"/>
    <n v="1801.75"/>
    <s v="Paid"/>
    <s v="Completed"/>
    <n v="0"/>
    <n v="11663.82"/>
    <n v="4134.5099999999993"/>
    <n v="35.447306285590827"/>
    <n v="7"/>
    <n v="2024"/>
    <s v="INVALID"/>
  </r>
  <r>
    <s v="ORD-2024-10026"/>
    <d v="2024-11-10T00:00:00"/>
    <d v="2024-10-19T00:00:00"/>
    <n v="-22"/>
    <s v="INVALID"/>
    <s v="CUST-1731"/>
    <s v="Arjun Bose"/>
    <s v="Corporate"/>
    <x v="1"/>
    <s v="Assam"/>
    <s v="Guwahati"/>
    <s v="Technology"/>
    <s v="Accessories"/>
    <s v="Classic Accessories 478"/>
    <s v="First Class"/>
    <n v="2"/>
    <n v="4315.2"/>
    <n v="0.15"/>
    <s v="OK"/>
    <n v="7335.84"/>
    <n v="4968.41"/>
    <n v="2367.4299999999998"/>
    <s v="Paid"/>
    <s v="Completed"/>
    <n v="0.15"/>
    <n v="7335.8399999999992"/>
    <n v="2367.4299999999994"/>
    <n v="32.272105171323254"/>
    <n v="11"/>
    <n v="2024"/>
    <s v="INVALID"/>
  </r>
  <r>
    <s v="ORD-2024-10027"/>
    <d v="2024-11-23T00:00:00"/>
    <d v="2024-11-23T00:00:00"/>
    <n v="0"/>
    <s v="OK"/>
    <s v="CUST-4401"/>
    <s v="Diya Patel"/>
    <s v="Corporate"/>
    <x v="0"/>
    <s v="Uttar Pradesh"/>
    <s v="Noida"/>
    <s v="Technology"/>
    <s v="Phones"/>
    <s v="Pro Phones 243"/>
    <s v="Standard Class"/>
    <n v="4"/>
    <n v="716.13"/>
    <n v="0.1"/>
    <s v="OK"/>
    <n v="2578.0700000000002"/>
    <n v="1527.55"/>
    <n v="1050.52"/>
    <s v="Paid"/>
    <s v="Returned"/>
    <n v="0.1"/>
    <n v="2578.0680000000002"/>
    <n v="1050.5180000000003"/>
    <n v="40.748265755596833"/>
    <n v="11"/>
    <n v="2024"/>
    <s v="CLEAN"/>
  </r>
  <r>
    <s v="ORD-2024-10031"/>
    <d v="2024-02-09T00:00:00"/>
    <d v="2024-02-12T00:00:00"/>
    <n v="3"/>
    <s v="OK"/>
    <s v="CUST-8759"/>
    <s v="Ananya Rao"/>
    <s v="Corporate"/>
    <x v="3"/>
    <s v="Goa"/>
    <s v="Panaji"/>
    <s v="Office Supplies"/>
    <s v="Labels"/>
    <s v="Pro Labels 355"/>
    <s v="First Class"/>
    <n v="1"/>
    <n v="3421.77"/>
    <n v="0.1"/>
    <s v="OK"/>
    <n v="3079.59"/>
    <n v="2001.89"/>
    <n v="1077.7"/>
    <s v="Paid"/>
    <s v="Completed"/>
    <n v="0.1"/>
    <n v="3079.5929999999998"/>
    <n v="1077.7029999999997"/>
    <n v="34.994981479695525"/>
    <n v="2"/>
    <n v="2024"/>
    <s v="CLEAN"/>
  </r>
  <r>
    <s v="ORD-2024-10033"/>
    <d v="2024-11-22T00:00:00"/>
    <d v="2024-11-26T00:00:00"/>
    <n v="4"/>
    <s v="OK"/>
    <s v="CUST-6509"/>
    <s v="Aarav Sharma"/>
    <s v="Corporate"/>
    <x v="2"/>
    <s v="Andhra Pradesh"/>
    <s v="Vijayawada"/>
    <s v="Technology"/>
    <s v="Phones"/>
    <s v="Basic Phones 242"/>
    <s v="Second Class"/>
    <n v="3"/>
    <n v="4001.25"/>
    <n v="0"/>
    <s v="OK"/>
    <n v="9002.81"/>
    <n v="7529.92"/>
    <n v="1472.89"/>
    <s v="Paid"/>
    <s v="Completed"/>
    <n v="0"/>
    <n v="12003.75"/>
    <n v="4473.83"/>
    <n v="37.270269707383108"/>
    <n v="11"/>
    <n v="2024"/>
    <s v="CLEAN"/>
  </r>
  <r>
    <s v="ORD-2024-10034"/>
    <d v="2024-07-22T00:00:00"/>
    <d v="2024-07-27T00:00:00"/>
    <n v="5"/>
    <s v="OK"/>
    <s v="CUST-6660"/>
    <s v="Priya Menon"/>
    <s v="Home Office"/>
    <x v="3"/>
    <s v="Goa"/>
    <s v="Panaji"/>
    <s v="Furniture"/>
    <s v="Tables"/>
    <s v="Max Tables 836"/>
    <s v="Same Day"/>
    <n v="7"/>
    <n v="492.41"/>
    <n v="0.25"/>
    <s v="OK"/>
    <n v="2585.15"/>
    <n v="2070.73"/>
    <n v="514.41999999999996"/>
    <s v="Paid"/>
    <s v="Completed"/>
    <n v="0.25"/>
    <n v="2585.1525000000001"/>
    <n v="514.42250000000013"/>
    <n v="19.899116203009303"/>
    <n v="7"/>
    <n v="2024"/>
    <s v="CLEAN"/>
  </r>
  <r>
    <s v="ORD-2024-10036"/>
    <d v="2024-05-29T00:00:00"/>
    <d v="2024-05-29T00:00:00"/>
    <n v="0"/>
    <s v="OK"/>
    <s v="CUST-1611"/>
    <s v="Sneha Kapoor"/>
    <s v="Small Business"/>
    <x v="3"/>
    <s v="Gujarat"/>
    <s v="Ahmedabad"/>
    <s v="Furniture"/>
    <s v="Bookcases"/>
    <s v="Prime Bookcases 414"/>
    <s v="Second Class"/>
    <n v="8"/>
    <n v="2507.12"/>
    <n v="0.05"/>
    <s v="OK"/>
    <n v="19054.11"/>
    <n v="15313.83"/>
    <n v="3740.28"/>
    <s v="Pending"/>
    <s v="Returned"/>
    <n v="0.05"/>
    <n v="19054.111999999997"/>
    <n v="3740.2819999999974"/>
    <n v="19.629789097492438"/>
    <n v="5"/>
    <n v="2024"/>
    <s v="CLEAN"/>
  </r>
  <r>
    <s v="ORD-2024-10037"/>
    <d v="2024-10-25T00:00:00"/>
    <d v="2024-10-28T00:00:00"/>
    <n v="3"/>
    <s v="OK"/>
    <s v="CUST-8296"/>
    <s v="Rohan Mehta"/>
    <s v="Corporate"/>
    <x v="3"/>
    <s v="Maharashtra"/>
    <s v="Mumbai"/>
    <s v="Furniture"/>
    <s v="Bookcases"/>
    <s v="Eco Bookcases 220"/>
    <s v="Second Class"/>
    <n v="3"/>
    <n v="3126.47"/>
    <n v="0"/>
    <s v="OK"/>
    <n v="9379.41"/>
    <n v="6670.85"/>
    <n v="2708.56"/>
    <s v="Paid"/>
    <s v="Returned"/>
    <n v="0"/>
    <n v="9379.41"/>
    <n v="2708.5599999999995"/>
    <n v="28.877722585962225"/>
    <n v="10"/>
    <n v="2024"/>
    <s v="CLEAN"/>
  </r>
  <r>
    <s v="ORD-2024-10039"/>
    <d v="2024-06-17T00:00:00"/>
    <d v="2024-06-22T00:00:00"/>
    <n v="5"/>
    <s v="OK"/>
    <s v="CUST-8235"/>
    <s v="Aarav Sharma"/>
    <s v="Corporate"/>
    <x v="3"/>
    <s v="Gujarat"/>
    <s v="Ahmedabad"/>
    <s v="Technology"/>
    <s v="Phones"/>
    <s v="Prime Phones 507"/>
    <s v="First Class"/>
    <n v="7"/>
    <n v="2210.6799999999998"/>
    <n v="0.1"/>
    <s v="OK"/>
    <n v="13927.28"/>
    <n v="10504.87"/>
    <n v="3422.41"/>
    <s v="Paid"/>
    <s v="Completed"/>
    <n v="0.1"/>
    <n v="13927.284"/>
    <n v="3422.4139999999989"/>
    <n v="24.573448778670691"/>
    <n v="6"/>
    <n v="2024"/>
    <s v="CLEAN"/>
  </r>
  <r>
    <s v="ORD-2024-10040"/>
    <d v="2024-12-11T00:00:00"/>
    <d v="2024-12-11T00:00:00"/>
    <n v="0"/>
    <s v="OK"/>
    <s v="CUST-5830"/>
    <s v="Mira Das"/>
    <s v="Small Business"/>
    <x v="3"/>
    <s v="Madhya Pradesh"/>
    <s v="Indore"/>
    <s v="Technology"/>
    <s v="Copiers"/>
    <s v="Classic Copiers 590"/>
    <s v="First Class"/>
    <n v="4"/>
    <n v="1370.92"/>
    <n v="0.1"/>
    <s v="OK"/>
    <n v="4935.3100000000004"/>
    <n v="3374.77"/>
    <n v="1560.54"/>
    <s v="Pending"/>
    <s v="Returned"/>
    <n v="0.1"/>
    <n v="4935.3120000000008"/>
    <n v="1560.5420000000008"/>
    <n v="31.619925954022776"/>
    <n v="12"/>
    <n v="2024"/>
    <s v="CLEAN"/>
  </r>
  <r>
    <s v="ORD-2024-10041"/>
    <d v="2024-10-10T00:00:00"/>
    <d v="2024-10-16T00:00:00"/>
    <n v="6"/>
    <s v="OK"/>
    <s v="CUST-7178"/>
    <s v="Isha Nair"/>
    <s v="Home Office"/>
    <x v="3"/>
    <s v="Rajasthan"/>
    <s v="Udaipur"/>
    <s v="Technology"/>
    <s v="Copiers"/>
    <s v="Eco Copiers 865"/>
    <s v="Standard Class"/>
    <n v="7"/>
    <n v="2509.27"/>
    <n v="0.2"/>
    <s v="OK"/>
    <n v="14051.91"/>
    <n v="11990.37"/>
    <n v="2061.54"/>
    <s v="Paid"/>
    <s v="Completed"/>
    <n v="0.2"/>
    <n v="14051.912"/>
    <n v="2061.5419999999995"/>
    <n v="14.67090030168136"/>
    <n v="10"/>
    <n v="2024"/>
    <s v="CLEAN"/>
  </r>
  <r>
    <s v="ORD-2024-10044"/>
    <d v="2024-07-08T00:00:00"/>
    <d v="2024-07-14T00:00:00"/>
    <n v="6"/>
    <s v="OK"/>
    <s v="CUST-7119"/>
    <s v="Priya Menon"/>
    <s v="Small Business"/>
    <x v="1"/>
    <s v="Odisha"/>
    <s v="Bhubaneswar"/>
    <s v="Furniture"/>
    <s v="Furnishings"/>
    <s v="Smart Furnishings 956"/>
    <s v="Same Day"/>
    <n v="3"/>
    <n v="1010.23"/>
    <n v="0"/>
    <s v="OK"/>
    <n v="3030.69"/>
    <n v="1721.08"/>
    <n v="1309.6099999999999"/>
    <s v="Paid"/>
    <s v="Completed"/>
    <n v="0"/>
    <n v="3030.69"/>
    <n v="1309.6100000000001"/>
    <n v="43.211611877163293"/>
    <n v="7"/>
    <n v="2024"/>
    <s v="CLEAN"/>
  </r>
  <r>
    <s v="ORD-2024-10045"/>
    <d v="2024-06-22T00:00:00"/>
    <d v="2024-06-25T00:00:00"/>
    <n v="3"/>
    <s v="OK"/>
    <s v="CUST-3373"/>
    <s v="Rohan Mehta"/>
    <s v="Small Business"/>
    <x v="0"/>
    <s v="Haryana"/>
    <s v="Gurugram"/>
    <s v="Furniture"/>
    <s v="Chairs"/>
    <s v="Max Chairs 393"/>
    <s v="Standard Class"/>
    <n v="9"/>
    <n v="3329.77"/>
    <n v="0.1"/>
    <s v="OK"/>
    <n v="26971.14"/>
    <n v="17376.2"/>
    <n v="9594.94"/>
    <s v="Paid"/>
    <s v="Completed"/>
    <n v="0.1"/>
    <n v="26971.137000000002"/>
    <n v="9594.9370000000017"/>
    <n v="35.574833200394927"/>
    <n v="6"/>
    <n v="2024"/>
    <s v="CLEAN"/>
  </r>
  <r>
    <s v="ORD-2024-10046"/>
    <d v="2024-01-18T00:00:00"/>
    <d v="2024-01-24T00:00:00"/>
    <n v="6"/>
    <s v="OK"/>
    <s v="CUST-8896"/>
    <s v="Isha Nair"/>
    <s v="Home Office"/>
    <x v="1"/>
    <s v="Bihar"/>
    <s v="Patna"/>
    <s v="Office Supplies"/>
    <s v="Art"/>
    <s v="Prime Art 221"/>
    <s v="Second Class"/>
    <n v="8"/>
    <n v="3927.82"/>
    <n v="0.05"/>
    <s v="OK"/>
    <n v="29851.43"/>
    <n v="17487.48"/>
    <n v="12363.95"/>
    <s v="Pending"/>
    <s v="Returned"/>
    <n v="0.05"/>
    <n v="29851.432000000001"/>
    <n v="12363.952000000001"/>
    <n v="41.418287739094062"/>
    <n v="1"/>
    <n v="2024"/>
    <s v="CLEAN"/>
  </r>
  <r>
    <s v="ORD-2024-10048"/>
    <d v="2024-12-08T00:00:00"/>
    <d v="2024-08-12T00:00:00"/>
    <n v="-118"/>
    <s v="INVALID"/>
    <s v="CUST-1987"/>
    <s v="Rahul Verma"/>
    <s v="Corporate"/>
    <x v="2"/>
    <s v="Tamil Nadu"/>
    <s v="Chennai"/>
    <s v="Office Supplies"/>
    <s v="Storage"/>
    <s v="Max Storage 432"/>
    <s v="Standard Class"/>
    <n v="8"/>
    <n v="2445.31"/>
    <n v="0.1"/>
    <s v="OK"/>
    <n v="17606.23"/>
    <n v="12438.96"/>
    <n v="5167.2700000000004"/>
    <s v="Paid"/>
    <s v="Completed"/>
    <n v="0.1"/>
    <n v="17606.232"/>
    <n v="5167.2720000000008"/>
    <n v="29.349107747756591"/>
    <n v="12"/>
    <n v="2024"/>
    <s v="INVALID"/>
  </r>
  <r>
    <s v="ORD-2024-10050"/>
    <d v="2024-04-06T00:00:00"/>
    <d v="2024-04-13T00:00:00"/>
    <n v="7"/>
    <s v="OK"/>
    <s v="CUST-2380"/>
    <s v="Aarav Sharma"/>
    <s v="Home Office"/>
    <x v="0"/>
    <s v="Uttar Pradesh"/>
    <s v="Noida"/>
    <s v="Technology"/>
    <s v="Copiers"/>
    <s v="Classic Copiers 295"/>
    <s v="Second Class"/>
    <n v="9"/>
    <n v="792.11"/>
    <n v="0.05"/>
    <s v="OK"/>
    <n v="6772.54"/>
    <n v="5755.46"/>
    <n v="1017.08"/>
    <s v="Paid"/>
    <s v="Completed"/>
    <n v="0.05"/>
    <n v="6772.5404999999992"/>
    <n v="1017.0804999999991"/>
    <n v="15.01771011926764"/>
    <n v="4"/>
    <n v="2024"/>
    <s v="CLEAN"/>
  </r>
  <r>
    <s v="ORD-2024-10052"/>
    <d v="2024-04-24T00:00:00"/>
    <d v="2024-04-29T00:00:00"/>
    <n v="5"/>
    <s v="OK"/>
    <s v="CUST-3557"/>
    <s v="Ananya Rao"/>
    <s v="Corporate"/>
    <x v="2"/>
    <s v="Telangana"/>
    <s v="Hyderabad"/>
    <s v="Office Supplies"/>
    <s v="Art"/>
    <s v="Pro Art 907"/>
    <s v="Standard Class"/>
    <n v="6"/>
    <n v="1528.08"/>
    <n v="0"/>
    <s v="OK"/>
    <n v="9168.48"/>
    <n v="7439.77"/>
    <n v="1728.71"/>
    <s v="Paid"/>
    <s v="Completed"/>
    <n v="0"/>
    <n v="9168.48"/>
    <n v="1728.7099999999991"/>
    <n v="18.854924698532354"/>
    <n v="4"/>
    <n v="2024"/>
    <s v="CLEAN"/>
  </r>
  <r>
    <s v="ORD-2024-10058"/>
    <d v="2024-02-07T00:00:00"/>
    <d v="2024-02-15T00:00:00"/>
    <n v="8"/>
    <s v="OK"/>
    <s v="CUST-9941"/>
    <s v="Priya Menon"/>
    <s v="Consumer"/>
    <x v="3"/>
    <s v="Goa"/>
    <s v="Panaji"/>
    <s v="Furniture"/>
    <s v="Chairs"/>
    <s v="Max Chairs 813"/>
    <s v="Same Day"/>
    <n v="5"/>
    <n v="255.87"/>
    <n v="0"/>
    <s v="OK"/>
    <n v="1279.3499999999999"/>
    <n v="1091.54"/>
    <n v="187.81"/>
    <s v="Paid"/>
    <s v="Completed"/>
    <n v="0"/>
    <n v="1279.3499999999999"/>
    <n v="187.80999999999995"/>
    <n v="14.680110993864067"/>
    <n v="2"/>
    <n v="2024"/>
    <s v="CLEAN"/>
  </r>
  <r>
    <s v="ORD-2024-10059"/>
    <d v="2024-09-01T00:00:00"/>
    <d v="2024-09-07T00:00:00"/>
    <n v="6"/>
    <s v="OK"/>
    <s v="CUST-3983"/>
    <s v="Isha Nair"/>
    <s v="Home Office"/>
    <x v="0"/>
    <s v="Rajasthan"/>
    <s v="Jaipur"/>
    <s v="Office Supplies"/>
    <s v="Storage"/>
    <s v="Basic Storage 872"/>
    <s v="Unknown"/>
    <n v="9"/>
    <n v="1389.48"/>
    <n v="0.1"/>
    <s v="OK"/>
    <n v="11254.79"/>
    <n v="6578.06"/>
    <n v="4676.7299999999996"/>
    <s v="Pending"/>
    <s v="Returned"/>
    <n v="0.1"/>
    <n v="11254.788"/>
    <n v="4676.7280000000001"/>
    <n v="41.553230500654479"/>
    <n v="9"/>
    <n v="2024"/>
    <s v="CLEAN"/>
  </r>
  <r>
    <s v="ORD-2024-10062"/>
    <d v="2024-04-16T00:00:00"/>
    <d v="2024-04-16T00:00:00"/>
    <n v="0"/>
    <s v="OK"/>
    <s v="CUST-7008"/>
    <s v="Vikram Iyer"/>
    <s v="Home Office"/>
    <x v="1"/>
    <s v="Bihar"/>
    <s v="Patna"/>
    <s v="Furniture"/>
    <s v="Bookcases"/>
    <s v="Classic Bookcases 296"/>
    <s v="Standard Class"/>
    <n v="1"/>
    <n v="949.59"/>
    <n v="0"/>
    <s v="OK"/>
    <n v="949.59"/>
    <n v="751.25"/>
    <n v="198.34"/>
    <s v="Paid"/>
    <s v="Completed"/>
    <n v="0"/>
    <n v="949.59"/>
    <n v="198.34000000000003"/>
    <n v="20.88690908707969"/>
    <n v="4"/>
    <n v="2024"/>
    <s v="CLEAN"/>
  </r>
  <r>
    <s v="ORD-2024-10063"/>
    <d v="2024-10-30T00:00:00"/>
    <d v="2024-02-11T00:00:00"/>
    <n v="-262"/>
    <s v="INVALID"/>
    <s v="CUST-4900"/>
    <s v="Sneha Kapoor"/>
    <s v="Home Office"/>
    <x v="0"/>
    <s v="Rajasthan"/>
    <s v="Jaipur"/>
    <s v="Technology"/>
    <s v="Phones"/>
    <s v="Basic Phones 230"/>
    <s v="Standard Class"/>
    <n v="9"/>
    <n v="3042.29"/>
    <n v="0.2"/>
    <s v="OK"/>
    <n v="21904.49"/>
    <n v="13570.55"/>
    <n v="8333.94"/>
    <s v="Paid"/>
    <s v="Completed"/>
    <n v="0.2"/>
    <n v="21904.488000000001"/>
    <n v="8333.9380000000019"/>
    <n v="38.046714445003246"/>
    <n v="10"/>
    <n v="2024"/>
    <s v="INVALID"/>
  </r>
  <r>
    <s v="ORD-2024-10064"/>
    <d v="2024-01-25T00:00:00"/>
    <d v="2024-01-02T00:00:00"/>
    <n v="-23"/>
    <s v="INVALID"/>
    <s v="CUST-5382"/>
    <s v="Sneha Kapoor"/>
    <s v="Home Office"/>
    <x v="0"/>
    <s v="Haryana"/>
    <s v="Gurugram"/>
    <s v="Office Supplies"/>
    <s v="Binders"/>
    <s v="Pro Binders 690"/>
    <s v="Same Day"/>
    <n v="2"/>
    <n v="2832.77"/>
    <n v="0.15"/>
    <s v="OK"/>
    <n v="4815.71"/>
    <n v="3027.75"/>
    <n v="1917.47"/>
    <s v="Paid"/>
    <s v="Completed"/>
    <n v="0.15"/>
    <n v="4815.7089999999998"/>
    <n v="1787.9589999999998"/>
    <n v="37.127637903369994"/>
    <n v="1"/>
    <n v="2024"/>
    <s v="INVALID"/>
  </r>
  <r>
    <s v="ORD-2024-10066"/>
    <d v="2024-04-22T00:00:00"/>
    <d v="2024-04-27T00:00:00"/>
    <n v="5"/>
    <s v="OK"/>
    <s v="CUST-2463"/>
    <s v="Mira Das"/>
    <s v="Home Office"/>
    <x v="3"/>
    <s v="Maharashtra"/>
    <s v="Mumbai"/>
    <s v="Office Supplies"/>
    <s v="Paper"/>
    <s v="Pro Paper 552"/>
    <s v="Second Class"/>
    <n v="1"/>
    <n v="4280.1899999999996"/>
    <n v="0.05"/>
    <s v="OK"/>
    <n v="4066.18"/>
    <n v="2628.92"/>
    <n v="1437.26"/>
    <s v="Paid"/>
    <s v="Completed"/>
    <n v="0.05"/>
    <n v="4066.1804999999995"/>
    <n v="1437.2604999999994"/>
    <n v="35.346696980126673"/>
    <n v="4"/>
    <n v="2024"/>
    <s v="CLEAN"/>
  </r>
  <r>
    <s v="ORD-2024-10073"/>
    <d v="2024-02-11T00:00:00"/>
    <d v="2024-02-07T00:00:00"/>
    <n v="-4"/>
    <s v="INVALID"/>
    <s v="CUST-5018"/>
    <s v="Karan Malhotra"/>
    <s v="Home Office"/>
    <x v="2"/>
    <s v="Tamil Nadu"/>
    <s v="Chennai"/>
    <s v="Furniture"/>
    <s v="Tables"/>
    <s v="Prime Tables 902"/>
    <s v="First Class"/>
    <n v="7"/>
    <n v="2287.4699999999998"/>
    <n v="0.15"/>
    <s v="OK"/>
    <n v="13610.45"/>
    <n v="10039.049999999999"/>
    <n v="3571.4"/>
    <s v="Paid"/>
    <s v="Completed"/>
    <n v="0.15"/>
    <n v="13610.446499999998"/>
    <n v="3571.3964999999989"/>
    <n v="26.240112695788486"/>
    <n v="2"/>
    <n v="2024"/>
    <s v="INVALID"/>
  </r>
  <r>
    <s v="ORD-2024-10077"/>
    <d v="2024-11-03T00:00:00"/>
    <d v="2024-11-11T00:00:00"/>
    <n v="8"/>
    <s v="OK"/>
    <s v="CUST-2642"/>
    <s v="Ananya Rao"/>
    <s v="Corporate"/>
    <x v="1"/>
    <s v="Jharkhand"/>
    <s v="Ranchi"/>
    <s v="Office Supplies"/>
    <s v="Labels"/>
    <s v="Max Labels 617"/>
    <s v="Second Class"/>
    <n v="3"/>
    <n v="3406.27"/>
    <n v="0"/>
    <s v="OK"/>
    <n v="10218.81"/>
    <n v="7616.97"/>
    <n v="2601.84"/>
    <s v="Paid"/>
    <s v="Completed"/>
    <n v="0"/>
    <n v="10218.81"/>
    <n v="2601.8399999999992"/>
    <n v="25.461281695226738"/>
    <n v="11"/>
    <n v="2024"/>
    <s v="CLEAN"/>
  </r>
  <r>
    <s v="ORD-2024-10081"/>
    <d v="2024-08-10T00:00:00"/>
    <d v="2024-08-14T00:00:00"/>
    <n v="4"/>
    <s v="OK"/>
    <s v="CUST-2094"/>
    <s v="Aarav Sharma"/>
    <s v="Small Business"/>
    <x v="0"/>
    <s v="Delhi"/>
    <s v="New Delhi"/>
    <s v="Office Supplies"/>
    <s v="Storage"/>
    <s v="Elite Storage 371"/>
    <s v="Second Class"/>
    <n v="4"/>
    <n v="1182.32"/>
    <n v="0.1"/>
    <s v="OK"/>
    <n v="4256.3500000000004"/>
    <n v="2495.33"/>
    <n v="1761.02"/>
    <s v="Pending"/>
    <s v="Returned"/>
    <n v="0.1"/>
    <n v="4256.3519999999999"/>
    <n v="1761.0219999999999"/>
    <n v="41.373974708858661"/>
    <n v="8"/>
    <n v="2024"/>
    <s v="CLEAN"/>
  </r>
  <r>
    <s v="ORD-2024-10084"/>
    <d v="2024-10-26T00:00:00"/>
    <d v="2024-10-29T00:00:00"/>
    <n v="3"/>
    <s v="OK"/>
    <s v="CUST-4989"/>
    <s v="Aditi Sen"/>
    <s v="Home Office"/>
    <x v="3"/>
    <s v="Maharashtra"/>
    <s v="Mumbai"/>
    <s v="Furniture"/>
    <s v="Tables"/>
    <s v="Elite Tables 362"/>
    <s v="Second Class"/>
    <n v="9"/>
    <n v="131.74"/>
    <n v="0.2"/>
    <s v="OK"/>
    <n v="948.53"/>
    <n v="674.62"/>
    <n v="273.91000000000003"/>
    <s v="Paid"/>
    <s v="Completed"/>
    <n v="0.2"/>
    <n v="948.52800000000013"/>
    <n v="273.90800000000013"/>
    <n v="28.877165460587364"/>
    <n v="10"/>
    <n v="2024"/>
    <s v="CLEAN"/>
  </r>
  <r>
    <s v="ORD-2024-10085"/>
    <d v="2024-10-01T00:00:00"/>
    <d v="2024-10-03T00:00:00"/>
    <n v="2"/>
    <s v="OK"/>
    <s v="CUST-3758"/>
    <s v="Rohan Mehta"/>
    <s v="Corporate"/>
    <x v="2"/>
    <s v="Tamil Nadu"/>
    <s v="Chennai"/>
    <s v="Technology"/>
    <s v="Phones"/>
    <s v="Elite Phones 781"/>
    <s v="Second Class"/>
    <n v="6"/>
    <n v="570.28"/>
    <n v="0.2"/>
    <s v="OK"/>
    <n v="2737.34"/>
    <n v="2085.44"/>
    <n v="651.9"/>
    <s v="Paid"/>
    <s v="Completed"/>
    <n v="0.2"/>
    <n v="2737.3440000000001"/>
    <n v="651.904"/>
    <n v="23.815201889130485"/>
    <n v="10"/>
    <n v="2024"/>
    <s v="CLEAN"/>
  </r>
  <r>
    <s v="ORD-2024-10088"/>
    <d v="2024-02-08T00:00:00"/>
    <d v="2024-08-03T00:00:00"/>
    <n v="177"/>
    <s v="OK"/>
    <s v="CUST-5829"/>
    <s v="Vikram Iyer"/>
    <s v="Consumer"/>
    <x v="1"/>
    <s v="Assam"/>
    <s v="Guwahati"/>
    <s v="Office Supplies"/>
    <s v="Binders"/>
    <s v="Eco Binders 258"/>
    <s v="Standard Class"/>
    <n v="7"/>
    <n v="3345.22"/>
    <n v="0"/>
    <s v="OK"/>
    <n v="23416.54"/>
    <n v="15490.89"/>
    <n v="7925.65"/>
    <s v="Paid"/>
    <s v="Completed"/>
    <n v="0"/>
    <n v="23416.539999999997"/>
    <n v="7925.6499999999978"/>
    <n v="33.846375254414184"/>
    <n v="2"/>
    <n v="2024"/>
    <s v="CLEAN"/>
  </r>
  <r>
    <s v="ORD-2024-10089"/>
    <d v="2024-03-24T00:00:00"/>
    <d v="2024-03-27T00:00:00"/>
    <n v="3"/>
    <s v="OK"/>
    <s v="CUST-6059"/>
    <s v="Rohan Mehta"/>
    <s v="Small Business"/>
    <x v="3"/>
    <s v="Maharashtra"/>
    <s v="Mumbai"/>
    <s v="Furniture"/>
    <s v="Bookcases"/>
    <s v="Max Bookcases 398"/>
    <s v="Standard Class"/>
    <n v="2"/>
    <n v="3284.75"/>
    <n v="0.05"/>
    <s v="OK"/>
    <n v="6241.02"/>
    <n v="5345.88"/>
    <n v="895.14"/>
    <s v="Paid"/>
    <s v="Completed"/>
    <n v="0.05"/>
    <n v="6241.0249999999996"/>
    <n v="895.14499999999953"/>
    <n v="14.342916427990588"/>
    <n v="3"/>
    <n v="2024"/>
    <s v="CLEAN"/>
  </r>
  <r>
    <s v="ORD-2024-10094"/>
    <d v="2024-01-07T00:00:00"/>
    <d v="2024-01-13T00:00:00"/>
    <n v="6"/>
    <s v="OK"/>
    <s v="CUST-6106"/>
    <s v="Rohan Mehta"/>
    <s v="Corporate"/>
    <x v="0"/>
    <s v="Uttar Pradesh"/>
    <s v="Noida"/>
    <s v="Office Supplies"/>
    <s v="Binders"/>
    <s v="Eco Binders 780"/>
    <s v="Standard Class"/>
    <n v="7"/>
    <n v="2788.97"/>
    <n v="-0.09"/>
    <s v="INVALID"/>
    <n v="19522.79"/>
    <n v="12455.78"/>
    <n v="7067.01"/>
    <s v="Paid"/>
    <s v="Completed"/>
    <n v="0"/>
    <n v="19522.789999999997"/>
    <n v="7067.0099999999966"/>
    <n v="36.198770769956532"/>
    <n v="1"/>
    <n v="2024"/>
    <s v="INVALID"/>
  </r>
  <r>
    <s v="ORD-2024-10097"/>
    <d v="2024-06-05T00:00:00"/>
    <d v="2024-07-06T00:00:00"/>
    <n v="31"/>
    <s v="OK"/>
    <s v="CUST-7283"/>
    <s v="Rahul Verma"/>
    <s v="Home Office"/>
    <x v="1"/>
    <s v="Odisha"/>
    <s v="Bhubaneswar"/>
    <s v="Technology"/>
    <s v="Copiers"/>
    <s v="Smart Copiers 547"/>
    <s v="Second Class"/>
    <n v="2"/>
    <n v="2259.2399999999998"/>
    <n v="0.15"/>
    <s v="OK"/>
    <n v="3840.71"/>
    <n v="2516.29"/>
    <n v="1324.42"/>
    <s v="Paid"/>
    <s v="Completed"/>
    <n v="0.15"/>
    <n v="3840.7079999999996"/>
    <n v="1324.4179999999997"/>
    <n v="34.483694152224011"/>
    <n v="6"/>
    <n v="2024"/>
    <s v="CLEAN"/>
  </r>
  <r>
    <s v="ORD-2024-10099"/>
    <d v="2024-01-26T00:00:00"/>
    <d v="2024-02-01T00:00:00"/>
    <n v="6"/>
    <s v="OK"/>
    <s v="CUST-5434"/>
    <s v="Rohan Mehta"/>
    <s v="Home Office"/>
    <x v="2"/>
    <s v="Kerala"/>
    <s v="Kochi"/>
    <s v="Technology"/>
    <s v="Copiers"/>
    <s v="Elite Copiers 785"/>
    <s v="Unknown"/>
    <n v="8"/>
    <n v="2108.9299999999998"/>
    <n v="0.1"/>
    <s v="OK"/>
    <n v="15184.3"/>
    <n v="11270.74"/>
    <n v="3913.56"/>
    <s v="Paid"/>
    <s v="Completed"/>
    <n v="0.1"/>
    <n v="15184.295999999998"/>
    <n v="3913.5559999999987"/>
    <n v="25.773707256497104"/>
    <n v="1"/>
    <n v="2024"/>
    <s v="CLEAN"/>
  </r>
  <r>
    <s v="ORD-2024-10102"/>
    <d v="2024-06-22T00:00:00"/>
    <d v="2024-06-26T00:00:00"/>
    <n v="4"/>
    <s v="OK"/>
    <s v="CUST-7909"/>
    <s v="Rohan Mehta"/>
    <s v="Home Office"/>
    <x v="1"/>
    <s v="Bihar"/>
    <s v="Patna"/>
    <s v="Furniture"/>
    <s v="Furnishings"/>
    <s v="Classic Furnishings 682"/>
    <s v="First Class"/>
    <n v="5"/>
    <n v="4396.5200000000004"/>
    <n v="0.25"/>
    <s v="OK"/>
    <n v="16486.95"/>
    <n v="12054.14"/>
    <n v="4432.8100000000004"/>
    <s v="Paid"/>
    <s v="Completed"/>
    <n v="0.25"/>
    <n v="16486.95"/>
    <n v="4432.8100000000013"/>
    <n v="26.886780150361357"/>
    <n v="6"/>
    <n v="2024"/>
    <s v="CLEAN"/>
  </r>
  <r>
    <s v="ORD-2024-10106"/>
    <d v="2024-06-24T00:00:00"/>
    <d v="2024-06-29T00:00:00"/>
    <n v="5"/>
    <s v="OK"/>
    <s v="CUST-6540"/>
    <s v="Mira Das"/>
    <s v="Home Office"/>
    <x v="1"/>
    <s v="West Bengal"/>
    <s v="Kolkata"/>
    <s v="Furniture"/>
    <s v="Tables"/>
    <s v="Eco Tables 575"/>
    <s v="Second Class"/>
    <n v="2"/>
    <n v="685"/>
    <n v="0.1"/>
    <s v="OK"/>
    <n v="1233"/>
    <n v="1006.9"/>
    <n v="226.1"/>
    <s v="Paid"/>
    <s v="Completed"/>
    <n v="0.1"/>
    <n v="1233"/>
    <n v="226.10000000000002"/>
    <n v="18.337388483373886"/>
    <n v="6"/>
    <n v="2024"/>
    <s v="CLEAN"/>
  </r>
  <r>
    <s v="ORD-2024-10108"/>
    <d v="2024-10-29T00:00:00"/>
    <d v="2024-11-04T00:00:00"/>
    <n v="6"/>
    <s v="OK"/>
    <s v="CUST-6604"/>
    <s v="Rohan Mehta"/>
    <s v="Home Office"/>
    <x v="1"/>
    <s v="West Bengal"/>
    <s v="Kolkata"/>
    <s v="Furniture"/>
    <s v="Furnishings"/>
    <s v="Prime Furnishings 952"/>
    <s v="First Class"/>
    <n v="3"/>
    <n v="4302.8900000000003"/>
    <n v="0.05"/>
    <s v="OK"/>
    <n v="12263.24"/>
    <n v="8925.57"/>
    <n v="3337.67"/>
    <s v="Paid"/>
    <s v="Completed"/>
    <n v="0.05"/>
    <n v="12263.236500000001"/>
    <n v="3337.6665000000012"/>
    <n v="27.216848504878797"/>
    <n v="10"/>
    <n v="2024"/>
    <s v="CLEAN"/>
  </r>
  <r>
    <s v="ORD-2024-10109"/>
    <d v="2024-08-15T00:00:00"/>
    <d v="2024-08-23T00:00:00"/>
    <n v="8"/>
    <s v="OK"/>
    <s v="CUST-4337"/>
    <s v="Aditi Sen"/>
    <s v="Small Business"/>
    <x v="1"/>
    <s v="Odisha"/>
    <s v="Bhubaneswar"/>
    <s v="Furniture"/>
    <s v="Bookcases"/>
    <s v="Prime Bookcases 631"/>
    <s v="Same Day"/>
    <n v="2"/>
    <n v="537.54"/>
    <n v="0.25"/>
    <s v="OK"/>
    <n v="806.31"/>
    <n v="498.5"/>
    <n v="307.81"/>
    <s v="Paid"/>
    <s v="Completed"/>
    <n v="0.25"/>
    <n v="806.31"/>
    <n v="307.80999999999995"/>
    <n v="38.175143555208294"/>
    <n v="8"/>
    <n v="2024"/>
    <s v="CLEAN"/>
  </r>
  <r>
    <s v="ORD-2024-10113"/>
    <d v="2024-01-10T00:00:00"/>
    <d v="2024-01-14T00:00:00"/>
    <n v="4"/>
    <s v="OK"/>
    <s v="CUST-5213"/>
    <s v="Sneha Kapoor"/>
    <s v="Consumer"/>
    <x v="4"/>
    <s v="Gujarat"/>
    <s v="Ahmedabad"/>
    <s v="Technology"/>
    <s v="Accessories"/>
    <s v="Max Accessories 451"/>
    <s v="Standard Class"/>
    <n v="3"/>
    <n v="3829.48"/>
    <n v="0.05"/>
    <s v="OK"/>
    <n v="10914.02"/>
    <n v="6548.74"/>
    <n v="4365.28"/>
    <s v="Paid"/>
    <s v="Completed"/>
    <n v="0.05"/>
    <n v="10914.018"/>
    <n v="4365.2780000000002"/>
    <n v="39.996983695647195"/>
    <n v="1"/>
    <n v="2024"/>
    <s v="CLEAN"/>
  </r>
  <r>
    <s v="ORD-2024-10114"/>
    <d v="2024-12-02T00:00:00"/>
    <d v="2024-12-02T00:00:00"/>
    <n v="0"/>
    <s v="OK"/>
    <s v="CUST-4989"/>
    <s v="Isha Nair"/>
    <s v="Home Office"/>
    <x v="2"/>
    <s v="Tamil Nadu"/>
    <s v="Chennai"/>
    <s v="Furniture"/>
    <s v="Tables"/>
    <s v="Classic Tables 752"/>
    <s v="Standard Class"/>
    <n v="3"/>
    <n v="1089.1500000000001"/>
    <n v="0.25"/>
    <s v="OK"/>
    <n v="2450.59"/>
    <n v="1639.89"/>
    <n v="810.7"/>
    <s v="Paid"/>
    <s v="Completed"/>
    <n v="0.25"/>
    <n v="2450.5875000000001"/>
    <n v="810.69749999999999"/>
    <n v="33.081761006289305"/>
    <n v="12"/>
    <n v="2024"/>
    <s v="CLEAN"/>
  </r>
  <r>
    <s v="ORD-2024-10118"/>
    <d v="2024-02-15T00:00:00"/>
    <d v="2024-02-17T00:00:00"/>
    <n v="2"/>
    <s v="OK"/>
    <s v="CUST-9608"/>
    <s v="Mira Das"/>
    <s v="Home Office"/>
    <x v="2"/>
    <s v="Tamil Nadu"/>
    <s v="Chennai"/>
    <s v="Technology"/>
    <s v="Machines"/>
    <s v="Elite Machines 705"/>
    <s v="Standard Class"/>
    <n v="9"/>
    <n v="3324.55"/>
    <s v="70%"/>
    <s v="INVALID"/>
    <n v="25432.81"/>
    <n v="20370.16"/>
    <n v="5062.6499999999996"/>
    <s v="Paid"/>
    <s v="Completed"/>
    <n v="0"/>
    <n v="29920.95"/>
    <n v="9550.7900000000009"/>
    <n v="31.920076067103487"/>
    <n v="2"/>
    <n v="2024"/>
    <s v="INVALID"/>
  </r>
  <r>
    <s v="ORD-2024-10119"/>
    <d v="2024-06-10T00:00:00"/>
    <d v="2024-06-18T00:00:00"/>
    <n v="8"/>
    <s v="OK"/>
    <s v="CUST-9135"/>
    <s v="Vikram Iyer"/>
    <s v="Home Office"/>
    <x v="2"/>
    <s v="Andhra Pradesh"/>
    <s v="Vijayawada"/>
    <s v="Technology"/>
    <s v="Copiers"/>
    <s v="Pro Copiers 208"/>
    <s v="Same Day"/>
    <n v="5"/>
    <n v="1580.27"/>
    <n v="0.2"/>
    <s v="OK"/>
    <n v="6321.08"/>
    <n v="4407.22"/>
    <n v="1913.86"/>
    <s v="Paid"/>
    <s v="Completed"/>
    <n v="0.2"/>
    <n v="6321.0800000000008"/>
    <n v="1913.8600000000006"/>
    <n v="30.277420947053358"/>
    <n v="6"/>
    <n v="2024"/>
    <s v="CLEAN"/>
  </r>
  <r>
    <s v="ORD-2024-10121"/>
    <d v="2024-08-10T00:00:00"/>
    <d v="2024-08-18T00:00:00"/>
    <n v="8"/>
    <s v="OK"/>
    <s v="CUST-6096"/>
    <s v="Sneha Kapoor"/>
    <s v="Small Business"/>
    <x v="1"/>
    <s v="Bihar"/>
    <s v="Patna"/>
    <s v="Technology"/>
    <s v="Phones"/>
    <s v="Prime Phones 540"/>
    <s v="Standard Class"/>
    <n v="1"/>
    <n v="1823.67"/>
    <n v="0.2"/>
    <s v="OK"/>
    <n v="1458.94"/>
    <n v="893.2"/>
    <n v="565.74"/>
    <s v="Paid"/>
    <s v="Returned"/>
    <n v="0.2"/>
    <n v="1458.9360000000001"/>
    <n v="565.7360000000001"/>
    <n v="38.777300717783376"/>
    <n v="8"/>
    <n v="2024"/>
    <s v="CLEAN"/>
  </r>
  <r>
    <s v="ORD-2024-10123"/>
    <d v="2024-11-30T00:00:00"/>
    <d v="2024-04-12T00:00:00"/>
    <n v="-232"/>
    <s v="INVALID"/>
    <s v="CUST-1721"/>
    <s v="Ananya Rao"/>
    <s v="Small Business"/>
    <x v="1"/>
    <s v="Assam"/>
    <s v="Guwahati"/>
    <s v="Furniture"/>
    <s v="Chairs"/>
    <s v="Max Chairs 786"/>
    <s v="Second Class"/>
    <n v="3"/>
    <n v="170.35"/>
    <n v="0"/>
    <s v="OK"/>
    <n v="511.05"/>
    <n v="367.18"/>
    <n v="143.87"/>
    <s v="Paid"/>
    <s v="Completed"/>
    <n v="0"/>
    <n v="511.04999999999995"/>
    <n v="143.86999999999995"/>
    <n v="28.151844242246348"/>
    <n v="11"/>
    <n v="2024"/>
    <s v="INVALID"/>
  </r>
  <r>
    <s v="ORD-2024-10125"/>
    <d v="2024-07-21T00:00:00"/>
    <d v="2024-07-24T00:00:00"/>
    <n v="3"/>
    <s v="OK"/>
    <s v="CUST-4450"/>
    <s v="Isha Nair"/>
    <s v="Corporate"/>
    <x v="2"/>
    <s v="Karnataka"/>
    <s v="Bengaluru"/>
    <s v="Technology"/>
    <s v="Copiers"/>
    <s v="Pro Copiers 769"/>
    <s v="Standard Class"/>
    <n v="9"/>
    <n v="465.06"/>
    <n v="-0.15"/>
    <s v="INVALID"/>
    <n v="4185.54"/>
    <n v="3443.74"/>
    <n v="741.8"/>
    <s v="Paid"/>
    <s v="Completed"/>
    <n v="0"/>
    <n v="4185.54"/>
    <n v="741.80000000000018"/>
    <n v="17.7229222513702"/>
    <n v="7"/>
    <n v="2024"/>
    <s v="INVALID"/>
  </r>
  <r>
    <s v="ORD-2024-10129"/>
    <d v="2024-12-13T00:00:00"/>
    <d v="2024-12-16T00:00:00"/>
    <n v="3"/>
    <s v="OK"/>
    <s v="CUST-9328"/>
    <s v="Neha Gupta"/>
    <s v="Small Business"/>
    <x v="1"/>
    <s v="Odisha"/>
    <s v="Bhubaneswar"/>
    <s v="Furniture"/>
    <s v="Furnishings"/>
    <s v="Prime Furnishings 710"/>
    <s v="Standard Class"/>
    <n v="5"/>
    <n v="923.45"/>
    <n v="0.05"/>
    <s v="OK"/>
    <n v="4386.3900000000003"/>
    <n v="3366.88"/>
    <n v="1019.51"/>
    <s v="Paid"/>
    <s v="Returned"/>
    <n v="0.05"/>
    <n v="4386.3874999999998"/>
    <n v="1019.5074999999997"/>
    <n v="23.242531582082059"/>
    <n v="12"/>
    <n v="2024"/>
    <s v="CLEAN"/>
  </r>
  <r>
    <s v="ORD-2024-10130"/>
    <d v="2024-07-19T00:00:00"/>
    <d v="2024-07-25T00:00:00"/>
    <n v="6"/>
    <s v="OK"/>
    <s v="CUST-2588"/>
    <s v="Isha Nair"/>
    <s v="Small Business"/>
    <x v="3"/>
    <s v="Goa"/>
    <s v="Panaji"/>
    <s v="Office Supplies"/>
    <s v="Binders"/>
    <s v="Elite Binders 723"/>
    <s v="Standard Class"/>
    <n v="7"/>
    <n v="2741.29"/>
    <n v="0.05"/>
    <s v="OK"/>
    <n v="18229.580000000002"/>
    <n v="15139.15"/>
    <n v="3090.43"/>
    <s v="Paid"/>
    <s v="Completed"/>
    <n v="0.05"/>
    <n v="18229.5785"/>
    <n v="3090.4285"/>
    <n v="16.952824773211294"/>
    <n v="7"/>
    <n v="2024"/>
    <s v="CLEAN"/>
  </r>
  <r>
    <s v="ORD-2024-10134"/>
    <d v="2024-12-13T00:00:00"/>
    <d v="2024-12-18T00:00:00"/>
    <n v="5"/>
    <s v="OK"/>
    <s v="CUST-9441"/>
    <s v="Karan Malhotra"/>
    <s v="Consumer"/>
    <x v="3"/>
    <s v="Goa"/>
    <s v="Panaji"/>
    <s v="Technology"/>
    <s v="Phones"/>
    <s v="Prime Phones 419"/>
    <s v="Second Class"/>
    <n v="8"/>
    <n v="3372.15"/>
    <n v="0.15"/>
    <s v="OK"/>
    <n v="22930.62"/>
    <n v="16875.55"/>
    <n v="6055.07"/>
    <s v="Paid"/>
    <s v="Completed"/>
    <n v="0.15"/>
    <n v="22930.62"/>
    <n v="6055.07"/>
    <n v="26.406045715292475"/>
    <n v="12"/>
    <n v="2024"/>
    <s v="CLEAN"/>
  </r>
  <r>
    <s v="ORD-2024-10139"/>
    <d v="2024-01-20T00:00:00"/>
    <d v="2024-01-26T00:00:00"/>
    <n v="6"/>
    <s v="OK"/>
    <s v="CUST-7173"/>
    <s v="Diya Patel"/>
    <s v="Home Office"/>
    <x v="1"/>
    <s v="Jharkhand"/>
    <s v="Ranchi"/>
    <s v="Technology"/>
    <s v="Machines"/>
    <s v="Basic Machines 185"/>
    <s v="Standard Class"/>
    <n v="8"/>
    <n v="4003.05"/>
    <n v="0.25"/>
    <s v="OK"/>
    <n v="24018.3"/>
    <n v="14070.78"/>
    <n v="9947.52"/>
    <s v="Paid"/>
    <s v="Completed"/>
    <n v="0.25"/>
    <n v="24018.300000000003"/>
    <n v="9947.5200000000023"/>
    <n v="41.416419979765436"/>
    <n v="1"/>
    <n v="2024"/>
    <s v="CLEAN"/>
  </r>
  <r>
    <s v="ORD-2024-10141"/>
    <d v="2024-05-31T00:00:00"/>
    <d v="2024-06-01T00:00:00"/>
    <n v="1"/>
    <s v="OK"/>
    <s v="CUST-2149"/>
    <s v="Mira Das"/>
    <s v="Corporate"/>
    <x v="2"/>
    <s v="Karnataka"/>
    <s v="Bengaluru"/>
    <s v="Furniture"/>
    <s v="Bookcases"/>
    <s v="Elite Bookcases 696"/>
    <s v="Same Day"/>
    <n v="3"/>
    <n v="2914.55"/>
    <n v="0"/>
    <s v="OK"/>
    <n v="8743.65"/>
    <n v="6603.76"/>
    <n v="2139.89"/>
    <s v="Paid"/>
    <s v="Completed"/>
    <n v="0"/>
    <n v="8743.6500000000015"/>
    <n v="2139.8900000000012"/>
    <n v="24.47364658923906"/>
    <n v="5"/>
    <n v="2024"/>
    <s v="CLEAN"/>
  </r>
  <r>
    <s v="ORD-2024-10142"/>
    <d v="2024-03-23T00:00:00"/>
    <d v="2024-03-29T00:00:00"/>
    <n v="6"/>
    <s v="OK"/>
    <s v="CUST-3314"/>
    <s v="Priya Menon"/>
    <s v="Corporate"/>
    <x v="0"/>
    <s v="Delhi"/>
    <s v="New Delhi"/>
    <s v="Furniture"/>
    <s v="Bookcases"/>
    <s v="Elite Bookcases 772"/>
    <s v="Same Day"/>
    <n v="7"/>
    <n v="634.29"/>
    <n v="0.1"/>
    <s v="OK"/>
    <n v="3996.03"/>
    <n v="2859.51"/>
    <n v="1136.52"/>
    <s v="Paid"/>
    <s v="Returned"/>
    <n v="0.1"/>
    <n v="3996.027"/>
    <n v="1136.5169999999998"/>
    <n v="28.441174196270442"/>
    <n v="3"/>
    <n v="2024"/>
    <s v="CLEAN"/>
  </r>
  <r>
    <s v="ORD-2024-10143"/>
    <d v="2024-03-30T00:00:00"/>
    <d v="2024-03-26T00:00:00"/>
    <n v="-4"/>
    <s v="INVALID"/>
    <s v="CUST-8944"/>
    <s v="Aditi Sen"/>
    <s v="Home Office"/>
    <x v="0"/>
    <s v="Rajasthan"/>
    <s v="Jaipur"/>
    <s v="Technology"/>
    <s v="Phones"/>
    <s v="Classic Phones 142"/>
    <s v="Second Class"/>
    <n v="5"/>
    <n v="907.54"/>
    <n v="0.15"/>
    <s v="OK"/>
    <n v="3857.04"/>
    <n v="2769.26"/>
    <n v="1087.78"/>
    <s v="Paid"/>
    <s v="Completed"/>
    <n v="0.15"/>
    <n v="3857.0449999999996"/>
    <n v="1087.7849999999994"/>
    <n v="28.202548842442845"/>
    <n v="3"/>
    <n v="2024"/>
    <s v="INVALID"/>
  </r>
  <r>
    <s v="ORD-2024-10143"/>
    <d v="2024-03-30T00:00:00"/>
    <d v="2024-03-26T00:00:00"/>
    <n v="-4"/>
    <s v="INVALID"/>
    <s v="CUST-8944"/>
    <s v="Aditi Sen"/>
    <s v="Home Office"/>
    <x v="0"/>
    <s v="Rajasthan"/>
    <s v="Jaipur"/>
    <s v="Technology"/>
    <s v="Phones"/>
    <s v="Classic Phones 142"/>
    <s v="Second Class"/>
    <n v="5"/>
    <n v="907.54"/>
    <n v="0.15"/>
    <s v="OK"/>
    <n v="4099.6899999999996"/>
    <n v="2769.26"/>
    <n v="1087.78"/>
    <s v="Paid"/>
    <s v="Returned"/>
    <n v="0.15"/>
    <n v="3857.0449999999996"/>
    <n v="1087.7849999999994"/>
    <n v="28.202548842442845"/>
    <n v="3"/>
    <n v="2024"/>
    <s v="INVALID"/>
  </r>
  <r>
    <s v="ORD-2024-10144"/>
    <d v="2024-03-24T00:00:00"/>
    <d v="2024-03-26T00:00:00"/>
    <n v="2"/>
    <s v="OK"/>
    <s v="CUST-3144"/>
    <s v="Priya Menon"/>
    <s v="Consumer"/>
    <x v="3"/>
    <s v="Gujarat"/>
    <s v="Ahmedabad"/>
    <s v="Office Supplies"/>
    <s v="Paper"/>
    <s v="Pro Paper 575"/>
    <s v="Second Class"/>
    <n v="1"/>
    <n v="3409.5"/>
    <n v="0.1"/>
    <s v="OK"/>
    <n v="3068.55"/>
    <n v="1916.16"/>
    <n v="1152.3900000000001"/>
    <s v="Paid"/>
    <s v="Returned"/>
    <n v="0.1"/>
    <n v="3068.55"/>
    <n v="1152.3900000000001"/>
    <n v="37.55487119323459"/>
    <n v="3"/>
    <n v="2024"/>
    <s v="CLEAN"/>
  </r>
  <r>
    <s v="ORD-2024-10148"/>
    <d v="2024-12-23T00:00:00"/>
    <d v="2024-12-30T00:00:00"/>
    <n v="7"/>
    <s v="OK"/>
    <s v="CUST-2692"/>
    <s v="Priya Menon"/>
    <s v="Home Office"/>
    <x v="3"/>
    <s v="Goa"/>
    <s v="Panaji"/>
    <s v="Furniture"/>
    <s v="Furnishings"/>
    <s v="Classic Furnishings 743"/>
    <s v="First Class"/>
    <n v="8"/>
    <n v="386.1"/>
    <n v="0.1"/>
    <s v="OK"/>
    <n v="2779.92"/>
    <n v="1744.05"/>
    <n v="1035.8699999999999"/>
    <s v="Paid"/>
    <s v="Completed"/>
    <n v="0.1"/>
    <n v="2779.92"/>
    <n v="1035.8700000000001"/>
    <n v="37.262583095916433"/>
    <n v="12"/>
    <n v="2024"/>
    <s v="CLEAN"/>
  </r>
  <r>
    <s v="ORD-2024-10150"/>
    <d v="2024-01-30T00:00:00"/>
    <d v="2024-01-30T00:00:00"/>
    <n v="0"/>
    <s v="OK"/>
    <s v="CUST-5876"/>
    <s v="Aarav Sharma"/>
    <s v="Small Business"/>
    <x v="3"/>
    <s v="Rajasthan"/>
    <s v="Udaipur"/>
    <s v="Technology"/>
    <s v="Copiers"/>
    <s v="Eco Copiers 381"/>
    <s v="Same Day"/>
    <n v="7"/>
    <n v="2527.61"/>
    <n v="0.25"/>
    <s v="OK"/>
    <n v="13269.95"/>
    <n v="8977.1"/>
    <n v="4292.8500000000004"/>
    <s v="Paid"/>
    <s v="Completed"/>
    <n v="0.25"/>
    <n v="13269.952499999999"/>
    <n v="4292.8524999999991"/>
    <n v="32.350172315989823"/>
    <n v="1"/>
    <n v="2024"/>
    <s v="CLEAN"/>
  </r>
  <r>
    <s v="ORD-2024-10151"/>
    <d v="2024-04-03T00:00:00"/>
    <d v="2024-03-12T00:00:00"/>
    <n v="-22"/>
    <s v="INVALID"/>
    <s v="CUST-4661"/>
    <s v="Arjun Bose"/>
    <s v="Consumer"/>
    <x v="4"/>
    <s v="Gujarat"/>
    <s v="Ahmedabad"/>
    <s v="Furniture"/>
    <s v="Bookcases"/>
    <s v="Max Bookcases 595"/>
    <s v="First Class"/>
    <n v="1"/>
    <n v="1554.12"/>
    <n v="0.1"/>
    <s v="OK"/>
    <n v="1398.71"/>
    <n v="1056.92"/>
    <n v="341.79"/>
    <s v="Paid"/>
    <s v="Completed"/>
    <n v="0.1"/>
    <n v="1398.7079999999999"/>
    <n v="341.78799999999978"/>
    <n v="24.435979489643287"/>
    <n v="4"/>
    <n v="2024"/>
    <s v="INVALID"/>
  </r>
  <r>
    <s v="ORD-2024-10152"/>
    <d v="2024-06-27T00:00:00"/>
    <d v="2024-06-27T00:00:00"/>
    <n v="0"/>
    <s v="OK"/>
    <s v="CUST-6011"/>
    <s v="Neha Gupta"/>
    <s v="Home Office"/>
    <x v="4"/>
    <s v="Madhya Pradesh"/>
    <s v="Indore"/>
    <s v="Technology"/>
    <s v="Copiers"/>
    <s v="Max Copiers 992"/>
    <s v="Standard Class"/>
    <n v="2"/>
    <n v="3859.11"/>
    <n v="0"/>
    <s v="OK"/>
    <n v="7718.22"/>
    <n v="5355.93"/>
    <n v="2362.29"/>
    <s v="Pending"/>
    <s v="Returned"/>
    <n v="0"/>
    <n v="7718.22"/>
    <n v="2362.29"/>
    <n v="30.606668376905553"/>
    <n v="6"/>
    <n v="2024"/>
    <s v="CLEAN"/>
  </r>
  <r>
    <s v="ORD-2024-10153"/>
    <d v="2024-06-14T00:00:00"/>
    <d v="2024-06-17T00:00:00"/>
    <n v="3"/>
    <s v="OK"/>
    <s v="CUST-6160"/>
    <s v="Kabir Singh"/>
    <s v="Small Business"/>
    <x v="2"/>
    <s v="Kerala"/>
    <s v="Kochi"/>
    <s v="Furniture"/>
    <s v="Tables"/>
    <s v="Pro Tables 407"/>
    <s v="Second Class"/>
    <n v="6"/>
    <n v="1088.04"/>
    <n v="0.1"/>
    <s v="OK"/>
    <n v="5875.42"/>
    <n v="4380.55"/>
    <n v="1494.87"/>
    <s v="Pending"/>
    <s v="Returned"/>
    <n v="0.1"/>
    <n v="5875.4160000000002"/>
    <n v="1494.866"/>
    <n v="25.442726098032885"/>
    <n v="6"/>
    <n v="2024"/>
    <s v="CLEAN"/>
  </r>
  <r>
    <s v="ORD-2024-10155"/>
    <d v="2024-02-12T00:00:00"/>
    <d v="2024-02-11T00:00:00"/>
    <n v="-1"/>
    <s v="INVALID"/>
    <s v="CUST-7764"/>
    <s v="Priya Menon"/>
    <s v="Consumer"/>
    <x v="2"/>
    <s v="Tamil Nadu"/>
    <s v="Chennai"/>
    <s v="Furniture"/>
    <s v="Bookcases"/>
    <s v="Classic Bookcases 847"/>
    <s v="Same Day"/>
    <n v="1"/>
    <n v="2599.12"/>
    <n v="0.15"/>
    <s v="OK"/>
    <n v="2209.25"/>
    <n v="1523.78"/>
    <n v="685.47"/>
    <s v="Paid"/>
    <s v="Completed"/>
    <n v="0.15"/>
    <n v="2209.252"/>
    <n v="685.47199999999998"/>
    <n v="31.027334138432373"/>
    <n v="2"/>
    <n v="2024"/>
    <s v="INVALID"/>
  </r>
  <r>
    <s v="ORD-2024-10158"/>
    <d v="2024-10-22T00:00:00"/>
    <d v="2024-10-24T00:00:00"/>
    <n v="2"/>
    <s v="OK"/>
    <s v="CUST-1142"/>
    <s v="Rohan Mehta"/>
    <s v="Small Business"/>
    <x v="2"/>
    <s v="Andhra Pradesh"/>
    <s v="Vijayawada"/>
    <s v="Furniture"/>
    <s v="Bookcases"/>
    <s v="Pro Bookcases 430"/>
    <s v="Standard Class"/>
    <n v="3"/>
    <n v="915.84"/>
    <n v="0.15"/>
    <s v="OK"/>
    <n v="2335.39"/>
    <n v="1466.15"/>
    <n v="869.24"/>
    <s v="Paid"/>
    <s v="Completed"/>
    <n v="0.15"/>
    <n v="2335.3919999999998"/>
    <n v="869.24199999999973"/>
    <n v="37.220389553445408"/>
    <n v="10"/>
    <n v="2024"/>
    <s v="CLEAN"/>
  </r>
  <r>
    <s v="ORD-2024-10159"/>
    <d v="2024-09-09T00:00:00"/>
    <d v="2024-09-11T00:00:00"/>
    <n v="2"/>
    <s v="OK"/>
    <s v="CUST-2324"/>
    <s v="Neha Gupta"/>
    <s v="Home Office"/>
    <x v="2"/>
    <s v="Telangana"/>
    <s v="Hyderabad"/>
    <s v="Furniture"/>
    <s v="Bookcases"/>
    <s v="Max Bookcases 881"/>
    <s v="First Class"/>
    <n v="1"/>
    <n v="4199.54"/>
    <n v="0.05"/>
    <s v="OK"/>
    <n v="3989.56"/>
    <n v="2381.38"/>
    <n v="1608.18"/>
    <s v="Paid"/>
    <s v="Completed"/>
    <n v="0.05"/>
    <n v="3989.5629999999996"/>
    <n v="1608.1829999999995"/>
    <n v="40.309753223598662"/>
    <n v="9"/>
    <n v="2024"/>
    <s v="CLEAN"/>
  </r>
  <r>
    <s v="ORD-2024-10163"/>
    <d v="2024-03-09T00:00:00"/>
    <d v="2024-03-14T00:00:00"/>
    <n v="5"/>
    <s v="OK"/>
    <s v="CUST-4830"/>
    <s v="Neha Gupta"/>
    <s v="Small Business"/>
    <x v="3"/>
    <s v="Goa"/>
    <s v="Panaji"/>
    <s v="Furniture"/>
    <s v="Furnishings"/>
    <s v="Pro Furnishings 108"/>
    <s v="Second Class"/>
    <n v="8"/>
    <n v="4472.84"/>
    <n v="0"/>
    <s v="OK"/>
    <n v="35997.620000000003"/>
    <n v="26424.41"/>
    <n v="9358.31"/>
    <s v="Pending"/>
    <s v="Returned"/>
    <n v="0"/>
    <n v="35782.720000000001"/>
    <n v="9358.3100000000013"/>
    <n v="26.15315437171909"/>
    <n v="3"/>
    <n v="2024"/>
    <s v="CLEAN"/>
  </r>
  <r>
    <s v="ORD-2024-10166"/>
    <d v="2024-11-22T00:00:00"/>
    <d v="2024-11-29T00:00:00"/>
    <n v="7"/>
    <s v="OK"/>
    <s v="CUST-4598"/>
    <s v="Mira Das"/>
    <s v="Home Office"/>
    <x v="1"/>
    <s v="Bihar"/>
    <s v="Patna"/>
    <s v="Furniture"/>
    <s v="Chairs"/>
    <s v="Max Chairs 148"/>
    <s v="Standard Class"/>
    <n v="4"/>
    <n v="3422.99"/>
    <n v="0.25"/>
    <s v="OK"/>
    <n v="10268.969999999999"/>
    <n v="6470.92"/>
    <n v="3798.05"/>
    <s v="Paid"/>
    <s v="Completed"/>
    <n v="0.25"/>
    <n v="10268.969999999999"/>
    <n v="3798.0499999999993"/>
    <n v="36.98569574163718"/>
    <n v="11"/>
    <n v="2024"/>
    <s v="CLEAN"/>
  </r>
  <r>
    <s v="ORD-2024-10174"/>
    <d v="2024-02-05T00:00:00"/>
    <d v="2024-05-08T00:00:00"/>
    <n v="93"/>
    <s v="OK"/>
    <s v="CUST-6153"/>
    <s v="Priya Menon"/>
    <s v="Home Office"/>
    <x v="0"/>
    <s v="Punjab"/>
    <s v="Ludhiana"/>
    <s v="Technology"/>
    <s v="Copiers"/>
    <s v="Prime Copiers 440"/>
    <s v="Second Class"/>
    <n v="1"/>
    <n v="2312.25"/>
    <n v="0.25"/>
    <s v="OK"/>
    <n v="1734.19"/>
    <n v="1386.07"/>
    <n v="348.12"/>
    <s v="Paid"/>
    <s v="Completed"/>
    <n v="0.25"/>
    <n v="1734.1875"/>
    <n v="348.11750000000006"/>
    <n v="20.073809781237614"/>
    <n v="2"/>
    <n v="2024"/>
    <s v="CLEAN"/>
  </r>
  <r>
    <s v="ORD-2024-10176"/>
    <d v="2024-01-27T00:00:00"/>
    <d v="2024-02-03T00:00:00"/>
    <n v="7"/>
    <s v="OK"/>
    <s v="CUST-5580"/>
    <s v="Arjun Bose"/>
    <s v="Small Business"/>
    <x v="1"/>
    <s v="Bihar"/>
    <s v="Patna"/>
    <s v="Technology"/>
    <s v="Machines"/>
    <s v="Basic Machines 584"/>
    <s v="Same Day"/>
    <n v="7"/>
    <n v="2673.42"/>
    <n v="0.15"/>
    <s v="OK"/>
    <n v="15906.85"/>
    <n v="11014.46"/>
    <n v="4892.3900000000003"/>
    <s v="Paid"/>
    <s v="Returned"/>
    <n v="0.15"/>
    <n v="15906.849000000002"/>
    <n v="4892.3890000000029"/>
    <n v="30.756493633654298"/>
    <n v="1"/>
    <n v="2024"/>
    <s v="CLEAN"/>
  </r>
  <r>
    <s v="ORD-2024-10178"/>
    <d v="2024-01-06T00:00:00"/>
    <d v="2024-06-03T00:00:00"/>
    <n v="149"/>
    <s v="OK"/>
    <s v="CUST-4399"/>
    <s v="Sneha Kapoor"/>
    <s v="Home Office"/>
    <x v="4"/>
    <s v="Bihar"/>
    <s v="Patna"/>
    <s v="Office Supplies"/>
    <s v="Art"/>
    <s v="Classic Art 573"/>
    <s v="Same Day"/>
    <n v="8"/>
    <n v="3879.95"/>
    <n v="0"/>
    <s v="OK"/>
    <n v="31039.599999999999"/>
    <n v="20866.72"/>
    <n v="10172.879999999999"/>
    <s v="Paid"/>
    <s v="Completed"/>
    <n v="0"/>
    <n v="31039.599999999999"/>
    <n v="10172.879999999997"/>
    <n v="32.773875952009682"/>
    <n v="1"/>
    <n v="2024"/>
    <s v="CLEAN"/>
  </r>
  <r>
    <s v="ORD-2024-10179"/>
    <d v="2024-09-30T00:00:00"/>
    <d v="2024-09-30T00:00:00"/>
    <n v="0"/>
    <s v="OK"/>
    <s v="CUST-3092"/>
    <s v="Isha Nair"/>
    <s v="Corporate"/>
    <x v="2"/>
    <s v="Telangana"/>
    <s v="Hyderabad"/>
    <s v="Office Supplies"/>
    <s v="Art"/>
    <s v="Eco Art 854"/>
    <s v="Standard Class"/>
    <n v="4"/>
    <n v="3281.74"/>
    <n v="0"/>
    <s v="OK"/>
    <n v="13126.96"/>
    <n v="10732.44"/>
    <n v="2394.52"/>
    <s v="Paid"/>
    <s v="Completed"/>
    <n v="0"/>
    <n v="13126.96"/>
    <n v="2394.5199999999986"/>
    <n v="18.24123787990516"/>
    <n v="9"/>
    <n v="2024"/>
    <s v="CLEAN"/>
  </r>
  <r>
    <s v="ORD-2024-10181"/>
    <d v="2024-08-26T00:00:00"/>
    <d v="2024-08-26T00:00:00"/>
    <n v="0"/>
    <s v="OK"/>
    <s v="CUST-3787"/>
    <s v="Mira Das"/>
    <s v="Home Office"/>
    <x v="0"/>
    <s v="Uttar Pradesh"/>
    <s v="Noida"/>
    <s v="Office Supplies"/>
    <s v="Binders"/>
    <s v="Prime Binders 735"/>
    <s v="First Class"/>
    <n v="7"/>
    <n v="844.59"/>
    <n v="0.1"/>
    <s v="OK"/>
    <n v="5320.92"/>
    <n v="3041.5"/>
    <n v="2279.42"/>
    <s v="Paid"/>
    <s v="Completed"/>
    <n v="0.1"/>
    <n v="5320.9170000000004"/>
    <n v="2279.4170000000004"/>
    <n v="42.838800154183957"/>
    <n v="8"/>
    <n v="2024"/>
    <s v="CLEAN"/>
  </r>
  <r>
    <s v="ORD-2024-10183"/>
    <d v="2024-10-16T00:00:00"/>
    <d v="2024-10-16T00:00:00"/>
    <n v="0"/>
    <s v="OK"/>
    <s v="CUST-4121"/>
    <s v="Ananya Rao"/>
    <s v="Home Office"/>
    <x v="1"/>
    <s v="Bihar"/>
    <s v="Patna"/>
    <s v="Technology"/>
    <s v="Machines"/>
    <s v="Basic Machines 575"/>
    <s v="Standard Class"/>
    <n v="7"/>
    <n v="775.77"/>
    <n v="0"/>
    <s v="OK"/>
    <n v="5430.39"/>
    <n v="3707.66"/>
    <n v="1722.73"/>
    <s v="Paid"/>
    <s v="Completed"/>
    <n v="0"/>
    <n v="5430.3899999999994"/>
    <n v="1722.7299999999996"/>
    <n v="31.723872502711586"/>
    <n v="10"/>
    <n v="2024"/>
    <s v="CLEAN"/>
  </r>
  <r>
    <s v="ORD-2024-10186"/>
    <d v="2024-11-05T00:00:00"/>
    <d v="2024-11-13T00:00:00"/>
    <n v="8"/>
    <s v="OK"/>
    <s v="CUST-4968"/>
    <s v="Arjun Bose"/>
    <s v="Consumer"/>
    <x v="4"/>
    <s v="Punjab"/>
    <s v="Ludhiana"/>
    <s v="Office Supplies"/>
    <s v="Labels"/>
    <s v="Smart Labels 475"/>
    <s v="Second Class"/>
    <n v="2"/>
    <n v="1003.17"/>
    <n v="0.2"/>
    <s v="OK"/>
    <n v="1605.07"/>
    <n v="1337.28"/>
    <n v="267.79000000000002"/>
    <s v="Paid"/>
    <s v="Completed"/>
    <n v="0.2"/>
    <n v="1605.0720000000001"/>
    <n v="267.79200000000014"/>
    <n v="16.684111366966722"/>
    <n v="11"/>
    <n v="2024"/>
    <s v="CLEAN"/>
  </r>
  <r>
    <s v="ORD-2024-10187"/>
    <d v="2024-07-19T00:00:00"/>
    <d v="2024-07-20T00:00:00"/>
    <n v="1"/>
    <s v="OK"/>
    <s v="CUST-2778"/>
    <s v="Vikram Iyer"/>
    <s v="Consumer"/>
    <x v="2"/>
    <s v="Tamil Nadu"/>
    <s v="Chennai"/>
    <s v="Furniture"/>
    <s v="Tables"/>
    <s v="Basic Tables 417"/>
    <s v="First Class"/>
    <n v="7"/>
    <n v="3608.43"/>
    <n v="0.05"/>
    <s v="OK"/>
    <n v="23996.06"/>
    <n v="20167.28"/>
    <n v="3828.78"/>
    <s v="Paid"/>
    <s v="Completed"/>
    <n v="0.05"/>
    <n v="23996.059499999996"/>
    <n v="3828.7794999999969"/>
    <n v="15.955867670689837"/>
    <n v="7"/>
    <n v="2024"/>
    <s v="CLEAN"/>
  </r>
  <r>
    <s v="ORD-2024-10192"/>
    <d v="2024-10-19T00:00:00"/>
    <d v="2024-10-24T00:00:00"/>
    <n v="5"/>
    <s v="OK"/>
    <s v="CUST-7410"/>
    <s v="Sneha Kapoor"/>
    <s v="Small Business"/>
    <x v="2"/>
    <s v="Tamil Nadu"/>
    <s v="Chennai"/>
    <s v="Furniture"/>
    <s v="Bookcases"/>
    <s v="Prime Bookcases 602"/>
    <s v="Second Class"/>
    <n v="6"/>
    <n v="4308.3999999999996"/>
    <n v="0.65"/>
    <s v="INVALID"/>
    <n v="25850.400000000001"/>
    <n v="19397.68"/>
    <n v="6452.72"/>
    <s v="Paid"/>
    <s v="Completed"/>
    <n v="0"/>
    <n v="25850.399999999998"/>
    <n v="6452.7199999999975"/>
    <n v="24.961780088509261"/>
    <n v="10"/>
    <n v="2024"/>
    <s v="WARNING"/>
  </r>
  <r>
    <s v="ORD-2024-10193"/>
    <d v="2024-12-09T00:00:00"/>
    <d v="2024-12-16T00:00:00"/>
    <n v="7"/>
    <s v="OK"/>
    <s v="CUST-7115"/>
    <s v="Isha Nair"/>
    <s v="Home Office"/>
    <x v="3"/>
    <s v="Gujarat"/>
    <s v="Ahmedabad"/>
    <s v="Furniture"/>
    <s v="Chairs"/>
    <s v="Eco Chairs 438"/>
    <s v="First Class"/>
    <n v="4"/>
    <n v="2191.0300000000002"/>
    <n v="0"/>
    <s v="OK"/>
    <n v="8764.1200000000008"/>
    <n v="7220.05"/>
    <n v="1544.07"/>
    <s v="Paid"/>
    <s v="Completed"/>
    <n v="0"/>
    <n v="8764.1200000000008"/>
    <n v="1544.0700000000006"/>
    <n v="17.618083732308556"/>
    <n v="12"/>
    <n v="2024"/>
    <s v="CLEAN"/>
  </r>
  <r>
    <s v="ORD-2024-10197"/>
    <d v="2024-01-22T00:00:00"/>
    <d v="2024-01-25T00:00:00"/>
    <n v="3"/>
    <s v="OK"/>
    <s v="CUST-8028"/>
    <s v="Kabir Singh"/>
    <s v="Home Office"/>
    <x v="0"/>
    <s v="Uttar Pradesh"/>
    <s v="Noida"/>
    <s v="Office Supplies"/>
    <s v="Storage"/>
    <s v="Elite Storage 915"/>
    <s v="First Class"/>
    <n v="3"/>
    <n v="1212.03"/>
    <n v="0.1"/>
    <s v="OK"/>
    <n v="3272.48"/>
    <n v="2517.44"/>
    <n v="755.04"/>
    <s v="Paid"/>
    <s v="Completed"/>
    <n v="0.1"/>
    <n v="3272.4810000000002"/>
    <n v="755.04100000000017"/>
    <n v="23.072433422837292"/>
    <n v="1"/>
    <n v="2024"/>
    <s v="CLEAN"/>
  </r>
  <r>
    <s v="ORD-2024-10200"/>
    <d v="2024-03-12T00:00:00"/>
    <d v="2024-12-03T00:00:00"/>
    <n v="266"/>
    <s v="OK"/>
    <s v="CUST-4536"/>
    <s v="Rahul Verma"/>
    <s v="Home Office"/>
    <x v="1"/>
    <s v="Bihar"/>
    <s v="Patna"/>
    <s v="Technology"/>
    <s v="Machines"/>
    <s v="Prime Machines 806"/>
    <s v="Unknown"/>
    <n v="6"/>
    <n v="2185.58"/>
    <n v="0.25"/>
    <s v="OK"/>
    <n v="9835.11"/>
    <n v="5437.64"/>
    <n v="4397.47"/>
    <s v="Paid"/>
    <s v="Completed"/>
    <n v="0.25"/>
    <n v="9835.11"/>
    <n v="4397.47"/>
    <n v="44.711955433136993"/>
    <n v="3"/>
    <n v="2024"/>
    <s v="CLEAN"/>
  </r>
  <r>
    <s v="ORD-2024-10204"/>
    <d v="2024-03-28T00:00:00"/>
    <d v="2024-03-30T00:00:00"/>
    <n v="2"/>
    <s v="OK"/>
    <s v="CUST-3384"/>
    <s v="Sneha Kapoor"/>
    <s v="Corporate"/>
    <x v="3"/>
    <s v="Rajasthan"/>
    <s v="Udaipur"/>
    <s v="Technology"/>
    <s v="Accessories"/>
    <s v="Max Accessories 186"/>
    <s v="Second Class"/>
    <n v="1"/>
    <n v="570.34"/>
    <n v="0.15"/>
    <s v="OK"/>
    <n v="484.79"/>
    <n v="333.54"/>
    <n v="151.25"/>
    <s v="Paid"/>
    <s v="Completed"/>
    <n v="0.15"/>
    <n v="484.78899999999999"/>
    <n v="151.24899999999997"/>
    <n v="31.198933969211339"/>
    <n v="3"/>
    <n v="2024"/>
    <s v="CLEAN"/>
  </r>
  <r>
    <s v="ORD-2024-10208"/>
    <d v="2024-07-10T00:00:00"/>
    <d v="2024-07-16T00:00:00"/>
    <n v="6"/>
    <s v="OK"/>
    <s v="CUST-3362"/>
    <s v="Aarav Sharma"/>
    <s v="Home Office"/>
    <x v="3"/>
    <s v="Goa"/>
    <s v="Panaji"/>
    <s v="Furniture"/>
    <s v="Bookcases"/>
    <s v="Eco Bookcases 671"/>
    <s v="Second Class"/>
    <n v="2"/>
    <n v="1095.45"/>
    <n v="0.2"/>
    <s v="OK"/>
    <n v="1752.72"/>
    <n v="996.41"/>
    <n v="756.31"/>
    <s v="Paid"/>
    <s v="Completed"/>
    <n v="0.2"/>
    <n v="1752.7200000000003"/>
    <n v="756.31000000000029"/>
    <n v="43.150645853302308"/>
    <n v="7"/>
    <n v="2024"/>
    <s v="CLEAN"/>
  </r>
  <r>
    <s v="ORD-2024-10212"/>
    <d v="2024-05-16T00:00:00"/>
    <d v="2024-05-17T00:00:00"/>
    <n v="1"/>
    <s v="OK"/>
    <s v="CUST-2222"/>
    <s v="Rohan Mehta"/>
    <s v="Corporate"/>
    <x v="1"/>
    <s v="West Bengal"/>
    <s v="Kolkata"/>
    <s v="Technology"/>
    <s v="Copiers"/>
    <s v="Basic Copiers 222"/>
    <s v="Second Class"/>
    <n v="8"/>
    <n v="4221.95"/>
    <n v="0.2"/>
    <s v="OK"/>
    <n v="27020.48"/>
    <n v="22885.24"/>
    <n v="4135.24"/>
    <s v="Paid"/>
    <s v="Completed"/>
    <n v="0.2"/>
    <n v="27020.48"/>
    <n v="4135.239999999998"/>
    <n v="15.304095264036752"/>
    <n v="5"/>
    <n v="2024"/>
    <s v="CLEAN"/>
  </r>
  <r>
    <s v="ORD-2024-10213"/>
    <d v="2024-09-21T00:00:00"/>
    <d v="2024-09-21T00:00:00"/>
    <n v="0"/>
    <s v="OK"/>
    <s v="CUST-3610"/>
    <s v="Ananya Rao"/>
    <s v="Small Business"/>
    <x v="1"/>
    <s v="Odisha"/>
    <s v="Bhubaneswar"/>
    <s v="Technology"/>
    <s v="Phones"/>
    <s v="Max Phones 329"/>
    <s v="Same Day"/>
    <n v="2"/>
    <n v="214.5"/>
    <n v="0.15"/>
    <s v="OK"/>
    <n v="364.65"/>
    <n v="280.74"/>
    <n v="83.91"/>
    <s v="Paid"/>
    <s v="Completed"/>
    <n v="0.15"/>
    <n v="364.65"/>
    <n v="83.909999999999968"/>
    <n v="23.011106540518298"/>
    <n v="9"/>
    <n v="2024"/>
    <s v="CLEAN"/>
  </r>
  <r>
    <s v="ORD-2024-10214"/>
    <d v="2024-05-15T00:00:00"/>
    <d v="2024-05-21T00:00:00"/>
    <n v="6"/>
    <s v="OK"/>
    <s v="CUST-9136"/>
    <s v="Isha Nair"/>
    <s v="Small Business"/>
    <x v="1"/>
    <s v="Bihar"/>
    <s v="Patna"/>
    <s v="Technology"/>
    <s v="Accessories"/>
    <s v="Classic Accessories 840"/>
    <s v="Second Class"/>
    <n v="4"/>
    <n v="4332.7299999999996"/>
    <n v="0.2"/>
    <s v="OK"/>
    <n v="13864.74"/>
    <n v="11294.06"/>
    <n v="2570.6799999999998"/>
    <s v="Paid"/>
    <s v="Completed"/>
    <n v="0.2"/>
    <n v="13864.735999999999"/>
    <n v="2570.6759999999995"/>
    <n v="18.541110339208764"/>
    <n v="5"/>
    <n v="2024"/>
    <s v="CLEAN"/>
  </r>
  <r>
    <s v="ORD-2024-10215"/>
    <d v="2024-03-17T00:00:00"/>
    <d v="2024-03-23T00:00:00"/>
    <n v="6"/>
    <s v="OK"/>
    <s v="CUST-1301"/>
    <s v="Rahul Verma"/>
    <s v="Consumer"/>
    <x v="0"/>
    <s v="Haryana"/>
    <s v="Gurugram"/>
    <s v="Technology"/>
    <s v="Accessories"/>
    <s v="Classic Accessories 757"/>
    <s v="First Class"/>
    <n v="3"/>
    <n v="248.18"/>
    <n v="0.05"/>
    <s v="OK"/>
    <n v="707.31"/>
    <n v="569"/>
    <n v="138.31"/>
    <s v="Paid"/>
    <s v="Completed"/>
    <n v="0.05"/>
    <n v="707.31299999999999"/>
    <n v="138.31299999999999"/>
    <n v="19.554709159876886"/>
    <n v="3"/>
    <n v="2024"/>
    <s v="CLEAN"/>
  </r>
  <r>
    <s v="ORD-2024-10216"/>
    <d v="2024-01-03T00:00:00"/>
    <d v="2024-03-04T00:00:00"/>
    <n v="61"/>
    <s v="OK"/>
    <s v="CUST-8603"/>
    <s v="Mira Das"/>
    <s v="Consumer"/>
    <x v="3"/>
    <s v="Madhya Pradesh"/>
    <s v="Indore"/>
    <s v="Office Supplies"/>
    <s v="Paper"/>
    <s v="Prime Paper 286"/>
    <s v="First Class"/>
    <n v="8"/>
    <n v="3202.4"/>
    <n v="0.25"/>
    <s v="OK"/>
    <n v="19214.400000000001"/>
    <n v="10916.01"/>
    <n v="8298.39"/>
    <s v="Paid"/>
    <s v="Completed"/>
    <n v="0.25"/>
    <n v="19214.400000000001"/>
    <n v="8298.3900000000012"/>
    <n v="43.188389957531854"/>
    <n v="1"/>
    <n v="2024"/>
    <s v="CLEAN"/>
  </r>
  <r>
    <s v="ORD-2024-10220"/>
    <d v="2024-06-18T00:00:00"/>
    <d v="2024-06-19T00:00:00"/>
    <n v="1"/>
    <s v="OK"/>
    <s v="CUST-1472"/>
    <s v="Rahul Verma"/>
    <s v="Consumer"/>
    <x v="1"/>
    <s v="Bihar"/>
    <s v="Patna"/>
    <s v="Technology"/>
    <s v="Machines"/>
    <s v="Elite Machines 290"/>
    <s v="First Class"/>
    <n v="2"/>
    <n v="121.49"/>
    <s v="85%"/>
    <s v="INVALID"/>
    <n v="242.98"/>
    <n v="161.41999999999999"/>
    <n v="81.56"/>
    <s v="Paid"/>
    <s v="Completed"/>
    <n v="0"/>
    <n v="242.98"/>
    <n v="81.56"/>
    <n v="33.566548687134748"/>
    <n v="6"/>
    <n v="2024"/>
    <s v="INVALID"/>
  </r>
  <r>
    <s v="ORD-2024-10226"/>
    <d v="2024-09-02T00:00:00"/>
    <d v="2024-09-10T00:00:00"/>
    <n v="8"/>
    <s v="OK"/>
    <s v="CUST-1266"/>
    <s v="Mira Das"/>
    <s v="Corporate"/>
    <x v="3"/>
    <s v="Goa"/>
    <s v="Panaji"/>
    <s v="Technology"/>
    <s v="Phones"/>
    <s v="Classic Phones 548"/>
    <s v="Standard Class"/>
    <n v="6"/>
    <n v="1032.47"/>
    <n v="0.15"/>
    <s v="OK"/>
    <n v="5265.6"/>
    <n v="4293.1099999999997"/>
    <n v="787.57"/>
    <s v="Paid"/>
    <s v="Completed"/>
    <n v="0.15"/>
    <n v="5265.5969999999998"/>
    <n v="972.48700000000008"/>
    <n v="18.468694053114966"/>
    <n v="9"/>
    <n v="2024"/>
    <s v="CLEAN"/>
  </r>
  <r>
    <s v="ORD-2024-10228"/>
    <d v="2024-07-05T00:00:00"/>
    <d v="2024-07-12T00:00:00"/>
    <n v="7"/>
    <s v="OK"/>
    <s v="CUST-2819"/>
    <s v="Ananya Rao"/>
    <s v="Small Business"/>
    <x v="3"/>
    <s v="Goa"/>
    <s v="Panaji"/>
    <s v="Office Supplies"/>
    <s v="Binders"/>
    <s v="Prime Binders 507"/>
    <s v="First Class"/>
    <n v="3"/>
    <n v="577.75"/>
    <n v="0.15"/>
    <s v="OK"/>
    <n v="1473.26"/>
    <n v="899.86"/>
    <n v="573.4"/>
    <s v="Paid"/>
    <s v="Completed"/>
    <n v="0.15"/>
    <n v="1473.2625"/>
    <n v="573.40250000000003"/>
    <n v="38.920592901808064"/>
    <n v="7"/>
    <n v="2024"/>
    <s v="CLEAN"/>
  </r>
  <r>
    <s v="ORD-2024-10229"/>
    <d v="2024-04-24T00:00:00"/>
    <d v="2024-04-28T00:00:00"/>
    <n v="4"/>
    <s v="OK"/>
    <s v="CUST-1076"/>
    <s v="Karan Malhotra"/>
    <s v="Small Business"/>
    <x v="2"/>
    <s v="Telangana"/>
    <s v="Hyderabad"/>
    <s v="Office Supplies"/>
    <s v="Labels"/>
    <s v="Smart Labels 914"/>
    <s v="Second Class"/>
    <n v="1"/>
    <n v="3194.37"/>
    <n v="0.15"/>
    <s v="OK"/>
    <n v="2715.21"/>
    <n v="1551.55"/>
    <n v="1163.6600000000001"/>
    <s v="Paid"/>
    <s v="Completed"/>
    <n v="0.15"/>
    <n v="2715.2145"/>
    <n v="1163.6645000000001"/>
    <n v="42.857184948003194"/>
    <n v="4"/>
    <n v="2024"/>
    <s v="CLEAN"/>
  </r>
  <r>
    <s v="ORD-2024-10231"/>
    <d v="2024-05-28T00:00:00"/>
    <d v="2024-03-06T00:00:00"/>
    <n v="-83"/>
    <s v="INVALID"/>
    <s v="CUST-3434"/>
    <s v="Neha Gupta"/>
    <s v="Small Business"/>
    <x v="0"/>
    <s v="Rajasthan"/>
    <s v="Jaipur"/>
    <s v="Office Supplies"/>
    <s v="Paper"/>
    <s v="Eco Paper 937"/>
    <s v="Standard Class"/>
    <n v="8"/>
    <n v="1540.33"/>
    <n v="0.1"/>
    <s v="OK"/>
    <n v="11090.38"/>
    <n v="8840.9500000000007"/>
    <n v="2249.4299999999998"/>
    <s v="Paid"/>
    <s v="Completed"/>
    <n v="0.1"/>
    <n v="11090.376"/>
    <n v="2249.4259999999995"/>
    <n v="20.282684734944958"/>
    <n v="5"/>
    <n v="2024"/>
    <s v="INVALID"/>
  </r>
  <r>
    <s v="ORD-2024-10234"/>
    <d v="2024-10-14T00:00:00"/>
    <d v="2024-10-14T00:00:00"/>
    <n v="0"/>
    <s v="OK"/>
    <s v="CUST-3710"/>
    <s v="Vikram Iyer"/>
    <s v="Corporate"/>
    <x v="2"/>
    <s v="Karnataka"/>
    <s v="Bengaluru"/>
    <s v="Furniture"/>
    <s v="Bookcases"/>
    <s v="Smart Bookcases 328"/>
    <s v="Unknown"/>
    <n v="8"/>
    <n v="3904.59"/>
    <n v="0"/>
    <s v="OK"/>
    <n v="31236.720000000001"/>
    <n v="26377.7"/>
    <n v="4859.0200000000004"/>
    <s v="Paid"/>
    <s v="Completed"/>
    <n v="0"/>
    <n v="31236.720000000001"/>
    <n v="4859.0200000000004"/>
    <n v="15.555474454424154"/>
    <n v="10"/>
    <n v="2024"/>
    <s v="CLEAN"/>
  </r>
  <r>
    <s v="ORD-2024-10235"/>
    <d v="2024-09-02T00:00:00"/>
    <d v="2024-09-03T00:00:00"/>
    <n v="1"/>
    <s v="OK"/>
    <s v="CUST-9754"/>
    <s v="Kabir Singh"/>
    <s v="Home Office"/>
    <x v="0"/>
    <s v="Delhi"/>
    <s v="New Delhi"/>
    <s v="Furniture"/>
    <s v="Furnishings"/>
    <s v="Eco Furnishings 981"/>
    <s v="First Class"/>
    <n v="9"/>
    <n v="1353.61"/>
    <n v="0.1"/>
    <s v="OK"/>
    <n v="10964.24"/>
    <n v="9262.4699999999993"/>
    <n v="1701.77"/>
    <s v="Paid"/>
    <s v="Completed"/>
    <n v="0.1"/>
    <n v="10964.241"/>
    <n v="1701.7710000000006"/>
    <n v="15.521101734265057"/>
    <n v="9"/>
    <n v="2024"/>
    <s v="CLEAN"/>
  </r>
  <r>
    <s v="ORD-2024-10236"/>
    <d v="2024-11-02T00:00:00"/>
    <d v="2024-11-03T00:00:00"/>
    <n v="1"/>
    <s v="OK"/>
    <s v="CUST-6256"/>
    <s v="Rahul Verma"/>
    <s v="Small Business"/>
    <x v="3"/>
    <s v="Rajasthan"/>
    <s v="Udaipur"/>
    <s v="Office Supplies"/>
    <s v="Storage"/>
    <s v="Basic Storage 195"/>
    <s v="Standard Class"/>
    <n v="6"/>
    <n v="2671.29"/>
    <n v="0.05"/>
    <s v="OK"/>
    <n v="15226.35"/>
    <n v="11145.28"/>
    <n v="4081.07"/>
    <s v="Paid"/>
    <s v="Completed"/>
    <n v="0.05"/>
    <n v="15226.352999999999"/>
    <n v="4081.0729999999985"/>
    <n v="26.802695300706603"/>
    <n v="11"/>
    <n v="2024"/>
    <s v="CLEAN"/>
  </r>
  <r>
    <s v="ORD-2024-10237"/>
    <d v="2024-10-14T00:00:00"/>
    <d v="2024-10-21T00:00:00"/>
    <n v="7"/>
    <s v="OK"/>
    <s v="CUST-7113"/>
    <s v="Priya Menon"/>
    <s v="Corporate"/>
    <x v="0"/>
    <s v="Uttar Pradesh"/>
    <s v="Noida"/>
    <s v="Furniture"/>
    <s v="Bookcases"/>
    <s v="Elite Bookcases 907"/>
    <s v="First Class"/>
    <n v="6"/>
    <n v="4062.78"/>
    <n v="0"/>
    <s v="OK"/>
    <n v="24376.68"/>
    <n v="18533.39"/>
    <n v="5843.29"/>
    <s v="Paid"/>
    <s v="Completed"/>
    <n v="0"/>
    <n v="24376.68"/>
    <n v="5843.2900000000009"/>
    <n v="23.970819652224996"/>
    <n v="10"/>
    <n v="2024"/>
    <s v="CLEAN"/>
  </r>
  <r>
    <s v="ORD-2024-10238"/>
    <d v="2024-08-27T00:00:00"/>
    <d v="2024-08-27T00:00:00"/>
    <n v="0"/>
    <s v="OK"/>
    <s v="CUST-3827"/>
    <s v="Mira Das"/>
    <s v="Consumer"/>
    <x v="0"/>
    <s v="Haryana"/>
    <s v="Gurugram"/>
    <s v="Technology"/>
    <s v="Copiers"/>
    <s v="Smart Copiers 471"/>
    <s v="Standard Class"/>
    <n v="9"/>
    <n v="2330.3000000000002"/>
    <n v="0"/>
    <s v="OK"/>
    <n v="20972.7"/>
    <n v="13504.88"/>
    <n v="7467.82"/>
    <s v="Paid"/>
    <s v="Completed"/>
    <n v="0"/>
    <n v="20972.7"/>
    <n v="7467.8200000000015"/>
    <n v="35.607337157352184"/>
    <n v="8"/>
    <n v="2024"/>
    <s v="CLEAN"/>
  </r>
  <r>
    <s v="ORD-2024-10239"/>
    <d v="2024-01-12T00:00:00"/>
    <d v="2024-01-17T00:00:00"/>
    <n v="5"/>
    <s v="OK"/>
    <s v="CUST-2375"/>
    <s v="Arjun Bose"/>
    <s v="Consumer"/>
    <x v="2"/>
    <s v="Andhra Pradesh"/>
    <s v="Vijayawada"/>
    <s v="Office Supplies"/>
    <s v="Storage"/>
    <s v="Prime Storage 625"/>
    <s v="First Class"/>
    <n v="7"/>
    <n v="4005.05"/>
    <n v="0.55000000000000004"/>
    <s v="INVALID"/>
    <n v="26633.58"/>
    <n v="18838.75"/>
    <n v="7794.83"/>
    <s v="Paid"/>
    <s v="Completed"/>
    <n v="0"/>
    <n v="28035.350000000002"/>
    <n v="9196.6000000000022"/>
    <n v="32.803585473339915"/>
    <n v="1"/>
    <n v="2024"/>
    <s v="WARNING"/>
  </r>
  <r>
    <s v="ORD-2024-10240"/>
    <d v="2024-09-21T00:00:00"/>
    <d v="2024-09-21T00:00:00"/>
    <n v="0"/>
    <s v="OK"/>
    <s v="CUST-2233"/>
    <s v="Kabir Singh"/>
    <s v="Corporate"/>
    <x v="2"/>
    <s v="Karnataka"/>
    <s v="Bengaluru"/>
    <s v="Technology"/>
    <s v="Machines"/>
    <s v="Smart Machines 801"/>
    <s v="First Class"/>
    <n v="2"/>
    <n v="1960.06"/>
    <n v="0.2"/>
    <s v="OK"/>
    <n v="3136.1"/>
    <n v="2279.4899999999998"/>
    <n v="856.61"/>
    <s v="Paid"/>
    <s v="Completed"/>
    <n v="0.2"/>
    <n v="3136.096"/>
    <n v="856.60600000000022"/>
    <n v="27.314406191647201"/>
    <n v="9"/>
    <n v="2024"/>
    <s v="CLEAN"/>
  </r>
  <r>
    <s v="ORD-2024-10241"/>
    <d v="2024-12-17T00:00:00"/>
    <d v="2024-12-23T00:00:00"/>
    <n v="6"/>
    <s v="OK"/>
    <s v="CUST-9778"/>
    <s v="Aarav Sharma"/>
    <s v="Corporate"/>
    <x v="2"/>
    <s v="Telangana"/>
    <s v="Hyderabad"/>
    <s v="Office Supplies"/>
    <s v="Binders"/>
    <s v="Max Binders 170"/>
    <s v="First Class"/>
    <n v="9"/>
    <n v="2315.1"/>
    <n v="0"/>
    <s v="OK"/>
    <n v="20835.900000000001"/>
    <n v="13928.19"/>
    <n v="6907.71"/>
    <s v="Paid"/>
    <s v="Completed"/>
    <n v="0"/>
    <n v="20835.899999999998"/>
    <n v="6907.7099999999973"/>
    <n v="33.152923559817424"/>
    <n v="12"/>
    <n v="2024"/>
    <s v="CLEAN"/>
  </r>
  <r>
    <s v="ORD-2024-10245"/>
    <d v="2024-08-23T00:00:00"/>
    <d v="2024-08-24T00:00:00"/>
    <n v="1"/>
    <s v="OK"/>
    <s v="CUST-6008"/>
    <s v="Neha Gupta"/>
    <s v="Consumer"/>
    <x v="2"/>
    <s v="Telangana"/>
    <s v="Hyderabad"/>
    <s v="Furniture"/>
    <s v="Bookcases"/>
    <s v="Eco Bookcases 768"/>
    <s v="Same Day"/>
    <n v="6"/>
    <n v="1021.89"/>
    <n v="0"/>
    <s v="OK"/>
    <n v="6131.34"/>
    <n v="4060.88"/>
    <n v="2070.46"/>
    <s v="Paid"/>
    <s v="Completed"/>
    <n v="0"/>
    <n v="6131.34"/>
    <n v="2070.46"/>
    <n v="33.768474754295148"/>
    <n v="8"/>
    <n v="2024"/>
    <s v="CLEAN"/>
  </r>
  <r>
    <s v="ORD-2024-10246"/>
    <d v="2024-10-18T00:00:00"/>
    <d v="2024-10-24T00:00:00"/>
    <n v="6"/>
    <s v="OK"/>
    <s v="CUST-1704"/>
    <s v="Neha Gupta"/>
    <s v="Home Office"/>
    <x v="2"/>
    <s v="Kerala"/>
    <s v="Kochi"/>
    <s v="Furniture"/>
    <s v="Chairs"/>
    <s v="Pro Chairs 316"/>
    <s v="Second Class"/>
    <n v="3"/>
    <n v="3275.93"/>
    <n v="0"/>
    <s v="OK"/>
    <n v="9827.7900000000009"/>
    <n v="5478.28"/>
    <n v="4349.51"/>
    <s v="Paid"/>
    <s v="Completed"/>
    <n v="0"/>
    <n v="9827.7899999999991"/>
    <n v="4349.5099999999993"/>
    <n v="44.25725417413274"/>
    <n v="10"/>
    <n v="2024"/>
    <s v="CLEAN"/>
  </r>
  <r>
    <s v="ORD-2024-10248"/>
    <d v="2024-07-25T00:00:00"/>
    <d v="2024-08-01T00:00:00"/>
    <n v="7"/>
    <s v="OK"/>
    <s v="CUST-6663"/>
    <s v="Rahul Verma"/>
    <s v="Corporate"/>
    <x v="0"/>
    <s v="Rajasthan"/>
    <s v="Jaipur"/>
    <s v="Technology"/>
    <s v="Accessories"/>
    <s v="Smart Accessories 572"/>
    <s v="Second Class"/>
    <n v="8"/>
    <n v="2493.4"/>
    <n v="0.25"/>
    <s v="OK"/>
    <n v="14960.4"/>
    <n v="12500.84"/>
    <n v="2459.56"/>
    <s v="Paid"/>
    <s v="Completed"/>
    <n v="0.25"/>
    <n v="14960.400000000001"/>
    <n v="2459.5600000000013"/>
    <n v="16.440469506162945"/>
    <n v="7"/>
    <n v="2024"/>
    <s v="CLEAN"/>
  </r>
  <r>
    <s v="ORD-2024-10249"/>
    <d v="2024-06-02T00:00:00"/>
    <d v="2024-07-06T00:00:00"/>
    <n v="34"/>
    <s v="OK"/>
    <s v="CUST-6278"/>
    <s v="Rohan Mehta"/>
    <s v="Home Office"/>
    <x v="1"/>
    <s v="Odisha"/>
    <s v="Bhubaneswar"/>
    <s v="Office Supplies"/>
    <s v="Labels"/>
    <s v="Basic Labels 432"/>
    <s v="Second Class"/>
    <n v="9"/>
    <n v="787.91"/>
    <n v="0.15"/>
    <s v="OK"/>
    <n v="6027.51"/>
    <n v="4883.82"/>
    <n v="1143.69"/>
    <s v="Paid"/>
    <s v="Completed"/>
    <n v="0.15"/>
    <n v="6027.5114999999996"/>
    <n v="1143.6914999999999"/>
    <n v="18.974522072666307"/>
    <n v="6"/>
    <n v="2024"/>
    <s v="CLEAN"/>
  </r>
  <r>
    <s v="ORD-2024-10251"/>
    <d v="2024-02-21T00:00:00"/>
    <d v="2024-02-27T00:00:00"/>
    <n v="6"/>
    <s v="OK"/>
    <s v="CUST-5351"/>
    <s v="Arjun Bose"/>
    <s v="Small Business"/>
    <x v="1"/>
    <s v="West Bengal"/>
    <s v="Kolkata"/>
    <s v="Furniture"/>
    <s v="Furnishings"/>
    <s v="Prime Furnishings 781"/>
    <s v="Standard Class"/>
    <n v="5"/>
    <n v="3373.86"/>
    <n v="0.15"/>
    <s v="OK"/>
    <n v="14338.9"/>
    <n v="11897.65"/>
    <n v="2441.25"/>
    <s v="Pending"/>
    <s v="Returned"/>
    <n v="0.15"/>
    <n v="14338.904999999999"/>
    <n v="2441.2549999999992"/>
    <n v="17.025393501107647"/>
    <n v="2"/>
    <n v="2024"/>
    <s v="CLEAN"/>
  </r>
  <r>
    <s v="ORD-2024-10257"/>
    <d v="2024-11-05T00:00:00"/>
    <d v="2024-11-03T00:00:00"/>
    <n v="-2"/>
    <s v="INVALID"/>
    <s v="CUST-8411"/>
    <s v="Ananya Rao"/>
    <s v="Consumer"/>
    <x v="1"/>
    <s v="West Bengal"/>
    <s v="Kolkata"/>
    <s v="Furniture"/>
    <s v="Tables"/>
    <s v="Prime Tables 481"/>
    <s v="First Class"/>
    <n v="9"/>
    <n v="2260.61"/>
    <n v="0.05"/>
    <s v="OK"/>
    <n v="19328.22"/>
    <n v="12039.5"/>
    <n v="7288.72"/>
    <s v="Paid"/>
    <s v="Completed"/>
    <n v="0.05"/>
    <n v="19328.215500000002"/>
    <n v="7288.7155000000021"/>
    <n v="37.710235070588908"/>
    <n v="11"/>
    <n v="2024"/>
    <s v="INVALID"/>
  </r>
  <r>
    <s v="ORD-2024-10259"/>
    <d v="2024-12-30T00:00:00"/>
    <d v="2025-01-04T00:00:00"/>
    <n v="5"/>
    <s v="OK"/>
    <s v="CUST-8467"/>
    <s v="Sneha Kapoor"/>
    <s v="Corporate"/>
    <x v="2"/>
    <s v="Tamil Nadu"/>
    <s v="Chennai"/>
    <s v="Furniture"/>
    <s v="Tables"/>
    <s v="Smart Tables 774"/>
    <s v="Same Day"/>
    <n v="2"/>
    <n v="3720.07"/>
    <n v="0.25"/>
    <s v="OK"/>
    <n v="5580.11"/>
    <n v="4307.01"/>
    <n v="1273.0999999999999"/>
    <s v="Paid"/>
    <s v="Completed"/>
    <n v="0.25"/>
    <n v="5580.1050000000005"/>
    <n v="1273.0950000000003"/>
    <n v="22.814893268137428"/>
    <n v="12"/>
    <n v="2024"/>
    <s v="CLEAN"/>
  </r>
  <r>
    <s v="ORD-2024-10260"/>
    <d v="2024-06-21T00:00:00"/>
    <d v="2024-06-29T00:00:00"/>
    <n v="8"/>
    <s v="OK"/>
    <s v="CUST-5174"/>
    <s v="Neha Gupta"/>
    <s v="Consumer"/>
    <x v="2"/>
    <s v="Tamil Nadu"/>
    <s v="Chennai"/>
    <s v="Technology"/>
    <s v="Machines"/>
    <s v="Prime Machines 793"/>
    <s v="Standard Class"/>
    <n v="8"/>
    <n v="2853.92"/>
    <n v="0.2"/>
    <s v="OK"/>
    <n v="18265.09"/>
    <n v="10437.14"/>
    <n v="7827.95"/>
    <s v="Paid"/>
    <s v="Completed"/>
    <n v="0.2"/>
    <n v="18265.088"/>
    <n v="7827.9480000000003"/>
    <n v="42.857433810338065"/>
    <n v="6"/>
    <n v="2024"/>
    <s v="CLEAN"/>
  </r>
  <r>
    <s v="ORD-2024-10265"/>
    <d v="2024-05-16T00:00:00"/>
    <d v="2024-05-21T00:00:00"/>
    <n v="5"/>
    <s v="OK"/>
    <s v="CUST-4750"/>
    <s v="Diya Patel"/>
    <s v="Small Business"/>
    <x v="1"/>
    <s v="Bihar"/>
    <s v="Patna"/>
    <s v="Technology"/>
    <s v="Copiers"/>
    <s v="Pro Copiers 599"/>
    <s v="Standard Class"/>
    <n v="4"/>
    <n v="1503.07"/>
    <n v="0"/>
    <s v="OK"/>
    <n v="6012.28"/>
    <n v="3927.64"/>
    <n v="2084.64"/>
    <s v="Paid"/>
    <s v="Completed"/>
    <n v="0"/>
    <n v="6012.28"/>
    <n v="2084.64"/>
    <n v="34.67303585328694"/>
    <n v="5"/>
    <n v="2024"/>
    <s v="CLEAN"/>
  </r>
  <r>
    <s v="ORD-2024-10271"/>
    <d v="2024-01-12T00:00:00"/>
    <d v="2024-01-13T00:00:00"/>
    <n v="1"/>
    <s v="OK"/>
    <s v="CUST-2487"/>
    <s v="Aditi Sen"/>
    <s v="Corporate"/>
    <x v="0"/>
    <s v="Uttar Pradesh"/>
    <s v="Noida"/>
    <s v="Technology"/>
    <s v="Machines"/>
    <s v="Prime Machines 794"/>
    <s v="Same Day"/>
    <n v="3"/>
    <n v="827.44"/>
    <n v="0"/>
    <s v="OK"/>
    <n v="2482.3200000000002"/>
    <n v="1520.21"/>
    <n v="962.11"/>
    <s v="Paid"/>
    <s v="Completed"/>
    <n v="0"/>
    <n v="2482.3200000000002"/>
    <n v="962.11000000000013"/>
    <n v="38.758500112797705"/>
    <n v="1"/>
    <n v="2024"/>
    <s v="CLEAN"/>
  </r>
  <r>
    <s v="ORD-2024-10273"/>
    <d v="2024-08-18T00:00:00"/>
    <d v="2024-08-24T00:00:00"/>
    <n v="6"/>
    <s v="OK"/>
    <s v="CUST-7389"/>
    <s v="Arjun Bose"/>
    <s v="Consumer"/>
    <x v="2"/>
    <s v="Andhra Pradesh"/>
    <s v="Vijayawada"/>
    <s v="Furniture"/>
    <s v="Chairs"/>
    <s v="Eco Chairs 314"/>
    <s v="First Class"/>
    <n v="7"/>
    <n v="557.21"/>
    <n v="0.1"/>
    <s v="OK"/>
    <n v="3510.42"/>
    <n v="2191.5"/>
    <n v="1213.48"/>
    <s v="Paid"/>
    <s v="Completed"/>
    <n v="0.1"/>
    <n v="3510.4230000000002"/>
    <n v="1318.9230000000002"/>
    <n v="37.57162598353532"/>
    <n v="8"/>
    <n v="2024"/>
    <s v="CLEAN"/>
  </r>
  <r>
    <s v="ORD-2024-10273"/>
    <d v="2024-08-18T00:00:00"/>
    <d v="2024-08-24T00:00:00"/>
    <n v="6"/>
    <s v="OK"/>
    <s v="CUST-7389"/>
    <s v="Arjun Bose"/>
    <s v="Consumer"/>
    <x v="2"/>
    <s v="Andhra Pradesh"/>
    <s v="Vijayawada"/>
    <s v="Furniture"/>
    <s v="Chairs"/>
    <s v="Eco Chairs 314"/>
    <s v="First Class"/>
    <n v="7"/>
    <n v="557.21"/>
    <n v="0.1"/>
    <s v="OK"/>
    <n v="3797.79"/>
    <n v="2191.5"/>
    <n v="1213.48"/>
    <s v="Paid"/>
    <s v="Returned"/>
    <n v="0.1"/>
    <n v="3510.4230000000002"/>
    <n v="1318.9230000000002"/>
    <n v="37.57162598353532"/>
    <n v="8"/>
    <n v="2024"/>
    <s v="CLEAN"/>
  </r>
  <r>
    <s v="ORD-2024-10276"/>
    <d v="2024-02-15T00:00:00"/>
    <d v="2024-02-22T00:00:00"/>
    <n v="7"/>
    <s v="OK"/>
    <s v="CUST-2875"/>
    <s v="Priya Menon"/>
    <s v="Small Business"/>
    <x v="1"/>
    <s v="West Bengal"/>
    <s v="Kolkata"/>
    <s v="Furniture"/>
    <s v="Furnishings"/>
    <s v="Eco Furnishings 678"/>
    <s v="Same Day"/>
    <n v="1"/>
    <n v="980.51"/>
    <n v="0"/>
    <s v="OK"/>
    <n v="980.51"/>
    <n v="660.92"/>
    <n v="319.58999999999997"/>
    <s v="Paid"/>
    <s v="Completed"/>
    <n v="0"/>
    <n v="980.51"/>
    <n v="319.59000000000003"/>
    <n v="32.594262169687205"/>
    <n v="2"/>
    <n v="2024"/>
    <s v="CLEAN"/>
  </r>
  <r>
    <s v="ORD-2024-10277"/>
    <d v="2024-01-22T00:00:00"/>
    <d v="2024-01-23T00:00:00"/>
    <n v="1"/>
    <s v="OK"/>
    <s v="CUST-7039"/>
    <s v="Aarav Sharma"/>
    <s v="Small Business"/>
    <x v="4"/>
    <s v="Assam"/>
    <s v="Guwahati"/>
    <s v="Furniture"/>
    <s v="Chairs"/>
    <s v="Basic Chairs 141"/>
    <s v="Second Class"/>
    <n v="6"/>
    <n v="3391.53"/>
    <n v="-0.14000000000000001"/>
    <s v="INVALID"/>
    <n v="15261.89"/>
    <n v="8413.5300000000007"/>
    <n v="6848.36"/>
    <s v="Paid"/>
    <s v="Completed"/>
    <n v="0"/>
    <n v="20349.18"/>
    <n v="11935.65"/>
    <n v="58.654206213714758"/>
    <n v="1"/>
    <n v="2024"/>
    <s v="INVALID"/>
  </r>
  <r>
    <s v="ORD-2024-10280"/>
    <d v="2024-04-09T00:00:00"/>
    <d v="2024-04-10T00:00:00"/>
    <n v="1"/>
    <s v="OK"/>
    <s v="CUST-4571"/>
    <s v="Rohan Mehta"/>
    <s v="Small Business"/>
    <x v="3"/>
    <s v="Maharashtra"/>
    <s v="Mumbai"/>
    <s v="Office Supplies"/>
    <s v="Storage"/>
    <s v="Max Storage 564"/>
    <s v="First Class"/>
    <n v="1"/>
    <n v="4359.12"/>
    <n v="0.05"/>
    <s v="OK"/>
    <n v="4141.16"/>
    <n v="2754.17"/>
    <n v="1386.99"/>
    <s v="Paid"/>
    <s v="Completed"/>
    <n v="0.05"/>
    <n v="4141.1639999999998"/>
    <n v="1386.9939999999997"/>
    <n v="33.492853700070796"/>
    <n v="4"/>
    <n v="2024"/>
    <s v="CLEAN"/>
  </r>
  <r>
    <s v="ORD-2024-10281"/>
    <d v="2024-12-23T00:00:00"/>
    <d v="2024-12-26T00:00:00"/>
    <n v="3"/>
    <s v="OK"/>
    <s v="CUST-4098"/>
    <s v="Aditi Sen"/>
    <s v="Consumer"/>
    <x v="2"/>
    <s v="Karnataka"/>
    <s v="Bengaluru"/>
    <s v="Technology"/>
    <s v="Copiers"/>
    <s v="Prime Copiers 961"/>
    <s v="Standard Class"/>
    <n v="9"/>
    <n v="993.67"/>
    <n v="0"/>
    <s v="OK"/>
    <n v="8943.0300000000007"/>
    <n v="5165.38"/>
    <n v="3777.65"/>
    <s v="Paid"/>
    <s v="Completed"/>
    <n v="0"/>
    <n v="8943.0299999999988"/>
    <n v="3777.6499999999987"/>
    <n v="42.241276167026157"/>
    <n v="12"/>
    <n v="2024"/>
    <s v="CLEAN"/>
  </r>
  <r>
    <s v="ORD-2024-10283"/>
    <d v="2024-10-01T00:00:00"/>
    <d v="2024-10-02T00:00:00"/>
    <n v="1"/>
    <s v="OK"/>
    <s v="CUST-9445"/>
    <s v="Karan Malhotra"/>
    <s v="Home Office"/>
    <x v="1"/>
    <s v="Assam"/>
    <s v="Guwahati"/>
    <s v="Furniture"/>
    <s v="Tables"/>
    <s v="Classic Tables 811"/>
    <s v="Second Class"/>
    <n v="2"/>
    <n v="2298"/>
    <n v="0"/>
    <s v="OK"/>
    <n v="4596"/>
    <n v="3220.33"/>
    <n v="1375.67"/>
    <s v="Paid"/>
    <s v="Completed"/>
    <n v="0"/>
    <n v="4596"/>
    <n v="1375.67"/>
    <n v="29.931897302001744"/>
    <n v="10"/>
    <n v="2024"/>
    <s v="CLEAN"/>
  </r>
  <r>
    <s v="ORD-2024-10285"/>
    <d v="2024-12-08T00:00:00"/>
    <d v="2024-12-14T00:00:00"/>
    <n v="6"/>
    <s v="OK"/>
    <s v="CUST-2076"/>
    <s v="Karan Malhotra"/>
    <s v="Consumer"/>
    <x v="1"/>
    <s v="Odisha"/>
    <s v="Bhubaneswar"/>
    <s v="Furniture"/>
    <s v="Tables"/>
    <s v="Prime Tables 542"/>
    <s v="Same Day"/>
    <n v="3"/>
    <n v="1576.92"/>
    <n v="0"/>
    <s v="OK"/>
    <n v="4730.76"/>
    <n v="3139.73"/>
    <n v="1591.03"/>
    <s v="Paid"/>
    <s v="Returned"/>
    <n v="0"/>
    <n v="4730.76"/>
    <n v="1591.0300000000002"/>
    <n v="33.631594077907145"/>
    <n v="12"/>
    <n v="2024"/>
    <s v="CLEAN"/>
  </r>
  <r>
    <s v="ORD-2024-10287"/>
    <d v="2024-02-28T00:00:00"/>
    <d v="2024-03-02T00:00:00"/>
    <n v="3"/>
    <s v="OK"/>
    <s v="CUST-5823"/>
    <s v="Priya Menon"/>
    <s v="Small Business"/>
    <x v="0"/>
    <s v="Delhi"/>
    <s v="New Delhi"/>
    <s v="Furniture"/>
    <s v="Furnishings"/>
    <s v="Pro Furnishings 848"/>
    <s v="First Class"/>
    <n v="7"/>
    <n v="701.8"/>
    <n v="0.1"/>
    <s v="OK"/>
    <n v="4421.34"/>
    <n v="2489.98"/>
    <n v="1931.36"/>
    <s v="Pending"/>
    <s v="Returned"/>
    <n v="0.1"/>
    <n v="4421.3399999999992"/>
    <n v="1931.3599999999992"/>
    <n v="43.682684435035526"/>
    <n v="2"/>
    <n v="2024"/>
    <s v="CLEAN"/>
  </r>
  <r>
    <s v="ORD-2024-10289"/>
    <d v="2024-06-24T00:00:00"/>
    <d v="2024-06-24T00:00:00"/>
    <n v="0"/>
    <s v="OK"/>
    <s v="CUST-4805"/>
    <s v="Rohan Mehta"/>
    <s v="Small Business"/>
    <x v="1"/>
    <s v="Bihar"/>
    <s v="Patna"/>
    <s v="Office Supplies"/>
    <s v="Binders"/>
    <s v="Classic Binders 721"/>
    <s v="Same Day"/>
    <n v="2"/>
    <n v="4359.8999999999996"/>
    <n v="0.15"/>
    <s v="OK"/>
    <n v="7411.83"/>
    <n v="4904.63"/>
    <n v="2507.1999999999998"/>
    <s v="Paid"/>
    <s v="Completed"/>
    <n v="0.15"/>
    <n v="7411.829999999999"/>
    <n v="2507.1999999999989"/>
    <n v="33.827003587508067"/>
    <n v="6"/>
    <n v="2024"/>
    <s v="CLEAN"/>
  </r>
  <r>
    <s v="ORD-2024-10292"/>
    <d v="2024-04-05T00:00:00"/>
    <d v="2024-04-10T00:00:00"/>
    <n v="5"/>
    <s v="OK"/>
    <s v="CUST-2860"/>
    <s v="Priya Menon"/>
    <s v="Home Office"/>
    <x v="0"/>
    <s v="Rajasthan"/>
    <s v="Jaipur"/>
    <s v="Office Supplies"/>
    <s v="Binders"/>
    <s v="Eco Binders 153"/>
    <s v="Standard Class"/>
    <n v="4"/>
    <n v="3228.66"/>
    <n v="0.25"/>
    <s v="OK"/>
    <n v="9685.98"/>
    <n v="7730.04"/>
    <n v="1955.94"/>
    <s v="Paid"/>
    <s v="Completed"/>
    <n v="0.25"/>
    <n v="9685.98"/>
    <n v="1955.9399999999996"/>
    <n v="20.193516815025426"/>
    <n v="4"/>
    <n v="2024"/>
    <s v="CLEAN"/>
  </r>
  <r>
    <s v="ORD-2024-10294"/>
    <d v="2024-03-07T00:00:00"/>
    <d v="2024-11-03T00:00:00"/>
    <n v="241"/>
    <s v="OK"/>
    <s v="CUST-7010"/>
    <s v="Arjun Bose"/>
    <s v="Home Office"/>
    <x v="2"/>
    <s v="Telangana"/>
    <s v="Hyderabad"/>
    <s v="Technology"/>
    <s v="Phones"/>
    <s v="Pro Phones 455"/>
    <s v="First Class"/>
    <n v="2"/>
    <n v="4401.51"/>
    <n v="0.65"/>
    <s v="INVALID"/>
    <n v="8362.8700000000008"/>
    <n v="6541.04"/>
    <n v="1821.83"/>
    <s v="Paid"/>
    <s v="Completed"/>
    <n v="0"/>
    <n v="8803.02"/>
    <n v="2261.9800000000005"/>
    <n v="25.695499953425077"/>
    <n v="3"/>
    <n v="2024"/>
    <s v="WARNING"/>
  </r>
  <r>
    <s v="ORD-2024-10298"/>
    <d v="2024-10-29T00:00:00"/>
    <d v="2024-06-11T00:00:00"/>
    <n v="-140"/>
    <s v="INVALID"/>
    <s v="CUST-6724"/>
    <s v="Sneha Kapoor"/>
    <s v="Corporate"/>
    <x v="2"/>
    <s v="Tamil Nadu"/>
    <s v="Chennai"/>
    <s v="Technology"/>
    <s v="Copiers"/>
    <s v="Prime Copiers 669"/>
    <s v="Same Day"/>
    <n v="6"/>
    <n v="1169.92"/>
    <n v="0.15"/>
    <s v="OK"/>
    <n v="5966.59"/>
    <n v="3994.72"/>
    <n v="1971.87"/>
    <s v="Paid"/>
    <s v="Completed"/>
    <n v="0.15"/>
    <n v="5966.5920000000006"/>
    <n v="1971.8720000000008"/>
    <n v="33.048547646629778"/>
    <n v="10"/>
    <n v="2024"/>
    <s v="INVALID"/>
  </r>
  <r>
    <s v="ORD-2024-10300"/>
    <d v="2024-06-11T00:00:00"/>
    <d v="2024-11-12T00:00:00"/>
    <n v="154"/>
    <s v="OK"/>
    <s v="CUST-7264"/>
    <s v="Rahul Verma"/>
    <s v="Small Business"/>
    <x v="3"/>
    <s v="Gujarat"/>
    <s v="Ahmedabad"/>
    <s v="Technology"/>
    <s v="Accessories"/>
    <s v="Max Accessories 145"/>
    <s v="Standard Class"/>
    <n v="7"/>
    <n v="1719.05"/>
    <n v="0.1"/>
    <s v="OK"/>
    <n v="10830.02"/>
    <n v="7055.31"/>
    <n v="3774.71"/>
    <s v="Paid"/>
    <s v="Completed"/>
    <n v="0.1"/>
    <n v="10830.015000000001"/>
    <n v="3774.7050000000008"/>
    <n v="34.854106850267527"/>
    <n v="6"/>
    <n v="2024"/>
    <s v="CLEAN"/>
  </r>
  <r>
    <s v="ORD-2024-10301"/>
    <d v="2024-04-15T00:00:00"/>
    <d v="2024-04-23T00:00:00"/>
    <n v="8"/>
    <s v="OK"/>
    <s v="CUST-2668"/>
    <s v="Diya Patel"/>
    <s v="Small Business"/>
    <x v="0"/>
    <s v="Punjab"/>
    <s v="Ludhiana"/>
    <s v="Technology"/>
    <s v="Accessories"/>
    <s v="Classic Accessories 126"/>
    <s v="Second Class"/>
    <n v="9"/>
    <n v="3893.74"/>
    <n v="0.1"/>
    <s v="OK"/>
    <n v="31539.29"/>
    <n v="22100.14"/>
    <n v="9439.15"/>
    <s v="Paid"/>
    <s v="Completed"/>
    <n v="0.1"/>
    <n v="31539.293999999998"/>
    <n v="9439.1539999999986"/>
    <n v="29.928234918638314"/>
    <n v="4"/>
    <n v="2024"/>
    <s v="CLEAN"/>
  </r>
  <r>
    <s v="ORD-2024-10304"/>
    <d v="2024-06-23T00:00:00"/>
    <d v="2024-06-28T00:00:00"/>
    <n v="5"/>
    <s v="OK"/>
    <s v="CUST-9035"/>
    <s v="Diya Patel"/>
    <s v="Home Office"/>
    <x v="3"/>
    <s v="Gujarat"/>
    <s v="Ahmedabad"/>
    <s v="Furniture"/>
    <s v="Chairs"/>
    <s v="Elite Chairs 107"/>
    <s v="Standard Class"/>
    <n v="2"/>
    <n v="1313.14"/>
    <n v="0.1"/>
    <s v="OK"/>
    <n v="2363.65"/>
    <n v="1876.1"/>
    <n v="487.55"/>
    <s v="Pending"/>
    <s v="Returned"/>
    <n v="0.1"/>
    <n v="2363.652"/>
    <n v="487.55200000000013"/>
    <n v="20.627063544041174"/>
    <n v="6"/>
    <n v="2024"/>
    <s v="CLEAN"/>
  </r>
  <r>
    <s v="ORD-2024-10305"/>
    <d v="2024-03-06T00:00:00"/>
    <d v="2024-03-13T00:00:00"/>
    <n v="7"/>
    <s v="OK"/>
    <s v="CUST-6286"/>
    <s v="Karan Malhotra"/>
    <s v="Consumer"/>
    <x v="0"/>
    <s v="Punjab"/>
    <s v="Ludhiana"/>
    <s v="Furniture"/>
    <s v="Furnishings"/>
    <s v="Pro Furnishings 991"/>
    <s v="Standard Class"/>
    <n v="6"/>
    <n v="2403.0500000000002"/>
    <n v="0.1"/>
    <s v="OK"/>
    <n v="12976.47"/>
    <n v="10019.98"/>
    <n v="2956.49"/>
    <s v="Paid"/>
    <s v="Completed"/>
    <n v="0.1"/>
    <n v="12976.470000000001"/>
    <n v="2956.4900000000016"/>
    <n v="22.783468847845377"/>
    <n v="3"/>
    <n v="2024"/>
    <s v="CLEAN"/>
  </r>
  <r>
    <s v="ORD-2024-10311"/>
    <d v="2024-04-07T00:00:00"/>
    <d v="2024-08-07T00:00:00"/>
    <n v="122"/>
    <s v="OK"/>
    <s v="CUST-3784"/>
    <s v="Rohan Mehta"/>
    <s v="Small Business"/>
    <x v="2"/>
    <s v="Tamil Nadu"/>
    <s v="Chennai"/>
    <s v="Technology"/>
    <s v="Machines"/>
    <s v="Max Machines 988"/>
    <s v="First Class"/>
    <n v="8"/>
    <n v="2034.25"/>
    <n v="0"/>
    <s v="OK"/>
    <n v="16274"/>
    <n v="9424.25"/>
    <n v="6849.75"/>
    <s v="Paid"/>
    <s v="Completed"/>
    <n v="0"/>
    <n v="16274"/>
    <n v="6849.75"/>
    <n v="42.09014378763672"/>
    <n v="4"/>
    <n v="2024"/>
    <s v="CLEAN"/>
  </r>
  <r>
    <s v="ORD-2024-10312"/>
    <d v="2024-04-27T00:00:00"/>
    <d v="2024-02-05T00:00:00"/>
    <n v="-82"/>
    <s v="INVALID"/>
    <s v="CUST-3545"/>
    <s v="Mira Das"/>
    <s v="Corporate"/>
    <x v="2"/>
    <s v="Karnataka"/>
    <s v="Bengaluru"/>
    <s v="Office Supplies"/>
    <s v="Binders"/>
    <s v="Max Binders 425"/>
    <s v="Second Class"/>
    <n v="5"/>
    <n v="554.04"/>
    <n v="0.1"/>
    <s v="OK"/>
    <n v="2493.1799999999998"/>
    <n v="1764"/>
    <n v="729.18"/>
    <s v="Paid"/>
    <s v="Completed"/>
    <n v="0.1"/>
    <n v="2493.1799999999998"/>
    <n v="729.17999999999984"/>
    <n v="29.246985777200194"/>
    <n v="4"/>
    <n v="2024"/>
    <s v="INVALID"/>
  </r>
  <r>
    <s v="ORD-2024-10316"/>
    <d v="2024-07-02T00:00:00"/>
    <d v="2024-07-08T00:00:00"/>
    <n v="6"/>
    <s v="OK"/>
    <s v="CUST-7565"/>
    <s v="Rohan Mehta"/>
    <s v="Consumer"/>
    <x v="0"/>
    <s v="Delhi"/>
    <s v="New Delhi"/>
    <s v="Office Supplies"/>
    <s v="Paper"/>
    <s v="Smart Paper 817"/>
    <s v="Standard Class"/>
    <n v="9"/>
    <n v="3450.4"/>
    <n v="0.05"/>
    <s v="OK"/>
    <n v="29500.92"/>
    <n v="17989.68"/>
    <n v="11511.24"/>
    <s v="Pending"/>
    <s v="Returned"/>
    <n v="0.05"/>
    <n v="29500.920000000002"/>
    <n v="11511.240000000002"/>
    <n v="39.019935649464493"/>
    <n v="7"/>
    <n v="2024"/>
    <s v="CLEAN"/>
  </r>
  <r>
    <s v="ORD-2024-10319"/>
    <d v="2024-04-25T00:00:00"/>
    <d v="2024-04-30T00:00:00"/>
    <n v="5"/>
    <s v="OK"/>
    <s v="CUST-8877"/>
    <s v="Mira Das"/>
    <s v="Small Business"/>
    <x v="2"/>
    <s v="Karnataka"/>
    <s v="Bengaluru"/>
    <s v="Technology"/>
    <s v="Phones"/>
    <s v="Basic Phones 789"/>
    <s v="Standard Class"/>
    <n v="3"/>
    <n v="4149.46"/>
    <n v="0.1"/>
    <s v="OK"/>
    <n v="11203.54"/>
    <n v="8452.93"/>
    <n v="2750.61"/>
    <s v="Paid"/>
    <s v="Completed"/>
    <n v="0.1"/>
    <n v="11203.542000000001"/>
    <n v="2750.612000000001"/>
    <n v="24.551271374713469"/>
    <n v="4"/>
    <n v="2024"/>
    <s v="CLEAN"/>
  </r>
  <r>
    <s v="ORD-2024-10320"/>
    <d v="2024-08-21T00:00:00"/>
    <d v="2024-08-25T00:00:00"/>
    <n v="4"/>
    <s v="OK"/>
    <s v="CUST-4589"/>
    <s v="Diya Patel"/>
    <s v="Consumer"/>
    <x v="3"/>
    <s v="Gujarat"/>
    <s v="Ahmedabad"/>
    <s v="Office Supplies"/>
    <s v="Binders"/>
    <s v="Prime Binders 554"/>
    <s v="First Class"/>
    <n v="1"/>
    <n v="270.27999999999997"/>
    <n v="0"/>
    <s v="OK"/>
    <n v="270.27999999999997"/>
    <n v="156.34"/>
    <n v="113.94"/>
    <s v="Paid"/>
    <s v="Completed"/>
    <n v="0"/>
    <n v="270.27999999999997"/>
    <n v="113.93999999999997"/>
    <n v="42.156282373834536"/>
    <n v="8"/>
    <n v="2024"/>
    <s v="CLEAN"/>
  </r>
  <r>
    <s v="ORD-2024-10321"/>
    <d v="2024-12-04T00:00:00"/>
    <d v="2024-12-06T00:00:00"/>
    <n v="2"/>
    <s v="OK"/>
    <s v="CUST-4667"/>
    <s v="Aarav Sharma"/>
    <s v="Home Office"/>
    <x v="1"/>
    <s v="West Bengal"/>
    <s v="Kolkata"/>
    <s v="Office Supplies"/>
    <s v="Art"/>
    <s v="Classic Art 299"/>
    <s v="Second Class"/>
    <n v="3"/>
    <n v="876.14"/>
    <s v="70%"/>
    <s v="INVALID"/>
    <n v="2628.42"/>
    <n v="1541.54"/>
    <n v="1086.8800000000001"/>
    <s v="Pending"/>
    <s v="Returned"/>
    <n v="0"/>
    <n v="2628.42"/>
    <n v="1086.8800000000001"/>
    <n v="41.351077833831731"/>
    <n v="12"/>
    <n v="2024"/>
    <s v="INVALID"/>
  </r>
  <r>
    <s v="ORD-2024-10323"/>
    <d v="2024-11-12T00:00:00"/>
    <d v="2024-12-11T00:00:00"/>
    <n v="29"/>
    <s v="OK"/>
    <s v="CUST-8579"/>
    <s v="Isha Nair"/>
    <s v="Consumer"/>
    <x v="0"/>
    <s v="Uttar Pradesh"/>
    <s v="Noida"/>
    <s v="Technology"/>
    <s v="Phones"/>
    <s v="Max Phones 422"/>
    <s v="Second Class"/>
    <n v="6"/>
    <n v="1369.48"/>
    <n v="0.15"/>
    <s v="OK"/>
    <n v="6984.35"/>
    <n v="4023.63"/>
    <n v="2960.72"/>
    <s v="Paid"/>
    <s v="Completed"/>
    <n v="0.15"/>
    <n v="6984.3480000000009"/>
    <n v="2960.7180000000008"/>
    <n v="42.390757161584737"/>
    <n v="11"/>
    <n v="2024"/>
    <s v="CLEAN"/>
  </r>
  <r>
    <s v="ORD-2024-10324"/>
    <d v="2024-02-25T00:00:00"/>
    <d v="2024-02-29T00:00:00"/>
    <n v="4"/>
    <s v="OK"/>
    <s v="CUST-6909"/>
    <s v="Isha Nair"/>
    <s v="Small Business"/>
    <x v="3"/>
    <s v="Goa"/>
    <s v="Panaji"/>
    <s v="Furniture"/>
    <s v="Furnishings"/>
    <s v="Eco Furnishings 897"/>
    <s v="Standard Class"/>
    <n v="9"/>
    <n v="1331.46"/>
    <n v="0.15"/>
    <s v="OK"/>
    <n v="10185.67"/>
    <n v="6479.31"/>
    <n v="3706.36"/>
    <s v="Paid"/>
    <s v="Completed"/>
    <n v="0.15"/>
    <n v="10185.669"/>
    <n v="3706.3589999999995"/>
    <n v="36.387978050337189"/>
    <n v="2"/>
    <n v="2024"/>
    <s v="CLEAN"/>
  </r>
  <r>
    <s v="ORD-2024-10332"/>
    <d v="2024-04-12T00:00:00"/>
    <d v="2024-12-06T00:00:00"/>
    <n v="238"/>
    <s v="OK"/>
    <s v="CUST-9346"/>
    <s v="Sneha Kapoor"/>
    <s v="Home Office"/>
    <x v="1"/>
    <s v="Odisha"/>
    <s v="Bhubaneswar"/>
    <s v="Office Supplies"/>
    <s v="Binders"/>
    <s v="Smart Binders 939"/>
    <s v="Second Class"/>
    <n v="4"/>
    <n v="2685.66"/>
    <n v="0"/>
    <s v="OK"/>
    <n v="10742.64"/>
    <n v="6477.37"/>
    <n v="4265.2700000000004"/>
    <s v="Paid"/>
    <s v="Returned"/>
    <n v="0"/>
    <n v="10742.64"/>
    <n v="4265.2699999999995"/>
    <n v="39.704113700170538"/>
    <n v="4"/>
    <n v="2024"/>
    <s v="CLEAN"/>
  </r>
  <r>
    <s v="ORD-2024-10332"/>
    <d v="2024-04-12T00:00:00"/>
    <d v="2024-12-06T00:00:00"/>
    <n v="238"/>
    <s v="OK"/>
    <s v="CUST-9346"/>
    <s v="Sneha Kapoor"/>
    <s v="Home Office"/>
    <x v="1"/>
    <s v="Odisha"/>
    <s v="Bhubaneswar"/>
    <s v="Office Supplies"/>
    <s v="Binders"/>
    <s v="Smart Binders 939"/>
    <s v="Second Class"/>
    <n v="4"/>
    <n v="2685.66"/>
    <n v="0"/>
    <s v="OK"/>
    <n v="10989.89"/>
    <n v="6477.37"/>
    <n v="4265.2700000000004"/>
    <s v="Paid"/>
    <s v="Completed"/>
    <n v="0"/>
    <n v="10742.64"/>
    <n v="4265.2699999999995"/>
    <n v="39.704113700170538"/>
    <n v="4"/>
    <n v="2024"/>
    <s v="CLEAN"/>
  </r>
  <r>
    <s v="ORD-2024-10335"/>
    <d v="2024-09-12T00:00:00"/>
    <d v="2024-09-17T00:00:00"/>
    <n v="5"/>
    <s v="OK"/>
    <s v="CUST-3062"/>
    <s v="Ananya Rao"/>
    <s v="Consumer"/>
    <x v="1"/>
    <s v="Jharkhand"/>
    <s v="Ranchi"/>
    <s v="Office Supplies"/>
    <s v="Storage"/>
    <s v="Pro Storage 563"/>
    <s v="First Class"/>
    <n v="9"/>
    <n v="1921.47"/>
    <n v="0.25"/>
    <s v="OK"/>
    <n v="12969.92"/>
    <n v="9398.4599999999991"/>
    <n v="3571.46"/>
    <s v="Paid"/>
    <s v="Completed"/>
    <n v="0.25"/>
    <n v="12969.922500000001"/>
    <n v="3571.4625000000015"/>
    <n v="27.536498386941027"/>
    <n v="9"/>
    <n v="2024"/>
    <s v="CLEAN"/>
  </r>
  <r>
    <s v="ORD-2024-10337"/>
    <d v="2024-03-17T00:00:00"/>
    <d v="2024-03-21T00:00:00"/>
    <n v="4"/>
    <s v="OK"/>
    <s v="CUST-2103"/>
    <s v="Aarav Sharma"/>
    <s v="Consumer"/>
    <x v="0"/>
    <s v="Rajasthan"/>
    <s v="Jaipur"/>
    <s v="Technology"/>
    <s v="Copiers"/>
    <s v="Pro Copiers 999"/>
    <s v="First Class"/>
    <n v="8"/>
    <n v="1992.57"/>
    <n v="0"/>
    <s v="OK"/>
    <n v="15940.56"/>
    <n v="12347.15"/>
    <n v="3593.41"/>
    <s v="Paid"/>
    <s v="Completed"/>
    <n v="0"/>
    <n v="15940.56"/>
    <n v="3593.41"/>
    <n v="22.542558103353961"/>
    <n v="3"/>
    <n v="2024"/>
    <s v="CLEAN"/>
  </r>
  <r>
    <s v="ORD-2024-10338"/>
    <d v="2024-08-12T00:00:00"/>
    <d v="2024-08-18T00:00:00"/>
    <n v="6"/>
    <s v="OK"/>
    <s v="CUST-4599"/>
    <s v="Ananya Rao"/>
    <s v="Consumer"/>
    <x v="1"/>
    <s v="Assam"/>
    <s v="Guwahati"/>
    <s v="Office Supplies"/>
    <s v="Labels"/>
    <s v="Classic Labels 206"/>
    <s v="Same Day"/>
    <n v="6"/>
    <n v="1181.74"/>
    <n v="0"/>
    <s v="OK"/>
    <n v="7090.44"/>
    <n v="5672.27"/>
    <n v="1262.8699999999999"/>
    <s v="Paid"/>
    <s v="Completed"/>
    <n v="0"/>
    <n v="7090.4400000000005"/>
    <n v="1418.17"/>
    <n v="20.001156486762454"/>
    <n v="8"/>
    <n v="2024"/>
    <s v="CLEAN"/>
  </r>
  <r>
    <s v="ORD-2024-10339"/>
    <d v="2024-08-12T00:00:00"/>
    <d v="2024-12-08T00:00:00"/>
    <n v="118"/>
    <s v="OK"/>
    <s v="CUST-3066"/>
    <s v="Arjun Bose"/>
    <s v="Small Business"/>
    <x v="2"/>
    <s v="Andhra Pradesh"/>
    <s v="Vijayawada"/>
    <s v="Technology"/>
    <s v="Accessories"/>
    <s v="Eco Accessories 315"/>
    <s v="First Class"/>
    <n v="8"/>
    <n v="4402.3599999999997"/>
    <n v="0.25"/>
    <s v="OK"/>
    <n v="26414.16"/>
    <n v="21822.53"/>
    <n v="4591.63"/>
    <s v="Paid"/>
    <s v="Completed"/>
    <n v="0.25"/>
    <n v="26414.159999999996"/>
    <n v="4591.6299999999974"/>
    <n v="17.383214154832096"/>
    <n v="8"/>
    <n v="2024"/>
    <s v="CLEAN"/>
  </r>
  <r>
    <s v="ORD-2024-10341"/>
    <d v="2024-01-21T00:00:00"/>
    <d v="2024-01-29T00:00:00"/>
    <n v="8"/>
    <s v="OK"/>
    <s v="CUST-6291"/>
    <s v="Neha Gupta"/>
    <s v="Consumer"/>
    <x v="2"/>
    <s v="Karnataka"/>
    <s v="Bengaluru"/>
    <s v="Office Supplies"/>
    <s v="Binders"/>
    <s v="Smart Binders 414"/>
    <s v="Standard Class"/>
    <n v="5"/>
    <n v="4058.08"/>
    <n v="0.1"/>
    <s v="OK"/>
    <n v="18261.36"/>
    <n v="11399.94"/>
    <n v="6861.42"/>
    <s v="Paid"/>
    <s v="Completed"/>
    <n v="0.1"/>
    <n v="18261.36"/>
    <n v="6861.42"/>
    <n v="37.573433742065212"/>
    <n v="1"/>
    <n v="2024"/>
    <s v="CLEAN"/>
  </r>
  <r>
    <s v="ORD-2024-10345"/>
    <d v="2024-11-03T00:00:00"/>
    <d v="2024-11-03T00:00:00"/>
    <n v="0"/>
    <s v="OK"/>
    <s v="CUST-8025"/>
    <s v="Priya Menon"/>
    <s v="Consumer"/>
    <x v="0"/>
    <s v="Punjab"/>
    <s v="Ludhiana"/>
    <s v="Furniture"/>
    <s v="Bookcases"/>
    <s v="Elite Bookcases 184"/>
    <s v="Same Day"/>
    <n v="9"/>
    <n v="3456.38"/>
    <n v="0"/>
    <s v="OK"/>
    <n v="31107.42"/>
    <n v="20146.66"/>
    <n v="10960.76"/>
    <s v="Pending"/>
    <s v="Returned"/>
    <n v="0"/>
    <n v="31107.420000000002"/>
    <n v="10960.760000000002"/>
    <n v="35.235194689884281"/>
    <n v="11"/>
    <n v="2024"/>
    <s v="CLEAN"/>
  </r>
  <r>
    <s v="ORD-2024-10346"/>
    <d v="2024-09-14T00:00:00"/>
    <d v="2024-09-22T00:00:00"/>
    <n v="8"/>
    <s v="OK"/>
    <s v="CUST-4634"/>
    <s v="Karan Malhotra"/>
    <s v="Consumer"/>
    <x v="3"/>
    <s v="Madhya Pradesh"/>
    <s v="Indore"/>
    <s v="Furniture"/>
    <s v="Furnishings"/>
    <s v="Elite Furnishings 138"/>
    <s v="Second Class"/>
    <n v="2"/>
    <n v="2765.3"/>
    <n v="0"/>
    <s v="OK"/>
    <n v="5530.6"/>
    <n v="4453.1099999999997"/>
    <n v="1077.49"/>
    <s v="Paid"/>
    <s v="Completed"/>
    <n v="0"/>
    <n v="5530.6"/>
    <n v="1077.4900000000007"/>
    <n v="19.48233464723539"/>
    <n v="9"/>
    <n v="2024"/>
    <s v="CLEAN"/>
  </r>
  <r>
    <s v="ORD-2024-10349"/>
    <d v="2024-06-02T00:00:00"/>
    <d v="2024-06-07T00:00:00"/>
    <n v="5"/>
    <s v="OK"/>
    <s v="CUST-9517"/>
    <s v="Aarav Sharma"/>
    <s v="Corporate"/>
    <x v="2"/>
    <s v="Karnataka"/>
    <s v="Bengaluru"/>
    <s v="Technology"/>
    <s v="Phones"/>
    <s v="Classic Phones 989"/>
    <s v="Same Day"/>
    <n v="9"/>
    <n v="2860.26"/>
    <n v="0.25"/>
    <s v="OK"/>
    <n v="19306.759999999998"/>
    <n v="14442.38"/>
    <n v="4864.38"/>
    <s v="Paid"/>
    <s v="Completed"/>
    <n v="0.25"/>
    <n v="19306.755000000005"/>
    <n v="4864.3750000000055"/>
    <n v="25.195197225012716"/>
    <n v="6"/>
    <n v="2024"/>
    <s v="CLEAN"/>
  </r>
  <r>
    <s v="ORD-2024-10360"/>
    <d v="2024-08-21T00:00:00"/>
    <d v="2024-08-22T00:00:00"/>
    <n v="1"/>
    <s v="OK"/>
    <s v="CUST-9571"/>
    <s v="Isha Nair"/>
    <s v="Consumer"/>
    <x v="2"/>
    <s v="Tamil Nadu"/>
    <s v="Chennai"/>
    <s v="Technology"/>
    <s v="Phones"/>
    <s v="Classic Phones 586"/>
    <s v="Same Day"/>
    <n v="9"/>
    <n v="616.96"/>
    <n v="0.1"/>
    <s v="OK"/>
    <n v="4997.38"/>
    <n v="2971.39"/>
    <n v="2025.99"/>
    <s v="Paid"/>
    <s v="Completed"/>
    <n v="0.1"/>
    <n v="4997.3760000000002"/>
    <n v="2025.9860000000003"/>
    <n v="40.540995914656015"/>
    <n v="8"/>
    <n v="2024"/>
    <s v="CLEAN"/>
  </r>
  <r>
    <s v="ORD-2024-10363"/>
    <d v="2024-08-23T00:00:00"/>
    <d v="2024-08-25T00:00:00"/>
    <n v="2"/>
    <s v="OK"/>
    <s v="CUST-6755"/>
    <s v="Vikram Iyer"/>
    <s v="Consumer"/>
    <x v="3"/>
    <s v="Goa"/>
    <s v="Panaji"/>
    <s v="Technology"/>
    <s v="Machines"/>
    <s v="Elite Machines 216"/>
    <s v="Same Day"/>
    <n v="4"/>
    <n v="491.16"/>
    <n v="0.05"/>
    <s v="OK"/>
    <n v="1866.41"/>
    <n v="1576.49"/>
    <n v="289.92"/>
    <s v="Paid"/>
    <s v="Completed"/>
    <n v="0.05"/>
    <n v="1866.4079999999999"/>
    <n v="289.91799999999989"/>
    <n v="15.533473924243783"/>
    <n v="8"/>
    <n v="2024"/>
    <s v="CLEAN"/>
  </r>
  <r>
    <s v="ORD-2024-10366"/>
    <d v="2024-06-15T00:00:00"/>
    <d v="2024-06-21T00:00:00"/>
    <n v="6"/>
    <s v="OK"/>
    <s v="CUST-2203"/>
    <s v="Aditi Sen"/>
    <s v="Corporate"/>
    <x v="3"/>
    <s v="Goa"/>
    <s v="Panaji"/>
    <s v="Technology"/>
    <s v="Accessories"/>
    <s v="Basic Accessories 774"/>
    <s v="First Class"/>
    <n v="8"/>
    <n v="1706.4"/>
    <n v="0"/>
    <s v="OK"/>
    <n v="12968.64"/>
    <n v="10119.61"/>
    <n v="2849.03"/>
    <s v="Paid"/>
    <s v="Completed"/>
    <n v="0"/>
    <n v="13651.2"/>
    <n v="3531.59"/>
    <n v="25.870179910923579"/>
    <n v="6"/>
    <n v="2024"/>
    <s v="CLEAN"/>
  </r>
  <r>
    <s v="ORD-2024-10371"/>
    <d v="2024-08-15T00:00:00"/>
    <d v="2024-08-21T00:00:00"/>
    <n v="6"/>
    <s v="OK"/>
    <s v="CUST-8521"/>
    <s v="Ananya Rao"/>
    <s v="Small Business"/>
    <x v="3"/>
    <s v="Rajasthan"/>
    <s v="Udaipur"/>
    <s v="Technology"/>
    <s v="Copiers"/>
    <s v="Classic Copiers 505"/>
    <s v="First Class"/>
    <n v="7"/>
    <n v="2333.81"/>
    <n v="0.2"/>
    <s v="OK"/>
    <n v="13069.34"/>
    <n v="8768.59"/>
    <n v="4300.75"/>
    <s v="Paid"/>
    <s v="Completed"/>
    <n v="0.2"/>
    <n v="13069.336000000001"/>
    <n v="4300.746000000001"/>
    <n v="32.907149988339121"/>
    <n v="8"/>
    <n v="2024"/>
    <s v="CLEAN"/>
  </r>
  <r>
    <s v="ORD-2024-10376"/>
    <d v="2024-12-31T00:00:00"/>
    <d v="2025-01-04T00:00:00"/>
    <n v="4"/>
    <s v="OK"/>
    <s v="CUST-2810"/>
    <s v="Vikram Iyer"/>
    <s v="Consumer"/>
    <x v="0"/>
    <s v="Delhi"/>
    <s v="New Delhi"/>
    <s v="Furniture"/>
    <s v="Chairs"/>
    <s v="Pro Chairs 364"/>
    <s v="Same Day"/>
    <n v="3"/>
    <n v="1166.6099999999999"/>
    <n v="0.25"/>
    <s v="OK"/>
    <n v="2624.87"/>
    <n v="2253.88"/>
    <n v="370.99"/>
    <s v="Paid"/>
    <s v="Completed"/>
    <n v="0.25"/>
    <n v="2624.8724999999999"/>
    <n v="370.99249999999984"/>
    <n v="14.133734114704612"/>
    <n v="12"/>
    <n v="2024"/>
    <s v="CLEAN"/>
  </r>
  <r>
    <s v="ORD-2024-10377"/>
    <d v="2024-12-29T00:00:00"/>
    <d v="2024-12-31T00:00:00"/>
    <n v="2"/>
    <s v="OK"/>
    <s v="CUST-5166"/>
    <s v="Isha Nair"/>
    <s v="Small Business"/>
    <x v="1"/>
    <s v="Bihar"/>
    <s v="Patna"/>
    <s v="Furniture"/>
    <s v="Chairs"/>
    <s v="Basic Chairs 248"/>
    <s v="First Class"/>
    <n v="6"/>
    <n v="1844.78"/>
    <n v="0.2"/>
    <s v="OK"/>
    <n v="8854.94"/>
    <n v="7433.95"/>
    <n v="1420.99"/>
    <s v="Paid"/>
    <s v="Completed"/>
    <n v="0.2"/>
    <n v="8854.9440000000013"/>
    <n v="1420.9940000000015"/>
    <n v="16.047464557652781"/>
    <n v="12"/>
    <n v="2024"/>
    <s v="CLEAN"/>
  </r>
  <r>
    <s v="ORD-2024-10380"/>
    <d v="2024-09-19T00:00:00"/>
    <d v="2024-09-23T00:00:00"/>
    <n v="4"/>
    <s v="OK"/>
    <s v="CUST-6405"/>
    <s v="Mira Das"/>
    <s v="Small Business"/>
    <x v="2"/>
    <s v="Kerala"/>
    <s v="Kochi"/>
    <s v="Office Supplies"/>
    <s v="Paper"/>
    <s v="Max Paper 334"/>
    <s v="Standard Class"/>
    <n v="7"/>
    <n v="1136.68"/>
    <n v="0"/>
    <s v="OK"/>
    <n v="7956.76"/>
    <n v="4799.54"/>
    <n v="3157.22"/>
    <s v="Paid"/>
    <s v="Completed"/>
    <n v="0"/>
    <n v="7956.76"/>
    <n v="3157.2200000000003"/>
    <n v="39.679718880549366"/>
    <n v="9"/>
    <n v="2024"/>
    <s v="CLEAN"/>
  </r>
  <r>
    <s v="ORD-2024-10381"/>
    <d v="2024-04-07T00:00:00"/>
    <d v="2024-04-14T00:00:00"/>
    <n v="7"/>
    <s v="OK"/>
    <s v="CUST-5779"/>
    <s v="Vikram Iyer"/>
    <s v="Consumer"/>
    <x v="3"/>
    <s v="Maharashtra"/>
    <s v="Mumbai"/>
    <s v="Furniture"/>
    <s v="Bookcases"/>
    <s v="Prime Bookcases 952"/>
    <s v="Same Day"/>
    <n v="5"/>
    <n v="2235.85"/>
    <n v="0.25"/>
    <s v="OK"/>
    <n v="8384.44"/>
    <n v="4765.96"/>
    <n v="3618.48"/>
    <s v="Paid"/>
    <s v="Returned"/>
    <n v="0.25"/>
    <n v="8384.4375"/>
    <n v="3618.4775"/>
    <n v="43.157069272685256"/>
    <n v="4"/>
    <n v="2024"/>
    <s v="CLEAN"/>
  </r>
  <r>
    <s v="ORD-2024-10385"/>
    <d v="2024-03-15T00:00:00"/>
    <d v="2024-03-20T00:00:00"/>
    <n v="5"/>
    <s v="OK"/>
    <s v="CUST-8432"/>
    <s v="Rohan Mehta"/>
    <s v="Consumer"/>
    <x v="1"/>
    <s v="Jharkhand"/>
    <s v="Ranchi"/>
    <s v="Technology"/>
    <s v="Copiers"/>
    <s v="Prime Copiers 820"/>
    <s v="Standard Class"/>
    <n v="2"/>
    <n v="1881.4"/>
    <n v="0.25"/>
    <s v="OK"/>
    <n v="2822.1"/>
    <n v="1624.57"/>
    <n v="1197.53"/>
    <s v="Paid"/>
    <s v="Returned"/>
    <n v="0.25"/>
    <n v="2822.1000000000004"/>
    <n v="1197.5300000000004"/>
    <n v="42.434003047376081"/>
    <n v="3"/>
    <n v="2024"/>
    <s v="CLEAN"/>
  </r>
  <r>
    <s v="ORD-2024-10389"/>
    <d v="2024-05-13T00:00:00"/>
    <d v="2024-05-18T00:00:00"/>
    <n v="5"/>
    <s v="OK"/>
    <s v="CUST-1457"/>
    <s v="Isha Nair"/>
    <s v="Small Business"/>
    <x v="3"/>
    <s v="Gujarat"/>
    <s v="Ahmedabad"/>
    <s v="Furniture"/>
    <s v="Chairs"/>
    <s v="Elite Chairs 639"/>
    <s v="Standard Class"/>
    <n v="3"/>
    <n v="3128.59"/>
    <n v="0"/>
    <s v="OK"/>
    <n v="9385.77"/>
    <n v="6872.44"/>
    <n v="2783.66"/>
    <s v="Paid"/>
    <s v="Completed"/>
    <n v="0"/>
    <n v="9385.77"/>
    <n v="2513.3300000000008"/>
    <n v="26.778090662779942"/>
    <n v="5"/>
    <n v="2024"/>
    <s v="CLEAN"/>
  </r>
  <r>
    <s v="ORD-2024-10391"/>
    <d v="2024-11-06T00:00:00"/>
    <d v="2024-11-11T00:00:00"/>
    <n v="5"/>
    <s v="OK"/>
    <s v="CUST-7853"/>
    <s v="Isha Nair"/>
    <s v="Consumer"/>
    <x v="3"/>
    <s v="Gujarat"/>
    <s v="Ahmedabad"/>
    <s v="Furniture"/>
    <s v="Furnishings"/>
    <s v="Pro Furnishings 281"/>
    <s v="Standard Class"/>
    <n v="4"/>
    <n v="1917.26"/>
    <n v="0.2"/>
    <s v="OK"/>
    <n v="6135.23"/>
    <n v="3439.79"/>
    <n v="2695.44"/>
    <s v="Paid"/>
    <s v="Completed"/>
    <n v="0.2"/>
    <n v="6135.232"/>
    <n v="2695.442"/>
    <n v="43.933823529411761"/>
    <n v="11"/>
    <n v="2024"/>
    <s v="CLEAN"/>
  </r>
  <r>
    <s v="ORD-2024-10393"/>
    <d v="2024-02-19T00:00:00"/>
    <d v="2024-02-22T00:00:00"/>
    <n v="3"/>
    <s v="OK"/>
    <s v="CUST-6866"/>
    <s v="Aditi Sen"/>
    <s v="Small Business"/>
    <x v="2"/>
    <s v="Kerala"/>
    <s v="Kochi"/>
    <s v="Furniture"/>
    <s v="Furnishings"/>
    <s v="Classic Furnishings 746"/>
    <s v="Same Day"/>
    <n v="9"/>
    <n v="4053.01"/>
    <n v="0"/>
    <s v="OK"/>
    <n v="36477.089999999997"/>
    <n v="24525.48"/>
    <n v="11951.61"/>
    <s v="Paid"/>
    <s v="Completed"/>
    <n v="0"/>
    <n v="36477.090000000004"/>
    <n v="11951.610000000004"/>
    <n v="32.764702447481426"/>
    <n v="2"/>
    <n v="2024"/>
    <s v="CLEAN"/>
  </r>
  <r>
    <s v="ORD-2024-10394"/>
    <d v="2024-08-23T00:00:00"/>
    <d v="2024-08-29T00:00:00"/>
    <n v="6"/>
    <s v="OK"/>
    <s v="CUST-3160"/>
    <s v="Mira Das"/>
    <s v="Corporate"/>
    <x v="0"/>
    <s v="Uttar Pradesh"/>
    <s v="Noida"/>
    <s v="Office Supplies"/>
    <s v="Labels"/>
    <s v="Eco Labels 815"/>
    <s v="Same Day"/>
    <n v="2"/>
    <n v="1936.91"/>
    <n v="0.05"/>
    <s v="OK"/>
    <n v="3680.13"/>
    <n v="2967.46"/>
    <n v="712.67"/>
    <s v="Paid"/>
    <s v="Completed"/>
    <n v="0.05"/>
    <n v="3680.1289999999999"/>
    <n v="712.66899999999987"/>
    <n v="19.365326595888348"/>
    <n v="8"/>
    <n v="2024"/>
    <s v="CLEAN"/>
  </r>
  <r>
    <s v="ORD-2024-10395"/>
    <d v="2024-03-04T00:00:00"/>
    <d v="2024-04-04T00:00:00"/>
    <n v="31"/>
    <s v="OK"/>
    <s v="CUST-8444"/>
    <s v="Kabir Singh"/>
    <s v="Consumer"/>
    <x v="3"/>
    <s v="Maharashtra"/>
    <s v="Mumbai"/>
    <s v="Furniture"/>
    <s v="Furnishings"/>
    <s v="Prime Furnishings 879"/>
    <s v="First Class"/>
    <n v="7"/>
    <n v="3945.21"/>
    <n v="0"/>
    <s v="OK"/>
    <n v="27616.47"/>
    <n v="21225.26"/>
    <n v="6391.21"/>
    <s v="Paid"/>
    <s v="Completed"/>
    <n v="0"/>
    <n v="27616.47"/>
    <n v="6391.2100000000028"/>
    <n v="23.142747787823726"/>
    <n v="3"/>
    <n v="2024"/>
    <s v="CLEAN"/>
  </r>
  <r>
    <s v="ORD-2024-10396"/>
    <d v="2024-06-06T00:00:00"/>
    <d v="2024-06-07T00:00:00"/>
    <n v="1"/>
    <s v="OK"/>
    <s v="CUST-4765"/>
    <s v="Rahul Verma"/>
    <s v="Home Office"/>
    <x v="2"/>
    <s v="Tamil Nadu"/>
    <s v="Chennai"/>
    <s v="Furniture"/>
    <s v="Tables"/>
    <s v="Pro Tables 142"/>
    <s v="Same Day"/>
    <n v="7"/>
    <n v="861.91"/>
    <n v="0.05"/>
    <s v="OK"/>
    <n v="5731.7"/>
    <n v="4115.5600000000004"/>
    <n v="1616.14"/>
    <s v="Paid"/>
    <s v="Completed"/>
    <n v="0.05"/>
    <n v="5731.7014999999992"/>
    <n v="1616.1414999999988"/>
    <n v="28.19653989308409"/>
    <n v="6"/>
    <n v="2024"/>
    <s v="CLEAN"/>
  </r>
  <r>
    <s v="ORD-2024-10399"/>
    <d v="2024-07-19T00:00:00"/>
    <d v="2024-07-26T00:00:00"/>
    <n v="7"/>
    <s v="OK"/>
    <s v="CUST-4718"/>
    <s v="Vikram Iyer"/>
    <s v="Corporate"/>
    <x v="0"/>
    <s v="Punjab"/>
    <s v="Ludhiana"/>
    <s v="Technology"/>
    <s v="Machines"/>
    <s v="Elite Machines 523"/>
    <s v="Same Day"/>
    <n v="2"/>
    <n v="1263.6500000000001"/>
    <n v="0.2"/>
    <s v="OK"/>
    <n v="2021.84"/>
    <n v="1355.22"/>
    <n v="666.62"/>
    <s v="Paid"/>
    <s v="Completed"/>
    <n v="0.2"/>
    <n v="2021.8400000000001"/>
    <n v="666.62000000000012"/>
    <n v="32.970957147944453"/>
    <n v="7"/>
    <n v="2024"/>
    <s v="CLEAN"/>
  </r>
  <r>
    <s v="ORD-2024-10403"/>
    <d v="2024-03-22T00:00:00"/>
    <d v="2024-03-22T00:00:00"/>
    <n v="0"/>
    <s v="OK"/>
    <s v="CUST-7680"/>
    <s v="Priya Menon"/>
    <s v="Small Business"/>
    <x v="2"/>
    <s v="Karnataka"/>
    <s v="Bengaluru"/>
    <s v="Furniture"/>
    <s v="Tables"/>
    <s v="Smart Tables 829"/>
    <s v="Unknown"/>
    <n v="3"/>
    <n v="1365.26"/>
    <n v="0"/>
    <s v="OK"/>
    <n v="4095.78"/>
    <n v="2807.77"/>
    <n v="1288.01"/>
    <s v="Paid"/>
    <s v="Completed"/>
    <n v="0"/>
    <n v="4095.7799999999997"/>
    <n v="1288.0099999999998"/>
    <n v="31.447245701673427"/>
    <n v="3"/>
    <n v="2024"/>
    <s v="CLEAN"/>
  </r>
  <r>
    <s v="ORD-2024-10404"/>
    <d v="2024-09-30T00:00:00"/>
    <d v="2024-04-10T00:00:00"/>
    <n v="-173"/>
    <s v="INVALID"/>
    <s v="CUST-2700"/>
    <s v="Arjun Bose"/>
    <s v="Small Business"/>
    <x v="2"/>
    <s v="Kerala"/>
    <s v="Kochi"/>
    <s v="Office Supplies"/>
    <s v="Paper"/>
    <s v="Classic Paper 237"/>
    <s v="Same Day"/>
    <n v="5"/>
    <n v="3512.25"/>
    <n v="0.05"/>
    <s v="OK"/>
    <n v="16683.189999999999"/>
    <n v="10301.16"/>
    <n v="6382.03"/>
    <s v="Paid"/>
    <s v="Returned"/>
    <n v="0.05"/>
    <n v="16683.1875"/>
    <n v="6382.0275000000001"/>
    <n v="38.254245479168773"/>
    <n v="9"/>
    <n v="2024"/>
    <s v="INVALID"/>
  </r>
  <r>
    <s v="ORD-2024-10405"/>
    <d v="2024-01-27T00:00:00"/>
    <d v="2024-02-03T00:00:00"/>
    <n v="7"/>
    <s v="OK"/>
    <s v="CUST-2904"/>
    <s v="Aditi Sen"/>
    <s v="Corporate"/>
    <x v="3"/>
    <s v="Rajasthan"/>
    <s v="Udaipur"/>
    <s v="Furniture"/>
    <s v="Chairs"/>
    <s v="Prime Chairs 891"/>
    <s v="Same Day"/>
    <n v="3"/>
    <n v="359.61"/>
    <n v="0"/>
    <s v="OK"/>
    <n v="1078.83"/>
    <n v="926.35"/>
    <n v="152.47999999999999"/>
    <s v="Paid"/>
    <s v="Completed"/>
    <n v="0"/>
    <n v="1078.83"/>
    <n v="152.4799999999999"/>
    <n v="14.133830167867034"/>
    <n v="1"/>
    <n v="2024"/>
    <s v="CLEAN"/>
  </r>
  <r>
    <s v="ORD-2024-10406"/>
    <d v="2024-09-23T00:00:00"/>
    <d v="2024-09-24T00:00:00"/>
    <n v="1"/>
    <s v="OK"/>
    <s v="CUST-9961"/>
    <s v="Aditi Sen"/>
    <s v="Home Office"/>
    <x v="3"/>
    <s v="Gujarat"/>
    <s v="Ahmedabad"/>
    <s v="Furniture"/>
    <s v="Bookcases"/>
    <s v="Max Bookcases 812"/>
    <s v="Unknown"/>
    <n v="7"/>
    <n v="3878.01"/>
    <n v="0.1"/>
    <s v="OK"/>
    <n v="24431.46"/>
    <n v="18202.36"/>
    <n v="6229.1"/>
    <s v="Paid"/>
    <s v="Completed"/>
    <n v="0.1"/>
    <n v="24431.463"/>
    <n v="6229.1029999999992"/>
    <n v="25.496234097810678"/>
    <n v="9"/>
    <n v="2024"/>
    <s v="CLEAN"/>
  </r>
  <r>
    <s v="ORD-2024-10408"/>
    <d v="2024-05-12T00:00:00"/>
    <d v="2024-05-13T00:00:00"/>
    <n v="1"/>
    <s v="OK"/>
    <s v="CUST-8520"/>
    <s v="Rahul Verma"/>
    <s v="Corporate"/>
    <x v="3"/>
    <s v="Goa"/>
    <s v="Panaji"/>
    <s v="Office Supplies"/>
    <s v="Labels"/>
    <s v="Smart Labels 261"/>
    <s v="Second Class"/>
    <n v="3"/>
    <n v="2644.55"/>
    <n v="0"/>
    <s v="OK"/>
    <n v="7933.65"/>
    <n v="5698.42"/>
    <n v="2235.23"/>
    <s v="Paid"/>
    <s v="Completed"/>
    <n v="0"/>
    <n v="7933.6500000000005"/>
    <n v="2235.2300000000005"/>
    <n v="28.174043473054649"/>
    <n v="5"/>
    <n v="2024"/>
    <s v="CLEAN"/>
  </r>
  <r>
    <s v="ORD-2024-10411"/>
    <d v="2024-04-12T00:00:00"/>
    <d v="2024-04-20T00:00:00"/>
    <n v="8"/>
    <s v="OK"/>
    <s v="CUST-9495"/>
    <s v="Diya Patel"/>
    <s v="Consumer"/>
    <x v="3"/>
    <s v="Goa"/>
    <s v="Panaji"/>
    <s v="Furniture"/>
    <s v="Tables"/>
    <s v="Smart Tables 100"/>
    <s v="First Class"/>
    <n v="9"/>
    <n v="1302.6099999999999"/>
    <n v="0.2"/>
    <s v="OK"/>
    <n v="9378.7900000000009"/>
    <n v="6774.48"/>
    <n v="2604.31"/>
    <s v="Paid"/>
    <s v="Completed"/>
    <n v="0.2"/>
    <n v="9378.7919999999995"/>
    <n v="2604.3119999999999"/>
    <n v="27.768096360384153"/>
    <n v="4"/>
    <n v="2024"/>
    <s v="CLEAN"/>
  </r>
  <r>
    <s v="ORD-2024-10413"/>
    <d v="2024-01-22T00:00:00"/>
    <d v="2024-01-30T00:00:00"/>
    <n v="8"/>
    <s v="OK"/>
    <s v="CUST-4329"/>
    <s v="Isha Nair"/>
    <s v="Corporate"/>
    <x v="2"/>
    <s v="Karnataka"/>
    <s v="Bengaluru"/>
    <s v="Furniture"/>
    <s v="Chairs"/>
    <s v="Basic Chairs 790"/>
    <s v="Same Day"/>
    <n v="1"/>
    <n v="2111.39"/>
    <n v="0.25"/>
    <s v="OK"/>
    <n v="1583.54"/>
    <n v="1014.19"/>
    <n v="569.35"/>
    <s v="Paid"/>
    <s v="Completed"/>
    <n v="0.25"/>
    <n v="1583.5425"/>
    <n v="569.35249999999996"/>
    <n v="35.954355503562425"/>
    <n v="1"/>
    <n v="2024"/>
    <s v="CLEAN"/>
  </r>
  <r>
    <s v="ORD-2024-10415"/>
    <d v="2024-08-29T00:00:00"/>
    <d v="2024-08-30T00:00:00"/>
    <n v="1"/>
    <s v="OK"/>
    <s v="CUST-4194"/>
    <s v="Arjun Bose"/>
    <s v="Home Office"/>
    <x v="1"/>
    <s v="Assam"/>
    <s v="Guwahati"/>
    <s v="Office Supplies"/>
    <s v="Storage"/>
    <s v="Max Storage 692"/>
    <s v="First Class"/>
    <n v="4"/>
    <n v="2484.08"/>
    <n v="0.05"/>
    <s v="OK"/>
    <n v="9439.5"/>
    <n v="5519.39"/>
    <n v="3920.11"/>
    <s v="Paid"/>
    <s v="Completed"/>
    <n v="0.05"/>
    <n v="9439.503999999999"/>
    <n v="3920.1139999999987"/>
    <n v="41.528813378330035"/>
    <n v="8"/>
    <n v="2024"/>
    <s v="CLEAN"/>
  </r>
  <r>
    <s v="ORD-2024-10416"/>
    <d v="2024-01-25T00:00:00"/>
    <d v="2024-01-27T00:00:00"/>
    <n v="2"/>
    <s v="OK"/>
    <s v="CUST-7087"/>
    <s v="Aarav Sharma"/>
    <s v="Corporate"/>
    <x v="2"/>
    <s v="Karnataka"/>
    <s v="Bengaluru"/>
    <s v="Office Supplies"/>
    <s v="Storage"/>
    <s v="Basic Storage 684"/>
    <s v="Same Day"/>
    <n v="7"/>
    <n v="1727.26"/>
    <n v="0.15"/>
    <s v="OK"/>
    <n v="10277.200000000001"/>
    <n v="7906.5"/>
    <n v="2370.6999999999998"/>
    <s v="Paid"/>
    <s v="Returned"/>
    <n v="0.15"/>
    <n v="10277.197"/>
    <n v="2370.6970000000001"/>
    <n v="23.067544584384244"/>
    <n v="1"/>
    <n v="2024"/>
    <s v="CLEAN"/>
  </r>
  <r>
    <s v="ORD-2024-10424"/>
    <d v="2024-02-20T00:00:00"/>
    <d v="2024-02-27T00:00:00"/>
    <n v="7"/>
    <s v="OK"/>
    <s v="CUST-6169"/>
    <s v="Diya Patel"/>
    <s v="Consumer"/>
    <x v="2"/>
    <s v="Kerala"/>
    <s v="Kochi"/>
    <s v="Technology"/>
    <s v="Accessories"/>
    <s v="Prime Accessories 236"/>
    <s v="First Class"/>
    <n v="9"/>
    <n v="3779.31"/>
    <n v="0.2"/>
    <s v="OK"/>
    <n v="27211.03"/>
    <n v="17940.43"/>
    <n v="9270.6"/>
    <s v="Paid"/>
    <s v="Completed"/>
    <n v="0.2"/>
    <n v="27211.032000000003"/>
    <n v="9270.6020000000026"/>
    <n v="34.069277490100347"/>
    <n v="2"/>
    <n v="2024"/>
    <s v="CLEAN"/>
  </r>
  <r>
    <s v="ORD-2024-10424"/>
    <d v="2024-02-20T00:00:00"/>
    <d v="2024-02-27T00:00:00"/>
    <n v="7"/>
    <s v="OK"/>
    <s v="CUST-6169"/>
    <s v="Diya Patel"/>
    <s v="Consumer"/>
    <x v="2"/>
    <s v="Kerala"/>
    <s v="Kochi"/>
    <s v="Technology"/>
    <s v="Accessories"/>
    <s v="Prime Accessories 236"/>
    <s v="First Class"/>
    <n v="9"/>
    <n v="3779.31"/>
    <n v="0.2"/>
    <s v="OK"/>
    <n v="27322.9"/>
    <n v="17940.43"/>
    <n v="9270.6"/>
    <s v="Paid"/>
    <s v="Returned"/>
    <n v="0.2"/>
    <n v="27211.032000000003"/>
    <n v="9270.6020000000026"/>
    <n v="34.069277490100347"/>
    <n v="2"/>
    <n v="2024"/>
    <s v="CLEAN"/>
  </r>
  <r>
    <s v="ORD-2024-10425"/>
    <d v="2024-06-26T00:00:00"/>
    <d v="2024-06-29T00:00:00"/>
    <n v="3"/>
    <s v="OK"/>
    <s v="CUST-8904"/>
    <s v="Neha Gupta"/>
    <s v="Corporate"/>
    <x v="0"/>
    <s v="Punjab"/>
    <s v="Ludhiana"/>
    <s v="Technology"/>
    <s v="Phones"/>
    <s v="Prime Phones 881"/>
    <s v="Standard Class"/>
    <n v="8"/>
    <n v="804.52"/>
    <n v="0"/>
    <s v="OK"/>
    <n v="6436.16"/>
    <n v="4263.83"/>
    <n v="2172.33"/>
    <s v="Paid"/>
    <s v="Completed"/>
    <n v="0"/>
    <n v="6436.16"/>
    <n v="2172.33"/>
    <n v="33.75195768905683"/>
    <n v="6"/>
    <n v="2024"/>
    <s v="CLEAN"/>
  </r>
  <r>
    <s v="ORD-2024-10427"/>
    <d v="2024-06-30T00:00:00"/>
    <d v="2024-01-07T00:00:00"/>
    <n v="-175"/>
    <s v="INVALID"/>
    <s v="CUST-5431"/>
    <s v="Aditi Sen"/>
    <s v="Consumer"/>
    <x v="0"/>
    <s v="Haryana"/>
    <s v="Gurugram"/>
    <s v="Technology"/>
    <s v="Copiers"/>
    <s v="Max Copiers 402"/>
    <s v="Same Day"/>
    <n v="8"/>
    <n v="3756.66"/>
    <n v="0.1"/>
    <s v="OK"/>
    <n v="27047.95"/>
    <n v="18431.330000000002"/>
    <n v="8616.6200000000008"/>
    <s v="Paid"/>
    <s v="Completed"/>
    <n v="0.1"/>
    <n v="27047.952000000001"/>
    <n v="8616.6219999999994"/>
    <n v="31.856837072174628"/>
    <n v="6"/>
    <n v="2024"/>
    <s v="INVALID"/>
  </r>
  <r>
    <s v="ORD-2024-10431"/>
    <d v="2024-08-30T00:00:00"/>
    <d v="2024-02-09T00:00:00"/>
    <n v="-203"/>
    <s v="INVALID"/>
    <s v="CUST-2732"/>
    <s v="Neha Gupta"/>
    <s v="Small Business"/>
    <x v="0"/>
    <s v="Haryana"/>
    <s v="Gurugram"/>
    <s v="Office Supplies"/>
    <s v="Paper"/>
    <s v="Max Paper 576"/>
    <s v="Second Class"/>
    <n v="1"/>
    <n v="4320.84"/>
    <n v="0.15"/>
    <s v="OK"/>
    <n v="3672.71"/>
    <n v="2714.23"/>
    <n v="763.38"/>
    <s v="Paid"/>
    <s v="Completed"/>
    <n v="0.15"/>
    <n v="3672.7139999999999"/>
    <n v="958.48399999999992"/>
    <n v="26.097430946161339"/>
    <n v="8"/>
    <n v="2024"/>
    <s v="INVALID"/>
  </r>
  <r>
    <s v="ORD-2024-10432"/>
    <d v="2024-02-10T00:00:00"/>
    <d v="2024-02-13T00:00:00"/>
    <n v="3"/>
    <s v="OK"/>
    <s v="CUST-3989"/>
    <s v="Karan Malhotra"/>
    <s v="Home Office"/>
    <x v="3"/>
    <s v="Goa"/>
    <s v="Panaji"/>
    <s v="Technology"/>
    <s v="Machines"/>
    <s v="Max Machines 412"/>
    <s v="Same Day"/>
    <n v="2"/>
    <n v="4118.45"/>
    <n v="0.25"/>
    <s v="OK"/>
    <n v="6177.67"/>
    <n v="4520.75"/>
    <n v="1656.92"/>
    <s v="Paid"/>
    <s v="Completed"/>
    <n v="0.25"/>
    <n v="6177.6749999999993"/>
    <n v="1656.9249999999993"/>
    <n v="26.821174632851346"/>
    <n v="2"/>
    <n v="2024"/>
    <s v="CLEAN"/>
  </r>
  <r>
    <s v="ORD-2024-10433"/>
    <d v="2024-08-29T00:00:00"/>
    <d v="2024-02-09T00:00:00"/>
    <n v="-202"/>
    <s v="INVALID"/>
    <s v="CUST-3522"/>
    <s v="Priya Menon"/>
    <s v="Small Business"/>
    <x v="3"/>
    <s v="Maharashtra"/>
    <s v="Mumbai"/>
    <s v="Furniture"/>
    <s v="Bookcases"/>
    <s v="Classic Bookcases 291"/>
    <s v="Standard Class"/>
    <n v="6"/>
    <n v="172.82"/>
    <n v="0.05"/>
    <s v="OK"/>
    <n v="985.07"/>
    <n v="844.48"/>
    <n v="140.59"/>
    <s v="Paid"/>
    <s v="Completed"/>
    <n v="0.05"/>
    <n v="985.07400000000007"/>
    <n v="140.59400000000005"/>
    <n v="14.272430294576857"/>
    <n v="8"/>
    <n v="2024"/>
    <s v="INVALID"/>
  </r>
  <r>
    <s v="ORD-2024-10437"/>
    <d v="2024-06-16T00:00:00"/>
    <d v="2024-06-21T00:00:00"/>
    <n v="5"/>
    <s v="OK"/>
    <s v="CUST-4492"/>
    <s v="Neha Gupta"/>
    <s v="Consumer"/>
    <x v="2"/>
    <s v="Kerala"/>
    <s v="Kochi"/>
    <s v="Furniture"/>
    <s v="Furnishings"/>
    <s v="Max Furnishings 803"/>
    <s v="Same Day"/>
    <n v="6"/>
    <n v="1156.78"/>
    <n v="0.05"/>
    <s v="OK"/>
    <n v="6593.65"/>
    <n v="4359.3900000000003"/>
    <n v="2234.2600000000002"/>
    <s v="Paid"/>
    <s v="Returned"/>
    <n v="0.05"/>
    <n v="6593.6459999999997"/>
    <n v="2234.2559999999994"/>
    <n v="33.884985636171542"/>
    <n v="6"/>
    <n v="2024"/>
    <s v="CLEAN"/>
  </r>
  <r>
    <s v="ORD-2024-10441"/>
    <d v="2024-04-02T00:00:00"/>
    <d v="2024-04-08T00:00:00"/>
    <n v="6"/>
    <s v="OK"/>
    <s v="CUST-9039"/>
    <s v="Vikram Iyer"/>
    <s v="Corporate"/>
    <x v="1"/>
    <s v="Odisha"/>
    <s v="Bhubaneswar"/>
    <s v="Technology"/>
    <s v="Machines"/>
    <s v="Basic Machines 610"/>
    <s v="Second Class"/>
    <n v="6"/>
    <n v="3722.84"/>
    <n v="0.2"/>
    <s v="OK"/>
    <n v="17869.63"/>
    <n v="12163.8"/>
    <n v="5705.83"/>
    <s v="Paid"/>
    <s v="Completed"/>
    <n v="0.2"/>
    <n v="17869.632000000001"/>
    <n v="5705.8320000000022"/>
    <n v="31.93032738446993"/>
    <n v="4"/>
    <n v="2024"/>
    <s v="CLEAN"/>
  </r>
  <r>
    <s v="ORD-2024-10444"/>
    <d v="2024-04-04T00:00:00"/>
    <d v="2024-04-07T00:00:00"/>
    <n v="3"/>
    <s v="OK"/>
    <s v="CUST-2207"/>
    <s v="Rohan Mehta"/>
    <s v="Home Office"/>
    <x v="1"/>
    <s v="Odisha"/>
    <s v="Bhubaneswar"/>
    <s v="Furniture"/>
    <s v="Furnishings"/>
    <s v="Basic Furnishings 563"/>
    <s v="First Class"/>
    <n v="1"/>
    <n v="3683.75"/>
    <n v="0.1"/>
    <s v="OK"/>
    <n v="3315.38"/>
    <n v="2347.6799999999998"/>
    <n v="967.7"/>
    <s v="Paid"/>
    <s v="Completed"/>
    <n v="0.1"/>
    <n v="3315.375"/>
    <n v="967.69500000000016"/>
    <n v="29.188100893564084"/>
    <n v="4"/>
    <n v="2024"/>
    <s v="CLEAN"/>
  </r>
  <r>
    <s v="ORD-2024-10446"/>
    <d v="2024-05-09T00:00:00"/>
    <d v="2024-05-05T00:00:00"/>
    <n v="-4"/>
    <s v="INVALID"/>
    <s v="CUST-1351"/>
    <s v="Arjun Bose"/>
    <s v="Consumer"/>
    <x v="1"/>
    <s v="Assam"/>
    <s v="Guwahati"/>
    <s v="Furniture"/>
    <s v="Bookcases"/>
    <s v="Eco Bookcases 215"/>
    <s v="Same Day"/>
    <n v="2"/>
    <n v="2111.23"/>
    <n v="0.2"/>
    <s v="OK"/>
    <n v="3377.97"/>
    <n v="2496.29"/>
    <n v="881.68"/>
    <s v="Paid"/>
    <s v="Completed"/>
    <n v="0.2"/>
    <n v="3377.9680000000003"/>
    <n v="881.67800000000034"/>
    <n v="26.10083932115403"/>
    <n v="5"/>
    <n v="2024"/>
    <s v="INVALID"/>
  </r>
  <r>
    <s v="ORD-2024-10449"/>
    <d v="2024-01-15T00:00:00"/>
    <d v="2024-01-18T00:00:00"/>
    <n v="3"/>
    <s v="OK"/>
    <s v="CUST-1932"/>
    <s v="Mira Das"/>
    <s v="Small Business"/>
    <x v="2"/>
    <s v="Andhra Pradesh"/>
    <s v="Vijayawada"/>
    <s v="Furniture"/>
    <s v="Chairs"/>
    <s v="Prime Chairs 631"/>
    <s v="First Class"/>
    <n v="2"/>
    <n v="201.21"/>
    <n v="0.15"/>
    <s v="OK"/>
    <n v="342.06"/>
    <n v="244.57"/>
    <n v="97.49"/>
    <s v="Paid"/>
    <s v="Completed"/>
    <n v="0.15"/>
    <n v="342.05700000000002"/>
    <n v="97.487000000000023"/>
    <n v="28.500220723446684"/>
    <n v="1"/>
    <n v="2024"/>
    <s v="CLEAN"/>
  </r>
  <r>
    <s v="ORD-2024-10450"/>
    <d v="2024-06-06T00:00:00"/>
    <d v="2024-06-13T00:00:00"/>
    <n v="7"/>
    <s v="OK"/>
    <s v="CUST-5094"/>
    <s v="Aditi Sen"/>
    <s v="Corporate"/>
    <x v="1"/>
    <s v="Assam"/>
    <s v="Guwahati"/>
    <s v="Technology"/>
    <s v="Machines"/>
    <s v="Basic Machines 808"/>
    <s v="Second Class"/>
    <n v="6"/>
    <n v="3270.36"/>
    <n v="0"/>
    <s v="OK"/>
    <n v="19622.16"/>
    <n v="14271.27"/>
    <n v="5350.89"/>
    <s v="Paid"/>
    <s v="Completed"/>
    <n v="0"/>
    <n v="19622.16"/>
    <n v="5350.8899999999994"/>
    <n v="27.269627808559299"/>
    <n v="6"/>
    <n v="2024"/>
    <s v="CLEAN"/>
  </r>
  <r>
    <s v="ORD-2024-10453"/>
    <d v="2024-10-05T00:00:00"/>
    <d v="2024-05-16T00:00:00"/>
    <n v="-142"/>
    <s v="INVALID"/>
    <s v="CUST-8796"/>
    <s v="Diya Patel"/>
    <s v="Home Office"/>
    <x v="1"/>
    <s v="Jharkhand"/>
    <s v="Ranchi"/>
    <s v="Technology"/>
    <s v="Accessories"/>
    <s v="Smart Accessories 149"/>
    <s v="Second Class"/>
    <n v="6"/>
    <n v="2013.33"/>
    <n v="0.2"/>
    <s v="OK"/>
    <n v="9663.98"/>
    <n v="5628.93"/>
    <n v="4035.05"/>
    <s v="Paid"/>
    <s v="Completed"/>
    <n v="0.2"/>
    <n v="9663.9840000000004"/>
    <n v="4035.0540000000001"/>
    <n v="41.753525254180886"/>
    <n v="10"/>
    <n v="2024"/>
    <s v="INVALID"/>
  </r>
  <r>
    <s v="ORD-2024-10456"/>
    <d v="2024-07-18T00:00:00"/>
    <d v="2024-07-22T00:00:00"/>
    <n v="4"/>
    <s v="OK"/>
    <s v="CUST-1800"/>
    <s v="Neha Gupta"/>
    <s v="Small Business"/>
    <x v="2"/>
    <s v="Telangana"/>
    <s v="Hyderabad"/>
    <s v="Office Supplies"/>
    <s v="Art"/>
    <s v="Basic Art 556"/>
    <s v="Standard Class"/>
    <n v="4"/>
    <n v="808.77"/>
    <n v="0"/>
    <s v="OK"/>
    <n v="3235.08"/>
    <n v="1848.6"/>
    <n v="1386.48"/>
    <s v="Paid"/>
    <s v="Completed"/>
    <n v="0"/>
    <n v="3235.08"/>
    <n v="1386.48"/>
    <n v="42.857672762342816"/>
    <n v="7"/>
    <n v="2024"/>
    <s v="CLEAN"/>
  </r>
  <r>
    <s v="ORD-2024-10457"/>
    <d v="2024-02-20T00:00:00"/>
    <d v="2024-02-20T00:00:00"/>
    <n v="0"/>
    <s v="OK"/>
    <s v="CUST-7688"/>
    <s v="Neha Gupta"/>
    <s v="Corporate"/>
    <x v="0"/>
    <s v="Uttar Pradesh"/>
    <s v="Noida"/>
    <s v="Technology"/>
    <s v="Accessories"/>
    <s v="Smart Accessories 265"/>
    <s v="Same Day"/>
    <n v="5"/>
    <n v="2604.91"/>
    <n v="0.15"/>
    <s v="OK"/>
    <n v="11070.87"/>
    <n v="6623.61"/>
    <n v="4447.26"/>
    <s v="Paid"/>
    <s v="Returned"/>
    <n v="0.15"/>
    <n v="11070.867499999998"/>
    <n v="4447.2574999999988"/>
    <n v="40.170813172499805"/>
    <n v="2"/>
    <n v="2024"/>
    <s v="CLEAN"/>
  </r>
  <r>
    <s v="ORD-2024-10458"/>
    <d v="2024-05-04T00:00:00"/>
    <d v="2024-05-04T00:00:00"/>
    <n v="0"/>
    <s v="OK"/>
    <s v="CUST-4957"/>
    <s v="Mira Das"/>
    <s v="Small Business"/>
    <x v="3"/>
    <s v="Goa"/>
    <s v="Panaji"/>
    <s v="Furniture"/>
    <s v="Tables"/>
    <s v="Elite Tables 418"/>
    <s v="Standard Class"/>
    <n v="7"/>
    <n v="2851.51"/>
    <n v="0"/>
    <s v="OK"/>
    <n v="19960.57"/>
    <n v="16603.599999999999"/>
    <n v="3356.97"/>
    <s v="Paid"/>
    <s v="Completed"/>
    <n v="0"/>
    <n v="19960.57"/>
    <n v="3356.9700000000012"/>
    <n v="16.81800670020947"/>
    <n v="5"/>
    <n v="2024"/>
    <s v="CLEAN"/>
  </r>
  <r>
    <s v="ORD-2024-10459"/>
    <d v="2024-02-10T00:00:00"/>
    <d v="2024-02-11T00:00:00"/>
    <n v="1"/>
    <s v="OK"/>
    <s v="CUST-1263"/>
    <s v="Karan Malhotra"/>
    <s v="Corporate"/>
    <x v="0"/>
    <s v="Rajasthan"/>
    <s v="Jaipur"/>
    <s v="Technology"/>
    <s v="Phones"/>
    <s v="Pro Phones 907"/>
    <s v="Second Class"/>
    <n v="3"/>
    <n v="3183.72"/>
    <n v="0.1"/>
    <s v="OK"/>
    <n v="8596.0400000000009"/>
    <n v="5378.16"/>
    <n v="3217.88"/>
    <s v="Paid"/>
    <s v="Completed"/>
    <n v="0.1"/>
    <n v="8596.0439999999999"/>
    <n v="3217.884"/>
    <n v="37.434475672762964"/>
    <n v="2"/>
    <n v="2024"/>
    <s v="CLEAN"/>
  </r>
  <r>
    <s v="ORD-2024-10460"/>
    <d v="2024-03-28T00:00:00"/>
    <d v="2024-04-04T00:00:00"/>
    <n v="7"/>
    <s v="OK"/>
    <s v="CUST-4745"/>
    <s v="Ananya Rao"/>
    <s v="Home Office"/>
    <x v="3"/>
    <s v="Goa"/>
    <s v="Panaji"/>
    <s v="Office Supplies"/>
    <s v="Paper"/>
    <s v="Basic Paper 233"/>
    <s v="First Class"/>
    <n v="3"/>
    <n v="1150.92"/>
    <n v="0"/>
    <s v="OK"/>
    <n v="3452.76"/>
    <n v="2077.96"/>
    <n v="1374.8"/>
    <s v="Paid"/>
    <s v="Completed"/>
    <n v="0"/>
    <n v="3452.76"/>
    <n v="1374.8000000000002"/>
    <n v="39.817421425178701"/>
    <n v="3"/>
    <n v="2024"/>
    <s v="CLEAN"/>
  </r>
  <r>
    <s v="ORD-2024-10463"/>
    <d v="2024-09-23T00:00:00"/>
    <d v="2024-09-25T00:00:00"/>
    <n v="2"/>
    <s v="OK"/>
    <s v="CUST-6594"/>
    <s v="Aarav Sharma"/>
    <s v="Home Office"/>
    <x v="0"/>
    <s v="Delhi"/>
    <s v="New Delhi"/>
    <s v="Office Supplies"/>
    <s v="Binders"/>
    <s v="Pro Binders 404"/>
    <s v="First Class"/>
    <n v="2"/>
    <n v="1275.1400000000001"/>
    <n v="0.2"/>
    <s v="OK"/>
    <n v="2040.22"/>
    <n v="1395.71"/>
    <n v="644.51"/>
    <s v="Paid"/>
    <s v="Completed"/>
    <n v="0.2"/>
    <n v="2040.2240000000002"/>
    <n v="644.51400000000012"/>
    <n v="31.590354784572678"/>
    <n v="9"/>
    <n v="2024"/>
    <s v="CLEAN"/>
  </r>
  <r>
    <s v="ORD-2024-10466"/>
    <d v="2024-01-29T00:00:00"/>
    <d v="2024-02-06T00:00:00"/>
    <n v="8"/>
    <s v="OK"/>
    <s v="CUST-1748"/>
    <s v="Aarav Sharma"/>
    <s v="Small Business"/>
    <x v="3"/>
    <s v="Madhya Pradesh"/>
    <s v="Indore"/>
    <s v="Office Supplies"/>
    <s v="Labels"/>
    <s v="Eco Labels 914"/>
    <s v="Standard Class"/>
    <n v="2"/>
    <n v="1258.9000000000001"/>
    <n v="0"/>
    <s v="OK"/>
    <n v="2517.8000000000002"/>
    <n v="1478.54"/>
    <n v="1039.26"/>
    <s v="Paid"/>
    <s v="Completed"/>
    <n v="0"/>
    <n v="2517.8000000000002"/>
    <n v="1039.2600000000002"/>
    <n v="41.276511239971406"/>
    <n v="1"/>
    <n v="2024"/>
    <s v="CLEAN"/>
  </r>
  <r>
    <s v="ORD-2024-10467"/>
    <d v="2024-04-01T00:00:00"/>
    <d v="2024-01-08T00:00:00"/>
    <n v="-84"/>
    <s v="INVALID"/>
    <s v="CUST-2725"/>
    <s v="Mira Das"/>
    <s v="Small Business"/>
    <x v="1"/>
    <s v="Bihar"/>
    <s v="Patna"/>
    <s v="Technology"/>
    <s v="Accessories"/>
    <s v="Max Accessories 486"/>
    <s v="Same Day"/>
    <n v="9"/>
    <n v="1591.96"/>
    <n v="0.2"/>
    <s v="OK"/>
    <n v="11462.11"/>
    <n v="7105.48"/>
    <n v="4356.63"/>
    <s v="Paid"/>
    <s v="Completed"/>
    <n v="0.2"/>
    <n v="11462.112000000001"/>
    <n v="4356.6320000000014"/>
    <n v="38.008981241851423"/>
    <n v="4"/>
    <n v="2024"/>
    <s v="INVALID"/>
  </r>
  <r>
    <s v="ORD-2024-10470"/>
    <d v="2024-01-19T00:00:00"/>
    <d v="2024-01-25T00:00:00"/>
    <n v="6"/>
    <s v="OK"/>
    <s v="CUST-3448"/>
    <s v="Aditi Sen"/>
    <s v="Corporate"/>
    <x v="3"/>
    <s v="Goa"/>
    <s v="Panaji"/>
    <s v="Technology"/>
    <s v="Copiers"/>
    <s v="Pro Copiers 971"/>
    <s v="First Class"/>
    <n v="3"/>
    <n v="1041.6600000000001"/>
    <n v="0.1"/>
    <s v="OK"/>
    <n v="2812.48"/>
    <n v="2282.12"/>
    <n v="530.36"/>
    <s v="Paid"/>
    <s v="Completed"/>
    <n v="0.1"/>
    <n v="2812.4820000000004"/>
    <n v="530.36200000000053"/>
    <n v="18.857436243147525"/>
    <n v="1"/>
    <n v="2024"/>
    <s v="CLEAN"/>
  </r>
  <r>
    <s v="ORD-2024-10471"/>
    <d v="2024-07-28T00:00:00"/>
    <d v="2024-07-31T00:00:00"/>
    <n v="3"/>
    <s v="OK"/>
    <s v="CUST-4970"/>
    <s v="Aditi Sen"/>
    <s v="Consumer"/>
    <x v="0"/>
    <s v="Rajasthan"/>
    <s v="Jaipur"/>
    <s v="Furniture"/>
    <s v="Tables"/>
    <s v="Pro Tables 833"/>
    <s v="Same Day"/>
    <n v="2"/>
    <n v="4424.78"/>
    <n v="0.2"/>
    <s v="OK"/>
    <n v="7079.65"/>
    <n v="4465.91"/>
    <n v="2613.7399999999998"/>
    <s v="Paid"/>
    <s v="Completed"/>
    <n v="0.2"/>
    <n v="7079.6480000000001"/>
    <n v="2613.7380000000003"/>
    <n v="36.919038912669109"/>
    <n v="7"/>
    <n v="2024"/>
    <s v="CLEAN"/>
  </r>
  <r>
    <s v="ORD-2024-10472"/>
    <d v="2024-11-02T00:00:00"/>
    <d v="2024-02-15T00:00:00"/>
    <n v="-261"/>
    <s v="INVALID"/>
    <s v="CUST-6147"/>
    <s v="Kabir Singh"/>
    <s v="Consumer"/>
    <x v="2"/>
    <s v="Telangana"/>
    <s v="Hyderabad"/>
    <s v="Office Supplies"/>
    <s v="Binders"/>
    <s v="Prime Binders 497"/>
    <s v="Standard Class"/>
    <n v="3"/>
    <n v="3019.14"/>
    <n v="0.25"/>
    <s v="OK"/>
    <n v="6793.07"/>
    <n v="4985.22"/>
    <n v="1807.85"/>
    <s v="Paid"/>
    <s v="Completed"/>
    <n v="0.25"/>
    <n v="6793.0650000000005"/>
    <n v="1807.8450000000003"/>
    <n v="26.613097327936654"/>
    <n v="11"/>
    <n v="2024"/>
    <s v="INVALID"/>
  </r>
  <r>
    <s v="ORD-2024-10473"/>
    <d v="2024-02-03T00:00:00"/>
    <d v="2024-03-07T00:00:00"/>
    <n v="33"/>
    <s v="OK"/>
    <s v="CUST-7208"/>
    <s v="Rohan Mehta"/>
    <s v="Corporate"/>
    <x v="1"/>
    <s v="Odisha"/>
    <s v="Bhubaneswar"/>
    <s v="Office Supplies"/>
    <s v="Storage"/>
    <s v="Pro Storage 756"/>
    <s v="Standard Class"/>
    <n v="7"/>
    <n v="263.45999999999998"/>
    <n v="0"/>
    <s v="OK"/>
    <n v="1844.22"/>
    <n v="1094.21"/>
    <n v="750.01"/>
    <s v="Paid"/>
    <s v="Completed"/>
    <n v="0"/>
    <n v="1844.2199999999998"/>
    <n v="750.00999999999976"/>
    <n v="40.668141544934976"/>
    <n v="2"/>
    <n v="2024"/>
    <s v="CLEAN"/>
  </r>
  <r>
    <s v="ORD-2024-10474"/>
    <d v="2024-11-13T00:00:00"/>
    <d v="2024-11-13T00:00:00"/>
    <n v="0"/>
    <s v="OK"/>
    <s v="CUST-2794"/>
    <s v="Priya Menon"/>
    <s v="Consumer"/>
    <x v="3"/>
    <s v="Goa"/>
    <s v="Panaji"/>
    <s v="Technology"/>
    <s v="Copiers"/>
    <s v="Max Copiers 829"/>
    <s v="Standard Class"/>
    <n v="6"/>
    <n v="191.45"/>
    <n v="0.2"/>
    <s v="OK"/>
    <n v="918.96"/>
    <n v="554.17999999999995"/>
    <n v="364.78"/>
    <s v="Paid"/>
    <s v="Completed"/>
    <n v="0.2"/>
    <n v="918.95999999999992"/>
    <n v="364.78"/>
    <n v="39.694872464525119"/>
    <n v="11"/>
    <n v="2024"/>
    <s v="CLEAN"/>
  </r>
  <r>
    <s v="ORD-2024-10475"/>
    <d v="2024-03-06T00:00:00"/>
    <d v="2024-06-10T00:00:00"/>
    <n v="96"/>
    <s v="OK"/>
    <s v="CUST-6249"/>
    <s v="Diya Patel"/>
    <s v="Corporate"/>
    <x v="0"/>
    <s v="Punjab"/>
    <s v="Ludhiana"/>
    <s v="Furniture"/>
    <s v="Furnishings"/>
    <s v="Prime Furnishings 827"/>
    <s v="Standard Class"/>
    <n v="3"/>
    <n v="1633.57"/>
    <n v="0"/>
    <s v="OK"/>
    <n v="4900.71"/>
    <n v="2713.9"/>
    <n v="2186.81"/>
    <s v="Paid"/>
    <s v="Completed"/>
    <n v="0"/>
    <n v="4900.71"/>
    <n v="2186.81"/>
    <n v="44.622309828575858"/>
    <n v="3"/>
    <n v="2024"/>
    <s v="CLEAN"/>
  </r>
  <r>
    <s v="ORD-2024-10477"/>
    <d v="2024-05-07T00:00:00"/>
    <d v="2024-05-14T00:00:00"/>
    <n v="7"/>
    <s v="OK"/>
    <s v="CUST-3004"/>
    <s v="Sneha Kapoor"/>
    <s v="Small Business"/>
    <x v="0"/>
    <s v="Rajasthan"/>
    <s v="Jaipur"/>
    <s v="Office Supplies"/>
    <s v="Storage"/>
    <s v="Classic Storage 545"/>
    <s v="First Class"/>
    <n v="3"/>
    <n v="383.58"/>
    <n v="0.1"/>
    <s v="OK"/>
    <n v="1035.67"/>
    <n v="595.41999999999996"/>
    <n v="440.25"/>
    <s v="Paid"/>
    <s v="Completed"/>
    <n v="0.1"/>
    <n v="1035.6659999999999"/>
    <n v="440.24599999999998"/>
    <n v="42.508492120046427"/>
    <n v="5"/>
    <n v="2024"/>
    <s v="CLEAN"/>
  </r>
  <r>
    <s v="ORD-2024-10480"/>
    <d v="2024-02-23T00:00:00"/>
    <d v="2024-02-20T00:00:00"/>
    <n v="-3"/>
    <s v="INVALID"/>
    <s v="CUST-7520"/>
    <s v="Arjun Bose"/>
    <s v="Corporate"/>
    <x v="1"/>
    <s v="Odisha"/>
    <s v="Bhubaneswar"/>
    <s v="Furniture"/>
    <s v="Chairs"/>
    <s v="Max Chairs 594"/>
    <s v="Second Class"/>
    <n v="1"/>
    <n v="2202.5500000000002"/>
    <n v="0"/>
    <s v="OK"/>
    <n v="1651.91"/>
    <n v="1034.57"/>
    <n v="617.34"/>
    <s v="Paid"/>
    <s v="Completed"/>
    <n v="0"/>
    <n v="2202.5500000000002"/>
    <n v="1167.9800000000002"/>
    <n v="53.028535107035033"/>
    <n v="2"/>
    <n v="2024"/>
    <s v="INVALID"/>
  </r>
  <r>
    <s v="ORD-2024-10483"/>
    <d v="2024-07-22T00:00:00"/>
    <d v="2024-07-22T00:00:00"/>
    <n v="0"/>
    <s v="OK"/>
    <s v="CUST-3583"/>
    <s v="Priya Menon"/>
    <s v="Consumer"/>
    <x v="2"/>
    <s v="Karnataka"/>
    <s v="Bengaluru"/>
    <s v="Technology"/>
    <s v="Accessories"/>
    <s v="Basic Accessories 518"/>
    <s v="Second Class"/>
    <n v="3"/>
    <n v="1286.22"/>
    <n v="0.25"/>
    <s v="OK"/>
    <n v="2893.99"/>
    <n v="1856.03"/>
    <n v="1037.96"/>
    <s v="Paid"/>
    <s v="Completed"/>
    <n v="0.25"/>
    <n v="2893.9949999999999"/>
    <n v="1037.9649999999999"/>
    <n v="35.866164247001116"/>
    <n v="7"/>
    <n v="2024"/>
    <s v="CLEAN"/>
  </r>
  <r>
    <s v="ORD-2024-10484"/>
    <d v="2024-12-25T00:00:00"/>
    <d v="2024-12-25T00:00:00"/>
    <n v="0"/>
    <s v="OK"/>
    <s v="CUST-9432"/>
    <s v="Mira Das"/>
    <s v="Corporate"/>
    <x v="1"/>
    <s v="Bihar"/>
    <s v="Patna"/>
    <s v="Technology"/>
    <s v="Copiers"/>
    <s v="Pro Copiers 984"/>
    <s v="Standard Class"/>
    <n v="1"/>
    <n v="829.66"/>
    <n v="0.15"/>
    <s v="OK"/>
    <n v="705.21"/>
    <n v="438.32"/>
    <n v="266.89"/>
    <s v="Paid"/>
    <s v="Completed"/>
    <n v="0.15"/>
    <n v="705.2109999999999"/>
    <n v="266.89099999999991"/>
    <n v="37.845552607659258"/>
    <n v="12"/>
    <n v="2024"/>
    <s v="CLEAN"/>
  </r>
  <r>
    <s v="ORD-2024-10485"/>
    <d v="2024-12-28T00:00:00"/>
    <d v="2024-12-31T00:00:00"/>
    <n v="3"/>
    <s v="OK"/>
    <s v="CUST-1801"/>
    <s v="Mira Das"/>
    <s v="Small Business"/>
    <x v="2"/>
    <s v="Andhra Pradesh"/>
    <s v="Vijayawada"/>
    <s v="Furniture"/>
    <s v="Furnishings"/>
    <s v="Max Furnishings 297"/>
    <s v="First Class"/>
    <n v="6"/>
    <n v="3641.22"/>
    <n v="0.25"/>
    <s v="OK"/>
    <n v="16385.490000000002"/>
    <n v="13679.24"/>
    <n v="2706.25"/>
    <s v="Paid"/>
    <s v="Completed"/>
    <n v="0.25"/>
    <n v="16385.489999999998"/>
    <n v="2706.2499999999982"/>
    <n v="16.516137143289573"/>
    <n v="12"/>
    <n v="2024"/>
    <s v="CLEAN"/>
  </r>
  <r>
    <s v="ORD-2024-10489"/>
    <d v="2024-10-14T00:00:00"/>
    <d v="2024-10-20T00:00:00"/>
    <n v="6"/>
    <s v="OK"/>
    <s v="CUST-2183"/>
    <s v="Aditi Sen"/>
    <s v="Small Business"/>
    <x v="0"/>
    <s v="Rajasthan"/>
    <s v="Jaipur"/>
    <s v="Furniture"/>
    <s v="Tables"/>
    <s v="Eco Tables 487"/>
    <s v="Same Day"/>
    <n v="7"/>
    <n v="1547.6"/>
    <n v="0.2"/>
    <s v="OK"/>
    <n v="8666.56"/>
    <n v="5967.44"/>
    <n v="2699.12"/>
    <s v="Paid"/>
    <s v="Completed"/>
    <n v="0.2"/>
    <n v="8666.56"/>
    <n v="2699.12"/>
    <n v="31.144075619392243"/>
    <n v="10"/>
    <n v="2024"/>
    <s v="CLEAN"/>
  </r>
  <r>
    <s v="ORD-2024-10490"/>
    <d v="2024-02-07T00:00:00"/>
    <d v="2024-02-12T00:00:00"/>
    <n v="5"/>
    <s v="OK"/>
    <s v="CUST-1636"/>
    <s v="Arjun Bose"/>
    <s v="Home Office"/>
    <x v="1"/>
    <s v="West Bengal"/>
    <s v="Kolkata"/>
    <s v="Technology"/>
    <s v="Accessories"/>
    <s v="Prime Accessories 960"/>
    <s v="Second Class"/>
    <n v="1"/>
    <n v="452.19"/>
    <n v="0.2"/>
    <s v="OK"/>
    <n v="361.75"/>
    <n v="262.52999999999997"/>
    <n v="99.22"/>
    <s v="Paid"/>
    <s v="Completed"/>
    <n v="0.2"/>
    <n v="361.75200000000001"/>
    <n v="99.222000000000037"/>
    <n v="27.428182843495001"/>
    <n v="2"/>
    <n v="2024"/>
    <s v="CLEAN"/>
  </r>
  <r>
    <s v="ORD-2024-10491"/>
    <d v="2024-09-16T00:00:00"/>
    <d v="2024-09-19T00:00:00"/>
    <n v="3"/>
    <s v="OK"/>
    <s v="CUST-1350"/>
    <s v="Aditi Sen"/>
    <s v="Consumer"/>
    <x v="3"/>
    <s v="Rajasthan"/>
    <s v="Udaipur"/>
    <s v="Office Supplies"/>
    <s v="Binders"/>
    <s v="Smart Binders 191"/>
    <s v="First Class"/>
    <n v="7"/>
    <n v="406.42"/>
    <n v="0.15"/>
    <s v="OK"/>
    <n v="2418.1999999999998"/>
    <n v="1613.82"/>
    <n v="804.38"/>
    <s v="Paid"/>
    <s v="Completed"/>
    <n v="0.15"/>
    <n v="2418.1990000000001"/>
    <n v="804.37900000000013"/>
    <n v="33.263556886757463"/>
    <n v="9"/>
    <n v="2024"/>
    <s v="CLEAN"/>
  </r>
  <r>
    <s v="ORD-2024-10501"/>
    <d v="2024-05-17T00:00:00"/>
    <d v="2024-05-22T00:00:00"/>
    <n v="5"/>
    <s v="OK"/>
    <s v="CUST-7661"/>
    <s v="Sneha Kapoor"/>
    <s v="Consumer"/>
    <x v="2"/>
    <s v="Kerala"/>
    <s v="Kochi"/>
    <s v="Technology"/>
    <s v="Phones"/>
    <s v="Prime Phones 533"/>
    <s v="Same Day"/>
    <n v="9"/>
    <n v="3795.99"/>
    <s v="85%"/>
    <s v="INVALID"/>
    <n v="34163.910000000003"/>
    <n v="28577.15"/>
    <n v="5586.76"/>
    <s v="Paid"/>
    <s v="Completed"/>
    <n v="0"/>
    <n v="34163.909999999996"/>
    <n v="5586.7599999999948"/>
    <n v="16.352812075666971"/>
    <n v="5"/>
    <n v="2024"/>
    <s v="INVALID"/>
  </r>
  <r>
    <s v="ORD-2024-10502"/>
    <d v="2024-08-11T00:00:00"/>
    <d v="2024-08-17T00:00:00"/>
    <n v="6"/>
    <s v="OK"/>
    <s v="CUST-3710"/>
    <s v="Neha Gupta"/>
    <s v="Consumer"/>
    <x v="1"/>
    <s v="Jharkhand"/>
    <s v="Ranchi"/>
    <s v="Office Supplies"/>
    <s v="Art"/>
    <s v="Elite Art 325"/>
    <s v="Second Class"/>
    <n v="6"/>
    <n v="3497.54"/>
    <n v="0.15"/>
    <s v="OK"/>
    <n v="17837.45"/>
    <n v="13627.02"/>
    <n v="4210.43"/>
    <s v="Paid"/>
    <s v="Completed"/>
    <n v="0.15"/>
    <n v="17837.453999999998"/>
    <n v="4210.4339999999975"/>
    <n v="23.604456106796395"/>
    <n v="8"/>
    <n v="2024"/>
    <s v="CLEAN"/>
  </r>
  <r>
    <s v="ORD-2024-10503"/>
    <d v="2024-04-01T00:00:00"/>
    <d v="2024-04-09T00:00:00"/>
    <n v="8"/>
    <s v="OK"/>
    <s v="CUST-1534"/>
    <s v="Priya Menon"/>
    <s v="Small Business"/>
    <x v="1"/>
    <s v="Odisha"/>
    <s v="Bhubaneswar"/>
    <s v="Technology"/>
    <s v="Copiers"/>
    <s v="Prime Copiers 557"/>
    <s v="Second Class"/>
    <n v="6"/>
    <n v="826.93"/>
    <n v="0.1"/>
    <s v="OK"/>
    <n v="4465.42"/>
    <n v="3377.1"/>
    <n v="1088.32"/>
    <s v="Paid"/>
    <s v="Completed"/>
    <n v="0.1"/>
    <n v="4465.4220000000005"/>
    <n v="1088.3220000000006"/>
    <n v="24.372209390288319"/>
    <n v="4"/>
    <n v="2024"/>
    <s v="CLEAN"/>
  </r>
  <r>
    <s v="ORD-2024-10504"/>
    <d v="2024-09-28T00:00:00"/>
    <d v="2024-10-05T00:00:00"/>
    <n v="7"/>
    <s v="OK"/>
    <s v="CUST-7422"/>
    <s v="Aarav Sharma"/>
    <s v="Consumer"/>
    <x v="2"/>
    <s v="Tamil Nadu"/>
    <s v="Chennai"/>
    <s v="Technology"/>
    <s v="Phones"/>
    <s v="Smart Phones 674"/>
    <s v="Standard Class"/>
    <n v="7"/>
    <n v="1681.6"/>
    <n v="0.1"/>
    <s v="OK"/>
    <n v="10594.08"/>
    <n v="7160.31"/>
    <n v="3433.77"/>
    <s v="Paid"/>
    <s v="Completed"/>
    <n v="0.1"/>
    <n v="10594.08"/>
    <n v="3433.7699999999995"/>
    <n v="32.412158488514336"/>
    <n v="9"/>
    <n v="2024"/>
    <s v="CLEAN"/>
  </r>
  <r>
    <s v="ORD-2024-10509"/>
    <d v="2024-03-31T00:00:00"/>
    <d v="2024-07-04T00:00:00"/>
    <n v="95"/>
    <s v="OK"/>
    <s v="CUST-3333"/>
    <s v="Isha Nair"/>
    <s v="Small Business"/>
    <x v="0"/>
    <s v="Haryana"/>
    <s v="Gurugram"/>
    <s v="Technology"/>
    <s v="Machines"/>
    <s v="Smart Machines 853"/>
    <s v="Second Class"/>
    <n v="4"/>
    <n v="1831"/>
    <n v="0"/>
    <s v="OK"/>
    <n v="7324"/>
    <n v="4179.63"/>
    <n v="3144.37"/>
    <s v="Paid"/>
    <s v="Completed"/>
    <n v="0"/>
    <n v="7324"/>
    <n v="3144.37"/>
    <n v="42.932413981430912"/>
    <n v="3"/>
    <n v="2024"/>
    <s v="CLEAN"/>
  </r>
  <r>
    <s v="ORD-2024-10511"/>
    <d v="2024-10-18T00:00:00"/>
    <d v="2024-10-21T00:00:00"/>
    <n v="3"/>
    <s v="OK"/>
    <s v="CUST-9759"/>
    <s v="Aarav Sharma"/>
    <s v="Consumer"/>
    <x v="2"/>
    <s v="Karnataka"/>
    <s v="Bengaluru"/>
    <s v="Office Supplies"/>
    <s v="Storage"/>
    <s v="Pro Storage 373"/>
    <s v="Second Class"/>
    <n v="2"/>
    <n v="4238.51"/>
    <n v="0"/>
    <s v="OK"/>
    <n v="8477.02"/>
    <n v="6884.96"/>
    <n v="1592.06"/>
    <s v="Paid"/>
    <s v="Completed"/>
    <n v="0"/>
    <n v="8477.02"/>
    <n v="1592.0600000000004"/>
    <n v="18.780892341884297"/>
    <n v="10"/>
    <n v="2024"/>
    <s v="CLEAN"/>
  </r>
  <r>
    <s v="ORD-2024-10512"/>
    <d v="2024-10-23T00:00:00"/>
    <d v="2024-10-26T00:00:00"/>
    <n v="3"/>
    <s v="OK"/>
    <s v="CUST-7232"/>
    <s v="Sneha Kapoor"/>
    <s v="Consumer"/>
    <x v="3"/>
    <s v="Madhya Pradesh"/>
    <s v="Indore"/>
    <s v="Furniture"/>
    <s v="Bookcases"/>
    <s v="Smart Bookcases 920"/>
    <s v="Standard Class"/>
    <n v="9"/>
    <n v="544.27"/>
    <n v="0.25"/>
    <s v="OK"/>
    <n v="3673.82"/>
    <n v="2088.15"/>
    <n v="1585.67"/>
    <s v="Paid"/>
    <s v="Completed"/>
    <n v="0.25"/>
    <n v="3673.8225000000002"/>
    <n v="1585.6725000000001"/>
    <n v="43.161380278987352"/>
    <n v="10"/>
    <n v="2024"/>
    <s v="CLEAN"/>
  </r>
  <r>
    <s v="ORD-2024-10515"/>
    <d v="2024-11-18T00:00:00"/>
    <d v="2024-11-22T00:00:00"/>
    <n v="4"/>
    <s v="OK"/>
    <s v="CUST-7729"/>
    <s v="Karan Malhotra"/>
    <s v="Home Office"/>
    <x v="2"/>
    <s v="Kerala"/>
    <s v="Kochi"/>
    <s v="Technology"/>
    <s v="Accessories"/>
    <s v="Smart Accessories 388"/>
    <s v="Standard Class"/>
    <n v="6"/>
    <n v="3872.94"/>
    <n v="0.1"/>
    <s v="OK"/>
    <n v="20913.88"/>
    <n v="11684.68"/>
    <n v="9229.2000000000007"/>
    <s v="Paid"/>
    <s v="Completed"/>
    <n v="0.1"/>
    <n v="20913.876"/>
    <n v="9229.1959999999999"/>
    <n v="44.12953390371063"/>
    <n v="11"/>
    <n v="2024"/>
    <s v="CLEAN"/>
  </r>
  <r>
    <s v="ORD-2024-10521"/>
    <d v="2024-07-16T00:00:00"/>
    <d v="2024-07-23T00:00:00"/>
    <n v="7"/>
    <s v="OK"/>
    <s v="CUST-2155"/>
    <s v="Aarav Sharma"/>
    <s v="Home Office"/>
    <x v="2"/>
    <s v="Karnataka"/>
    <s v="Bengaluru"/>
    <s v="Technology"/>
    <s v="Machines"/>
    <s v="Prime Machines 393"/>
    <s v="Same Day"/>
    <n v="1"/>
    <n v="1695.91"/>
    <n v="0.05"/>
    <s v="OK"/>
    <n v="1611.11"/>
    <n v="895.15"/>
    <n v="715.96"/>
    <s v="Paid"/>
    <s v="Completed"/>
    <n v="0.05"/>
    <n v="1611.1144999999999"/>
    <n v="715.96449999999993"/>
    <n v="44.43908238675774"/>
    <n v="7"/>
    <n v="2024"/>
    <s v="CLEAN"/>
  </r>
  <r>
    <s v="ORD-2024-10524"/>
    <d v="2024-02-04T00:00:00"/>
    <d v="2024-04-03T00:00:00"/>
    <n v="59"/>
    <s v="OK"/>
    <s v="CUST-4653"/>
    <s v="Kabir Singh"/>
    <s v="Home Office"/>
    <x v="3"/>
    <s v="Goa"/>
    <s v="Panaji"/>
    <s v="Office Supplies"/>
    <s v="Paper"/>
    <s v="Basic Paper 315"/>
    <s v="Second Class"/>
    <n v="2"/>
    <n v="2902.63"/>
    <n v="0"/>
    <s v="OK"/>
    <n v="5805.26"/>
    <n v="4654.3599999999997"/>
    <n v="1150.9000000000001"/>
    <s v="Paid"/>
    <s v="Returned"/>
    <n v="0"/>
    <n v="5805.26"/>
    <n v="1150.9000000000005"/>
    <n v="19.825124111581573"/>
    <n v="2"/>
    <n v="2024"/>
    <s v="CLEAN"/>
  </r>
  <r>
    <s v="ORD-2024-10525"/>
    <d v="2024-11-30T00:00:00"/>
    <d v="2024-12-01T00:00:00"/>
    <n v="1"/>
    <s v="OK"/>
    <s v="CUST-3311"/>
    <s v="Ananya Rao"/>
    <s v="Corporate"/>
    <x v="3"/>
    <s v="Gujarat"/>
    <s v="Ahmedabad"/>
    <s v="Furniture"/>
    <s v="Chairs"/>
    <s v="Basic Chairs 333"/>
    <s v="First Class"/>
    <n v="9"/>
    <n v="4207.3599999999997"/>
    <n v="0.1"/>
    <s v="OK"/>
    <n v="34079.620000000003"/>
    <n v="21871.39"/>
    <n v="12208.23"/>
    <s v="Paid"/>
    <s v="Completed"/>
    <n v="0.1"/>
    <n v="34079.616000000002"/>
    <n v="12208.226000000002"/>
    <n v="35.822663025311094"/>
    <n v="11"/>
    <n v="2024"/>
    <s v="CLEAN"/>
  </r>
  <r>
    <s v="ORD-2024-10526"/>
    <d v="2024-10-17T00:00:00"/>
    <d v="2024-10-17T00:00:00"/>
    <n v="0"/>
    <s v="OK"/>
    <s v="CUST-2924"/>
    <s v="Priya Menon"/>
    <s v="Home Office"/>
    <x v="1"/>
    <s v="West Bengal"/>
    <s v="Kolkata"/>
    <s v="Furniture"/>
    <s v="Chairs"/>
    <s v="Prime Chairs 215"/>
    <s v="Standard Class"/>
    <n v="5"/>
    <n v="2524.4"/>
    <n v="0.1"/>
    <s v="OK"/>
    <n v="11359.8"/>
    <n v="7062.44"/>
    <n v="4297.3599999999997"/>
    <s v="Paid"/>
    <s v="Completed"/>
    <n v="0.1"/>
    <n v="11359.800000000001"/>
    <n v="4297.3600000000015"/>
    <n v="37.829539252451639"/>
    <n v="10"/>
    <n v="2024"/>
    <s v="CLEAN"/>
  </r>
  <r>
    <s v="ORD-2024-10529"/>
    <d v="2024-10-07T00:00:00"/>
    <d v="2024-09-10T00:00:00"/>
    <n v="-27"/>
    <s v="INVALID"/>
    <s v="CUST-2390"/>
    <s v="Diya Patel"/>
    <s v="Consumer"/>
    <x v="2"/>
    <s v="Tamil Nadu"/>
    <s v="Chennai"/>
    <s v="Office Supplies"/>
    <s v="Binders"/>
    <s v="Eco Binders 855"/>
    <s v="Standard Class"/>
    <n v="9"/>
    <n v="3457.09"/>
    <n v="0.05"/>
    <s v="OK"/>
    <n v="29558.12"/>
    <n v="21302.13"/>
    <n v="8255.99"/>
    <s v="Pending"/>
    <s v="Returned"/>
    <n v="0.05"/>
    <n v="29558.119500000001"/>
    <n v="8255.9894999999997"/>
    <n v="27.931376013281223"/>
    <n v="10"/>
    <n v="2024"/>
    <s v="INVALID"/>
  </r>
  <r>
    <s v="ORD-2024-10530"/>
    <d v="2024-02-06T00:00:00"/>
    <d v="2024-02-08T00:00:00"/>
    <n v="2"/>
    <s v="OK"/>
    <s v="CUST-3362"/>
    <s v="Karan Malhotra"/>
    <s v="Consumer"/>
    <x v="1"/>
    <s v="Jharkhand"/>
    <s v="Ranchi"/>
    <s v="Furniture"/>
    <s v="Bookcases"/>
    <s v="Classic Bookcases 947"/>
    <s v="Second Class"/>
    <n v="9"/>
    <n v="1822.25"/>
    <n v="0"/>
    <s v="OK"/>
    <n v="16400.25"/>
    <n v="12146.96"/>
    <n v="4253.29"/>
    <s v="Paid"/>
    <s v="Completed"/>
    <n v="0"/>
    <n v="16400.25"/>
    <n v="4253.2900000000009"/>
    <n v="25.934299782015525"/>
    <n v="2"/>
    <n v="2024"/>
    <s v="CLEAN"/>
  </r>
  <r>
    <s v="ORD-2024-10532"/>
    <d v="2024-08-01T00:00:00"/>
    <d v="2024-08-08T00:00:00"/>
    <n v="7"/>
    <s v="OK"/>
    <s v="CUST-6357"/>
    <s v="Diya Patel"/>
    <s v="Small Business"/>
    <x v="3"/>
    <s v="Maharashtra"/>
    <s v="Mumbai"/>
    <s v="Office Supplies"/>
    <s v="Storage"/>
    <s v="Pro Storage 364"/>
    <s v="Unknown"/>
    <n v="1"/>
    <n v="442.97"/>
    <n v="0.1"/>
    <s v="OK"/>
    <n v="398.67"/>
    <n v="311.66000000000003"/>
    <n v="87.01"/>
    <s v="Paid"/>
    <s v="Completed"/>
    <n v="0.1"/>
    <n v="398.67300000000006"/>
    <n v="87.013000000000034"/>
    <n v="21.825656615822997"/>
    <n v="8"/>
    <n v="2024"/>
    <s v="CLEAN"/>
  </r>
  <r>
    <s v="ORD-2024-10534"/>
    <d v="2024-08-25T00:00:00"/>
    <d v="2024-09-01T00:00:00"/>
    <n v="7"/>
    <s v="OK"/>
    <s v="CUST-4487"/>
    <s v="Isha Nair"/>
    <s v="Home Office"/>
    <x v="0"/>
    <s v="Rajasthan"/>
    <s v="Jaipur"/>
    <s v="Furniture"/>
    <s v="Tables"/>
    <s v="Smart Tables 659"/>
    <s v="Same Day"/>
    <n v="6"/>
    <n v="481.3"/>
    <n v="0.25"/>
    <s v="OK"/>
    <n v="2165.85"/>
    <n v="2124.48"/>
    <n v="430.45"/>
    <s v="Paid"/>
    <s v="Completed"/>
    <n v="0.25"/>
    <n v="2165.8500000000004"/>
    <n v="41.370000000000346"/>
    <n v="1.9101045778793699"/>
    <n v="8"/>
    <n v="2024"/>
    <s v="CLEAN"/>
  </r>
  <r>
    <s v="ORD-2024-10536"/>
    <d v="2024-05-19T00:00:00"/>
    <d v="2024-05-21T00:00:00"/>
    <n v="2"/>
    <s v="OK"/>
    <s v="CUST-1729"/>
    <s v="Diya Patel"/>
    <s v="Small Business"/>
    <x v="3"/>
    <s v="Maharashtra"/>
    <s v="Mumbai"/>
    <s v="Technology"/>
    <s v="Copiers"/>
    <s v="Eco Copiers 243"/>
    <s v="First Class"/>
    <n v="3"/>
    <n v="4000.98"/>
    <n v="0.2"/>
    <s v="OK"/>
    <n v="9602.35"/>
    <n v="7387.57"/>
    <n v="2214.7800000000002"/>
    <s v="Paid"/>
    <s v="Completed"/>
    <n v="0.2"/>
    <n v="9602.3520000000008"/>
    <n v="2214.7820000000011"/>
    <n v="23.064994909580495"/>
    <n v="5"/>
    <n v="2024"/>
    <s v="CLEAN"/>
  </r>
  <r>
    <s v="ORD-2024-10539"/>
    <d v="2024-09-25T00:00:00"/>
    <d v="2024-01-10T00:00:00"/>
    <n v="-259"/>
    <s v="INVALID"/>
    <s v="CUST-5381"/>
    <s v="Diya Patel"/>
    <s v="Small Business"/>
    <x v="1"/>
    <s v="Jharkhand"/>
    <s v="Ranchi"/>
    <s v="Furniture"/>
    <s v="Tables"/>
    <s v="Elite Tables 888"/>
    <s v="Second Class"/>
    <n v="9"/>
    <n v="3908.6"/>
    <n v="0.15"/>
    <s v="OK"/>
    <n v="29900.79"/>
    <n v="24650.67"/>
    <n v="5250.12"/>
    <s v="Paid"/>
    <s v="Completed"/>
    <n v="0.15"/>
    <n v="29900.79"/>
    <n v="5250.1200000000026"/>
    <n v="17.558465846554565"/>
    <n v="9"/>
    <n v="2024"/>
    <s v="INVALID"/>
  </r>
  <r>
    <s v="ORD-2024-10541"/>
    <d v="2024-02-26T00:00:00"/>
    <d v="2024-02-23T00:00:00"/>
    <n v="-3"/>
    <s v="INVALID"/>
    <s v="CUST-7563"/>
    <s v="Kabir Singh"/>
    <s v="Consumer"/>
    <x v="3"/>
    <s v="Gujarat"/>
    <s v="Ahmedabad"/>
    <s v="Furniture"/>
    <s v="Furnishings"/>
    <s v="Basic Furnishings 350"/>
    <s v="Standard Class"/>
    <n v="7"/>
    <n v="3852.07"/>
    <n v="0.2"/>
    <s v="OK"/>
    <n v="21571.59"/>
    <n v="17118.07"/>
    <n v="4453.5200000000004"/>
    <s v="Paid"/>
    <s v="Completed"/>
    <n v="0.2"/>
    <n v="21571.592000000004"/>
    <n v="4453.5220000000045"/>
    <n v="20.645309813017061"/>
    <n v="2"/>
    <n v="2024"/>
    <s v="INVALID"/>
  </r>
  <r>
    <s v="ORD-2024-10544"/>
    <d v="2024-07-14T00:00:00"/>
    <d v="2024-07-20T00:00:00"/>
    <n v="6"/>
    <s v="OK"/>
    <s v="CUST-9094"/>
    <s v="Mira Das"/>
    <s v="Consumer"/>
    <x v="1"/>
    <s v="Bihar"/>
    <s v="Patna"/>
    <s v="Technology"/>
    <s v="Copiers"/>
    <s v="Max Copiers 440"/>
    <s v="Same Day"/>
    <n v="1"/>
    <n v="492.67"/>
    <n v="0.15"/>
    <s v="OK"/>
    <n v="418.77"/>
    <n v="313.72000000000003"/>
    <n v="105.05"/>
    <s v="Paid"/>
    <s v="Completed"/>
    <n v="0.15"/>
    <n v="418.76949999999999"/>
    <n v="105.04949999999997"/>
    <n v="25.085279610859907"/>
    <n v="7"/>
    <n v="2024"/>
    <s v="CLEAN"/>
  </r>
  <r>
    <s v="ORD-2024-10546"/>
    <d v="2024-05-27T00:00:00"/>
    <d v="2024-05-30T00:00:00"/>
    <n v="3"/>
    <s v="OK"/>
    <s v="CUST-7168"/>
    <s v="Kabir Singh"/>
    <s v="Small Business"/>
    <x v="1"/>
    <s v="Jharkhand"/>
    <s v="Ranchi"/>
    <s v="Office Supplies"/>
    <s v="Storage"/>
    <s v="Classic Storage 755"/>
    <s v="Same Day"/>
    <n v="7"/>
    <n v="2900.86"/>
    <n v="0.15"/>
    <s v="OK"/>
    <n v="17260.12"/>
    <n v="13513.51"/>
    <n v="3746.61"/>
    <s v="Paid"/>
    <s v="Completed"/>
    <n v="0.15"/>
    <n v="17260.116999999998"/>
    <n v="3746.6069999999982"/>
    <n v="21.706730029697933"/>
    <n v="5"/>
    <n v="2024"/>
    <s v="CLEAN"/>
  </r>
  <r>
    <s v="ORD-2024-10548"/>
    <d v="2024-05-16T00:00:00"/>
    <d v="2024-05-23T00:00:00"/>
    <n v="7"/>
    <s v="OK"/>
    <s v="CUST-9146"/>
    <s v="Neha Gupta"/>
    <s v="Small Business"/>
    <x v="0"/>
    <s v="Uttar Pradesh"/>
    <s v="Noida"/>
    <s v="Technology"/>
    <s v="Copiers"/>
    <s v="Max Copiers 607"/>
    <s v="Standard Class"/>
    <n v="9"/>
    <n v="3722.09"/>
    <n v="0.1"/>
    <s v="OK"/>
    <n v="30148.93"/>
    <n v="25155.07"/>
    <n v="4993.8599999999997"/>
    <s v="Paid"/>
    <s v="Completed"/>
    <n v="0.1"/>
    <n v="30148.929"/>
    <n v="4993.8590000000004"/>
    <n v="16.563968159532301"/>
    <n v="5"/>
    <n v="2024"/>
    <s v="CLEAN"/>
  </r>
  <r>
    <s v="ORD-2024-10551"/>
    <d v="2024-02-08T00:00:00"/>
    <d v="2024-08-10T00:00:00"/>
    <n v="184"/>
    <s v="OK"/>
    <s v="CUST-8687"/>
    <s v="Mira Das"/>
    <s v="Home Office"/>
    <x v="1"/>
    <s v="Odisha"/>
    <s v="Bhubaneswar"/>
    <s v="Technology"/>
    <s v="Accessories"/>
    <s v="Max Accessories 591"/>
    <s v="Standard Class"/>
    <n v="6"/>
    <n v="2126.44"/>
    <n v="0.2"/>
    <s v="OK"/>
    <n v="10206.91"/>
    <n v="6764.53"/>
    <n v="3442.38"/>
    <s v="Paid"/>
    <s v="Completed"/>
    <n v="0.2"/>
    <n v="10206.912"/>
    <n v="3442.3820000000005"/>
    <n v="33.725988820125039"/>
    <n v="2"/>
    <n v="2024"/>
    <s v="CLEAN"/>
  </r>
  <r>
    <s v="ORD-2024-10552"/>
    <d v="2024-02-27T00:00:00"/>
    <d v="2024-02-27T00:00:00"/>
    <n v="0"/>
    <s v="OK"/>
    <s v="CUST-8172"/>
    <s v="Sneha Kapoor"/>
    <s v="Consumer"/>
    <x v="1"/>
    <s v="Jharkhand"/>
    <s v="Ranchi"/>
    <s v="Furniture"/>
    <s v="Chairs"/>
    <s v="Elite Chairs 314"/>
    <s v="Second Class"/>
    <n v="3"/>
    <n v="3148.09"/>
    <n v="0.15"/>
    <s v="OK"/>
    <n v="8027.63"/>
    <n v="5496.09"/>
    <n v="2531.54"/>
    <s v="Paid"/>
    <s v="Completed"/>
    <n v="0.15"/>
    <n v="8027.6295"/>
    <n v="2531.5394999999999"/>
    <n v="31.535330572991686"/>
    <n v="2"/>
    <n v="2024"/>
    <s v="CLEAN"/>
  </r>
  <r>
    <s v="ORD-2024-10555"/>
    <d v="2024-10-12T00:00:00"/>
    <d v="2024-10-17T00:00:00"/>
    <n v="5"/>
    <s v="OK"/>
    <s v="CUST-2126"/>
    <s v="Arjun Bose"/>
    <s v="Consumer"/>
    <x v="4"/>
    <s v="Jharkhand"/>
    <s v="Ranchi"/>
    <s v="Furniture"/>
    <s v="Furnishings"/>
    <s v="Prime Furnishings 892"/>
    <s v="Standard Class"/>
    <n v="4"/>
    <n v="1071.22"/>
    <n v="0.05"/>
    <s v="OK"/>
    <n v="4070.64"/>
    <n v="2831.62"/>
    <n v="1239.02"/>
    <s v="Paid"/>
    <s v="Completed"/>
    <n v="0.05"/>
    <n v="4070.636"/>
    <n v="1239.0160000000001"/>
    <n v="30.43789717380773"/>
    <n v="10"/>
    <n v="2024"/>
    <s v="CLEAN"/>
  </r>
  <r>
    <s v="ORD-2024-10557"/>
    <d v="2024-06-23T00:00:00"/>
    <d v="2024-06-29T00:00:00"/>
    <n v="6"/>
    <s v="OK"/>
    <s v="CUST-1992"/>
    <s v="Neha Gupta"/>
    <s v="Consumer"/>
    <x v="0"/>
    <s v="Haryana"/>
    <s v="Gurugram"/>
    <s v="Furniture"/>
    <s v="Tables"/>
    <s v="Classic Tables 769"/>
    <s v="First Class"/>
    <n v="1"/>
    <n v="4426.66"/>
    <n v="0"/>
    <s v="OK"/>
    <n v="4426.66"/>
    <n v="3035.2"/>
    <n v="1816.23"/>
    <s v="Paid"/>
    <s v="Returned"/>
    <n v="0"/>
    <n v="4426.66"/>
    <n v="1391.46"/>
    <n v="31.433631677156143"/>
    <n v="6"/>
    <n v="2024"/>
    <s v="CLEAN"/>
  </r>
  <r>
    <s v="ORD-2024-10565"/>
    <d v="2024-11-10T00:00:00"/>
    <d v="2024-11-14T00:00:00"/>
    <n v="4"/>
    <s v="OK"/>
    <s v="CUST-9100"/>
    <s v="Sneha Kapoor"/>
    <s v="Corporate"/>
    <x v="2"/>
    <s v="Andhra Pradesh"/>
    <s v="Vijayawada"/>
    <s v="Furniture"/>
    <s v="Tables"/>
    <s v="Basic Tables 759"/>
    <s v="First Class"/>
    <n v="2"/>
    <n v="921.34"/>
    <n v="0.2"/>
    <s v="OK"/>
    <n v="1474.14"/>
    <n v="968.46"/>
    <n v="505.68"/>
    <s v="Paid"/>
    <s v="Completed"/>
    <n v="0.2"/>
    <n v="1474.1440000000002"/>
    <n v="505.6840000000002"/>
    <n v="34.303568715132315"/>
    <n v="11"/>
    <n v="2024"/>
    <s v="CLEAN"/>
  </r>
  <r>
    <s v="ORD-2024-10568"/>
    <d v="2024-02-06T00:00:00"/>
    <d v="2024-10-02T00:00:00"/>
    <n v="239"/>
    <s v="OK"/>
    <s v="CUST-3128"/>
    <s v="Arjun Bose"/>
    <s v="Home Office"/>
    <x v="0"/>
    <s v="Uttar Pradesh"/>
    <s v="Noida"/>
    <s v="Furniture"/>
    <s v="Furnishings"/>
    <s v="Pro Furnishings 108"/>
    <s v="Same Day"/>
    <n v="1"/>
    <n v="1374.06"/>
    <n v="0.05"/>
    <s v="OK"/>
    <n v="1305.3599999999999"/>
    <n v="731.89"/>
    <n v="573.47"/>
    <s v="Paid"/>
    <s v="Completed"/>
    <n v="0.05"/>
    <n v="1305.357"/>
    <n v="573.46699999999998"/>
    <n v="43.931813289391329"/>
    <n v="2"/>
    <n v="2024"/>
    <s v="CLEAN"/>
  </r>
  <r>
    <s v="ORD-2024-10569"/>
    <d v="2024-01-21T00:00:00"/>
    <d v="2024-01-24T00:00:00"/>
    <n v="3"/>
    <s v="OK"/>
    <s v="CUST-4604"/>
    <s v="Kabir Singh"/>
    <s v="Corporate"/>
    <x v="0"/>
    <s v="Punjab"/>
    <s v="Ludhiana"/>
    <s v="Technology"/>
    <s v="Machines"/>
    <s v="Classic Machines 522"/>
    <s v="Same Day"/>
    <n v="1"/>
    <n v="3806.3"/>
    <n v="0.25"/>
    <s v="OK"/>
    <n v="2854.73"/>
    <n v="1968.12"/>
    <n v="886.61"/>
    <s v="Paid"/>
    <s v="Completed"/>
    <n v="0.25"/>
    <n v="2854.7250000000004"/>
    <n v="886.60500000000047"/>
    <n v="31.057457373302171"/>
    <n v="1"/>
    <n v="2024"/>
    <s v="CLEAN"/>
  </r>
  <r>
    <s v="ORD-2024-10573"/>
    <d v="2024-01-02T00:00:00"/>
    <d v="2024-09-01T00:00:00"/>
    <n v="243"/>
    <s v="OK"/>
    <s v="CUST-8633"/>
    <s v="Diya Patel"/>
    <s v="Corporate"/>
    <x v="0"/>
    <s v="Delhi"/>
    <s v="New Delhi"/>
    <s v="Technology"/>
    <s v="Phones"/>
    <s v="Eco Phones 368"/>
    <s v="Standard Class"/>
    <n v="3"/>
    <n v="739.56"/>
    <n v="0.2"/>
    <s v="OK"/>
    <n v="1774.94"/>
    <n v="1007.4"/>
    <n v="767.54"/>
    <s v="Paid"/>
    <s v="Completed"/>
    <n v="0.2"/>
    <n v="1774.944"/>
    <n v="767.54399999999998"/>
    <n v="43.24327978798204"/>
    <n v="1"/>
    <n v="2024"/>
    <s v="CLEAN"/>
  </r>
  <r>
    <s v="ORD-2024-10575"/>
    <d v="2024-02-20T00:00:00"/>
    <d v="2024-02-25T00:00:00"/>
    <n v="5"/>
    <s v="OK"/>
    <s v="CUST-9139"/>
    <s v="Diya Patel"/>
    <s v="Home Office"/>
    <x v="0"/>
    <s v="Punjab"/>
    <s v="Ludhiana"/>
    <s v="Technology"/>
    <s v="Machines"/>
    <s v="Smart Machines 566"/>
    <s v="Standard Class"/>
    <n v="4"/>
    <n v="1355.8"/>
    <n v="0"/>
    <s v="OK"/>
    <n v="5423.2"/>
    <n v="4072.44"/>
    <n v="1350.76"/>
    <s v="Paid"/>
    <s v="Completed"/>
    <n v="0"/>
    <n v="5423.2"/>
    <n v="1350.7599999999998"/>
    <n v="24.907065938929044"/>
    <n v="2"/>
    <n v="2024"/>
    <s v="CLEAN"/>
  </r>
  <r>
    <s v="ORD-2024-10579"/>
    <d v="2024-02-21T00:00:00"/>
    <d v="2024-02-23T00:00:00"/>
    <n v="2"/>
    <s v="OK"/>
    <s v="CUST-4900"/>
    <s v="Neha Gupta"/>
    <s v="Small Business"/>
    <x v="3"/>
    <s v="Gujarat"/>
    <s v="Ahmedabad"/>
    <s v="Technology"/>
    <s v="Copiers"/>
    <s v="Elite Copiers 682"/>
    <s v="First Class"/>
    <n v="6"/>
    <n v="2633.65"/>
    <n v="0.05"/>
    <s v="OK"/>
    <n v="15011.81"/>
    <n v="9660.36"/>
    <n v="5351.45"/>
    <s v="Paid"/>
    <s v="Completed"/>
    <n v="0.05"/>
    <n v="15011.805"/>
    <n v="5351.4449999999997"/>
    <n v="35.648244831317747"/>
    <n v="2"/>
    <n v="2024"/>
    <s v="CLEAN"/>
  </r>
  <r>
    <s v="ORD-2024-10580"/>
    <d v="2024-06-19T00:00:00"/>
    <d v="2024-06-24T00:00:00"/>
    <n v="5"/>
    <s v="OK"/>
    <s v="CUST-9617"/>
    <s v="Aarav Sharma"/>
    <s v="Small Business"/>
    <x v="2"/>
    <s v="Tamil Nadu"/>
    <s v="Chennai"/>
    <s v="Office Supplies"/>
    <s v="Storage"/>
    <s v="Pro Storage 482"/>
    <s v="Same Day"/>
    <n v="1"/>
    <n v="3202.41"/>
    <n v="0"/>
    <s v="OK"/>
    <n v="3202.41"/>
    <n v="2608.44"/>
    <n v="593.97"/>
    <s v="Paid"/>
    <s v="Completed"/>
    <n v="0"/>
    <n v="3202.41"/>
    <n v="593.9699999999998"/>
    <n v="18.547593843386696"/>
    <n v="6"/>
    <n v="2024"/>
    <s v="CLEAN"/>
  </r>
  <r>
    <s v="ORD-2024-10583"/>
    <d v="2024-10-15T00:00:00"/>
    <d v="2024-10-20T00:00:00"/>
    <n v="5"/>
    <s v="OK"/>
    <s v="CUST-2088"/>
    <s v="Ananya Rao"/>
    <s v="Consumer"/>
    <x v="1"/>
    <s v="Odisha"/>
    <s v="Bhubaneswar"/>
    <s v="Office Supplies"/>
    <s v="Art"/>
    <s v="Basic Art 174"/>
    <s v="First Class"/>
    <n v="5"/>
    <n v="671.24"/>
    <n v="0"/>
    <s v="OK"/>
    <n v="3356.2"/>
    <n v="2205.7199999999998"/>
    <n v="1150.48"/>
    <s v="Pending"/>
    <s v="Returned"/>
    <n v="0"/>
    <n v="3356.2"/>
    <n v="1150.48"/>
    <n v="34.279244383528997"/>
    <n v="10"/>
    <n v="2024"/>
    <s v="CLEAN"/>
  </r>
  <r>
    <s v="ORD-2024-10585"/>
    <d v="2024-08-04T00:00:00"/>
    <d v="2024-10-08T00:00:00"/>
    <n v="65"/>
    <s v="OK"/>
    <s v="CUST-4894"/>
    <s v="Vikram Iyer"/>
    <s v="Consumer"/>
    <x v="1"/>
    <s v="Bihar"/>
    <s v="Patna"/>
    <s v="Office Supplies"/>
    <s v="Art"/>
    <s v="Pro Art 172"/>
    <s v="Same Day"/>
    <n v="1"/>
    <n v="984.93"/>
    <n v="0.15"/>
    <s v="OK"/>
    <n v="837.19"/>
    <n v="583.79"/>
    <n v="253.4"/>
    <s v="Pending"/>
    <s v="Returned"/>
    <n v="0.15"/>
    <n v="837.19049999999993"/>
    <n v="253.40049999999997"/>
    <n v="30.2679617124179"/>
    <n v="8"/>
    <n v="2024"/>
    <s v="CLEAN"/>
  </r>
  <r>
    <s v="ORD-2024-10590"/>
    <d v="2024-12-06T00:00:00"/>
    <d v="2024-12-12T00:00:00"/>
    <n v="6"/>
    <s v="OK"/>
    <s v="CUST-7846"/>
    <s v="Rohan Mehta"/>
    <s v="Corporate"/>
    <x v="0"/>
    <s v="Uttar Pradesh"/>
    <s v="Noida"/>
    <s v="Technology"/>
    <s v="Phones"/>
    <s v="Max Phones 318"/>
    <s v="First Class"/>
    <n v="3"/>
    <n v="524.75"/>
    <n v="0"/>
    <s v="OK"/>
    <n v="1574.25"/>
    <n v="1326.12"/>
    <n v="248.13"/>
    <s v="Paid"/>
    <s v="Completed"/>
    <n v="0"/>
    <n v="1574.25"/>
    <n v="248.13000000000011"/>
    <n v="15.761791329204389"/>
    <n v="12"/>
    <n v="2024"/>
    <s v="CLEAN"/>
  </r>
  <r>
    <s v="ORD-2024-10593"/>
    <d v="2024-04-03T00:00:00"/>
    <d v="2024-03-09T00:00:00"/>
    <n v="-25"/>
    <s v="INVALID"/>
    <s v="CUST-3559"/>
    <s v="Mira Das"/>
    <s v="Consumer"/>
    <x v="1"/>
    <s v="West Bengal"/>
    <s v="Kolkata"/>
    <s v="Technology"/>
    <s v="Accessories"/>
    <s v="Classic Accessories 131"/>
    <s v="Same Day"/>
    <n v="8"/>
    <n v="4401.41"/>
    <n v="0.15"/>
    <s v="OK"/>
    <n v="29929.59"/>
    <n v="22436.03"/>
    <n v="7493.56"/>
    <s v="Paid"/>
    <s v="Completed"/>
    <n v="0.15"/>
    <n v="29929.588"/>
    <n v="7493.5580000000009"/>
    <n v="25.037290857461858"/>
    <n v="4"/>
    <n v="2024"/>
    <s v="INVALID"/>
  </r>
  <r>
    <s v="ORD-2024-10595"/>
    <d v="2024-09-19T00:00:00"/>
    <d v="2024-09-21T00:00:00"/>
    <n v="2"/>
    <s v="OK"/>
    <s v="CUST-6850"/>
    <s v="Karan Malhotra"/>
    <s v="Small Business"/>
    <x v="1"/>
    <s v="West Bengal"/>
    <s v="Kolkata"/>
    <s v="Furniture"/>
    <s v="Chairs"/>
    <s v="Basic Chairs 932"/>
    <s v="First Class"/>
    <n v="3"/>
    <n v="3981.76"/>
    <n v="0"/>
    <s v="OK"/>
    <n v="11945.28"/>
    <n v="9700.31"/>
    <n v="2244.9699999999998"/>
    <s v="Paid"/>
    <s v="Completed"/>
    <n v="0"/>
    <n v="11945.28"/>
    <n v="2244.9700000000012"/>
    <n v="18.793782983739192"/>
    <n v="9"/>
    <n v="2024"/>
    <s v="CLEAN"/>
  </r>
  <r>
    <s v="ORD-2024-10597"/>
    <d v="2024-04-10T00:00:00"/>
    <d v="2024-04-16T00:00:00"/>
    <n v="6"/>
    <s v="OK"/>
    <s v="CUST-2593"/>
    <s v="Aditi Sen"/>
    <s v="Consumer"/>
    <x v="2"/>
    <s v="Kerala"/>
    <s v="Kochi"/>
    <s v="Furniture"/>
    <s v="Chairs"/>
    <s v="Elite Chairs 700"/>
    <s v="Second Class"/>
    <n v="9"/>
    <n v="2723.26"/>
    <n v="0.25"/>
    <s v="OK"/>
    <n v="18382.009999999998"/>
    <n v="13108.2"/>
    <n v="5273.81"/>
    <s v="Paid"/>
    <s v="Completed"/>
    <n v="0.25"/>
    <n v="18382.005000000005"/>
    <n v="5273.8050000000039"/>
    <n v="28.690042245119628"/>
    <n v="4"/>
    <n v="2024"/>
    <s v="CLEAN"/>
  </r>
  <r>
    <s v="ORD-2024-10599"/>
    <d v="2024-08-17T00:00:00"/>
    <d v="2024-08-24T00:00:00"/>
    <n v="7"/>
    <s v="OK"/>
    <s v="CUST-8498"/>
    <s v="Ananya Rao"/>
    <s v="Corporate"/>
    <x v="1"/>
    <s v="West Bengal"/>
    <s v="Kolkata"/>
    <s v="Technology"/>
    <s v="Copiers"/>
    <s v="Eco Copiers 268"/>
    <s v="Same Day"/>
    <n v="3"/>
    <n v="1490.69"/>
    <n v="0.25"/>
    <s v="OK"/>
    <n v="3354.05"/>
    <n v="2672.67"/>
    <n v="681.38"/>
    <s v="Paid"/>
    <s v="Completed"/>
    <n v="0.25"/>
    <n v="3354.0524999999998"/>
    <n v="681.38249999999971"/>
    <n v="20.315200790685289"/>
    <n v="8"/>
    <n v="2024"/>
    <s v="CLEAN"/>
  </r>
  <r>
    <s v="ORD-2024-10600"/>
    <d v="2024-08-19T00:00:00"/>
    <d v="2024-08-21T00:00:00"/>
    <n v="2"/>
    <s v="OK"/>
    <s v="CUST-2612"/>
    <s v="Arjun Bose"/>
    <s v="Consumer"/>
    <x v="0"/>
    <s v="Punjab"/>
    <s v="Ludhiana"/>
    <s v="Technology"/>
    <s v="Phones"/>
    <s v="Pro Phones 588"/>
    <s v="First Class"/>
    <n v="3"/>
    <n v="1103.54"/>
    <n v="0.25"/>
    <s v="OK"/>
    <n v="2482.9699999999998"/>
    <n v="1621.72"/>
    <n v="861.25"/>
    <s v="Paid"/>
    <s v="Completed"/>
    <n v="0.25"/>
    <n v="2482.9650000000001"/>
    <n v="861.24500000000012"/>
    <n v="34.686151435884113"/>
    <n v="8"/>
    <n v="2024"/>
    <s v="CLEAN"/>
  </r>
  <r>
    <s v="ORD-2024-10602"/>
    <d v="2024-01-26T00:00:00"/>
    <d v="2024-01-31T00:00:00"/>
    <n v="5"/>
    <s v="OK"/>
    <s v="CUST-8289"/>
    <s v="Ananya Rao"/>
    <s v="Home Office"/>
    <x v="1"/>
    <s v="West Bengal"/>
    <s v="Kolkata"/>
    <s v="Office Supplies"/>
    <s v="Paper"/>
    <s v="Basic Paper 452"/>
    <s v="Second Class"/>
    <n v="5"/>
    <n v="1615.03"/>
    <n v="0.2"/>
    <s v="OK"/>
    <n v="6460.12"/>
    <n v="3604.03"/>
    <n v="2856.09"/>
    <s v="Paid"/>
    <s v="Completed"/>
    <n v="0.2"/>
    <n v="6460.12"/>
    <n v="2856.0899999999997"/>
    <n v="44.211098245853016"/>
    <n v="1"/>
    <n v="2024"/>
    <s v="CLEAN"/>
  </r>
  <r>
    <s v="ORD-2024-10603"/>
    <d v="2024-10-23T00:00:00"/>
    <d v="2024-10-30T00:00:00"/>
    <n v="7"/>
    <s v="OK"/>
    <s v="CUST-5668"/>
    <s v="Aarav Sharma"/>
    <s v="Consumer"/>
    <x v="1"/>
    <s v="Jharkhand"/>
    <s v="Ranchi"/>
    <s v="Technology"/>
    <s v="Copiers"/>
    <s v="Max Copiers 477"/>
    <s v="Second Class"/>
    <n v="9"/>
    <n v="3423.82"/>
    <n v="0.15"/>
    <s v="OK"/>
    <n v="26192.22"/>
    <n v="20795.55"/>
    <n v="5396.67"/>
    <s v="Paid"/>
    <s v="Completed"/>
    <n v="0.15"/>
    <n v="26192.223000000002"/>
    <n v="5396.6730000000025"/>
    <n v="20.60410450842604"/>
    <n v="10"/>
    <n v="2024"/>
    <s v="CLEAN"/>
  </r>
  <r>
    <s v="ORD-2024-10609"/>
    <d v="2024-06-21T00:00:00"/>
    <d v="2024-06-23T00:00:00"/>
    <n v="2"/>
    <s v="OK"/>
    <s v="CUST-7690"/>
    <s v="Karan Malhotra"/>
    <s v="Home Office"/>
    <x v="3"/>
    <s v="Goa"/>
    <s v="Panaji"/>
    <s v="Furniture"/>
    <s v="Furnishings"/>
    <s v="Elite Furnishings 706"/>
    <s v="Second Class"/>
    <n v="9"/>
    <n v="2153.75"/>
    <n v="0"/>
    <s v="OK"/>
    <n v="19383.75"/>
    <n v="11667.43"/>
    <n v="7716.32"/>
    <s v="Paid"/>
    <s v="Completed"/>
    <n v="0"/>
    <n v="19383.75"/>
    <n v="7716.32"/>
    <n v="39.808189849745276"/>
    <n v="6"/>
    <n v="2024"/>
    <s v="CLEAN"/>
  </r>
  <r>
    <s v="ORD-2024-10611"/>
    <d v="2024-05-20T00:00:00"/>
    <d v="2024-05-20T00:00:00"/>
    <n v="0"/>
    <s v="OK"/>
    <s v="CUST-2779"/>
    <s v="Karan Malhotra"/>
    <s v="Home Office"/>
    <x v="3"/>
    <s v="Madhya Pradesh"/>
    <s v="Indore"/>
    <s v="Furniture"/>
    <s v="Chairs"/>
    <s v="Pro Chairs 712"/>
    <s v="Standard Class"/>
    <n v="1"/>
    <n v="3032.95"/>
    <n v="0.1"/>
    <s v="OK"/>
    <n v="2729.65"/>
    <n v="1715.36"/>
    <n v="1014.29"/>
    <s v="Paid"/>
    <s v="Completed"/>
    <n v="0.1"/>
    <n v="2729.6549999999997"/>
    <n v="1014.2949999999998"/>
    <n v="37.158358840219734"/>
    <n v="5"/>
    <n v="2024"/>
    <s v="CLEAN"/>
  </r>
  <r>
    <s v="ORD-2024-10614"/>
    <d v="2024-10-05T00:00:00"/>
    <d v="2024-10-10T00:00:00"/>
    <n v="5"/>
    <s v="OK"/>
    <s v="CUST-9311"/>
    <s v="Diya Patel"/>
    <s v="Home Office"/>
    <x v="3"/>
    <s v="Gujarat"/>
    <s v="Ahmedabad"/>
    <s v="Technology"/>
    <s v="Machines"/>
    <s v="Basic Machines 413"/>
    <s v="Same Day"/>
    <n v="9"/>
    <n v="3361.3"/>
    <n v="0.25"/>
    <s v="OK"/>
    <n v="22688.78"/>
    <n v="14672.41"/>
    <n v="8016.37"/>
    <s v="Paid"/>
    <s v="Completed"/>
    <n v="0.25"/>
    <n v="22688.775000000001"/>
    <n v="8016.3650000000016"/>
    <n v="35.331854628555313"/>
    <n v="10"/>
    <n v="2024"/>
    <s v="CLEAN"/>
  </r>
  <r>
    <s v="ORD-2024-10616"/>
    <d v="2024-10-04T00:00:00"/>
    <d v="2024-10-07T00:00:00"/>
    <n v="3"/>
    <s v="OK"/>
    <s v="CUST-4462"/>
    <s v="Rahul Verma"/>
    <s v="Corporate"/>
    <x v="2"/>
    <s v="Kerala"/>
    <s v="Kochi"/>
    <s v="Office Supplies"/>
    <s v="Art"/>
    <s v="Basic Art 771"/>
    <s v="Second Class"/>
    <n v="2"/>
    <n v="3144.38"/>
    <n v="0.1"/>
    <s v="OK"/>
    <n v="5904.57"/>
    <n v="4337.79"/>
    <n v="1322.09"/>
    <s v="Paid"/>
    <s v="Completed"/>
    <n v="0.1"/>
    <n v="5659.884"/>
    <n v="1322.0940000000001"/>
    <n v="23.359029973052454"/>
    <n v="10"/>
    <n v="2024"/>
    <s v="CLEAN"/>
  </r>
  <r>
    <s v="ORD-2024-10617"/>
    <d v="2024-08-16T00:00:00"/>
    <d v="2024-08-19T00:00:00"/>
    <n v="3"/>
    <s v="OK"/>
    <s v="CUST-4660"/>
    <s v="Kabir Singh"/>
    <s v="Consumer"/>
    <x v="2"/>
    <s v="Telangana"/>
    <s v="Hyderabad"/>
    <s v="Office Supplies"/>
    <s v="Paper"/>
    <s v="Prime Paper 664"/>
    <s v="Standard Class"/>
    <n v="6"/>
    <n v="3925.55"/>
    <n v="0.2"/>
    <s v="OK"/>
    <n v="18842.64"/>
    <n v="11840.58"/>
    <n v="7002.06"/>
    <s v="Paid"/>
    <s v="Completed"/>
    <n v="0.2"/>
    <n v="18842.640000000003"/>
    <n v="7002.0600000000031"/>
    <n v="37.160716332743192"/>
    <n v="8"/>
    <n v="2024"/>
    <s v="CLEAN"/>
  </r>
  <r>
    <s v="ORD-2024-10618"/>
    <d v="2024-09-29T00:00:00"/>
    <d v="2024-09-30T00:00:00"/>
    <n v="1"/>
    <s v="OK"/>
    <s v="CUST-9002"/>
    <s v="Mira Das"/>
    <s v="Home Office"/>
    <x v="2"/>
    <s v="Telangana"/>
    <s v="Hyderabad"/>
    <s v="Technology"/>
    <s v="Phones"/>
    <s v="Pro Phones 226"/>
    <s v="Standard Class"/>
    <n v="9"/>
    <n v="2741.91"/>
    <n v="0"/>
    <s v="OK"/>
    <n v="24677.19"/>
    <n v="20350.849999999999"/>
    <n v="4326.34"/>
    <s v="Paid"/>
    <s v="Completed"/>
    <n v="0"/>
    <n v="24677.19"/>
    <n v="4326.34"/>
    <n v="17.531736798233513"/>
    <n v="9"/>
    <n v="2024"/>
    <s v="CLEAN"/>
  </r>
  <r>
    <s v="ORD-2024-10621"/>
    <d v="2024-08-18T00:00:00"/>
    <d v="2024-08-21T00:00:00"/>
    <n v="3"/>
    <s v="OK"/>
    <s v="CUST-6947"/>
    <s v="Vikram Iyer"/>
    <s v="Consumer"/>
    <x v="0"/>
    <s v="Uttar Pradesh"/>
    <s v="Noida"/>
    <s v="Technology"/>
    <s v="Machines"/>
    <s v="Classic Machines 337"/>
    <s v="Standard Class"/>
    <n v="9"/>
    <n v="734.34"/>
    <n v="0"/>
    <s v="OK"/>
    <n v="6609.06"/>
    <n v="4946.78"/>
    <n v="1662.28"/>
    <s v="Paid"/>
    <s v="Completed"/>
    <n v="0"/>
    <n v="6609.06"/>
    <n v="1662.2800000000007"/>
    <n v="25.151534408826681"/>
    <n v="8"/>
    <n v="2024"/>
    <s v="CLEAN"/>
  </r>
  <r>
    <s v="ORD-2024-10622"/>
    <d v="2024-11-28T00:00:00"/>
    <d v="2024-06-12T00:00:00"/>
    <n v="-169"/>
    <s v="INVALID"/>
    <s v="CUST-7236"/>
    <s v="Aditi Sen"/>
    <s v="Consumer"/>
    <x v="3"/>
    <s v="Maharashtra"/>
    <s v="Mumbai"/>
    <s v="Furniture"/>
    <s v="Chairs"/>
    <s v="Max Chairs 748"/>
    <s v="Same Day"/>
    <n v="5"/>
    <n v="1092.8399999999999"/>
    <n v="0"/>
    <s v="OK"/>
    <n v="5464.2"/>
    <n v="3318.09"/>
    <n v="2146.11"/>
    <s v="Paid"/>
    <s v="Completed"/>
    <n v="0"/>
    <n v="5464.2"/>
    <n v="2146.1099999999997"/>
    <n v="39.275831777753375"/>
    <n v="11"/>
    <n v="2024"/>
    <s v="INVALID"/>
  </r>
  <r>
    <s v="ORD-2024-10624"/>
    <d v="2024-08-08T00:00:00"/>
    <d v="2024-08-14T00:00:00"/>
    <n v="6"/>
    <s v="OK"/>
    <s v="CUST-6262"/>
    <s v="Vikram Iyer"/>
    <s v="Home Office"/>
    <x v="0"/>
    <s v="Punjab"/>
    <s v="Ludhiana"/>
    <s v="Office Supplies"/>
    <s v="Storage"/>
    <s v="Pro Storage 509"/>
    <s v="Second Class"/>
    <n v="8"/>
    <n v="1359.19"/>
    <n v="0.05"/>
    <s v="OK"/>
    <n v="10329.84"/>
    <n v="7512.22"/>
    <n v="2817.62"/>
    <s v="Paid"/>
    <s v="Completed"/>
    <n v="0.05"/>
    <n v="10329.843999999999"/>
    <n v="2817.6239999999989"/>
    <n v="27.27653970379416"/>
    <n v="8"/>
    <n v="2024"/>
    <s v="CLEAN"/>
  </r>
  <r>
    <s v="ORD-2024-10625"/>
    <d v="2024-01-30T00:00:00"/>
    <d v="2024-02-01T00:00:00"/>
    <n v="2"/>
    <s v="OK"/>
    <s v="CUST-5070"/>
    <s v="Neha Gupta"/>
    <s v="Home Office"/>
    <x v="1"/>
    <s v="Assam"/>
    <s v="Guwahati"/>
    <s v="Furniture"/>
    <s v="Chairs"/>
    <s v="Prime Chairs 765"/>
    <s v="First Class"/>
    <n v="2"/>
    <n v="4451.03"/>
    <n v="0.05"/>
    <s v="OK"/>
    <n v="8456.9599999999991"/>
    <n v="5462.85"/>
    <n v="2994.11"/>
    <s v="Paid"/>
    <s v="Completed"/>
    <n v="0.05"/>
    <n v="8456.9569999999985"/>
    <n v="2994.1069999999982"/>
    <n v="35.4040702820175"/>
    <n v="1"/>
    <n v="2024"/>
    <s v="CLEAN"/>
  </r>
  <r>
    <s v="ORD-2024-10626"/>
    <d v="2024-12-15T00:00:00"/>
    <d v="2024-12-21T00:00:00"/>
    <n v="6"/>
    <s v="OK"/>
    <s v="CUST-7946"/>
    <s v="Diya Patel"/>
    <s v="Corporate"/>
    <x v="3"/>
    <s v="Rajasthan"/>
    <s v="Udaipur"/>
    <s v="Furniture"/>
    <s v="Chairs"/>
    <s v="Elite Chairs 358"/>
    <s v="Same Day"/>
    <n v="3"/>
    <n v="527.66999999999996"/>
    <n v="0.2"/>
    <s v="OK"/>
    <n v="1266.4100000000001"/>
    <n v="983.92"/>
    <n v="282.49"/>
    <s v="Paid"/>
    <s v="Completed"/>
    <n v="0.2"/>
    <n v="1266.4079999999999"/>
    <n v="282.48799999999994"/>
    <n v="22.306239379410108"/>
    <n v="12"/>
    <n v="2024"/>
    <s v="CLEAN"/>
  </r>
  <r>
    <s v="ORD-2024-10631"/>
    <d v="2024-04-09T00:00:00"/>
    <d v="2024-04-10T00:00:00"/>
    <n v="1"/>
    <s v="OK"/>
    <s v="CUST-6075"/>
    <s v="Priya Menon"/>
    <s v="Corporate"/>
    <x v="1"/>
    <s v="Assam"/>
    <s v="Guwahati"/>
    <s v="Office Supplies"/>
    <s v="Paper"/>
    <s v="Elite Paper 239"/>
    <s v="Standard Class"/>
    <n v="4"/>
    <n v="3047.05"/>
    <n v="0.1"/>
    <s v="OK"/>
    <n v="10969.38"/>
    <n v="9254.4599999999991"/>
    <n v="1714.92"/>
    <s v="Paid"/>
    <s v="Completed"/>
    <n v="0.1"/>
    <n v="10969.380000000001"/>
    <n v="1714.9200000000019"/>
    <n v="15.633700354988173"/>
    <n v="4"/>
    <n v="2024"/>
    <s v="CLEAN"/>
  </r>
  <r>
    <s v="ORD-2024-10632"/>
    <d v="2024-04-10T00:00:00"/>
    <d v="2024-04-15T00:00:00"/>
    <n v="5"/>
    <s v="OK"/>
    <s v="CUST-6381"/>
    <s v="Aarav Sharma"/>
    <s v="Home Office"/>
    <x v="3"/>
    <s v="Rajasthan"/>
    <s v="Udaipur"/>
    <s v="Furniture"/>
    <s v="Chairs"/>
    <s v="Eco Chairs 452"/>
    <s v="Standard Class"/>
    <n v="8"/>
    <n v="4362.4799999999996"/>
    <n v="0.1"/>
    <s v="OK"/>
    <n v="31409.86"/>
    <n v="22523.54"/>
    <n v="8886.32"/>
    <s v="Paid"/>
    <s v="Completed"/>
    <n v="0.1"/>
    <n v="31409.855999999996"/>
    <n v="8886.3159999999953"/>
    <n v="28.29148914277097"/>
    <n v="4"/>
    <n v="2024"/>
    <s v="CLEAN"/>
  </r>
  <r>
    <s v="ORD-2024-10636"/>
    <d v="2024-05-20T00:00:00"/>
    <d v="2024-05-25T00:00:00"/>
    <n v="5"/>
    <s v="OK"/>
    <s v="CUST-7931"/>
    <s v="Mira Das"/>
    <s v="Corporate"/>
    <x v="2"/>
    <s v="Andhra Pradesh"/>
    <s v="Vijayawada"/>
    <s v="Furniture"/>
    <s v="Chairs"/>
    <s v="Max Chairs 305"/>
    <s v="Same Day"/>
    <n v="7"/>
    <n v="3122.85"/>
    <n v="0.25"/>
    <s v="OK"/>
    <n v="16394.96"/>
    <n v="10404.17"/>
    <n v="5990.79"/>
    <s v="Paid"/>
    <s v="Completed"/>
    <n v="0.25"/>
    <n v="16394.962500000001"/>
    <n v="5990.7925000000014"/>
    <n v="36.540446493854446"/>
    <n v="5"/>
    <n v="2024"/>
    <s v="CLEAN"/>
  </r>
  <r>
    <s v="ORD-2024-10637"/>
    <d v="2024-10-02T00:00:00"/>
    <d v="2024-10-09T00:00:00"/>
    <n v="7"/>
    <s v="OK"/>
    <s v="CUST-7221"/>
    <s v="Ananya Rao"/>
    <s v="Consumer"/>
    <x v="2"/>
    <s v="Tamil Nadu"/>
    <s v="Chennai"/>
    <s v="Office Supplies"/>
    <s v="Paper"/>
    <s v="Smart Paper 872"/>
    <s v="Standard Class"/>
    <n v="8"/>
    <n v="1910.31"/>
    <n v="0.15"/>
    <s v="OK"/>
    <n v="12990.11"/>
    <n v="10200.799999999999"/>
    <n v="2789.31"/>
    <s v="Paid"/>
    <s v="Completed"/>
    <n v="0.15"/>
    <n v="12990.108"/>
    <n v="2789.3080000000009"/>
    <n v="21.47255434673831"/>
    <n v="10"/>
    <n v="2024"/>
    <s v="CLEAN"/>
  </r>
  <r>
    <s v="ORD-2024-10638"/>
    <d v="2024-05-26T00:00:00"/>
    <d v="2024-05-26T00:00:00"/>
    <n v="0"/>
    <s v="OK"/>
    <s v="CUST-2594"/>
    <s v="Rahul Verma"/>
    <s v="Small Business"/>
    <x v="3"/>
    <s v="Goa"/>
    <s v="Panaji"/>
    <s v="Technology"/>
    <s v="Copiers"/>
    <s v="Max Copiers 994"/>
    <s v="First Class"/>
    <n v="2"/>
    <n v="3192.47"/>
    <n v="0.2"/>
    <s v="OK"/>
    <n v="5107.95"/>
    <n v="3133.08"/>
    <n v="1974.87"/>
    <s v="Paid"/>
    <s v="Completed"/>
    <n v="0.2"/>
    <n v="5107.9520000000002"/>
    <n v="1974.8720000000003"/>
    <n v="38.6626969086632"/>
    <n v="5"/>
    <n v="2024"/>
    <s v="CLEAN"/>
  </r>
  <r>
    <s v="ORD-2024-10640"/>
    <d v="2024-12-27T00:00:00"/>
    <d v="2024-12-31T00:00:00"/>
    <n v="4"/>
    <s v="OK"/>
    <s v="CUST-6829"/>
    <s v="Isha Nair"/>
    <s v="Small Business"/>
    <x v="1"/>
    <s v="Odisha"/>
    <s v="Bhubaneswar"/>
    <s v="Furniture"/>
    <s v="Chairs"/>
    <s v="Elite Chairs 744"/>
    <s v="Second Class"/>
    <n v="1"/>
    <n v="1594.7"/>
    <n v="0.05"/>
    <s v="OK"/>
    <n v="1514.96"/>
    <n v="1046.17"/>
    <n v="468.79"/>
    <s v="Paid"/>
    <s v="Completed"/>
    <n v="0.05"/>
    <n v="1514.9649999999999"/>
    <n v="468.79499999999985"/>
    <n v="30.944279240774531"/>
    <n v="12"/>
    <n v="2024"/>
    <s v="CLEAN"/>
  </r>
  <r>
    <s v="ORD-2024-10646"/>
    <d v="2024-01-04T00:00:00"/>
    <d v="2024-09-01T00:00:00"/>
    <n v="241"/>
    <s v="OK"/>
    <s v="CUST-2314"/>
    <s v="Kabir Singh"/>
    <s v="Consumer"/>
    <x v="1"/>
    <s v="Bihar"/>
    <s v="Patna"/>
    <s v="Furniture"/>
    <s v="Chairs"/>
    <s v="Basic Chairs 480"/>
    <s v="Second Class"/>
    <n v="6"/>
    <n v="2423.61"/>
    <n v="0.1"/>
    <s v="OK"/>
    <n v="13087.49"/>
    <n v="7608.89"/>
    <n v="5133.22"/>
    <s v="Paid"/>
    <s v="Completed"/>
    <n v="0.1"/>
    <n v="13087.494000000001"/>
    <n v="5478.6040000000003"/>
    <n v="41.861367806548756"/>
    <n v="1"/>
    <n v="2024"/>
    <s v="CLEAN"/>
  </r>
  <r>
    <s v="ORD-2024-10647"/>
    <d v="2024-09-18T00:00:00"/>
    <d v="2024-09-24T00:00:00"/>
    <n v="6"/>
    <s v="OK"/>
    <s v="CUST-6360"/>
    <s v="Vikram Iyer"/>
    <s v="Small Business"/>
    <x v="1"/>
    <s v="Jharkhand"/>
    <s v="Ranchi"/>
    <s v="Technology"/>
    <s v="Machines"/>
    <s v="Elite Machines 955"/>
    <s v="First Class"/>
    <n v="3"/>
    <n v="729.14"/>
    <n v="0.25"/>
    <s v="OK"/>
    <n v="1640.57"/>
    <n v="1136.98"/>
    <n v="503.59"/>
    <s v="Paid"/>
    <s v="Completed"/>
    <n v="0.25"/>
    <n v="1640.5650000000001"/>
    <n v="503.58500000000004"/>
    <n v="30.695827352162215"/>
    <n v="9"/>
    <n v="2024"/>
    <s v="CLEAN"/>
  </r>
  <r>
    <s v="ORD-2024-10657"/>
    <d v="2024-07-05T00:00:00"/>
    <d v="2024-05-14T00:00:00"/>
    <n v="-52"/>
    <s v="INVALID"/>
    <s v="CUST-4446"/>
    <s v="Neha Gupta"/>
    <s v="Small Business"/>
    <x v="0"/>
    <s v="Haryana"/>
    <s v="Gurugram"/>
    <s v="Technology"/>
    <s v="Machines"/>
    <s v="Pro Machines 589"/>
    <s v="Same Day"/>
    <n v="4"/>
    <n v="2751.1"/>
    <n v="-0.05"/>
    <s v="INVALID"/>
    <n v="9903.9599999999991"/>
    <n v="7696.28"/>
    <n v="2207.6799999999998"/>
    <s v="Paid"/>
    <s v="Completed"/>
    <n v="0"/>
    <n v="11004.4"/>
    <n v="3308.12"/>
    <n v="30.061793464432405"/>
    <n v="7"/>
    <n v="2024"/>
    <s v="INVALID"/>
  </r>
  <r>
    <s v="ORD-2024-10662"/>
    <d v="2024-05-17T00:00:00"/>
    <d v="2024-05-22T00:00:00"/>
    <n v="5"/>
    <s v="OK"/>
    <s v="CUST-4537"/>
    <s v="Sneha Kapoor"/>
    <s v="Consumer"/>
    <x v="2"/>
    <s v="Andhra Pradesh"/>
    <s v="Vijayawada"/>
    <s v="Technology"/>
    <s v="Machines"/>
    <s v="Max Machines 595"/>
    <s v="Second Class"/>
    <n v="7"/>
    <n v="232.5"/>
    <n v="0"/>
    <s v="OK"/>
    <n v="1627.5"/>
    <n v="939.9"/>
    <n v="687.6"/>
    <s v="Paid"/>
    <s v="Completed"/>
    <n v="0"/>
    <n v="1627.5"/>
    <n v="687.6"/>
    <n v="42.248847926267281"/>
    <n v="5"/>
    <n v="2024"/>
    <s v="CLEAN"/>
  </r>
  <r>
    <s v="ORD-2024-10663"/>
    <d v="2024-01-14T00:00:00"/>
    <d v="2024-01-18T00:00:00"/>
    <n v="4"/>
    <s v="OK"/>
    <s v="CUST-3181"/>
    <s v="Mira Das"/>
    <s v="Home Office"/>
    <x v="3"/>
    <s v="Rajasthan"/>
    <s v="Udaipur"/>
    <s v="Technology"/>
    <s v="Machines"/>
    <s v="Elite Machines 367"/>
    <s v="Same Day"/>
    <n v="6"/>
    <n v="1784.8"/>
    <n v="0.1"/>
    <s v="OK"/>
    <n v="9637.92"/>
    <n v="7329.29"/>
    <n v="2308.63"/>
    <s v="Paid"/>
    <s v="Completed"/>
    <n v="0.1"/>
    <n v="9637.92"/>
    <n v="2308.63"/>
    <n v="23.953612397695771"/>
    <n v="1"/>
    <n v="2024"/>
    <s v="CLEAN"/>
  </r>
  <r>
    <s v="ORD-2024-10664"/>
    <d v="2024-05-02T00:00:00"/>
    <d v="2024-05-08T00:00:00"/>
    <n v="6"/>
    <s v="OK"/>
    <s v="CUST-1015"/>
    <s v="Rahul Verma"/>
    <s v="Home Office"/>
    <x v="1"/>
    <s v="Jharkhand"/>
    <s v="Ranchi"/>
    <s v="Technology"/>
    <s v="Copiers"/>
    <s v="Basic Copiers 787"/>
    <s v="Second Class"/>
    <n v="2"/>
    <n v="3185.01"/>
    <n v="-0.24"/>
    <s v="INVALID"/>
    <n v="4777.5200000000004"/>
    <n v="3152.98"/>
    <n v="1624.54"/>
    <s v="Paid"/>
    <s v="Completed"/>
    <n v="0"/>
    <n v="6370.02"/>
    <n v="3217.0400000000004"/>
    <n v="50.502824166957097"/>
    <n v="5"/>
    <n v="2024"/>
    <s v="INVALID"/>
  </r>
  <r>
    <s v="ORD-2024-10665"/>
    <d v="2024-12-07T00:00:00"/>
    <d v="2024-12-10T00:00:00"/>
    <n v="3"/>
    <s v="OK"/>
    <s v="CUST-2709"/>
    <s v="Mira Das"/>
    <s v="Home Office"/>
    <x v="2"/>
    <s v="Telangana"/>
    <s v="Hyderabad"/>
    <s v="Technology"/>
    <s v="Accessories"/>
    <s v="Max Accessories 903"/>
    <s v="Standard Class"/>
    <n v="1"/>
    <n v="1908.83"/>
    <n v="0.2"/>
    <s v="OK"/>
    <n v="1527.06"/>
    <n v="1055.8900000000001"/>
    <n v="471.17"/>
    <s v="Paid"/>
    <s v="Completed"/>
    <n v="0.2"/>
    <n v="1527.0640000000001"/>
    <n v="471.17399999999998"/>
    <n v="30.854895407134208"/>
    <n v="12"/>
    <n v="2024"/>
    <s v="CLEAN"/>
  </r>
  <r>
    <s v="ORD-2024-10667"/>
    <d v="2024-06-21T00:00:00"/>
    <d v="2024-06-26T00:00:00"/>
    <n v="5"/>
    <s v="OK"/>
    <s v="CUST-7758"/>
    <s v="Rohan Mehta"/>
    <s v="Small Business"/>
    <x v="0"/>
    <s v="Punjab"/>
    <s v="Ludhiana"/>
    <s v="Technology"/>
    <s v="Copiers"/>
    <s v="Classic Copiers 908"/>
    <s v="Same Day"/>
    <n v="1"/>
    <n v="279.83"/>
    <n v="0.05"/>
    <s v="OK"/>
    <n v="265.83999999999997"/>
    <n v="223.49"/>
    <n v="42.35"/>
    <s v="Paid"/>
    <s v="Completed"/>
    <n v="0.05"/>
    <n v="265.83849999999995"/>
    <n v="42.348499999999945"/>
    <n v="15.930160605028975"/>
    <n v="6"/>
    <n v="2024"/>
    <s v="CLEAN"/>
  </r>
  <r>
    <s v="ORD-2024-10669"/>
    <d v="2024-11-21T00:00:00"/>
    <d v="2024-11-23T00:00:00"/>
    <n v="2"/>
    <s v="OK"/>
    <s v="CUST-4190"/>
    <s v="Mira Das"/>
    <s v="Corporate"/>
    <x v="3"/>
    <s v="Gujarat"/>
    <s v="Ahmedabad"/>
    <s v="Office Supplies"/>
    <s v="Paper"/>
    <s v="Pro Paper 187"/>
    <s v="Second Class"/>
    <n v="5"/>
    <n v="600.46"/>
    <n v="0.2"/>
    <s v="OK"/>
    <n v="2401.84"/>
    <n v="1873.11"/>
    <n v="528.73"/>
    <s v="Paid"/>
    <s v="Completed"/>
    <n v="0.2"/>
    <n v="2401.84"/>
    <n v="528.73000000000025"/>
    <n v="22.013539619624964"/>
    <n v="11"/>
    <n v="2024"/>
    <s v="CLEAN"/>
  </r>
  <r>
    <s v="ORD-2024-10670"/>
    <d v="2024-03-24T00:00:00"/>
    <d v="2024-04-01T00:00:00"/>
    <n v="8"/>
    <s v="OK"/>
    <s v="CUST-7568"/>
    <s v="Ananya Rao"/>
    <s v="Home Office"/>
    <x v="3"/>
    <s v="Maharashtra"/>
    <s v="Mumbai"/>
    <s v="Furniture"/>
    <s v="Tables"/>
    <s v="Classic Tables 606"/>
    <s v="Second Class"/>
    <n v="4"/>
    <n v="1700.72"/>
    <n v="0.25"/>
    <s v="OK"/>
    <n v="5102.16"/>
    <n v="3226.45"/>
    <n v="1875.71"/>
    <s v="Paid"/>
    <s v="Completed"/>
    <n v="0.25"/>
    <n v="5102.16"/>
    <n v="1875.71"/>
    <n v="36.763057214983455"/>
    <n v="3"/>
    <n v="2024"/>
    <s v="CLEAN"/>
  </r>
  <r>
    <s v="ORD-2024-10672"/>
    <d v="2024-03-22T00:00:00"/>
    <d v="2024-03-27T00:00:00"/>
    <n v="5"/>
    <s v="OK"/>
    <s v="CUST-3293"/>
    <s v="Aditi Sen"/>
    <s v="Home Office"/>
    <x v="3"/>
    <s v="Goa"/>
    <s v="Panaji"/>
    <s v="Technology"/>
    <s v="Copiers"/>
    <s v="Classic Copiers 583"/>
    <s v="Second Class"/>
    <n v="9"/>
    <n v="3649.51"/>
    <n v="0.05"/>
    <s v="OK"/>
    <n v="31203.31"/>
    <n v="17738.13"/>
    <n v="13465.18"/>
    <s v="Paid"/>
    <s v="Completed"/>
    <n v="0.05"/>
    <n v="31203.310500000003"/>
    <n v="13465.180500000002"/>
    <n v="43.153051020019177"/>
    <n v="3"/>
    <n v="2024"/>
    <s v="CLEAN"/>
  </r>
  <r>
    <s v="ORD-2024-10673"/>
    <d v="2024-09-04T00:00:00"/>
    <d v="2024-09-05T00:00:00"/>
    <n v="1"/>
    <s v="OK"/>
    <s v="CUST-8180"/>
    <s v="Aditi Sen"/>
    <s v="Corporate"/>
    <x v="3"/>
    <s v="Madhya Pradesh"/>
    <s v="Indore"/>
    <s v="Furniture"/>
    <s v="Chairs"/>
    <s v="Classic Chairs 460"/>
    <s v="Standard Class"/>
    <n v="5"/>
    <n v="2528.5300000000002"/>
    <n v="0.05"/>
    <s v="OK"/>
    <n v="12010.52"/>
    <n v="7864.61"/>
    <n v="4145.91"/>
    <s v="Paid"/>
    <s v="Returned"/>
    <n v="0.05"/>
    <n v="12010.5175"/>
    <n v="4145.9075000000003"/>
    <n v="34.51897472361204"/>
    <n v="9"/>
    <n v="2024"/>
    <s v="CLEAN"/>
  </r>
  <r>
    <s v="ORD-2024-10675"/>
    <d v="2024-05-18T00:00:00"/>
    <d v="2024-05-21T00:00:00"/>
    <n v="3"/>
    <s v="OK"/>
    <s v="CUST-4081"/>
    <s v="Vikram Iyer"/>
    <s v="Corporate"/>
    <x v="1"/>
    <s v="Jharkhand"/>
    <s v="Ranchi"/>
    <s v="Technology"/>
    <s v="Accessories"/>
    <s v="Basic Accessories 944"/>
    <s v="Second Class"/>
    <n v="1"/>
    <n v="1033.71"/>
    <n v="0"/>
    <s v="OK"/>
    <n v="1033.71"/>
    <n v="630.82000000000005"/>
    <n v="402.89"/>
    <s v="Pending"/>
    <s v="Returned"/>
    <n v="0"/>
    <n v="1033.71"/>
    <n v="402.89"/>
    <n v="38.97514776871656"/>
    <n v="5"/>
    <n v="2024"/>
    <s v="CLEAN"/>
  </r>
  <r>
    <s v="ORD-2024-10678"/>
    <d v="2024-06-22T00:00:00"/>
    <d v="2024-06-27T00:00:00"/>
    <n v="5"/>
    <s v="OK"/>
    <s v="CUST-4655"/>
    <s v="Isha Nair"/>
    <s v="Home Office"/>
    <x v="2"/>
    <s v="Karnataka"/>
    <s v="Bengaluru"/>
    <s v="Furniture"/>
    <s v="Chairs"/>
    <s v="Smart Chairs 610"/>
    <s v="Same Day"/>
    <n v="7"/>
    <n v="2623.48"/>
    <n v="0"/>
    <s v="OK"/>
    <n v="18364.36"/>
    <n v="15445.81"/>
    <n v="2918.55"/>
    <s v="Paid"/>
    <s v="Completed"/>
    <n v="0"/>
    <n v="18364.36"/>
    <n v="2918.5500000000011"/>
    <n v="15.892467801763857"/>
    <n v="6"/>
    <n v="2024"/>
    <s v="CLEAN"/>
  </r>
  <r>
    <s v="ORD-2024-10679"/>
    <d v="2024-11-24T00:00:00"/>
    <d v="2024-12-01T00:00:00"/>
    <n v="7"/>
    <s v="OK"/>
    <s v="CUST-1674"/>
    <s v="Kabir Singh"/>
    <s v="Corporate"/>
    <x v="2"/>
    <s v="Karnataka"/>
    <s v="Bengaluru"/>
    <s v="Furniture"/>
    <s v="Tables"/>
    <s v="Prime Tables 123"/>
    <s v="Second Class"/>
    <n v="9"/>
    <n v="2763.61"/>
    <n v="0.15"/>
    <s v="OK"/>
    <n v="21141.62"/>
    <n v="11676.33"/>
    <n v="9465.2900000000009"/>
    <s v="Paid"/>
    <s v="Completed"/>
    <n v="0.15"/>
    <n v="21141.6165"/>
    <n v="9465.2865000000002"/>
    <n v="44.770874071999181"/>
    <n v="11"/>
    <n v="2024"/>
    <s v="CLEAN"/>
  </r>
  <r>
    <s v="ORD-2024-10681"/>
    <d v="2024-05-29T00:00:00"/>
    <d v="2024-06-05T00:00:00"/>
    <n v="7"/>
    <s v="OK"/>
    <s v="CUST-1136"/>
    <s v="Kabir Singh"/>
    <s v="Corporate"/>
    <x v="2"/>
    <s v="Tamil Nadu"/>
    <s v="Chennai"/>
    <s v="Technology"/>
    <s v="Accessories"/>
    <s v="Eco Accessories 658"/>
    <s v="First Class"/>
    <n v="4"/>
    <n v="3700.24"/>
    <n v="0"/>
    <s v="OK"/>
    <n v="14800.96"/>
    <n v="12048.39"/>
    <n v="2752.57"/>
    <s v="Paid"/>
    <s v="Completed"/>
    <n v="0"/>
    <n v="14800.96"/>
    <n v="2752.5699999999997"/>
    <n v="18.597239638509933"/>
    <n v="5"/>
    <n v="2024"/>
    <s v="CLEAN"/>
  </r>
  <r>
    <s v="ORD-2024-10687"/>
    <d v="2024-03-25T00:00:00"/>
    <d v="2024-04-02T00:00:00"/>
    <n v="8"/>
    <s v="OK"/>
    <s v="CUST-3127"/>
    <s v="Sneha Kapoor"/>
    <s v="Home Office"/>
    <x v="2"/>
    <s v="Tamil Nadu"/>
    <s v="Chennai"/>
    <s v="Technology"/>
    <s v="Copiers"/>
    <s v="Pro Copiers 502"/>
    <s v="Standard Class"/>
    <n v="2"/>
    <n v="2349.13"/>
    <n v="0"/>
    <s v="OK"/>
    <n v="4698.26"/>
    <n v="2654.92"/>
    <n v="2043.34"/>
    <s v="Paid"/>
    <s v="Completed"/>
    <n v="0"/>
    <n v="4698.26"/>
    <n v="2043.3400000000001"/>
    <n v="43.491420227914162"/>
    <n v="3"/>
    <n v="2024"/>
    <s v="CLEAN"/>
  </r>
  <r>
    <s v="ORD-2024-10692"/>
    <d v="2024-12-15T00:00:00"/>
    <d v="2024-12-16T00:00:00"/>
    <n v="1"/>
    <s v="OK"/>
    <s v="CUST-7309"/>
    <s v="Rohan Mehta"/>
    <s v="Consumer"/>
    <x v="1"/>
    <s v="Odisha"/>
    <s v="Bhubaneswar"/>
    <s v="Technology"/>
    <s v="Copiers"/>
    <s v="Smart Copiers 456"/>
    <s v="Second Class"/>
    <n v="6"/>
    <n v="1538.1"/>
    <n v="0.05"/>
    <s v="OK"/>
    <n v="8767.17"/>
    <n v="5098.2"/>
    <n v="3668.97"/>
    <s v="Paid"/>
    <s v="Completed"/>
    <n v="0.05"/>
    <n v="8767.1699999999983"/>
    <n v="3668.9699999999984"/>
    <n v="41.848966085977565"/>
    <n v="12"/>
    <n v="2024"/>
    <s v="CLEAN"/>
  </r>
  <r>
    <s v="ORD-2024-10696"/>
    <d v="2024-07-01T00:00:00"/>
    <d v="2024-01-07T00:00:00"/>
    <n v="-176"/>
    <s v="INVALID"/>
    <s v="CUST-6257"/>
    <s v="Aarav Sharma"/>
    <s v="Consumer"/>
    <x v="3"/>
    <s v="Madhya Pradesh"/>
    <s v="Indore"/>
    <s v="Technology"/>
    <s v="Machines"/>
    <s v="Prime Machines 102"/>
    <s v="Standard Class"/>
    <n v="4"/>
    <n v="257.39"/>
    <n v="0"/>
    <s v="OK"/>
    <n v="1029.56"/>
    <n v="626.33000000000004"/>
    <n v="403.23"/>
    <s v="Paid"/>
    <s v="Completed"/>
    <n v="0"/>
    <n v="1029.56"/>
    <n v="403.2299999999999"/>
    <n v="39.165274486188267"/>
    <n v="7"/>
    <n v="2024"/>
    <s v="INVALID"/>
  </r>
  <r>
    <s v="ORD-2024-10699"/>
    <d v="2024-09-14T00:00:00"/>
    <d v="2024-09-14T00:00:00"/>
    <n v="0"/>
    <s v="OK"/>
    <s v="CUST-5357"/>
    <s v="Mira Das"/>
    <s v="Corporate"/>
    <x v="0"/>
    <s v="Rajasthan"/>
    <s v="Jaipur"/>
    <s v="Technology"/>
    <s v="Machines"/>
    <s v="Classic Machines 648"/>
    <s v="Standard Class"/>
    <n v="8"/>
    <n v="4081.66"/>
    <n v="0.15"/>
    <s v="OK"/>
    <n v="28208.1"/>
    <n v="23751.91"/>
    <n v="4003.38"/>
    <s v="Paid"/>
    <s v="Returned"/>
    <n v="0.15"/>
    <n v="27755.287999999997"/>
    <n v="4003.377999999997"/>
    <n v="14.423838801456492"/>
    <n v="9"/>
    <n v="2024"/>
    <s v="CLEAN"/>
  </r>
  <r>
    <s v="ORD-2024-10700"/>
    <d v="2024-06-11T00:00:00"/>
    <d v="2024-06-11T00:00:00"/>
    <n v="0"/>
    <s v="OK"/>
    <s v="CUST-9802"/>
    <s v="Arjun Bose"/>
    <s v="Small Business"/>
    <x v="2"/>
    <s v="Karnataka"/>
    <s v="Bengaluru"/>
    <s v="Furniture"/>
    <s v="Bookcases"/>
    <s v="Max Bookcases 565"/>
    <s v="Standard Class"/>
    <n v="9"/>
    <n v="1400.11"/>
    <n v="0.25"/>
    <s v="OK"/>
    <n v="9450.74"/>
    <n v="7798.56"/>
    <n v="1652.18"/>
    <s v="Paid"/>
    <s v="Completed"/>
    <n v="0.25"/>
    <n v="9450.7425000000003"/>
    <n v="1652.1824999999999"/>
    <n v="17.482039109625511"/>
    <n v="6"/>
    <n v="2024"/>
    <s v="CLEAN"/>
  </r>
  <r>
    <s v="ORD-2024-10701"/>
    <d v="2024-09-18T00:00:00"/>
    <d v="2024-09-21T00:00:00"/>
    <n v="3"/>
    <s v="OK"/>
    <s v="CUST-5646"/>
    <s v="Neha Gupta"/>
    <s v="Corporate"/>
    <x v="1"/>
    <s v="West Bengal"/>
    <s v="Kolkata"/>
    <s v="Technology"/>
    <s v="Machines"/>
    <s v="Basic Machines 220"/>
    <s v="Standard Class"/>
    <n v="3"/>
    <n v="3055.9"/>
    <n v="0.15"/>
    <s v="OK"/>
    <n v="7792.55"/>
    <n v="4691.7299999999996"/>
    <n v="3100.82"/>
    <s v="Paid"/>
    <s v="Completed"/>
    <n v="0.15"/>
    <n v="7792.5450000000001"/>
    <n v="3100.8150000000005"/>
    <n v="39.792070498149201"/>
    <n v="9"/>
    <n v="2024"/>
    <s v="CLEAN"/>
  </r>
  <r>
    <s v="ORD-2024-10702"/>
    <d v="2024-04-30T00:00:00"/>
    <d v="2024-05-04T00:00:00"/>
    <n v="4"/>
    <s v="OK"/>
    <s v="CUST-7171"/>
    <s v="Rohan Mehta"/>
    <s v="Small Business"/>
    <x v="3"/>
    <s v="Gujarat"/>
    <s v="Ahmedabad"/>
    <s v="Office Supplies"/>
    <s v="Art"/>
    <s v="Pro Art 151"/>
    <s v="Same Day"/>
    <n v="7"/>
    <n v="1224.94"/>
    <n v="0"/>
    <s v="OK"/>
    <n v="8574.58"/>
    <n v="6685.81"/>
    <n v="1888.77"/>
    <s v="Paid"/>
    <s v="Returned"/>
    <n v="0"/>
    <n v="8574.58"/>
    <n v="1888.7699999999995"/>
    <n v="22.027551203674111"/>
    <n v="4"/>
    <n v="2024"/>
    <s v="CLEAN"/>
  </r>
  <r>
    <s v="ORD-2024-10704"/>
    <d v="2024-10-19T00:00:00"/>
    <d v="2024-10-20T00:00:00"/>
    <n v="1"/>
    <s v="OK"/>
    <s v="CUST-8734"/>
    <s v="Aditi Sen"/>
    <s v="Corporate"/>
    <x v="0"/>
    <s v="Rajasthan"/>
    <s v="Jaipur"/>
    <s v="Furniture"/>
    <s v="Tables"/>
    <s v="Classic Tables 997"/>
    <s v="First Class"/>
    <n v="1"/>
    <n v="1150.03"/>
    <n v="0.1"/>
    <s v="OK"/>
    <n v="1035.03"/>
    <n v="854.35"/>
    <n v="180.68"/>
    <s v="Paid"/>
    <s v="Completed"/>
    <n v="0.1"/>
    <n v="1035.027"/>
    <n v="180.67700000000002"/>
    <n v="17.456259595160319"/>
    <n v="10"/>
    <n v="2024"/>
    <s v="CLEAN"/>
  </r>
  <r>
    <s v="ORD-2024-10705"/>
    <d v="2024-03-13T00:00:00"/>
    <d v="2024-03-20T00:00:00"/>
    <n v="7"/>
    <s v="OK"/>
    <s v="CUST-4916"/>
    <s v="Priya Menon"/>
    <s v="Home Office"/>
    <x v="2"/>
    <s v="Tamil Nadu"/>
    <s v="Chennai"/>
    <s v="Furniture"/>
    <s v="Bookcases"/>
    <s v="Max Bookcases 738"/>
    <s v="Unknown"/>
    <n v="1"/>
    <n v="2825.63"/>
    <n v="0.15"/>
    <s v="OK"/>
    <n v="2401.79"/>
    <n v="1820.34"/>
    <n v="581.45000000000005"/>
    <s v="Paid"/>
    <s v="Completed"/>
    <n v="0.15"/>
    <n v="2401.7855"/>
    <n v="581.44550000000004"/>
    <n v="24.208885431276027"/>
    <n v="3"/>
    <n v="2024"/>
    <s v="CLEAN"/>
  </r>
  <r>
    <s v="ORD-2024-10706"/>
    <d v="2024-09-08T00:00:00"/>
    <d v="2024-09-14T00:00:00"/>
    <n v="6"/>
    <s v="OK"/>
    <s v="CUST-3289"/>
    <s v="Rohan Mehta"/>
    <s v="Consumer"/>
    <x v="0"/>
    <s v="Rajasthan"/>
    <s v="Jaipur"/>
    <s v="Office Supplies"/>
    <s v="Binders"/>
    <s v="Max Binders 411"/>
    <s v="Standard Class"/>
    <n v="5"/>
    <n v="3371.75"/>
    <n v="0.05"/>
    <s v="OK"/>
    <n v="16015.81"/>
    <n v="11352.38"/>
    <n v="4663.43"/>
    <s v="Paid"/>
    <s v="Completed"/>
    <n v="0.05"/>
    <n v="16015.8125"/>
    <n v="4663.4325000000008"/>
    <n v="29.117676671102394"/>
    <n v="9"/>
    <n v="2024"/>
    <s v="CLEAN"/>
  </r>
  <r>
    <s v="ORD-2024-10707"/>
    <d v="2024-06-24T00:00:00"/>
    <d v="2024-06-28T00:00:00"/>
    <n v="4"/>
    <s v="OK"/>
    <s v="CUST-4928"/>
    <s v="Isha Nair"/>
    <s v="Small Business"/>
    <x v="1"/>
    <s v="Odisha"/>
    <s v="Bhubaneswar"/>
    <s v="Office Supplies"/>
    <s v="Paper"/>
    <s v="Max Paper 343"/>
    <s v="Same Day"/>
    <n v="1"/>
    <n v="2112.75"/>
    <n v="0.1"/>
    <s v="OK"/>
    <n v="1901.48"/>
    <n v="1354.28"/>
    <n v="547.20000000000005"/>
    <s v="Paid"/>
    <s v="Completed"/>
    <n v="0.1"/>
    <n v="1901.4750000000001"/>
    <n v="547.19500000000016"/>
    <n v="28.777396494826391"/>
    <n v="6"/>
    <n v="2024"/>
    <s v="CLEAN"/>
  </r>
  <r>
    <s v="ORD-2024-10711"/>
    <d v="2024-07-12T00:00:00"/>
    <d v="2024-07-19T00:00:00"/>
    <n v="7"/>
    <s v="OK"/>
    <s v="CUST-7199"/>
    <s v="Vikram Iyer"/>
    <s v="Corporate"/>
    <x v="0"/>
    <s v="Punjab"/>
    <s v="Ludhiana"/>
    <s v="Office Supplies"/>
    <s v="Art"/>
    <s v="Smart Art 279"/>
    <s v="Second Class"/>
    <n v="5"/>
    <n v="1559.16"/>
    <n v="0.05"/>
    <s v="OK"/>
    <n v="7406.01"/>
    <n v="5941.74"/>
    <n v="1464.27"/>
    <s v="Paid"/>
    <s v="Completed"/>
    <n v="0.05"/>
    <n v="7406.01"/>
    <n v="1464.2700000000004"/>
    <n v="19.771374869869206"/>
    <n v="7"/>
    <n v="2024"/>
    <s v="CLEAN"/>
  </r>
  <r>
    <s v="ORD-2024-10713"/>
    <d v="2024-02-10T00:00:00"/>
    <d v="2024-02-18T00:00:00"/>
    <n v="8"/>
    <s v="OK"/>
    <s v="CUST-5127"/>
    <s v="Isha Nair"/>
    <s v="Home Office"/>
    <x v="3"/>
    <s v="Madhya Pradesh"/>
    <s v="Indore"/>
    <s v="Furniture"/>
    <s v="Chairs"/>
    <s v="Smart Chairs 259"/>
    <s v="First Class"/>
    <n v="7"/>
    <n v="1382.86"/>
    <n v="0"/>
    <s v="OK"/>
    <n v="9680.02"/>
    <n v="6876.66"/>
    <n v="2803.36"/>
    <s v="Paid"/>
    <s v="Completed"/>
    <n v="0"/>
    <n v="9680.0199999999986"/>
    <n v="2803.3599999999988"/>
    <n v="28.960270743242255"/>
    <n v="2"/>
    <n v="2024"/>
    <s v="CLEAN"/>
  </r>
  <r>
    <s v="ORD-2024-10719"/>
    <d v="2024-09-06T00:00:00"/>
    <d v="2024-09-09T00:00:00"/>
    <n v="3"/>
    <s v="OK"/>
    <s v="CUST-3918"/>
    <s v="Mira Das"/>
    <s v="Consumer"/>
    <x v="3"/>
    <s v="Maharashtra"/>
    <s v="Mumbai"/>
    <s v="Office Supplies"/>
    <s v="Art"/>
    <s v="Smart Art 866"/>
    <s v="Same Day"/>
    <n v="3"/>
    <n v="1972.27"/>
    <n v="0.2"/>
    <s v="OK"/>
    <n v="4733.45"/>
    <n v="3672.32"/>
    <n v="1061.1300000000001"/>
    <s v="Paid"/>
    <s v="Completed"/>
    <n v="0.2"/>
    <n v="4733.4479999999994"/>
    <n v="1061.1279999999992"/>
    <n v="22.417654107534283"/>
    <n v="9"/>
    <n v="2024"/>
    <s v="CLEAN"/>
  </r>
  <r>
    <s v="ORD-2024-10721"/>
    <d v="2024-07-16T00:00:00"/>
    <d v="2024-07-16T00:00:00"/>
    <n v="0"/>
    <s v="OK"/>
    <s v="CUST-1991"/>
    <s v="Aditi Sen"/>
    <s v="Home Office"/>
    <x v="3"/>
    <s v="Madhya Pradesh"/>
    <s v="Indore"/>
    <s v="Technology"/>
    <s v="Copiers"/>
    <s v="Smart Copiers 196"/>
    <s v="Same Day"/>
    <n v="4"/>
    <n v="4479.92"/>
    <n v="0.15"/>
    <s v="OK"/>
    <n v="15231.73"/>
    <n v="12451.46"/>
    <n v="2780.27"/>
    <s v="Paid"/>
    <s v="Completed"/>
    <n v="0.15"/>
    <n v="15231.727999999999"/>
    <n v="2780.268"/>
    <n v="18.253135822803561"/>
    <n v="7"/>
    <n v="2024"/>
    <s v="CLEAN"/>
  </r>
  <r>
    <s v="ORD-2024-10725"/>
    <d v="2024-02-10T00:00:00"/>
    <d v="2024-02-16T00:00:00"/>
    <n v="6"/>
    <s v="OK"/>
    <s v="CUST-5891"/>
    <s v="Karan Malhotra"/>
    <s v="Consumer"/>
    <x v="3"/>
    <s v="Goa"/>
    <s v="Panaji"/>
    <s v="Furniture"/>
    <s v="Furnishings"/>
    <s v="Elite Furnishings 921"/>
    <s v="Second Class"/>
    <n v="3"/>
    <n v="253.43"/>
    <n v="0"/>
    <s v="OK"/>
    <n v="760.29"/>
    <n v="497.77"/>
    <n v="262.52"/>
    <s v="Paid"/>
    <s v="Completed"/>
    <n v="0"/>
    <n v="760.29"/>
    <n v="262.52"/>
    <n v="34.528929750489944"/>
    <n v="2"/>
    <n v="2024"/>
    <s v="CLEAN"/>
  </r>
  <r>
    <s v="ORD-2024-10727"/>
    <d v="2024-01-17T00:00:00"/>
    <d v="2024-01-23T00:00:00"/>
    <n v="6"/>
    <s v="OK"/>
    <s v="CUST-6655"/>
    <s v="Kabir Singh"/>
    <s v="Home Office"/>
    <x v="3"/>
    <s v="Gujarat"/>
    <s v="Ahmedabad"/>
    <s v="Technology"/>
    <s v="Phones"/>
    <s v="Pro Phones 857"/>
    <s v="Standard Class"/>
    <n v="5"/>
    <n v="2018"/>
    <n v="0.2"/>
    <s v="OK"/>
    <n v="8072"/>
    <n v="5379.22"/>
    <n v="2692.78"/>
    <s v="Pending"/>
    <s v="Returned"/>
    <n v="0.2"/>
    <n v="8072"/>
    <n v="2692.7799999999997"/>
    <n v="33.359514370664023"/>
    <n v="1"/>
    <n v="2024"/>
    <s v="CLEAN"/>
  </r>
  <r>
    <s v="ORD-2024-10728"/>
    <d v="2024-10-13T00:00:00"/>
    <d v="2024-10-13T00:00:00"/>
    <n v="0"/>
    <s v="OK"/>
    <s v="CUST-6492"/>
    <s v="Aarav Sharma"/>
    <s v="Small Business"/>
    <x v="1"/>
    <s v="Assam"/>
    <s v="Guwahati"/>
    <s v="Technology"/>
    <s v="Accessories"/>
    <s v="Max Accessories 567"/>
    <s v="Second Class"/>
    <n v="8"/>
    <n v="3730.66"/>
    <n v="0.05"/>
    <s v="OK"/>
    <n v="28353.02"/>
    <n v="19257.849999999999"/>
    <n v="9095.17"/>
    <s v="Paid"/>
    <s v="Completed"/>
    <n v="0.05"/>
    <n v="28353.015999999996"/>
    <n v="9095.1659999999974"/>
    <n v="32.078301652282768"/>
    <n v="10"/>
    <n v="2024"/>
    <s v="CLEAN"/>
  </r>
  <r>
    <s v="ORD-2024-10729"/>
    <d v="2024-01-04T00:00:00"/>
    <d v="2024-07-01T00:00:00"/>
    <n v="179"/>
    <s v="OK"/>
    <s v="CUST-1154"/>
    <s v="Sneha Kapoor"/>
    <s v="Small Business"/>
    <x v="2"/>
    <s v="Karnataka"/>
    <s v="Bengaluru"/>
    <s v="Technology"/>
    <s v="Machines"/>
    <s v="Max Machines 200"/>
    <s v="First Class"/>
    <n v="1"/>
    <n v="2363.02"/>
    <n v="0.15"/>
    <s v="OK"/>
    <n v="2008.57"/>
    <n v="1194.83"/>
    <n v="813.74"/>
    <s v="Paid"/>
    <s v="Completed"/>
    <n v="0.15"/>
    <n v="2008.567"/>
    <n v="813.73700000000008"/>
    <n v="40.513311231340552"/>
    <n v="1"/>
    <n v="2024"/>
    <s v="CLEAN"/>
  </r>
  <r>
    <s v="ORD-2024-10732"/>
    <d v="2024-03-17T00:00:00"/>
    <d v="2024-03-19T00:00:00"/>
    <n v="2"/>
    <s v="OK"/>
    <s v="CUST-6849"/>
    <s v="Ananya Rao"/>
    <s v="Corporate"/>
    <x v="1"/>
    <s v="Odisha"/>
    <s v="Bhubaneswar"/>
    <s v="Office Supplies"/>
    <s v="Binders"/>
    <s v="Eco Binders 178"/>
    <s v="First Class"/>
    <n v="4"/>
    <n v="4376.68"/>
    <n v="0.1"/>
    <s v="OK"/>
    <n v="15756.05"/>
    <n v="10245.44"/>
    <n v="5510.61"/>
    <s v="Paid"/>
    <s v="Completed"/>
    <n v="0.1"/>
    <n v="15756.048000000001"/>
    <n v="5510.6080000000002"/>
    <n v="34.974557071671782"/>
    <n v="3"/>
    <n v="2024"/>
    <s v="CLEAN"/>
  </r>
  <r>
    <s v="ORD-2024-10733"/>
    <d v="2024-11-28T00:00:00"/>
    <d v="2024-12-06T00:00:00"/>
    <n v="8"/>
    <s v="OK"/>
    <s v="CUST-4973"/>
    <s v="Arjun Bose"/>
    <s v="Small Business"/>
    <x v="0"/>
    <s v="Punjab"/>
    <s v="Ludhiana"/>
    <s v="Technology"/>
    <s v="Phones"/>
    <s v="Max Phones 678"/>
    <s v="Standard Class"/>
    <n v="6"/>
    <n v="2464.63"/>
    <n v="0"/>
    <s v="OK"/>
    <n v="14787.78"/>
    <n v="8596.65"/>
    <n v="6191.13"/>
    <s v="Paid"/>
    <s v="Completed"/>
    <n v="0"/>
    <n v="14787.78"/>
    <n v="6191.130000000001"/>
    <n v="41.866527632950998"/>
    <n v="11"/>
    <n v="2024"/>
    <s v="CLEAN"/>
  </r>
  <r>
    <s v="ORD-2024-10734"/>
    <d v="2024-06-21T00:00:00"/>
    <d v="2024-06-28T00:00:00"/>
    <n v="7"/>
    <s v="OK"/>
    <s v="CUST-2394"/>
    <s v="Aarav Sharma"/>
    <s v="Home Office"/>
    <x v="0"/>
    <s v="Rajasthan"/>
    <s v="Jaipur"/>
    <s v="Furniture"/>
    <s v="Furnishings"/>
    <s v="Classic Furnishings 582"/>
    <s v="First Class"/>
    <n v="9"/>
    <n v="2797.96"/>
    <n v="0"/>
    <s v="OK"/>
    <n v="25181.64"/>
    <n v="15337.9"/>
    <n v="9843.74"/>
    <s v="Paid"/>
    <s v="Completed"/>
    <n v="0"/>
    <n v="25181.64"/>
    <n v="9843.74"/>
    <n v="39.090940860086953"/>
    <n v="6"/>
    <n v="2024"/>
    <s v="CLEAN"/>
  </r>
  <r>
    <s v="ORD-2024-10735"/>
    <d v="2024-08-24T00:00:00"/>
    <d v="2024-08-24T00:00:00"/>
    <n v="0"/>
    <s v="OK"/>
    <s v="CUST-5406"/>
    <s v="Ananya Rao"/>
    <s v="Small Business"/>
    <x v="0"/>
    <s v="Rajasthan"/>
    <s v="Jaipur"/>
    <s v="Technology"/>
    <s v="Accessories"/>
    <s v="Classic Accessories 981"/>
    <s v="First Class"/>
    <n v="4"/>
    <n v="2761.86"/>
    <n v="0.2"/>
    <s v="OK"/>
    <n v="8837.9500000000007"/>
    <n v="6157.27"/>
    <n v="2680.68"/>
    <s v="Paid"/>
    <s v="Completed"/>
    <n v="0.2"/>
    <n v="8837.9520000000011"/>
    <n v="2680.6820000000007"/>
    <n v="30.331484036120589"/>
    <n v="8"/>
    <n v="2024"/>
    <s v="CLEAN"/>
  </r>
  <r>
    <s v="ORD-2024-10736"/>
    <d v="2024-08-11T00:00:00"/>
    <d v="2024-08-19T00:00:00"/>
    <n v="8"/>
    <s v="OK"/>
    <s v="CUST-1963"/>
    <s v="Mira Das"/>
    <s v="Consumer"/>
    <x v="3"/>
    <s v="Maharashtra"/>
    <s v="Mumbai"/>
    <s v="Furniture"/>
    <s v="Tables"/>
    <s v="Classic Tables 534"/>
    <s v="Standard Class"/>
    <n v="6"/>
    <n v="1515.79"/>
    <n v="0.2"/>
    <s v="OK"/>
    <n v="7275.79"/>
    <n v="6152.87"/>
    <n v="1122.92"/>
    <s v="Paid"/>
    <s v="Completed"/>
    <n v="0.2"/>
    <n v="7275.7920000000004"/>
    <n v="1122.9220000000005"/>
    <n v="15.433673749881805"/>
    <n v="8"/>
    <n v="2024"/>
    <s v="CLEAN"/>
  </r>
  <r>
    <s v="ORD-2024-10737"/>
    <d v="2024-12-06T00:00:00"/>
    <d v="2024-09-12T00:00:00"/>
    <n v="-85"/>
    <s v="INVALID"/>
    <s v="CUST-9017"/>
    <s v="Aditi Sen"/>
    <s v="Consumer"/>
    <x v="3"/>
    <s v="Maharashtra"/>
    <s v="Mumbai"/>
    <s v="Furniture"/>
    <s v="Chairs"/>
    <s v="Pro Chairs 383"/>
    <s v="Second Class"/>
    <n v="9"/>
    <n v="290.75"/>
    <n v="0.1"/>
    <s v="OK"/>
    <n v="2355.08"/>
    <n v="1350.03"/>
    <n v="1005.05"/>
    <s v="Paid"/>
    <s v="Completed"/>
    <n v="0.1"/>
    <n v="2355.0750000000003"/>
    <n v="1005.0450000000003"/>
    <n v="42.675710964618965"/>
    <n v="12"/>
    <n v="2024"/>
    <s v="INVALID"/>
  </r>
  <r>
    <s v="ORD-2024-10738"/>
    <d v="2024-02-10T00:00:00"/>
    <d v="2024-02-10T00:00:00"/>
    <n v="0"/>
    <s v="OK"/>
    <s v="CUST-7967"/>
    <s v="Isha Nair"/>
    <s v="Home Office"/>
    <x v="3"/>
    <s v="Maharashtra"/>
    <s v="Mumbai"/>
    <s v="Furniture"/>
    <s v="Chairs"/>
    <s v="Max Chairs 845"/>
    <s v="Same Day"/>
    <n v="6"/>
    <n v="601.52"/>
    <n v="0"/>
    <s v="OK"/>
    <n v="3609.12"/>
    <n v="2645.5"/>
    <n v="963.62"/>
    <s v="Paid"/>
    <s v="Completed"/>
    <n v="0"/>
    <n v="3609.12"/>
    <n v="963.61999999999989"/>
    <n v="26.699583277918158"/>
    <n v="2"/>
    <n v="2024"/>
    <s v="CLEAN"/>
  </r>
  <r>
    <s v="ORD-2024-10740"/>
    <d v="2024-12-03T00:00:00"/>
    <d v="2024-12-10T00:00:00"/>
    <n v="7"/>
    <s v="OK"/>
    <s v="CUST-5846"/>
    <s v="Neha Gupta"/>
    <s v="Corporate"/>
    <x v="0"/>
    <s v="Rajasthan"/>
    <s v="Jaipur"/>
    <s v="Technology"/>
    <s v="Phones"/>
    <s v="Basic Phones 859"/>
    <s v="Standard Class"/>
    <n v="5"/>
    <n v="2393.86"/>
    <n v="0.05"/>
    <s v="OK"/>
    <n v="11370.84"/>
    <n v="7469.58"/>
    <n v="3901.26"/>
    <s v="Paid"/>
    <s v="Completed"/>
    <n v="0.05"/>
    <n v="11370.835000000001"/>
    <n v="3901.255000000001"/>
    <n v="34.309309738466879"/>
    <n v="12"/>
    <n v="2024"/>
    <s v="CLEAN"/>
  </r>
  <r>
    <s v="ORD-2024-10741"/>
    <d v="2024-04-02T00:00:00"/>
    <d v="2024-04-02T00:00:00"/>
    <n v="0"/>
    <s v="OK"/>
    <s v="CUST-7932"/>
    <s v="Sneha Kapoor"/>
    <s v="Small Business"/>
    <x v="3"/>
    <s v="Maharashtra"/>
    <s v="Mumbai"/>
    <s v="Furniture"/>
    <s v="Chairs"/>
    <s v="Eco Chairs 883"/>
    <s v="First Class"/>
    <n v="4"/>
    <n v="2583"/>
    <n v="0.1"/>
    <s v="OK"/>
    <n v="9298.7999999999993"/>
    <n v="6548.5"/>
    <n v="2750.3"/>
    <s v="Paid"/>
    <s v="Completed"/>
    <n v="0.1"/>
    <n v="9298.8000000000011"/>
    <n v="2750.3000000000011"/>
    <n v="29.576934658235484"/>
    <n v="4"/>
    <n v="2024"/>
    <s v="CLEAN"/>
  </r>
  <r>
    <s v="ORD-2024-10743"/>
    <d v="2024-10-15T00:00:00"/>
    <d v="2024-10-22T00:00:00"/>
    <n v="7"/>
    <s v="OK"/>
    <s v="CUST-6368"/>
    <s v="Karan Malhotra"/>
    <s v="Corporate"/>
    <x v="1"/>
    <s v="Odisha"/>
    <s v="Bhubaneswar"/>
    <s v="Office Supplies"/>
    <s v="Paper"/>
    <s v="Prime Paper 768"/>
    <s v="Standard Class"/>
    <n v="4"/>
    <n v="2260.9499999999998"/>
    <n v="0"/>
    <s v="OK"/>
    <n v="9043.7999999999993"/>
    <n v="5913.38"/>
    <n v="3130.42"/>
    <s v="Paid"/>
    <s v="Completed"/>
    <n v="0"/>
    <n v="9043.7999999999993"/>
    <n v="3130.4199999999992"/>
    <n v="34.6139896945974"/>
    <n v="10"/>
    <n v="2024"/>
    <s v="CLEAN"/>
  </r>
  <r>
    <s v="ORD-2024-10746"/>
    <d v="2024-10-24T00:00:00"/>
    <d v="2024-10-28T00:00:00"/>
    <n v="4"/>
    <s v="OK"/>
    <s v="CUST-1493"/>
    <s v="Mira Das"/>
    <s v="Small Business"/>
    <x v="1"/>
    <s v="Assam"/>
    <s v="Guwahati"/>
    <s v="Technology"/>
    <s v="Copiers"/>
    <s v="Max Copiers 866"/>
    <s v="Standard Class"/>
    <n v="3"/>
    <n v="723.59"/>
    <n v="0.2"/>
    <s v="OK"/>
    <n v="1736.62"/>
    <n v="1059.52"/>
    <n v="677.1"/>
    <s v="Paid"/>
    <s v="Completed"/>
    <n v="0.2"/>
    <n v="1736.616"/>
    <n v="677.096"/>
    <n v="38.989390861307278"/>
    <n v="10"/>
    <n v="2024"/>
    <s v="CLEAN"/>
  </r>
  <r>
    <s v="ORD-2024-10748"/>
    <d v="2024-05-01T00:00:00"/>
    <d v="2024-05-07T00:00:00"/>
    <n v="6"/>
    <s v="OK"/>
    <s v="CUST-8416"/>
    <s v="Isha Nair"/>
    <s v="Home Office"/>
    <x v="1"/>
    <s v="Odisha"/>
    <s v="Bhubaneswar"/>
    <s v="Office Supplies"/>
    <s v="Paper"/>
    <s v="Classic Paper 388"/>
    <s v="Same Day"/>
    <n v="8"/>
    <n v="1473.83"/>
    <n v="0.15"/>
    <s v="OK"/>
    <n v="10022.040000000001"/>
    <n v="5576.98"/>
    <n v="4445.0600000000004"/>
    <s v="Paid"/>
    <s v="Completed"/>
    <n v="0.15"/>
    <n v="10022.044"/>
    <n v="4445.0640000000003"/>
    <n v="44.352868536597931"/>
    <n v="5"/>
    <n v="2024"/>
    <s v="CLEAN"/>
  </r>
  <r>
    <s v="ORD-2024-10749"/>
    <d v="2024-05-30T00:00:00"/>
    <d v="2024-05-30T00:00:00"/>
    <n v="0"/>
    <s v="OK"/>
    <s v="CUST-3103"/>
    <s v="Diya Patel"/>
    <s v="Home Office"/>
    <x v="0"/>
    <s v="Haryana"/>
    <s v="Gurugram"/>
    <s v="Technology"/>
    <s v="Phones"/>
    <s v="Pro Phones 765"/>
    <s v="Second Class"/>
    <n v="1"/>
    <n v="3848.04"/>
    <n v="0.25"/>
    <s v="OK"/>
    <n v="2886.03"/>
    <n v="2064.83"/>
    <n v="821.2"/>
    <s v="Paid"/>
    <s v="Completed"/>
    <n v="0.25"/>
    <n v="2886.0299999999997"/>
    <n v="821.19999999999982"/>
    <n v="28.454312671732445"/>
    <n v="5"/>
    <n v="2024"/>
    <s v="CLEAN"/>
  </r>
  <r>
    <s v="ORD-2024-10750"/>
    <d v="2024-03-21T00:00:00"/>
    <d v="2024-03-25T00:00:00"/>
    <n v="4"/>
    <s v="OK"/>
    <s v="CUST-4457"/>
    <s v="Aditi Sen"/>
    <s v="Home Office"/>
    <x v="1"/>
    <s v="Assam"/>
    <s v="Guwahati"/>
    <s v="Technology"/>
    <s v="Machines"/>
    <s v="Classic Machines 543"/>
    <s v="Standard Class"/>
    <n v="1"/>
    <n v="1716.7"/>
    <n v="0.15"/>
    <s v="OK"/>
    <n v="1459.19"/>
    <n v="1055.79"/>
    <n v="403.4"/>
    <s v="Paid"/>
    <s v="Completed"/>
    <n v="0.15"/>
    <n v="1459.1949999999999"/>
    <n v="403.40499999999997"/>
    <n v="27.645722470266136"/>
    <n v="3"/>
    <n v="2024"/>
    <s v="CLEAN"/>
  </r>
  <r>
    <s v="ORD-2024-10753"/>
    <d v="2024-03-24T00:00:00"/>
    <d v="2024-03-27T00:00:00"/>
    <n v="3"/>
    <s v="OK"/>
    <s v="CUST-6345"/>
    <s v="Aditi Sen"/>
    <s v="Corporate"/>
    <x v="3"/>
    <s v="Gujarat"/>
    <s v="Ahmedabad"/>
    <s v="Office Supplies"/>
    <s v="Storage"/>
    <s v="Basic Storage 273"/>
    <s v="First Class"/>
    <n v="5"/>
    <n v="2465.2199999999998"/>
    <n v="0.05"/>
    <s v="OK"/>
    <n v="11709.79"/>
    <n v="8372.2900000000009"/>
    <n v="3337.5"/>
    <s v="Paid"/>
    <s v="Completed"/>
    <n v="0.05"/>
    <n v="11709.794999999998"/>
    <n v="3337.5049999999974"/>
    <n v="28.501822619439523"/>
    <n v="3"/>
    <n v="2024"/>
    <s v="CLEAN"/>
  </r>
  <r>
    <s v="ORD-2024-10757"/>
    <d v="2024-10-27T00:00:00"/>
    <d v="2024-11-01T00:00:00"/>
    <n v="5"/>
    <s v="OK"/>
    <s v="CUST-1557"/>
    <s v="Rohan Mehta"/>
    <s v="Consumer"/>
    <x v="0"/>
    <s v="Rajasthan"/>
    <s v="Jaipur"/>
    <s v="Technology"/>
    <s v="Accessories"/>
    <s v="Smart Accessories 362"/>
    <s v="Same Day"/>
    <n v="7"/>
    <n v="2177.1"/>
    <n v="0.2"/>
    <s v="OK"/>
    <n v="12191.76"/>
    <n v="10457.49"/>
    <n v="1734.27"/>
    <s v="Paid"/>
    <s v="Returned"/>
    <n v="0.2"/>
    <n v="12191.76"/>
    <n v="1734.2700000000004"/>
    <n v="14.224935530226976"/>
    <n v="10"/>
    <n v="2024"/>
    <s v="CLEAN"/>
  </r>
  <r>
    <s v="ORD-2024-10759"/>
    <d v="2024-05-02T00:00:00"/>
    <d v="2024-05-10T00:00:00"/>
    <n v="8"/>
    <s v="OK"/>
    <s v="CUST-6076"/>
    <s v="Aarav Sharma"/>
    <s v="Small Business"/>
    <x v="2"/>
    <s v="Karnataka"/>
    <s v="Bengaluru"/>
    <s v="Furniture"/>
    <s v="Chairs"/>
    <s v="Prime Chairs 721"/>
    <s v="Standard Class"/>
    <n v="1"/>
    <n v="4166.91"/>
    <n v="0"/>
    <s v="OK"/>
    <n v="4166.91"/>
    <n v="3412.63"/>
    <n v="754.28"/>
    <s v="Paid"/>
    <s v="Completed"/>
    <n v="0"/>
    <n v="4166.91"/>
    <n v="754.27999999999975"/>
    <n v="18.101662862888801"/>
    <n v="5"/>
    <n v="2024"/>
    <s v="CLEAN"/>
  </r>
  <r>
    <s v="ORD-2024-10760"/>
    <d v="2024-07-19T00:00:00"/>
    <d v="2024-07-26T00:00:00"/>
    <n v="7"/>
    <s v="OK"/>
    <s v="CUST-2098"/>
    <s v="Arjun Bose"/>
    <s v="Home Office"/>
    <x v="2"/>
    <s v="Karnataka"/>
    <s v="Bengaluru"/>
    <s v="Furniture"/>
    <s v="Tables"/>
    <s v="Prime Tables 797"/>
    <s v="Second Class"/>
    <n v="5"/>
    <n v="3986.01"/>
    <n v="0.25"/>
    <s v="OK"/>
    <n v="14947.54"/>
    <n v="9438.4599999999991"/>
    <n v="5509.08"/>
    <s v="Paid"/>
    <s v="Completed"/>
    <n v="0.25"/>
    <n v="14947.537500000002"/>
    <n v="5509.0775000000031"/>
    <n v="36.856087499362367"/>
    <n v="7"/>
    <n v="2024"/>
    <s v="CLEAN"/>
  </r>
  <r>
    <s v="ORD-2024-10761"/>
    <d v="2024-08-28T00:00:00"/>
    <d v="2024-09-02T00:00:00"/>
    <n v="5"/>
    <s v="OK"/>
    <s v="CUST-7193"/>
    <s v="Aditi Sen"/>
    <s v="Home Office"/>
    <x v="1"/>
    <s v="Assam"/>
    <s v="Guwahati"/>
    <s v="Office Supplies"/>
    <s v="Art"/>
    <s v="Max Art 926"/>
    <s v="Second Class"/>
    <n v="4"/>
    <n v="3365.53"/>
    <n v="0"/>
    <s v="OK"/>
    <n v="13462.12"/>
    <n v="7600.63"/>
    <n v="5861.49"/>
    <s v="Pending"/>
    <s v="Returned"/>
    <n v="0"/>
    <n v="13462.12"/>
    <n v="5861.4900000000007"/>
    <n v="43.540616188237813"/>
    <n v="8"/>
    <n v="2024"/>
    <s v="CLEAN"/>
  </r>
  <r>
    <s v="ORD-2024-10768"/>
    <d v="2024-05-03T00:00:00"/>
    <d v="2024-05-06T00:00:00"/>
    <n v="3"/>
    <s v="OK"/>
    <s v="CUST-2043"/>
    <s v="Ananya Rao"/>
    <s v="Home Office"/>
    <x v="0"/>
    <s v="Uttar Pradesh"/>
    <s v="Noida"/>
    <s v="Office Supplies"/>
    <s v="Binders"/>
    <s v="Classic Binders 234"/>
    <s v="Standard Class"/>
    <n v="1"/>
    <n v="1244.58"/>
    <n v="0.25"/>
    <s v="OK"/>
    <n v="933.43"/>
    <n v="583.09"/>
    <n v="350.34"/>
    <s v="Paid"/>
    <s v="Completed"/>
    <n v="0.25"/>
    <n v="933.43499999999995"/>
    <n v="350.34499999999991"/>
    <n v="37.532875883162717"/>
    <n v="5"/>
    <n v="2024"/>
    <s v="CLEAN"/>
  </r>
  <r>
    <s v="ORD-2024-10770"/>
    <d v="2024-05-11T00:00:00"/>
    <d v="2024-05-13T00:00:00"/>
    <n v="2"/>
    <s v="OK"/>
    <s v="CUST-1293"/>
    <s v="Priya Menon"/>
    <s v="Home Office"/>
    <x v="3"/>
    <s v="Goa"/>
    <s v="Panaji"/>
    <s v="Furniture"/>
    <s v="Bookcases"/>
    <s v="Classic Bookcases 922"/>
    <s v="Same Day"/>
    <n v="3"/>
    <n v="3612.75"/>
    <n v="0.25"/>
    <s v="OK"/>
    <n v="8128.69"/>
    <n v="5071.66"/>
    <n v="3057.03"/>
    <s v="Paid"/>
    <s v="Completed"/>
    <n v="0.25"/>
    <n v="8128.6875"/>
    <n v="3057.0275000000001"/>
    <n v="37.607885651896453"/>
    <n v="5"/>
    <n v="2024"/>
    <s v="CLEAN"/>
  </r>
  <r>
    <s v="ORD-2024-10771"/>
    <d v="2024-02-15T00:00:00"/>
    <d v="2024-02-17T00:00:00"/>
    <n v="2"/>
    <s v="OK"/>
    <s v="CUST-8384"/>
    <s v="Neha Gupta"/>
    <s v="Consumer"/>
    <x v="0"/>
    <s v="Uttar Pradesh"/>
    <s v="Noida"/>
    <s v="Technology"/>
    <s v="Copiers"/>
    <s v="Eco Copiers 396"/>
    <s v="First Class"/>
    <n v="4"/>
    <n v="863"/>
    <n v="0"/>
    <s v="OK"/>
    <n v="3106.8"/>
    <n v="2376.62"/>
    <n v="730.18"/>
    <s v="Paid"/>
    <s v="Completed"/>
    <n v="0"/>
    <n v="3452"/>
    <n v="1075.3800000000001"/>
    <n v="31.152375434530711"/>
    <n v="2"/>
    <n v="2024"/>
    <s v="CLEAN"/>
  </r>
  <r>
    <s v="ORD-2024-10772"/>
    <d v="2024-07-12T00:00:00"/>
    <d v="2024-07-14T00:00:00"/>
    <n v="2"/>
    <s v="OK"/>
    <s v="CUST-7861"/>
    <s v="Ananya Rao"/>
    <s v="Consumer"/>
    <x v="0"/>
    <s v="Haryana"/>
    <s v="Gurugram"/>
    <s v="Technology"/>
    <s v="Machines"/>
    <s v="Basic Machines 401"/>
    <s v="Second Class"/>
    <n v="4"/>
    <n v="2131.41"/>
    <n v="0"/>
    <s v="OK"/>
    <n v="6394.23"/>
    <n v="3520.69"/>
    <n v="2873.54"/>
    <s v="Paid"/>
    <s v="Completed"/>
    <n v="0"/>
    <n v="8525.64"/>
    <n v="5004.9499999999989"/>
    <n v="58.70468375394691"/>
    <n v="7"/>
    <n v="2024"/>
    <s v="CLEAN"/>
  </r>
  <r>
    <s v="ORD-2024-10776"/>
    <d v="2024-04-14T00:00:00"/>
    <d v="2024-04-22T00:00:00"/>
    <n v="8"/>
    <s v="OK"/>
    <s v="CUST-4461"/>
    <s v="Arjun Bose"/>
    <s v="Consumer"/>
    <x v="0"/>
    <s v="Haryana"/>
    <s v="Gurugram"/>
    <s v="Technology"/>
    <s v="Accessories"/>
    <s v="Elite Accessories 312"/>
    <s v="Standard Class"/>
    <n v="8"/>
    <n v="3956.12"/>
    <n v="0.25"/>
    <s v="OK"/>
    <n v="23736.720000000001"/>
    <n v="13890.9"/>
    <n v="9845.82"/>
    <s v="Paid"/>
    <s v="Completed"/>
    <n v="0.25"/>
    <n v="23736.720000000001"/>
    <n v="9845.8200000000015"/>
    <n v="41.479277676106896"/>
    <n v="4"/>
    <n v="2024"/>
    <s v="CLEAN"/>
  </r>
  <r>
    <s v="ORD-2024-10779"/>
    <d v="2024-07-24T00:00:00"/>
    <d v="2024-07-24T00:00:00"/>
    <n v="0"/>
    <s v="OK"/>
    <s v="CUST-4714"/>
    <s v="Karan Malhotra"/>
    <s v="Small Business"/>
    <x v="0"/>
    <s v="Haryana"/>
    <s v="Gurugram"/>
    <s v="Technology"/>
    <s v="Copiers"/>
    <s v="Pro Copiers 298"/>
    <s v="Second Class"/>
    <n v="4"/>
    <n v="1676.88"/>
    <n v="0"/>
    <s v="OK"/>
    <n v="6707.52"/>
    <n v="5672.57"/>
    <n v="1034.95"/>
    <s v="Paid"/>
    <s v="Completed"/>
    <n v="0"/>
    <n v="6707.52"/>
    <n v="1034.9500000000007"/>
    <n v="15.429696817899918"/>
    <n v="7"/>
    <n v="2024"/>
    <s v="CLEAN"/>
  </r>
  <r>
    <s v="ORD-2024-10780"/>
    <d v="2024-01-15T00:00:00"/>
    <d v="2024-01-20T00:00:00"/>
    <n v="5"/>
    <s v="OK"/>
    <s v="CUST-7547"/>
    <s v="Priya Menon"/>
    <s v="Small Business"/>
    <x v="2"/>
    <s v="Andhra Pradesh"/>
    <s v="Vijayawada"/>
    <s v="Furniture"/>
    <s v="Chairs"/>
    <s v="Prime Chairs 331"/>
    <s v="Standard Class"/>
    <n v="4"/>
    <n v="3153.54"/>
    <n v="0.05"/>
    <s v="OK"/>
    <n v="11983.45"/>
    <n v="8572.9"/>
    <n v="3410.55"/>
    <s v="Paid"/>
    <s v="Completed"/>
    <n v="0.05"/>
    <n v="11983.451999999999"/>
    <n v="3410.5519999999997"/>
    <n v="28.46051371507976"/>
    <n v="1"/>
    <n v="2024"/>
    <s v="CLEAN"/>
  </r>
  <r>
    <s v="ORD-2024-10781"/>
    <d v="2024-08-04T00:00:00"/>
    <d v="2024-08-10T00:00:00"/>
    <n v="6"/>
    <s v="OK"/>
    <s v="CUST-3288"/>
    <s v="Diya Patel"/>
    <s v="Small Business"/>
    <x v="3"/>
    <s v="Rajasthan"/>
    <s v="Udaipur"/>
    <s v="Furniture"/>
    <s v="Chairs"/>
    <s v="Classic Chairs 798"/>
    <s v="Same Day"/>
    <n v="4"/>
    <n v="426.43"/>
    <n v="0.2"/>
    <s v="OK"/>
    <n v="1364.58"/>
    <n v="978.16"/>
    <n v="386.42"/>
    <s v="Paid"/>
    <s v="Completed"/>
    <n v="0.2"/>
    <n v="1364.576"/>
    <n v="386.41600000000005"/>
    <n v="28.317660577351507"/>
    <n v="8"/>
    <n v="2024"/>
    <s v="CLEAN"/>
  </r>
  <r>
    <s v="ORD-2024-10782"/>
    <d v="2024-02-02T00:00:00"/>
    <d v="2024-02-10T00:00:00"/>
    <n v="8"/>
    <s v="OK"/>
    <s v="CUST-8597"/>
    <s v="Karan Malhotra"/>
    <s v="Home Office"/>
    <x v="3"/>
    <s v="Rajasthan"/>
    <s v="Udaipur"/>
    <s v="Office Supplies"/>
    <s v="Labels"/>
    <s v="Classic Labels 204"/>
    <s v="First Class"/>
    <n v="3"/>
    <n v="383.4"/>
    <n v="0.25"/>
    <s v="OK"/>
    <n v="862.65"/>
    <n v="603.73"/>
    <n v="258.92"/>
    <s v="Pending"/>
    <s v="Returned"/>
    <n v="0.25"/>
    <n v="862.64999999999986"/>
    <n v="258.91999999999985"/>
    <n v="30.014490233582553"/>
    <n v="2"/>
    <n v="2024"/>
    <s v="CLEAN"/>
  </r>
  <r>
    <s v="ORD-2024-10784"/>
    <d v="2024-06-07T00:00:00"/>
    <d v="2024-06-07T00:00:00"/>
    <n v="0"/>
    <s v="OK"/>
    <s v="CUST-7746"/>
    <s v="Aarav Sharma"/>
    <s v="Small Business"/>
    <x v="1"/>
    <s v="Bihar"/>
    <s v="Patna"/>
    <s v="Office Supplies"/>
    <s v="Art"/>
    <s v="Basic Art 709"/>
    <s v="Second Class"/>
    <n v="1"/>
    <n v="2581.9299999999998"/>
    <n v="0.05"/>
    <s v="OK"/>
    <n v="2452.83"/>
    <n v="1906.7"/>
    <n v="546.13"/>
    <s v="Paid"/>
    <s v="Completed"/>
    <n v="0.05"/>
    <n v="2452.8334999999997"/>
    <n v="546.13349999999969"/>
    <n v="22.265412634000626"/>
    <n v="6"/>
    <n v="2024"/>
    <s v="CLEAN"/>
  </r>
  <r>
    <s v="ORD-2024-10788"/>
    <d v="2024-09-12T00:00:00"/>
    <d v="2024-09-18T00:00:00"/>
    <n v="6"/>
    <s v="OK"/>
    <s v="CUST-7548"/>
    <s v="Ananya Rao"/>
    <s v="Home Office"/>
    <x v="1"/>
    <s v="Bihar"/>
    <s v="Patna"/>
    <s v="Office Supplies"/>
    <s v="Paper"/>
    <s v="Prime Paper 878"/>
    <s v="Second Class"/>
    <n v="2"/>
    <n v="3718.77"/>
    <n v="0.05"/>
    <s v="OK"/>
    <n v="7065.66"/>
    <n v="4915.2700000000004"/>
    <n v="2150.39"/>
    <s v="Paid"/>
    <s v="Completed"/>
    <n v="0.05"/>
    <n v="7065.6629999999996"/>
    <n v="2150.3929999999991"/>
    <n v="30.434412170521004"/>
    <n v="9"/>
    <n v="2024"/>
    <s v="CLEAN"/>
  </r>
  <r>
    <s v="ORD-2024-10791"/>
    <d v="2024-05-31T00:00:00"/>
    <d v="2024-06-02T00:00:00"/>
    <n v="2"/>
    <s v="OK"/>
    <s v="CUST-1951"/>
    <s v="Rahul Verma"/>
    <s v="Corporate"/>
    <x v="2"/>
    <s v="Andhra Pradesh"/>
    <s v="Vijayawada"/>
    <s v="Office Supplies"/>
    <s v="Art"/>
    <s v="Classic Art 781"/>
    <s v="Standard Class"/>
    <n v="8"/>
    <n v="667.59"/>
    <n v="0.2"/>
    <s v="OK"/>
    <n v="4272.58"/>
    <n v="3328.92"/>
    <n v="943.66"/>
    <s v="Paid"/>
    <s v="Completed"/>
    <n v="0.2"/>
    <n v="4272.576"/>
    <n v="943.65599999999995"/>
    <n v="22.086347908147214"/>
    <n v="5"/>
    <n v="2024"/>
    <s v="CLEAN"/>
  </r>
  <r>
    <s v="ORD-2024-10792"/>
    <d v="2024-10-02T00:00:00"/>
    <d v="2024-10-06T00:00:00"/>
    <n v="4"/>
    <s v="OK"/>
    <s v="CUST-6300"/>
    <s v="Rahul Verma"/>
    <s v="Home Office"/>
    <x v="2"/>
    <s v="Karnataka"/>
    <s v="Bengaluru"/>
    <s v="Furniture"/>
    <s v="Bookcases"/>
    <s v="Eco Bookcases 144"/>
    <s v="Same Day"/>
    <n v="8"/>
    <n v="1558.77"/>
    <n v="0.25"/>
    <s v="OK"/>
    <n v="9352.6200000000008"/>
    <n v="5269.41"/>
    <n v="4083.21"/>
    <s v="Paid"/>
    <s v="Completed"/>
    <n v="0.25"/>
    <n v="9352.619999999999"/>
    <n v="4083.2099999999991"/>
    <n v="43.658461479243243"/>
    <n v="10"/>
    <n v="2024"/>
    <s v="CLEAN"/>
  </r>
  <r>
    <s v="ORD-2024-10794"/>
    <d v="2024-05-28T00:00:00"/>
    <d v="2024-06-03T00:00:00"/>
    <n v="6"/>
    <s v="OK"/>
    <s v="CUST-5421"/>
    <s v="Vikram Iyer"/>
    <s v="Corporate"/>
    <x v="0"/>
    <s v="Rajasthan"/>
    <s v="Jaipur"/>
    <s v="Technology"/>
    <s v="Copiers"/>
    <s v="Basic Copiers 238"/>
    <s v="Second Class"/>
    <n v="5"/>
    <n v="4302.32"/>
    <n v="0"/>
    <s v="OK"/>
    <n v="21511.599999999999"/>
    <n v="15408.47"/>
    <n v="6103.13"/>
    <s v="Paid"/>
    <s v="Completed"/>
    <n v="0"/>
    <n v="21511.599999999999"/>
    <n v="6103.1299999999992"/>
    <n v="28.371343833094702"/>
    <n v="5"/>
    <n v="2024"/>
    <s v="CLEAN"/>
  </r>
  <r>
    <s v="ORD-2024-10797"/>
    <d v="2024-03-23T00:00:00"/>
    <d v="2024-03-30T00:00:00"/>
    <n v="7"/>
    <s v="OK"/>
    <s v="CUST-3126"/>
    <s v="Rohan Mehta"/>
    <s v="Small Business"/>
    <x v="2"/>
    <s v="Andhra Pradesh"/>
    <s v="Vijayawada"/>
    <s v="Technology"/>
    <s v="Machines"/>
    <s v="Elite Machines 459"/>
    <s v="First Class"/>
    <n v="6"/>
    <n v="1894.44"/>
    <n v="0.15"/>
    <s v="OK"/>
    <n v="9661.64"/>
    <n v="6303.77"/>
    <n v="3357.87"/>
    <s v="Paid"/>
    <s v="Completed"/>
    <n v="0.15"/>
    <n v="9661.6439999999984"/>
    <n v="3357.873999999998"/>
    <n v="34.754685641491221"/>
    <n v="3"/>
    <n v="2024"/>
    <s v="CLEAN"/>
  </r>
  <r>
    <s v="ORD-2024-10800"/>
    <d v="2024-10-10T00:00:00"/>
    <d v="2024-10-17T00:00:00"/>
    <n v="7"/>
    <s v="OK"/>
    <s v="CUST-8527"/>
    <s v="Isha Nair"/>
    <s v="Home Office"/>
    <x v="0"/>
    <s v="Haryana"/>
    <s v="Gurugram"/>
    <s v="Technology"/>
    <s v="Accessories"/>
    <s v="Smart Accessories 487"/>
    <s v="Unknown"/>
    <n v="5"/>
    <n v="967.41"/>
    <n v="0.05"/>
    <s v="OK"/>
    <n v="4595.2"/>
    <n v="3887.41"/>
    <n v="707.79"/>
    <s v="Paid"/>
    <s v="Returned"/>
    <n v="0.05"/>
    <n v="4595.1975000000002"/>
    <n v="707.78750000000036"/>
    <n v="15.402765604742786"/>
    <n v="10"/>
    <n v="2024"/>
    <s v="CLEAN"/>
  </r>
  <r>
    <s v="ORD-2024-10801"/>
    <d v="2024-03-01T00:00:00"/>
    <d v="2024-03-07T00:00:00"/>
    <n v="6"/>
    <s v="OK"/>
    <s v="CUST-5015"/>
    <s v="Vikram Iyer"/>
    <s v="Small Business"/>
    <x v="3"/>
    <s v="Maharashtra"/>
    <s v="Mumbai"/>
    <s v="Office Supplies"/>
    <s v="Storage"/>
    <s v="Elite Storage 825"/>
    <s v="Second Class"/>
    <n v="6"/>
    <n v="4163.72"/>
    <n v="0.15"/>
    <s v="OK"/>
    <n v="21234.97"/>
    <n v="16736.09"/>
    <n v="4498.88"/>
    <s v="Paid"/>
    <s v="Completed"/>
    <n v="0.15"/>
    <n v="21234.971999999998"/>
    <n v="4498.8819999999978"/>
    <n v="21.186192286950028"/>
    <n v="3"/>
    <n v="2024"/>
    <s v="CLEAN"/>
  </r>
  <r>
    <s v="ORD-2024-10804"/>
    <d v="2024-12-09T00:00:00"/>
    <d v="2024-12-13T00:00:00"/>
    <n v="4"/>
    <s v="OK"/>
    <s v="CUST-7180"/>
    <s v="Rohan Mehta"/>
    <s v="Consumer"/>
    <x v="4"/>
    <s v="Jharkhand"/>
    <s v="Ranchi"/>
    <s v="Office Supplies"/>
    <s v="Labels"/>
    <s v="Basic Labels 359"/>
    <s v="First Class"/>
    <n v="1"/>
    <n v="4306.6499999999996"/>
    <n v="0"/>
    <s v="OK"/>
    <n v="4306.6499999999996"/>
    <n v="2568.8200000000002"/>
    <n v="1737.83"/>
    <s v="Paid"/>
    <s v="Completed"/>
    <n v="0"/>
    <n v="4306.6499999999996"/>
    <n v="1737.8299999999995"/>
    <n v="40.352245945224233"/>
    <n v="12"/>
    <n v="2024"/>
    <s v="CLEAN"/>
  </r>
  <r>
    <s v="ORD-2024-10811"/>
    <d v="2024-04-03T00:00:00"/>
    <d v="2024-08-04T00:00:00"/>
    <n v="123"/>
    <s v="OK"/>
    <s v="CUST-4653"/>
    <s v="Kabir Singh"/>
    <s v="Home Office"/>
    <x v="3"/>
    <s v="Gujarat"/>
    <s v="Ahmedabad"/>
    <s v="Technology"/>
    <s v="Copiers"/>
    <s v="Pro Copiers 867"/>
    <s v="First Class"/>
    <n v="1"/>
    <n v="3151.85"/>
    <n v="0.25"/>
    <s v="OK"/>
    <n v="2363.89"/>
    <n v="1471.51"/>
    <n v="892.38"/>
    <s v="Paid"/>
    <s v="Completed"/>
    <n v="0.25"/>
    <n v="2363.8874999999998"/>
    <n v="892.37749999999983"/>
    <n v="37.750421710001"/>
    <n v="4"/>
    <n v="2024"/>
    <s v="CLEAN"/>
  </r>
  <r>
    <s v="ORD-2024-10812"/>
    <d v="2024-12-12T00:00:00"/>
    <d v="2024-12-19T00:00:00"/>
    <n v="7"/>
    <s v="OK"/>
    <s v="CUST-3303"/>
    <s v="Rohan Mehta"/>
    <s v="Home Office"/>
    <x v="0"/>
    <s v="Haryana"/>
    <s v="Gurugram"/>
    <s v="Technology"/>
    <s v="Accessories"/>
    <s v="Eco Accessories 122"/>
    <s v="First Class"/>
    <n v="2"/>
    <n v="1610.75"/>
    <n v="0.2"/>
    <s v="OK"/>
    <n v="2577.1999999999998"/>
    <n v="1475.87"/>
    <n v="1101.33"/>
    <s v="Paid"/>
    <s v="Completed"/>
    <n v="0.2"/>
    <n v="2577.2000000000003"/>
    <n v="1101.3300000000004"/>
    <n v="42.733586838429318"/>
    <n v="12"/>
    <n v="2024"/>
    <s v="CLEAN"/>
  </r>
  <r>
    <s v="ORD-2024-10813"/>
    <d v="2024-06-15T00:00:00"/>
    <d v="2024-06-20T00:00:00"/>
    <n v="5"/>
    <s v="OK"/>
    <s v="CUST-5754"/>
    <s v="Sneha Kapoor"/>
    <s v="Small Business"/>
    <x v="1"/>
    <s v="Jharkhand"/>
    <s v="Ranchi"/>
    <s v="Furniture"/>
    <s v="Tables"/>
    <s v="Basic Tables 127"/>
    <s v="First Class"/>
    <n v="8"/>
    <n v="2228.4699999999998"/>
    <n v="0"/>
    <s v="OK"/>
    <n v="17827.759999999998"/>
    <n v="14122.13"/>
    <n v="3705.63"/>
    <s v="Paid"/>
    <s v="Completed"/>
    <n v="0"/>
    <n v="17827.759999999998"/>
    <n v="3705.6299999999992"/>
    <n v="20.785729671029895"/>
    <n v="6"/>
    <n v="2024"/>
    <s v="CLEAN"/>
  </r>
  <r>
    <s v="ORD-2024-10817"/>
    <d v="2024-11-27T00:00:00"/>
    <d v="2024-11-30T00:00:00"/>
    <n v="3"/>
    <s v="OK"/>
    <s v="CUST-3072"/>
    <s v="Rahul Verma"/>
    <s v="Small Business"/>
    <x v="1"/>
    <s v="Jharkhand"/>
    <s v="Ranchi"/>
    <s v="Furniture"/>
    <s v="Furnishings"/>
    <s v="Basic Furnishings 306"/>
    <s v="First Class"/>
    <n v="1"/>
    <n v="874.3"/>
    <n v="0.1"/>
    <s v="OK"/>
    <n v="786.87"/>
    <n v="498.5"/>
    <n v="288.37"/>
    <s v="Paid"/>
    <s v="Completed"/>
    <n v="0.1"/>
    <n v="786.87"/>
    <n v="288.37"/>
    <n v="36.647730883119195"/>
    <n v="11"/>
    <n v="2024"/>
    <s v="CLEAN"/>
  </r>
  <r>
    <s v="ORD-2024-10819"/>
    <d v="2024-09-29T00:00:00"/>
    <d v="2024-05-10T00:00:00"/>
    <n v="-142"/>
    <s v="INVALID"/>
    <s v="CUST-3943"/>
    <s v="Priya Menon"/>
    <s v="Small Business"/>
    <x v="3"/>
    <s v="Maharashtra"/>
    <s v="Mumbai"/>
    <s v="Office Supplies"/>
    <s v="Labels"/>
    <s v="Pro Labels 611"/>
    <s v="First Class"/>
    <n v="8"/>
    <n v="1981.04"/>
    <n v="-0.14000000000000001"/>
    <s v="INVALID"/>
    <n v="12678.66"/>
    <n v="10088.65"/>
    <n v="2590.0100000000002"/>
    <s v="Paid"/>
    <s v="Completed"/>
    <n v="0"/>
    <n v="15848.32"/>
    <n v="5759.67"/>
    <n v="36.342464059281994"/>
    <n v="9"/>
    <n v="2024"/>
    <s v="INVALID"/>
  </r>
  <r>
    <s v="ORD-2024-10822"/>
    <d v="2024-07-03T00:00:00"/>
    <d v="2024-06-07T00:00:00"/>
    <n v="-26"/>
    <s v="INVALID"/>
    <s v="CUST-4466"/>
    <s v="Aarav Sharma"/>
    <s v="Corporate"/>
    <x v="2"/>
    <s v="Karnataka"/>
    <s v="Bengaluru"/>
    <s v="Technology"/>
    <s v="Accessories"/>
    <s v="Classic Accessories 471"/>
    <s v="First Class"/>
    <n v="7"/>
    <n v="1942.49"/>
    <n v="0.2"/>
    <s v="OK"/>
    <n v="10877.94"/>
    <n v="9110.14"/>
    <n v="1767.8"/>
    <s v="Paid"/>
    <s v="Completed"/>
    <n v="0.2"/>
    <n v="10877.944000000001"/>
    <n v="1767.8040000000019"/>
    <n v="16.251269541376583"/>
    <n v="7"/>
    <n v="2024"/>
    <s v="INVALID"/>
  </r>
  <r>
    <s v="ORD-2024-10823"/>
    <d v="2024-10-12T00:00:00"/>
    <d v="2024-10-08T00:00:00"/>
    <n v="-4"/>
    <s v="INVALID"/>
    <s v="CUST-3188"/>
    <s v="Mira Das"/>
    <s v="Corporate"/>
    <x v="1"/>
    <s v="Assam"/>
    <s v="Guwahati"/>
    <s v="Furniture"/>
    <s v="Furnishings"/>
    <s v="Smart Furnishings 175"/>
    <s v="Second Class"/>
    <n v="4"/>
    <n v="3202.04"/>
    <n v="0.2"/>
    <s v="OK"/>
    <n v="10246.530000000001"/>
    <n v="8634.42"/>
    <n v="1612.11"/>
    <s v="Pending"/>
    <s v="Returned"/>
    <n v="0.2"/>
    <n v="10246.528"/>
    <n v="1612.1080000000002"/>
    <n v="15.733212264681267"/>
    <n v="10"/>
    <n v="2024"/>
    <s v="INVALID"/>
  </r>
  <r>
    <s v="ORD-2024-10830"/>
    <d v="2024-02-26T00:00:00"/>
    <d v="2024-02-28T00:00:00"/>
    <n v="2"/>
    <s v="OK"/>
    <s v="CUST-9036"/>
    <s v="Aditi Sen"/>
    <s v="Small Business"/>
    <x v="3"/>
    <s v="Goa"/>
    <s v="Panaji"/>
    <s v="Furniture"/>
    <s v="Furnishings"/>
    <s v="Pro Furnishings 192"/>
    <s v="Second Class"/>
    <n v="7"/>
    <n v="1035.1400000000001"/>
    <n v="0.1"/>
    <s v="OK"/>
    <n v="6521.38"/>
    <n v="4511.1000000000004"/>
    <n v="2010.28"/>
    <s v="Paid"/>
    <s v="Completed"/>
    <n v="0.1"/>
    <n v="6521.3820000000005"/>
    <n v="2010.2820000000002"/>
    <n v="30.826012032418891"/>
    <n v="2"/>
    <n v="2024"/>
    <s v="CLEAN"/>
  </r>
  <r>
    <s v="ORD-2024-10834"/>
    <d v="2024-06-04T00:00:00"/>
    <d v="2024-06-04T00:00:00"/>
    <n v="0"/>
    <s v="OK"/>
    <s v="CUST-2689"/>
    <s v="Rahul Verma"/>
    <s v="Home Office"/>
    <x v="1"/>
    <s v="West Bengal"/>
    <s v="Kolkata"/>
    <s v="Furniture"/>
    <s v="Bookcases"/>
    <s v="Basic Bookcases 499"/>
    <s v="First Class"/>
    <n v="6"/>
    <n v="3949.4"/>
    <n v="0"/>
    <s v="OK"/>
    <n v="23696.400000000001"/>
    <n v="18109.77"/>
    <n v="5586.63"/>
    <s v="Paid"/>
    <s v="Completed"/>
    <n v="0"/>
    <n v="23696.400000000001"/>
    <n v="5586.630000000001"/>
    <n v="23.575859624246721"/>
    <n v="6"/>
    <n v="2024"/>
    <s v="CLEAN"/>
  </r>
  <r>
    <s v="ORD-2024-10835"/>
    <d v="2024-10-18T00:00:00"/>
    <d v="2024-10-22T00:00:00"/>
    <n v="4"/>
    <s v="OK"/>
    <s v="CUST-2879"/>
    <s v="Aarav Sharma"/>
    <s v="Home Office"/>
    <x v="2"/>
    <s v="Telangana"/>
    <s v="Hyderabad"/>
    <s v="Office Supplies"/>
    <s v="Art"/>
    <s v="Basic Art 143"/>
    <s v="First Class"/>
    <n v="6"/>
    <n v="674.61"/>
    <n v="0"/>
    <s v="OK"/>
    <n v="4047.66"/>
    <n v="3078.93"/>
    <n v="1279.79"/>
    <s v="Paid"/>
    <s v="Completed"/>
    <n v="0"/>
    <n v="4047.66"/>
    <n v="968.73"/>
    <n v="23.933087265234729"/>
    <n v="10"/>
    <n v="2024"/>
    <s v="CLEAN"/>
  </r>
  <r>
    <s v="ORD-2024-10837"/>
    <d v="2024-12-15T00:00:00"/>
    <d v="2024-12-18T00:00:00"/>
    <n v="3"/>
    <s v="OK"/>
    <s v="CUST-9776"/>
    <s v="Isha Nair"/>
    <s v="Small Business"/>
    <x v="0"/>
    <s v="Rajasthan"/>
    <s v="Jaipur"/>
    <s v="Office Supplies"/>
    <s v="Labels"/>
    <s v="Smart Labels 814"/>
    <s v="Second Class"/>
    <n v="2"/>
    <n v="537.11"/>
    <n v="0"/>
    <s v="OK"/>
    <n v="1074.22"/>
    <n v="850.86"/>
    <n v="223.36"/>
    <s v="Paid"/>
    <s v="Completed"/>
    <n v="0"/>
    <n v="1074.22"/>
    <n v="223.36"/>
    <n v="20.792761259332355"/>
    <n v="12"/>
    <n v="2024"/>
    <s v="CLEAN"/>
  </r>
  <r>
    <s v="ORD-2024-10840"/>
    <d v="2024-09-20T00:00:00"/>
    <d v="2024-09-22T00:00:00"/>
    <n v="2"/>
    <s v="OK"/>
    <s v="CUST-8206"/>
    <s v="Rohan Mehta"/>
    <s v="Home Office"/>
    <x v="1"/>
    <s v="Odisha"/>
    <s v="Bhubaneswar"/>
    <s v="Technology"/>
    <s v="Phones"/>
    <s v="Basic Phones 398"/>
    <s v="Standard Class"/>
    <n v="8"/>
    <n v="531.42999999999995"/>
    <n v="0.1"/>
    <s v="OK"/>
    <n v="3826.3"/>
    <n v="2194.12"/>
    <n v="1632.18"/>
    <s v="Paid"/>
    <s v="Completed"/>
    <n v="0.1"/>
    <n v="3826.2959999999998"/>
    <n v="1632.1759999999999"/>
    <n v="42.656814841298221"/>
    <n v="9"/>
    <n v="2024"/>
    <s v="CLEAN"/>
  </r>
  <r>
    <s v="ORD-2024-10843"/>
    <d v="2024-03-31T00:00:00"/>
    <d v="2024-03-30T00:00:00"/>
    <n v="-1"/>
    <s v="INVALID"/>
    <s v="CUST-1798"/>
    <s v="Kabir Singh"/>
    <s v="Consumer"/>
    <x v="0"/>
    <s v="Haryana"/>
    <s v="Gurugram"/>
    <s v="Technology"/>
    <s v="Machines"/>
    <s v="Smart Machines 581"/>
    <s v="First Class"/>
    <n v="4"/>
    <n v="2192.08"/>
    <n v="0.15"/>
    <s v="OK"/>
    <n v="7453.07"/>
    <n v="5133.78"/>
    <n v="2319.29"/>
    <s v="Paid"/>
    <s v="Returned"/>
    <n v="0.15"/>
    <n v="7453.0719999999992"/>
    <n v="2319.2919999999995"/>
    <n v="31.118604516365867"/>
    <n v="3"/>
    <n v="2024"/>
    <s v="INVALID"/>
  </r>
  <r>
    <s v="ORD-2024-10846"/>
    <d v="2024-02-23T00:00:00"/>
    <d v="2024-02-27T00:00:00"/>
    <n v="4"/>
    <s v="OK"/>
    <s v="CUST-2367"/>
    <s v="Karan Malhotra"/>
    <s v="Consumer"/>
    <x v="1"/>
    <s v="Odisha"/>
    <s v="Bhubaneswar"/>
    <s v="Furniture"/>
    <s v="Tables"/>
    <s v="Eco Tables 792"/>
    <s v="First Class"/>
    <n v="9"/>
    <n v="3616.23"/>
    <n v="0.25"/>
    <s v="OK"/>
    <n v="24409.55"/>
    <n v="17157.580000000002"/>
    <n v="7251.97"/>
    <s v="Pending"/>
    <s v="Returned"/>
    <n v="0.25"/>
    <n v="24409.552499999998"/>
    <n v="7251.9724999999962"/>
    <n v="29.709567596538268"/>
    <n v="2"/>
    <n v="2024"/>
    <s v="CLEAN"/>
  </r>
  <r>
    <s v="ORD-2024-10847"/>
    <d v="2024-04-14T00:00:00"/>
    <d v="2024-04-22T00:00:00"/>
    <n v="8"/>
    <s v="OK"/>
    <s v="CUST-6522"/>
    <s v="Priya Menon"/>
    <s v="Small Business"/>
    <x v="3"/>
    <s v="Gujarat"/>
    <s v="Ahmedabad"/>
    <s v="Furniture"/>
    <s v="Bookcases"/>
    <s v="Prime Bookcases 177"/>
    <s v="Standard Class"/>
    <n v="2"/>
    <n v="3977.52"/>
    <n v="0"/>
    <s v="OK"/>
    <n v="7955.04"/>
    <n v="5580.68"/>
    <n v="2374.36"/>
    <s v="Pending"/>
    <s v="Returned"/>
    <n v="0"/>
    <n v="7955.04"/>
    <n v="2374.3599999999997"/>
    <n v="29.847241497214338"/>
    <n v="4"/>
    <n v="2024"/>
    <s v="CLEAN"/>
  </r>
  <r>
    <s v="ORD-2024-10850"/>
    <d v="2024-03-06T00:00:00"/>
    <d v="2024-12-03T00:00:00"/>
    <n v="272"/>
    <s v="OK"/>
    <s v="CUST-3360"/>
    <s v="Isha Nair"/>
    <s v="Home Office"/>
    <x v="3"/>
    <s v="Gujarat"/>
    <s v="Ahmedabad"/>
    <s v="Furniture"/>
    <s v="Bookcases"/>
    <s v="Prime Bookcases 755"/>
    <s v="Standard Class"/>
    <n v="3"/>
    <n v="679.63"/>
    <n v="0.2"/>
    <s v="OK"/>
    <n v="1631.11"/>
    <n v="898.73"/>
    <n v="396.58"/>
    <s v="Paid"/>
    <s v="Completed"/>
    <n v="0.2"/>
    <n v="1631.1120000000001"/>
    <n v="732.38200000000006"/>
    <n v="44.900779345624336"/>
    <n v="3"/>
    <n v="2024"/>
    <s v="CLEAN"/>
  </r>
  <r>
    <s v="ORD-2024-10851"/>
    <d v="2024-06-30T00:00:00"/>
    <d v="2024-07-03T00:00:00"/>
    <n v="3"/>
    <s v="OK"/>
    <s v="CUST-2623"/>
    <s v="Priya Menon"/>
    <s v="Home Office"/>
    <x v="1"/>
    <s v="West Bengal"/>
    <s v="Kolkata"/>
    <s v="Office Supplies"/>
    <s v="Paper"/>
    <s v="Prime Paper 317"/>
    <s v="First Class"/>
    <n v="6"/>
    <n v="1211.01"/>
    <n v="0"/>
    <s v="OK"/>
    <n v="7266.06"/>
    <n v="6216.89"/>
    <n v="1049.17"/>
    <s v="Paid"/>
    <s v="Completed"/>
    <n v="0"/>
    <n v="7266.0599999999995"/>
    <n v="1049.1699999999992"/>
    <n v="14.439324750965438"/>
    <n v="6"/>
    <n v="2024"/>
    <s v="CLEAN"/>
  </r>
  <r>
    <s v="ORD-2024-10852"/>
    <d v="2024-03-26T00:00:00"/>
    <d v="2024-04-01T00:00:00"/>
    <n v="6"/>
    <s v="OK"/>
    <s v="CUST-3175"/>
    <s v="Karan Malhotra"/>
    <s v="Small Business"/>
    <x v="3"/>
    <s v="Gujarat"/>
    <s v="Ahmedabad"/>
    <s v="Technology"/>
    <s v="Accessories"/>
    <s v="Classic Accessories 933"/>
    <s v="First Class"/>
    <n v="2"/>
    <n v="1161.3"/>
    <n v="0.2"/>
    <s v="OK"/>
    <n v="1858.08"/>
    <n v="1590.75"/>
    <n v="267.33"/>
    <s v="Paid"/>
    <s v="Completed"/>
    <n v="0.2"/>
    <n v="1858.08"/>
    <n v="267.32999999999993"/>
    <n v="14.387432188065096"/>
    <n v="3"/>
    <n v="2024"/>
    <s v="CLEAN"/>
  </r>
  <r>
    <s v="ORD-2024-10856"/>
    <d v="2024-07-25T00:00:00"/>
    <d v="2024-08-02T00:00:00"/>
    <n v="8"/>
    <s v="OK"/>
    <s v="CUST-2752"/>
    <s v="Rahul Verma"/>
    <s v="Consumer"/>
    <x v="0"/>
    <s v="Rajasthan"/>
    <s v="Jaipur"/>
    <s v="Office Supplies"/>
    <s v="Labels"/>
    <s v="Classic Labels 215"/>
    <s v="Second Class"/>
    <n v="2"/>
    <n v="2073.5300000000002"/>
    <n v="0.25"/>
    <s v="OK"/>
    <n v="3110.3"/>
    <n v="2101.0300000000002"/>
    <n v="1009.27"/>
    <s v="Paid"/>
    <s v="Completed"/>
    <n v="0.25"/>
    <n v="3110.2950000000001"/>
    <n v="1009.2649999999999"/>
    <n v="32.449172827657826"/>
    <n v="7"/>
    <n v="2024"/>
    <s v="CLEAN"/>
  </r>
  <r>
    <s v="ORD-2024-10858"/>
    <d v="2024-06-04T00:00:00"/>
    <d v="2024-04-06T00:00:00"/>
    <n v="-59"/>
    <s v="INVALID"/>
    <s v="CUST-8575"/>
    <s v="Sneha Kapoor"/>
    <s v="Home Office"/>
    <x v="2"/>
    <s v="Kerala"/>
    <s v="Kochi"/>
    <s v="Office Supplies"/>
    <s v="Storage"/>
    <s v="Max Storage 223"/>
    <s v="First Class"/>
    <n v="6"/>
    <n v="2708.97"/>
    <n v="0.25"/>
    <s v="OK"/>
    <n v="12190.36"/>
    <n v="10176.99"/>
    <n v="2013.37"/>
    <s v="Paid"/>
    <s v="Completed"/>
    <n v="0.25"/>
    <n v="12190.365"/>
    <n v="2013.375"/>
    <n v="16.516117441930575"/>
    <n v="6"/>
    <n v="2024"/>
    <s v="INVALID"/>
  </r>
  <r>
    <s v="ORD-2024-10859"/>
    <d v="2024-05-02T00:00:00"/>
    <d v="2024-05-09T00:00:00"/>
    <n v="7"/>
    <s v="OK"/>
    <s v="CUST-9576"/>
    <s v="Arjun Bose"/>
    <s v="Consumer"/>
    <x v="1"/>
    <s v="Odisha"/>
    <s v="Bhubaneswar"/>
    <s v="Technology"/>
    <s v="Accessories"/>
    <s v="Basic Accessories 602"/>
    <s v="Second Class"/>
    <n v="4"/>
    <n v="2904.86"/>
    <n v="0"/>
    <s v="OK"/>
    <n v="11619.44"/>
    <n v="7184.32"/>
    <n v="4494.6400000000003"/>
    <s v="Paid"/>
    <s v="Completed"/>
    <n v="0"/>
    <n v="11619.44"/>
    <n v="4435.1200000000008"/>
    <n v="38.169825740311069"/>
    <n v="5"/>
    <n v="2024"/>
    <s v="CLEAN"/>
  </r>
  <r>
    <s v="ORD-2024-10860"/>
    <d v="2024-10-27T00:00:00"/>
    <d v="2024-11-01T00:00:00"/>
    <n v="5"/>
    <s v="OK"/>
    <s v="CUST-2395"/>
    <s v="Aditi Sen"/>
    <s v="Corporate"/>
    <x v="2"/>
    <s v="Tamil Nadu"/>
    <s v="Chennai"/>
    <s v="Technology"/>
    <s v="Phones"/>
    <s v="Elite Phones 394"/>
    <s v="Standard Class"/>
    <n v="6"/>
    <n v="4399.2"/>
    <n v="0.05"/>
    <s v="OK"/>
    <n v="25075.439999999999"/>
    <n v="16282.74"/>
    <n v="8792.7000000000007"/>
    <s v="Paid"/>
    <s v="Completed"/>
    <n v="0.05"/>
    <n v="25075.439999999995"/>
    <n v="8792.6999999999953"/>
    <n v="35.06498789253547"/>
    <n v="10"/>
    <n v="2024"/>
    <s v="CLEAN"/>
  </r>
  <r>
    <s v="ORD-2024-10861"/>
    <d v="2024-02-02T00:00:00"/>
    <d v="2024-02-04T00:00:00"/>
    <n v="2"/>
    <s v="OK"/>
    <s v="CUST-8941"/>
    <s v="Vikram Iyer"/>
    <s v="Home Office"/>
    <x v="0"/>
    <s v="Uttar Pradesh"/>
    <s v="Noida"/>
    <s v="Office Supplies"/>
    <s v="Storage"/>
    <s v="Classic Storage 194"/>
    <s v="Second Class"/>
    <n v="1"/>
    <n v="4397.32"/>
    <n v="0.05"/>
    <s v="OK"/>
    <n v="4177.45"/>
    <n v="2299.5"/>
    <n v="1877.95"/>
    <s v="Paid"/>
    <s v="Completed"/>
    <n v="0.05"/>
    <n v="4177.4539999999997"/>
    <n v="1877.9539999999997"/>
    <n v="44.954510570313879"/>
    <n v="2"/>
    <n v="2024"/>
    <s v="CLEAN"/>
  </r>
  <r>
    <s v="ORD-2024-10873"/>
    <d v="2024-11-01T00:00:00"/>
    <d v="2024-11-02T00:00:00"/>
    <n v="1"/>
    <s v="OK"/>
    <s v="CUST-6262"/>
    <s v="Karan Malhotra"/>
    <s v="Corporate"/>
    <x v="1"/>
    <s v="West Bengal"/>
    <s v="Kolkata"/>
    <s v="Furniture"/>
    <s v="Furnishings"/>
    <s v="Prime Furnishings 178"/>
    <s v="Standard Class"/>
    <n v="5"/>
    <n v="2212.02"/>
    <n v="0.2"/>
    <s v="OK"/>
    <n v="8848.08"/>
    <n v="5691.56"/>
    <n v="3156.52"/>
    <s v="Paid"/>
    <s v="Completed"/>
    <n v="0.2"/>
    <n v="8848.08"/>
    <n v="3156.5199999999995"/>
    <n v="35.674632236598221"/>
    <n v="11"/>
    <n v="2024"/>
    <s v="CLEAN"/>
  </r>
  <r>
    <s v="ORD-2024-10876"/>
    <d v="2024-08-10T00:00:00"/>
    <d v="2024-08-11T00:00:00"/>
    <n v="1"/>
    <s v="OK"/>
    <s v="CUST-6928"/>
    <s v="Mira Das"/>
    <s v="Corporate"/>
    <x v="3"/>
    <s v="Maharashtra"/>
    <s v="Mumbai"/>
    <s v="Technology"/>
    <s v="Copiers"/>
    <s v="Elite Copiers 752"/>
    <s v="First Class"/>
    <n v="7"/>
    <n v="3852.62"/>
    <n v="0.2"/>
    <s v="OK"/>
    <n v="21574.67"/>
    <n v="14672.83"/>
    <n v="6901.84"/>
    <s v="Paid"/>
    <s v="Completed"/>
    <n v="0.2"/>
    <n v="21574.672000000002"/>
    <n v="6901.8420000000024"/>
    <n v="31.990484026825538"/>
    <n v="8"/>
    <n v="2024"/>
    <s v="CLEAN"/>
  </r>
  <r>
    <s v="ORD-2024-10877"/>
    <d v="2024-11-18T00:00:00"/>
    <d v="2024-11-20T00:00:00"/>
    <n v="2"/>
    <s v="OK"/>
    <s v="CUST-9044"/>
    <s v="Priya Menon"/>
    <s v="Consumer"/>
    <x v="3"/>
    <s v="Rajasthan"/>
    <s v="Udaipur"/>
    <s v="Furniture"/>
    <s v="Chairs"/>
    <s v="Pro Chairs 316"/>
    <s v="First Class"/>
    <n v="6"/>
    <n v="3790.22"/>
    <n v="0"/>
    <s v="OK"/>
    <n v="22741.32"/>
    <n v="16388.57"/>
    <n v="6352.75"/>
    <s v="Paid"/>
    <s v="Completed"/>
    <n v="0"/>
    <n v="22741.32"/>
    <n v="6352.75"/>
    <n v="27.934834037777929"/>
    <n v="11"/>
    <n v="2024"/>
    <s v="CLEAN"/>
  </r>
  <r>
    <s v="ORD-2024-10879"/>
    <d v="2024-01-22T00:00:00"/>
    <d v="2024-01-22T00:00:00"/>
    <n v="0"/>
    <s v="OK"/>
    <s v="CUST-8534"/>
    <s v="Karan Malhotra"/>
    <s v="Corporate"/>
    <x v="1"/>
    <s v="West Bengal"/>
    <s v="Kolkata"/>
    <s v="Office Supplies"/>
    <s v="Paper"/>
    <s v="Basic Paper 904"/>
    <s v="First Class"/>
    <n v="8"/>
    <n v="1557.21"/>
    <n v="0.05"/>
    <s v="OK"/>
    <n v="11834.8"/>
    <n v="9322.36"/>
    <n v="2512.44"/>
    <s v="Paid"/>
    <s v="Completed"/>
    <n v="0.05"/>
    <n v="11834.796"/>
    <n v="2512.4359999999997"/>
    <n v="21.229229468763126"/>
    <n v="1"/>
    <n v="2024"/>
    <s v="CLEAN"/>
  </r>
  <r>
    <s v="ORD-2024-10881"/>
    <d v="2024-08-03T00:00:00"/>
    <d v="2024-03-15T00:00:00"/>
    <n v="-141"/>
    <s v="INVALID"/>
    <s v="CUST-5287"/>
    <s v="Aarav Sharma"/>
    <s v="Small Business"/>
    <x v="4"/>
    <s v="Punjab"/>
    <s v="Ludhiana"/>
    <s v="Furniture"/>
    <s v="Chairs"/>
    <s v="Basic Chairs 327"/>
    <s v="First Class"/>
    <n v="5"/>
    <n v="3234.77"/>
    <n v="0"/>
    <s v="OK"/>
    <n v="16173.85"/>
    <n v="13636.34"/>
    <n v="2537.5100000000002"/>
    <s v="Paid"/>
    <s v="Completed"/>
    <n v="0"/>
    <n v="16173.85"/>
    <n v="2537.5100000000002"/>
    <n v="15.688967067210344"/>
    <n v="8"/>
    <n v="2024"/>
    <s v="INVALID"/>
  </r>
  <r>
    <s v="ORD-2024-10882"/>
    <d v="2024-12-01T00:00:00"/>
    <d v="2024-05-12T00:00:00"/>
    <n v="-203"/>
    <s v="INVALID"/>
    <s v="CUST-3445"/>
    <s v="Ananya Rao"/>
    <s v="Small Business"/>
    <x v="2"/>
    <s v="Andhra Pradesh"/>
    <s v="Vijayawada"/>
    <s v="Technology"/>
    <s v="Copiers"/>
    <s v="Eco Copiers 987"/>
    <s v="Second Class"/>
    <n v="9"/>
    <n v="3726.75"/>
    <n v="0.25"/>
    <s v="OK"/>
    <n v="25155.56"/>
    <n v="17592.689999999999"/>
    <n v="7562.87"/>
    <s v="Paid"/>
    <s v="Completed"/>
    <n v="0.25"/>
    <n v="25155.5625"/>
    <n v="7562.8725000000013"/>
    <n v="30.064414182747857"/>
    <n v="12"/>
    <n v="2024"/>
    <s v="INVALID"/>
  </r>
  <r>
    <s v="ORD-2024-10886"/>
    <d v="2024-01-05T00:00:00"/>
    <d v="2024-01-05T00:00:00"/>
    <n v="0"/>
    <s v="OK"/>
    <s v="CUST-3446"/>
    <s v="Diya Patel"/>
    <s v="Consumer"/>
    <x v="0"/>
    <s v="Rajasthan"/>
    <s v="Jaipur"/>
    <s v="Furniture"/>
    <s v="Tables"/>
    <s v="Pro Tables 866"/>
    <s v="Standard Class"/>
    <n v="1"/>
    <n v="2167.08"/>
    <n v="0.25"/>
    <s v="OK"/>
    <n v="1625.31"/>
    <n v="1157.8900000000001"/>
    <n v="467.42"/>
    <s v="Paid"/>
    <s v="Completed"/>
    <n v="0.25"/>
    <n v="1625.31"/>
    <n v="467.41999999999985"/>
    <n v="28.758821394072509"/>
    <n v="1"/>
    <n v="2024"/>
    <s v="CLEAN"/>
  </r>
  <r>
    <s v="ORD-2024-10888"/>
    <d v="2024-06-12T00:00:00"/>
    <d v="2024-06-18T00:00:00"/>
    <n v="6"/>
    <s v="OK"/>
    <s v="CUST-2795"/>
    <s v="Aarav Sharma"/>
    <s v="Small Business"/>
    <x v="2"/>
    <s v="Andhra Pradesh"/>
    <s v="Vijayawada"/>
    <s v="Office Supplies"/>
    <s v="Art"/>
    <s v="Prime Art 596"/>
    <s v="Standard Class"/>
    <n v="4"/>
    <n v="4176.13"/>
    <n v="0"/>
    <s v="OK"/>
    <n v="16704.52"/>
    <n v="10158.280000000001"/>
    <n v="6546.24"/>
    <s v="Paid"/>
    <s v="Completed"/>
    <n v="0"/>
    <n v="16704.52"/>
    <n v="6546.24"/>
    <n v="39.188435225914894"/>
    <n v="6"/>
    <n v="2024"/>
    <s v="CLEAN"/>
  </r>
  <r>
    <s v="ORD-2024-10891"/>
    <d v="2024-05-15T00:00:00"/>
    <d v="2024-05-21T00:00:00"/>
    <n v="6"/>
    <s v="OK"/>
    <s v="CUST-3992"/>
    <s v="Karan Malhotra"/>
    <s v="Consumer"/>
    <x v="3"/>
    <s v="Goa"/>
    <s v="Panaji"/>
    <s v="Office Supplies"/>
    <s v="Storage"/>
    <s v="Smart Storage 288"/>
    <s v="Standard Class"/>
    <n v="6"/>
    <n v="2909.56"/>
    <n v="0.2"/>
    <s v="OK"/>
    <n v="13965.89"/>
    <n v="11646.12"/>
    <n v="2319.77"/>
    <s v="Paid"/>
    <s v="Completed"/>
    <n v="0.2"/>
    <n v="13965.888000000001"/>
    <n v="2319.768"/>
    <n v="16.61024347323994"/>
    <n v="5"/>
    <n v="2024"/>
    <s v="CLEAN"/>
  </r>
  <r>
    <s v="ORD-2024-10894"/>
    <d v="2024-06-06T00:00:00"/>
    <d v="2024-06-08T00:00:00"/>
    <n v="2"/>
    <s v="OK"/>
    <s v="CUST-9297"/>
    <s v="Aarav Sharma"/>
    <s v="Corporate"/>
    <x v="2"/>
    <s v="Karnataka"/>
    <s v="Bengaluru"/>
    <s v="Furniture"/>
    <s v="Tables"/>
    <s v="Max Tables 291"/>
    <s v="Second Class"/>
    <n v="3"/>
    <n v="395.49"/>
    <n v="0.05"/>
    <s v="OK"/>
    <n v="1127.1500000000001"/>
    <n v="845.62"/>
    <n v="281.52999999999997"/>
    <s v="Paid"/>
    <s v="Returned"/>
    <n v="0.05"/>
    <n v="1127.1465000000001"/>
    <n v="281.52650000000006"/>
    <n v="24.976921810962466"/>
    <n v="6"/>
    <n v="2024"/>
    <s v="CLEAN"/>
  </r>
  <r>
    <s v="ORD-2024-10895"/>
    <d v="2024-02-22T00:00:00"/>
    <d v="2024-02-29T00:00:00"/>
    <n v="7"/>
    <s v="OK"/>
    <s v="CUST-7996"/>
    <s v="Isha Nair"/>
    <s v="Home Office"/>
    <x v="2"/>
    <s v="Telangana"/>
    <s v="Hyderabad"/>
    <s v="Furniture"/>
    <s v="Tables"/>
    <s v="Classic Tables 638"/>
    <s v="First Class"/>
    <n v="6"/>
    <n v="4254.05"/>
    <n v="0"/>
    <s v="OK"/>
    <n v="25524.3"/>
    <n v="16711.93"/>
    <n v="8812.3700000000008"/>
    <s v="Paid"/>
    <s v="Completed"/>
    <n v="0"/>
    <n v="25524.300000000003"/>
    <n v="8812.3700000000026"/>
    <n v="34.525413037771855"/>
    <n v="2"/>
    <n v="2024"/>
    <s v="CLEAN"/>
  </r>
  <r>
    <s v="ORD-2024-10896"/>
    <d v="2024-11-05T00:00:00"/>
    <d v="2024-11-10T00:00:00"/>
    <n v="5"/>
    <s v="OK"/>
    <s v="CUST-4117"/>
    <s v="Arjun Bose"/>
    <s v="Consumer"/>
    <x v="2"/>
    <s v="Kerala"/>
    <s v="Kochi"/>
    <s v="Furniture"/>
    <s v="Chairs"/>
    <s v="Basic Chairs 212"/>
    <s v="Same Day"/>
    <n v="4"/>
    <n v="711.18"/>
    <n v="0.15"/>
    <s v="OK"/>
    <n v="2418.0100000000002"/>
    <n v="1441.89"/>
    <n v="976.12"/>
    <s v="Pending"/>
    <s v="Returned"/>
    <n v="0.15"/>
    <n v="2418.0119999999997"/>
    <n v="976.12199999999962"/>
    <n v="40.368782288921636"/>
    <n v="11"/>
    <n v="2024"/>
    <s v="CLEAN"/>
  </r>
  <r>
    <s v="ORD-2024-10899"/>
    <d v="2024-06-02T00:00:00"/>
    <d v="2024-06-08T00:00:00"/>
    <n v="6"/>
    <s v="OK"/>
    <s v="CUST-6046"/>
    <s v="Vikram Iyer"/>
    <s v="Consumer"/>
    <x v="0"/>
    <s v="Delhi"/>
    <s v="New Delhi"/>
    <s v="Furniture"/>
    <s v="Tables"/>
    <s v="Classic Tables 535"/>
    <s v="First Class"/>
    <n v="4"/>
    <n v="1536.7"/>
    <n v="0.2"/>
    <s v="OK"/>
    <n v="4917.4399999999996"/>
    <n v="3846.77"/>
    <n v="1070.67"/>
    <s v="Paid"/>
    <s v="Completed"/>
    <n v="0.2"/>
    <n v="4917.4400000000005"/>
    <n v="1070.6700000000005"/>
    <n v="21.772914361944434"/>
    <n v="6"/>
    <n v="2024"/>
    <s v="CLEAN"/>
  </r>
  <r>
    <s v="ORD-2025-10007"/>
    <d v="2025-04-10T00:00:00"/>
    <d v="2025-04-16T00:00:00"/>
    <n v="6"/>
    <s v="OK"/>
    <s v="CUST-3656"/>
    <s v="Neha Gupta"/>
    <s v="Consumer"/>
    <x v="1"/>
    <s v="Odisha"/>
    <s v="Bhubaneswar"/>
    <s v="Technology"/>
    <s v="Copiers"/>
    <s v="Eco Copiers 790"/>
    <s v="Standard Class"/>
    <n v="4"/>
    <n v="1719.87"/>
    <n v="0.15"/>
    <s v="OK"/>
    <n v="5847.56"/>
    <n v="4727.25"/>
    <n v="1120.31"/>
    <s v="Paid"/>
    <s v="Completed"/>
    <n v="0.15"/>
    <n v="5847.5579999999991"/>
    <n v="1120.3079999999991"/>
    <n v="19.158561573908276"/>
    <n v="4"/>
    <n v="2025"/>
    <s v="CLEAN"/>
  </r>
  <r>
    <s v="ORD-2025-10008"/>
    <d v="2025-02-23T00:00:00"/>
    <d v="2025-02-26T00:00:00"/>
    <n v="3"/>
    <s v="OK"/>
    <s v="CUST-4683"/>
    <s v="Isha Nair"/>
    <s v="Small Business"/>
    <x v="2"/>
    <s v="Andhra Pradesh"/>
    <s v="Vijayawada"/>
    <s v="Office Supplies"/>
    <s v="Art"/>
    <s v="Eco Art 848"/>
    <s v="First Class"/>
    <n v="1"/>
    <n v="2980.71"/>
    <n v="0"/>
    <s v="OK"/>
    <n v="2980.71"/>
    <n v="2357.2199999999998"/>
    <n v="623.49"/>
    <s v="Paid"/>
    <s v="Completed"/>
    <n v="0"/>
    <n v="2980.71"/>
    <n v="623.49000000000024"/>
    <n v="20.917499521925993"/>
    <n v="2"/>
    <n v="2025"/>
    <s v="CLEAN"/>
  </r>
  <r>
    <s v="ORD-2025-10010"/>
    <d v="2025-07-09T00:00:00"/>
    <d v="2025-09-12T00:00:00"/>
    <n v="65"/>
    <s v="OK"/>
    <s v="CUST-2483"/>
    <s v="Mira Das"/>
    <s v="Home Office"/>
    <x v="2"/>
    <s v="Telangana"/>
    <s v="Hyderabad"/>
    <s v="Office Supplies"/>
    <s v="Paper"/>
    <s v="Pro Paper 622"/>
    <s v="Second Class"/>
    <n v="9"/>
    <n v="852.04"/>
    <n v="0.2"/>
    <s v="OK"/>
    <n v="6134.69"/>
    <n v="3800.19"/>
    <n v="2334.5"/>
    <s v="Paid"/>
    <s v="Completed"/>
    <n v="0.2"/>
    <n v="6134.6880000000001"/>
    <n v="2334.498"/>
    <n v="38.054062407085738"/>
    <n v="7"/>
    <n v="2025"/>
    <s v="CLEAN"/>
  </r>
  <r>
    <s v="ORD-2025-10014"/>
    <d v="2025-10-12T00:00:00"/>
    <d v="2025-10-16T00:00:00"/>
    <n v="4"/>
    <s v="OK"/>
    <s v="CUST-7482"/>
    <s v="Priya Menon"/>
    <s v="Small Business"/>
    <x v="3"/>
    <s v="Maharashtra"/>
    <s v="Mumbai"/>
    <s v="Office Supplies"/>
    <s v="Art"/>
    <s v="Smart Art 795"/>
    <s v="Second Class"/>
    <n v="7"/>
    <n v="3964.72"/>
    <n v="0.05"/>
    <s v="OK"/>
    <n v="26365.39"/>
    <n v="22306.240000000002"/>
    <n v="4059.15"/>
    <s v="Paid"/>
    <s v="Completed"/>
    <n v="0.05"/>
    <n v="26365.387999999995"/>
    <n v="4059.1479999999938"/>
    <n v="15.395745361304733"/>
    <n v="10"/>
    <n v="2025"/>
    <s v="CLEAN"/>
  </r>
  <r>
    <s v="ORD-2025-10021"/>
    <d v="2025-01-21T00:00:00"/>
    <d v="2025-01-23T00:00:00"/>
    <n v="2"/>
    <s v="OK"/>
    <s v="CUST-3190"/>
    <s v="Aditi Sen"/>
    <s v="Home Office"/>
    <x v="1"/>
    <s v="Bihar"/>
    <s v="Patna"/>
    <s v="Technology"/>
    <s v="Copiers"/>
    <s v="Elite Copiers 233"/>
    <s v="First Class"/>
    <n v="5"/>
    <n v="4373.0600000000004"/>
    <n v="0.25"/>
    <s v="OK"/>
    <n v="16398.98"/>
    <n v="9556.52"/>
    <n v="6842.46"/>
    <s v="Paid"/>
    <s v="Completed"/>
    <n v="0.25"/>
    <n v="16398.975000000002"/>
    <n v="6842.4550000000017"/>
    <n v="41.724894391265309"/>
    <n v="1"/>
    <n v="2025"/>
    <s v="CLEAN"/>
  </r>
  <r>
    <s v="ORD-2025-10022"/>
    <d v="2025-01-24T00:00:00"/>
    <d v="2025-01-30T00:00:00"/>
    <n v="6"/>
    <s v="OK"/>
    <s v="CUST-3036"/>
    <s v="Sneha Kapoor"/>
    <s v="Consumer"/>
    <x v="3"/>
    <s v="Madhya Pradesh"/>
    <s v="Indore"/>
    <s v="Furniture"/>
    <s v="Furnishings"/>
    <s v="Eco Furnishings 897"/>
    <s v="Second Class"/>
    <n v="4"/>
    <n v="697.69"/>
    <n v="-0.23"/>
    <s v="INVALID"/>
    <n v="2790.76"/>
    <n v="2037.71"/>
    <n v="753.05"/>
    <s v="Paid"/>
    <s v="Completed"/>
    <n v="0"/>
    <n v="2790.76"/>
    <n v="753.05000000000018"/>
    <n v="26.98368903094498"/>
    <n v="1"/>
    <n v="2025"/>
    <s v="INVALID"/>
  </r>
  <r>
    <s v="ORD-2025-10024"/>
    <d v="2025-08-29T00:00:00"/>
    <d v="2025-08-31T00:00:00"/>
    <n v="2"/>
    <s v="OK"/>
    <s v="CUST-7098"/>
    <s v="Rahul Verma"/>
    <s v="Home Office"/>
    <x v="1"/>
    <s v="Bihar"/>
    <s v="Patna"/>
    <s v="Furniture"/>
    <s v="Bookcases"/>
    <s v="Pro Bookcases 394"/>
    <s v="First Class"/>
    <n v="4"/>
    <n v="1958.01"/>
    <n v="0.2"/>
    <s v="OK"/>
    <n v="6265.63"/>
    <n v="4321.8599999999997"/>
    <n v="1943.77"/>
    <s v="Paid"/>
    <s v="Completed"/>
    <n v="0.2"/>
    <n v="6265.6320000000005"/>
    <n v="1943.7720000000008"/>
    <n v="31.022760353624353"/>
    <n v="8"/>
    <n v="2025"/>
    <s v="CLEAN"/>
  </r>
  <r>
    <s v="ORD-2025-10030"/>
    <d v="2025-08-13T00:00:00"/>
    <d v="2025-08-13T00:00:00"/>
    <n v="0"/>
    <s v="OK"/>
    <s v="CUST-5936"/>
    <s v="Rohan Mehta"/>
    <s v="Home Office"/>
    <x v="2"/>
    <s v="Kerala"/>
    <s v="Kochi"/>
    <s v="Technology"/>
    <s v="Phones"/>
    <s v="Pro Phones 442"/>
    <s v="Standard Class"/>
    <n v="1"/>
    <n v="256.01"/>
    <n v="0.15"/>
    <s v="OK"/>
    <n v="217.61"/>
    <n v="119.77"/>
    <n v="97.84"/>
    <s v="Paid"/>
    <s v="Completed"/>
    <n v="0.15"/>
    <n v="217.60849999999999"/>
    <n v="97.838499999999996"/>
    <n v="44.96078967503567"/>
    <n v="8"/>
    <n v="2025"/>
    <s v="CLEAN"/>
  </r>
  <r>
    <s v="ORD-2025-10035"/>
    <d v="2025-01-31T00:00:00"/>
    <d v="2025-02-05T00:00:00"/>
    <n v="5"/>
    <s v="OK"/>
    <s v="CUST-2392"/>
    <s v="Priya Menon"/>
    <s v="Home Office"/>
    <x v="1"/>
    <s v="West Bengal"/>
    <s v="Kolkata"/>
    <s v="Furniture"/>
    <s v="Chairs"/>
    <s v="Elite Chairs 862"/>
    <s v="Unknown"/>
    <n v="2"/>
    <n v="4159.6899999999996"/>
    <n v="0.2"/>
    <s v="OK"/>
    <n v="6655.5"/>
    <n v="4340.21"/>
    <n v="2607.3200000000002"/>
    <s v="Paid"/>
    <s v="Completed"/>
    <n v="0.2"/>
    <n v="6655.5039999999999"/>
    <n v="2315.2939999999999"/>
    <n v="34.787658455317583"/>
    <n v="1"/>
    <n v="2025"/>
    <s v="CLEAN"/>
  </r>
  <r>
    <s v="ORD-2025-10038"/>
    <d v="2025-07-29T00:00:00"/>
    <d v="2025-07-29T00:00:00"/>
    <n v="0"/>
    <s v="OK"/>
    <s v="CUST-4646"/>
    <s v="Diya Patel"/>
    <s v="Consumer"/>
    <x v="3"/>
    <s v="Maharashtra"/>
    <s v="Mumbai"/>
    <s v="Technology"/>
    <s v="Copiers"/>
    <s v="Pro Copiers 830"/>
    <s v="Standard Class"/>
    <n v="4"/>
    <n v="1327.54"/>
    <n v="0.2"/>
    <s v="OK"/>
    <n v="4248.13"/>
    <n v="3321.09"/>
    <n v="927.04"/>
    <s v="Paid"/>
    <s v="Completed"/>
    <n v="0.2"/>
    <n v="4248.1279999999997"/>
    <n v="927.03799999999956"/>
    <n v="21.822270892025845"/>
    <n v="7"/>
    <n v="2025"/>
    <s v="CLEAN"/>
  </r>
  <r>
    <s v="ORD-2025-10043"/>
    <d v="2025-10-10T00:00:00"/>
    <d v="2025-10-15T00:00:00"/>
    <n v="5"/>
    <s v="OK"/>
    <s v="CUST-6708"/>
    <s v="Arjun Bose"/>
    <s v="Corporate"/>
    <x v="1"/>
    <s v="Jharkhand"/>
    <s v="Ranchi"/>
    <s v="Technology"/>
    <s v="Phones"/>
    <s v="Eco Phones 702"/>
    <s v="Standard Class"/>
    <n v="8"/>
    <n v="979.87"/>
    <n v="0.05"/>
    <s v="OK"/>
    <n v="7447.01"/>
    <n v="4496.22"/>
    <n v="2950.79"/>
    <s v="Paid"/>
    <s v="Completed"/>
    <n v="0.05"/>
    <n v="7447.0119999999997"/>
    <n v="2950.7919999999995"/>
    <n v="39.623838393170303"/>
    <n v="10"/>
    <n v="2025"/>
    <s v="CLEAN"/>
  </r>
  <r>
    <s v="ORD-2025-10049"/>
    <d v="2025-01-30T00:00:00"/>
    <d v="2025-02-05T00:00:00"/>
    <n v="6"/>
    <s v="OK"/>
    <s v="CUST-8183"/>
    <s v="Neha Gupta"/>
    <s v="Corporate"/>
    <x v="3"/>
    <s v="Maharashtra"/>
    <s v="Mumbai"/>
    <s v="Furniture"/>
    <s v="Chairs"/>
    <s v="Basic Chairs 837"/>
    <s v="Second Class"/>
    <n v="7"/>
    <n v="4063.66"/>
    <n v="0"/>
    <s v="OK"/>
    <n v="28445.62"/>
    <n v="20938.59"/>
    <n v="7507.03"/>
    <s v="Paid"/>
    <s v="Completed"/>
    <n v="0"/>
    <n v="28445.62"/>
    <n v="7507.0299999999988"/>
    <n v="26.390811660986817"/>
    <n v="1"/>
    <n v="2025"/>
    <s v="CLEAN"/>
  </r>
  <r>
    <s v="ORD-2025-10051"/>
    <d v="2025-05-11T00:00:00"/>
    <d v="2025-05-19T00:00:00"/>
    <n v="8"/>
    <s v="OK"/>
    <s v="CUST-8787"/>
    <s v="Sneha Kapoor"/>
    <s v="Consumer"/>
    <x v="1"/>
    <s v="West Bengal"/>
    <s v="Kolkata"/>
    <s v="Technology"/>
    <s v="Copiers"/>
    <s v="Pro Copiers 963"/>
    <s v="Standard Class"/>
    <n v="1"/>
    <n v="2382.8000000000002"/>
    <n v="0.15"/>
    <s v="OK"/>
    <n v="2025.38"/>
    <n v="1140.6500000000001"/>
    <n v="884.73"/>
    <s v="Paid"/>
    <s v="Completed"/>
    <n v="0.15"/>
    <n v="2025.38"/>
    <n v="884.73"/>
    <n v="43.682173221815162"/>
    <n v="5"/>
    <n v="2025"/>
    <s v="CLEAN"/>
  </r>
  <r>
    <s v="ORD-2025-10054"/>
    <d v="2025-03-31T00:00:00"/>
    <d v="2025-03-31T00:00:00"/>
    <n v="0"/>
    <s v="OK"/>
    <s v="CUST-7195"/>
    <s v="Kabir Singh"/>
    <s v="Home Office"/>
    <x v="3"/>
    <s v="Gujarat"/>
    <s v="Ahmedabad"/>
    <s v="Office Supplies"/>
    <s v="Storage"/>
    <s v="Elite Storage 924"/>
    <s v="First Class"/>
    <n v="5"/>
    <n v="1207.47"/>
    <n v="0.15"/>
    <s v="OK"/>
    <n v="5131.75"/>
    <n v="2838.68"/>
    <n v="2293.0700000000002"/>
    <s v="Paid"/>
    <s v="Completed"/>
    <n v="0.15"/>
    <n v="5131.7475000000004"/>
    <n v="2293.0675000000006"/>
    <n v="44.683950252813496"/>
    <n v="3"/>
    <n v="2025"/>
    <s v="CLEAN"/>
  </r>
  <r>
    <s v="ORD-2025-10056"/>
    <d v="2025-01-07T00:00:00"/>
    <d v="2025-03-07T00:00:00"/>
    <n v="59"/>
    <s v="OK"/>
    <s v="CUST-9821"/>
    <s v="Mira Das"/>
    <s v="Small Business"/>
    <x v="2"/>
    <s v="Andhra Pradesh"/>
    <s v="Vijayawada"/>
    <s v="Technology"/>
    <s v="Machines"/>
    <s v="Classic Machines 310"/>
    <s v="Same Day"/>
    <n v="3"/>
    <n v="1516.24"/>
    <n v="0.25"/>
    <s v="OK"/>
    <n v="3411.54"/>
    <n v="2803.13"/>
    <n v="608.41"/>
    <s v="Paid"/>
    <s v="Completed"/>
    <n v="0.25"/>
    <n v="3411.54"/>
    <n v="608.40999999999985"/>
    <n v="17.83388147288321"/>
    <n v="1"/>
    <n v="2025"/>
    <s v="CLEAN"/>
  </r>
  <r>
    <s v="ORD-2025-10067"/>
    <d v="2025-08-28T00:00:00"/>
    <d v="2025-09-01T00:00:00"/>
    <n v="4"/>
    <s v="OK"/>
    <s v="CUST-1504"/>
    <s v="Karan Malhotra"/>
    <s v="Small Business"/>
    <x v="2"/>
    <s v="Tamil Nadu"/>
    <s v="Chennai"/>
    <s v="Technology"/>
    <s v="Accessories"/>
    <s v="Elite Accessories 187"/>
    <s v="Same Day"/>
    <n v="7"/>
    <n v="1057.46"/>
    <n v="0.05"/>
    <s v="OK"/>
    <n v="7032.11"/>
    <n v="4610.34"/>
    <n v="2421.77"/>
    <s v="Paid"/>
    <s v="Completed"/>
    <n v="0.05"/>
    <n v="7032.1089999999995"/>
    <n v="2421.7689999999993"/>
    <n v="34.438729547565309"/>
    <n v="8"/>
    <n v="2025"/>
    <s v="CLEAN"/>
  </r>
  <r>
    <s v="ORD-2025-10068"/>
    <d v="2025-02-03T00:00:00"/>
    <d v="2025-07-02T00:00:00"/>
    <n v="149"/>
    <s v="OK"/>
    <s v="CUST-8282"/>
    <s v="Kabir Singh"/>
    <s v="Consumer"/>
    <x v="0"/>
    <s v="Haryana"/>
    <s v="Gurugram"/>
    <s v="Office Supplies"/>
    <s v="Paper"/>
    <s v="Eco Paper 922"/>
    <s v="First Class"/>
    <n v="7"/>
    <n v="3609.34"/>
    <n v="0.05"/>
    <s v="OK"/>
    <n v="24002.11"/>
    <n v="18707.57"/>
    <n v="5294.54"/>
    <s v="Paid"/>
    <s v="Completed"/>
    <n v="0.05"/>
    <n v="24002.111000000001"/>
    <n v="5294.5410000000011"/>
    <n v="22.058647258151591"/>
    <n v="2"/>
    <n v="2025"/>
    <s v="CLEAN"/>
  </r>
  <r>
    <s v="ORD-2025-10071"/>
    <d v="2025-08-22T00:00:00"/>
    <d v="2025-08-27T00:00:00"/>
    <n v="5"/>
    <s v="OK"/>
    <s v="CUST-5582"/>
    <s v="Karan Malhotra"/>
    <s v="Corporate"/>
    <x v="2"/>
    <s v="Andhra Pradesh"/>
    <s v="Vijayawada"/>
    <s v="Technology"/>
    <s v="Phones"/>
    <s v="Max Phones 661"/>
    <s v="First Class"/>
    <n v="2"/>
    <n v="905.87"/>
    <n v="0.15"/>
    <s v="OK"/>
    <n v="1539.98"/>
    <n v="1070.2"/>
    <n v="469.78"/>
    <s v="Paid"/>
    <s v="Completed"/>
    <n v="0.15"/>
    <n v="1539.979"/>
    <n v="469.779"/>
    <n v="30.505545854846073"/>
    <n v="8"/>
    <n v="2025"/>
    <s v="CLEAN"/>
  </r>
  <r>
    <s v="ORD-2025-10072"/>
    <d v="2025-04-16T00:00:00"/>
    <d v="2025-04-23T00:00:00"/>
    <n v="7"/>
    <s v="OK"/>
    <s v="CUST-3308"/>
    <s v="Mira Das"/>
    <s v="Small Business"/>
    <x v="3"/>
    <s v="Goa"/>
    <s v="Panaji"/>
    <s v="Technology"/>
    <s v="Machines"/>
    <s v="Elite Machines 836"/>
    <s v="Standard Class"/>
    <n v="6"/>
    <n v="2027.32"/>
    <n v="0.1"/>
    <s v="OK"/>
    <n v="10947.53"/>
    <n v="6447.36"/>
    <n v="4500.17"/>
    <s v="Paid"/>
    <s v="Completed"/>
    <n v="0.1"/>
    <n v="10947.528"/>
    <n v="4500.1680000000006"/>
    <n v="41.106704636882412"/>
    <n v="4"/>
    <n v="2025"/>
    <s v="CLEAN"/>
  </r>
  <r>
    <s v="ORD-2025-10074"/>
    <d v="2025-03-29T00:00:00"/>
    <d v="2025-04-03T00:00:00"/>
    <n v="5"/>
    <s v="OK"/>
    <s v="CUST-2342"/>
    <s v="Sneha Kapoor"/>
    <s v="Corporate"/>
    <x v="1"/>
    <s v="West Bengal"/>
    <s v="Kolkata"/>
    <s v="Furniture"/>
    <s v="Bookcases"/>
    <s v="Smart Bookcases 167"/>
    <s v="First Class"/>
    <n v="5"/>
    <n v="1425.74"/>
    <n v="0"/>
    <s v="OK"/>
    <n v="7128.7"/>
    <n v="4382.1499999999996"/>
    <n v="2746.55"/>
    <s v="Paid"/>
    <s v="Completed"/>
    <n v="0"/>
    <n v="7128.7"/>
    <n v="2746.55"/>
    <n v="38.528062620113069"/>
    <n v="3"/>
    <n v="2025"/>
    <s v="CLEAN"/>
  </r>
  <r>
    <s v="ORD-2025-10075"/>
    <d v="2025-02-27T00:00:00"/>
    <d v="2025-03-01T00:00:00"/>
    <n v="2"/>
    <s v="OK"/>
    <s v="CUST-6201"/>
    <s v="Vikram Iyer"/>
    <s v="Small Business"/>
    <x v="1"/>
    <s v="West Bengal"/>
    <s v="Kolkata"/>
    <s v="Furniture"/>
    <s v="Chairs"/>
    <s v="Max Chairs 244"/>
    <s v="Standard Class"/>
    <n v="6"/>
    <n v="551.64"/>
    <n v="0"/>
    <s v="OK"/>
    <n v="3309.84"/>
    <n v="2671.08"/>
    <n v="638.76"/>
    <s v="Paid"/>
    <s v="Completed"/>
    <n v="0"/>
    <n v="3309.84"/>
    <n v="638.76000000000022"/>
    <n v="19.298818069755644"/>
    <n v="2"/>
    <n v="2025"/>
    <s v="CLEAN"/>
  </r>
  <r>
    <s v="ORD-2025-10076"/>
    <d v="2025-08-22T00:00:00"/>
    <d v="2025-08-27T00:00:00"/>
    <n v="5"/>
    <s v="OK"/>
    <s v="CUST-5808"/>
    <s v="Priya Menon"/>
    <s v="Small Business"/>
    <x v="1"/>
    <s v="Odisha"/>
    <s v="Bhubaneswar"/>
    <s v="Office Supplies"/>
    <s v="Labels"/>
    <s v="Eco Labels 653"/>
    <s v="First Class"/>
    <n v="3"/>
    <n v="3294.82"/>
    <n v="0.2"/>
    <s v="OK"/>
    <n v="7907.57"/>
    <n v="5391.18"/>
    <n v="2516.39"/>
    <s v="Paid"/>
    <s v="Completed"/>
    <n v="0.2"/>
    <n v="7907.5680000000011"/>
    <n v="2516.3880000000008"/>
    <n v="31.822527482533197"/>
    <n v="8"/>
    <n v="2025"/>
    <s v="CLEAN"/>
  </r>
  <r>
    <s v="ORD-2025-10079"/>
    <d v="2025-07-16T00:00:00"/>
    <d v="2025-07-21T00:00:00"/>
    <n v="5"/>
    <s v="OK"/>
    <s v="CUST-8043"/>
    <s v="Sneha Kapoor"/>
    <s v="Corporate"/>
    <x v="1"/>
    <s v="West Bengal"/>
    <s v="Kolkata"/>
    <s v="Furniture"/>
    <s v="Tables"/>
    <s v="Smart Tables 561"/>
    <s v="First Class"/>
    <n v="5"/>
    <n v="2129.5100000000002"/>
    <n v="0.15"/>
    <s v="OK"/>
    <n v="9050.42"/>
    <n v="6778.85"/>
    <n v="2271.5700000000002"/>
    <s v="Paid"/>
    <s v="Completed"/>
    <n v="0.15"/>
    <n v="9050.4175000000014"/>
    <n v="2271.567500000001"/>
    <n v="25.099035486484471"/>
    <n v="7"/>
    <n v="2025"/>
    <s v="CLEAN"/>
  </r>
  <r>
    <s v="ORD-2025-10080"/>
    <d v="2025-09-27T00:00:00"/>
    <d v="2025-10-03T00:00:00"/>
    <n v="6"/>
    <s v="OK"/>
    <s v="CUST-9978"/>
    <s v="Diya Patel"/>
    <s v="Home Office"/>
    <x v="2"/>
    <s v="Tamil Nadu"/>
    <s v="Chennai"/>
    <s v="Furniture"/>
    <s v="Chairs"/>
    <s v="Prime Chairs 838"/>
    <s v="Same Day"/>
    <n v="9"/>
    <n v="4131.5200000000004"/>
    <n v="0.1"/>
    <s v="OK"/>
    <n v="33465.31"/>
    <n v="24781.26"/>
    <n v="8684.0499999999993"/>
    <s v="Paid"/>
    <s v="Completed"/>
    <n v="0.1"/>
    <n v="33465.312000000005"/>
    <n v="8684.052000000007"/>
    <n v="25.949412932411942"/>
    <n v="9"/>
    <n v="2025"/>
    <s v="CLEAN"/>
  </r>
  <r>
    <s v="ORD-2025-10082"/>
    <d v="2025-03-16T00:00:00"/>
    <d v="2025-03-17T00:00:00"/>
    <n v="1"/>
    <s v="OK"/>
    <s v="CUST-7907"/>
    <s v="Karan Malhotra"/>
    <s v="Home Office"/>
    <x v="3"/>
    <s v="Goa"/>
    <s v="Panaji"/>
    <s v="Office Supplies"/>
    <s v="Labels"/>
    <s v="Eco Labels 662"/>
    <s v="Same Day"/>
    <n v="3"/>
    <n v="1841.91"/>
    <n v="0"/>
    <s v="OK"/>
    <n v="5525.73"/>
    <n v="3093.42"/>
    <n v="2432.31"/>
    <s v="Paid"/>
    <s v="Completed"/>
    <n v="0"/>
    <n v="5525.7300000000005"/>
    <n v="2432.3100000000004"/>
    <n v="44.017894468242211"/>
    <n v="3"/>
    <n v="2025"/>
    <s v="CLEAN"/>
  </r>
  <r>
    <s v="ORD-2025-10091"/>
    <d v="2025-08-24T00:00:00"/>
    <d v="2025-08-29T00:00:00"/>
    <n v="5"/>
    <s v="OK"/>
    <s v="CUST-5909"/>
    <s v="Aarav Sharma"/>
    <s v="Small Business"/>
    <x v="1"/>
    <s v="Bihar"/>
    <s v="Patna"/>
    <s v="Technology"/>
    <s v="Copiers"/>
    <s v="Smart Copiers 556"/>
    <s v="First Class"/>
    <n v="3"/>
    <n v="3703.96"/>
    <n v="0.15"/>
    <s v="OK"/>
    <n v="9445.1"/>
    <n v="5586.28"/>
    <n v="3858.82"/>
    <s v="Paid"/>
    <s v="Completed"/>
    <n v="0.15"/>
    <n v="9445.098"/>
    <n v="3858.8180000000002"/>
    <n v="40.855245758170007"/>
    <n v="8"/>
    <n v="2025"/>
    <s v="CLEAN"/>
  </r>
  <r>
    <s v="ORD-2025-10091"/>
    <d v="2025-08-24T00:00:00"/>
    <d v="2025-08-29T00:00:00"/>
    <n v="5"/>
    <s v="OK"/>
    <s v="CUST-5909"/>
    <s v="Aarav Sharma"/>
    <s v="Small Business"/>
    <x v="1"/>
    <s v="Bihar"/>
    <s v="Patna"/>
    <s v="Technology"/>
    <s v="Copiers"/>
    <s v="Smart Copiers 556"/>
    <s v="First Class"/>
    <n v="3"/>
    <n v="3703.96"/>
    <n v="0.15"/>
    <s v="OK"/>
    <n v="9549.44"/>
    <n v="5586.28"/>
    <n v="3858.82"/>
    <s v="Paid"/>
    <s v="Returned"/>
    <n v="0.15"/>
    <n v="9445.098"/>
    <n v="3858.8180000000002"/>
    <n v="40.855245758170007"/>
    <n v="8"/>
    <n v="2025"/>
    <s v="CLEAN"/>
  </r>
  <r>
    <s v="ORD-2025-10092"/>
    <d v="2025-02-03T00:00:00"/>
    <d v="2025-03-08T00:00:00"/>
    <n v="33"/>
    <s v="OK"/>
    <s v="CUST-6409"/>
    <s v="Sneha Kapoor"/>
    <s v="Corporate"/>
    <x v="3"/>
    <s v="Madhya Pradesh"/>
    <s v="Indore"/>
    <s v="Technology"/>
    <s v="Copiers"/>
    <s v="Prime Copiers 575"/>
    <s v="Second Class"/>
    <n v="9"/>
    <n v="269.68"/>
    <n v="0"/>
    <s v="OK"/>
    <n v="2427.12"/>
    <n v="1538.35"/>
    <n v="804.53"/>
    <s v="Paid"/>
    <s v="Completed"/>
    <n v="0"/>
    <n v="2427.12"/>
    <n v="888.77"/>
    <n v="36.618296581957217"/>
    <n v="2"/>
    <n v="2025"/>
    <s v="CLEAN"/>
  </r>
  <r>
    <s v="ORD-2025-10093"/>
    <d v="2025-01-23T00:00:00"/>
    <d v="2025-01-26T00:00:00"/>
    <n v="3"/>
    <s v="OK"/>
    <s v="CUST-3014"/>
    <s v="Aarav Sharma"/>
    <s v="Consumer"/>
    <x v="3"/>
    <s v="Madhya Pradesh"/>
    <s v="Indore"/>
    <s v="Office Supplies"/>
    <s v="Paper"/>
    <s v="Elite Paper 669"/>
    <s v="Standard Class"/>
    <n v="9"/>
    <n v="4458.26"/>
    <n v="0.1"/>
    <s v="OK"/>
    <n v="36111.910000000003"/>
    <n v="29194.5"/>
    <n v="6917.41"/>
    <s v="Paid"/>
    <s v="Completed"/>
    <n v="0.1"/>
    <n v="36111.906000000003"/>
    <n v="6917.4060000000027"/>
    <n v="19.15547188232048"/>
    <n v="1"/>
    <n v="2025"/>
    <s v="CLEAN"/>
  </r>
  <r>
    <s v="ORD-2025-10096"/>
    <d v="2025-05-09T00:00:00"/>
    <d v="2025-09-10T00:00:00"/>
    <n v="124"/>
    <s v="OK"/>
    <s v="CUST-2687"/>
    <s v="Sneha Kapoor"/>
    <s v="Corporate"/>
    <x v="3"/>
    <s v="Goa"/>
    <s v="Panaji"/>
    <s v="Furniture"/>
    <s v="Bookcases"/>
    <s v="Classic Bookcases 988"/>
    <s v="Same Day"/>
    <n v="6"/>
    <n v="1754.13"/>
    <n v="0"/>
    <s v="OK"/>
    <n v="10524.78"/>
    <n v="8841.0499999999993"/>
    <n v="1683.73"/>
    <s v="Paid"/>
    <s v="Completed"/>
    <n v="0"/>
    <n v="10524.78"/>
    <n v="1683.7300000000014"/>
    <n v="15.997769074507984"/>
    <n v="5"/>
    <n v="2025"/>
    <s v="CLEAN"/>
  </r>
  <r>
    <s v="ORD-2025-10098"/>
    <d v="2025-08-08T00:00:00"/>
    <d v="2025-08-11T00:00:00"/>
    <n v="3"/>
    <s v="OK"/>
    <s v="CUST-8111"/>
    <s v="Diya Patel"/>
    <s v="Small Business"/>
    <x v="3"/>
    <s v="Gujarat"/>
    <s v="Ahmedabad"/>
    <s v="Office Supplies"/>
    <s v="Storage"/>
    <s v="Basic Storage 656"/>
    <s v="Same Day"/>
    <n v="5"/>
    <n v="3602.36"/>
    <n v="0.2"/>
    <s v="OK"/>
    <n v="14409.44"/>
    <n v="8809.9699999999993"/>
    <n v="5599.47"/>
    <s v="Pending"/>
    <s v="Returned"/>
    <n v="0.2"/>
    <n v="14409.44"/>
    <n v="5599.4700000000012"/>
    <n v="38.859733619071953"/>
    <n v="8"/>
    <n v="2025"/>
    <s v="CLEAN"/>
  </r>
  <r>
    <s v="ORD-2025-10100"/>
    <d v="2025-11-01T00:00:00"/>
    <d v="2025-11-01T00:00:00"/>
    <n v="0"/>
    <s v="OK"/>
    <s v="CUST-3865"/>
    <s v="Aditi Sen"/>
    <s v="Small Business"/>
    <x v="3"/>
    <s v="Rajasthan"/>
    <s v="Udaipur"/>
    <s v="Technology"/>
    <s v="Accessories"/>
    <s v="Smart Accessories 542"/>
    <s v="Same Day"/>
    <n v="3"/>
    <n v="2165.29"/>
    <n v="0"/>
    <s v="OK"/>
    <n v="6495.87"/>
    <n v="4700.8900000000003"/>
    <n v="1794.98"/>
    <s v="Paid"/>
    <s v="Completed"/>
    <n v="0"/>
    <n v="6495.87"/>
    <n v="1794.9799999999996"/>
    <n v="27.632634273777022"/>
    <n v="11"/>
    <n v="2025"/>
    <s v="CLEAN"/>
  </r>
  <r>
    <s v="ORD-2025-10101"/>
    <d v="2025-09-12T00:00:00"/>
    <d v="2025-09-18T00:00:00"/>
    <n v="6"/>
    <s v="OK"/>
    <s v="CUST-6015"/>
    <s v="Aarav Sharma"/>
    <s v="Home Office"/>
    <x v="2"/>
    <s v="Kerala"/>
    <s v="Kochi"/>
    <s v="Office Supplies"/>
    <s v="Storage"/>
    <s v="Eco Storage 936"/>
    <s v="Standard Class"/>
    <n v="6"/>
    <n v="1673.8"/>
    <n v="0.05"/>
    <s v="OK"/>
    <n v="9540.66"/>
    <n v="5561.49"/>
    <n v="3979.17"/>
    <s v="Paid"/>
    <s v="Completed"/>
    <n v="0.05"/>
    <n v="9540.659999999998"/>
    <n v="3979.1699999999983"/>
    <n v="41.707491934520242"/>
    <n v="9"/>
    <n v="2025"/>
    <s v="CLEAN"/>
  </r>
  <r>
    <s v="ORD-2025-10104"/>
    <d v="2025-05-02T00:00:00"/>
    <d v="2025-05-10T00:00:00"/>
    <n v="8"/>
    <s v="OK"/>
    <s v="CUST-6263"/>
    <s v="Kabir Singh"/>
    <s v="Corporate"/>
    <x v="3"/>
    <s v="Maharashtra"/>
    <s v="Mumbai"/>
    <s v="Furniture"/>
    <s v="Tables"/>
    <s v="Prime Tables 377"/>
    <s v="First Class"/>
    <n v="4"/>
    <n v="2440.34"/>
    <n v="0.2"/>
    <s v="OK"/>
    <n v="7809.09"/>
    <n v="6657.75"/>
    <n v="1151.3399999999999"/>
    <s v="Paid"/>
    <s v="Completed"/>
    <n v="0.2"/>
    <n v="7809.0880000000006"/>
    <n v="1151.3380000000006"/>
    <n v="14.743565445798543"/>
    <n v="5"/>
    <n v="2025"/>
    <s v="CLEAN"/>
  </r>
  <r>
    <s v="ORD-2025-10110"/>
    <d v="2025-08-23T00:00:00"/>
    <d v="2025-08-27T00:00:00"/>
    <n v="4"/>
    <s v="OK"/>
    <s v="CUST-3740"/>
    <s v="Sneha Kapoor"/>
    <s v="Consumer"/>
    <x v="0"/>
    <s v="Delhi"/>
    <s v="New Delhi"/>
    <s v="Office Supplies"/>
    <s v="Binders"/>
    <s v="Classic Binders 660"/>
    <s v="Second Class"/>
    <n v="1"/>
    <n v="2788.62"/>
    <n v="0.25"/>
    <s v="OK"/>
    <n v="2091.4699999999998"/>
    <n v="1317.22"/>
    <n v="774.25"/>
    <s v="Paid"/>
    <s v="Completed"/>
    <n v="0.25"/>
    <n v="2091.4650000000001"/>
    <n v="774.24500000000012"/>
    <n v="37.019266399389906"/>
    <n v="8"/>
    <n v="2025"/>
    <s v="CLEAN"/>
  </r>
  <r>
    <s v="ORD-2025-10127"/>
    <d v="2025-09-24T00:00:00"/>
    <d v="2025-09-26T00:00:00"/>
    <n v="2"/>
    <s v="OK"/>
    <s v="CUST-1715"/>
    <s v="Priya Menon"/>
    <s v="Corporate"/>
    <x v="0"/>
    <s v="Delhi"/>
    <s v="New Delhi"/>
    <s v="Technology"/>
    <s v="Copiers"/>
    <s v="Prime Copiers 651"/>
    <s v="Standard Class"/>
    <n v="3"/>
    <n v="1593.86"/>
    <n v="0.1"/>
    <s v="OK"/>
    <n v="4303.42"/>
    <n v="2568.5700000000002"/>
    <n v="1734.85"/>
    <s v="Paid"/>
    <s v="Completed"/>
    <n v="0.1"/>
    <n v="4303.4220000000005"/>
    <n v="1734.8520000000003"/>
    <n v="40.313313451481179"/>
    <n v="9"/>
    <n v="2025"/>
    <s v="CLEAN"/>
  </r>
  <r>
    <s v="ORD-2025-10128"/>
    <d v="2025-01-30T00:00:00"/>
    <d v="2025-01-26T00:00:00"/>
    <n v="-4"/>
    <s v="INVALID"/>
    <s v="CUST-6802"/>
    <s v="Priya Menon"/>
    <s v="Corporate"/>
    <x v="3"/>
    <s v="Madhya Pradesh"/>
    <s v="Indore"/>
    <s v="Office Supplies"/>
    <s v="Storage"/>
    <s v="Basic Storage 321"/>
    <s v="Second Class"/>
    <n v="2"/>
    <n v="3039.3"/>
    <n v="0.05"/>
    <s v="OK"/>
    <n v="5774.67"/>
    <n v="3518.36"/>
    <n v="2256.31"/>
    <s v="Paid"/>
    <s v="Completed"/>
    <n v="0.05"/>
    <n v="5774.67"/>
    <n v="2256.31"/>
    <n v="39.072535746631409"/>
    <n v="1"/>
    <n v="2025"/>
    <s v="INVALID"/>
  </r>
  <r>
    <s v="ORD-2025-10132"/>
    <d v="2025-09-29T00:00:00"/>
    <d v="2025-10-04T00:00:00"/>
    <n v="5"/>
    <s v="OK"/>
    <s v="CUST-7637"/>
    <s v="Ananya Rao"/>
    <s v="Home Office"/>
    <x v="1"/>
    <s v="Jharkhand"/>
    <s v="Ranchi"/>
    <s v="Office Supplies"/>
    <s v="Paper"/>
    <s v="Pro Paper 934"/>
    <s v="Same Day"/>
    <n v="9"/>
    <n v="373.91"/>
    <n v="0.2"/>
    <s v="OK"/>
    <n v="2692.15"/>
    <n v="2044.49"/>
    <n v="647.66"/>
    <s v="Paid"/>
    <s v="Completed"/>
    <n v="0.2"/>
    <n v="2692.152"/>
    <n v="647.66200000000003"/>
    <n v="24.057408348414207"/>
    <n v="9"/>
    <n v="2025"/>
    <s v="CLEAN"/>
  </r>
  <r>
    <s v="ORD-2025-10136"/>
    <d v="2025-08-24T00:00:00"/>
    <d v="2025-08-24T00:00:00"/>
    <n v="0"/>
    <s v="OK"/>
    <s v="CUST-1148"/>
    <s v="Diya Patel"/>
    <s v="Small Business"/>
    <x v="2"/>
    <s v="Kerala"/>
    <s v="Kochi"/>
    <s v="Furniture"/>
    <s v="Bookcases"/>
    <s v="Prime Bookcases 954"/>
    <s v="Standard Class"/>
    <n v="1"/>
    <n v="3424.78"/>
    <n v="0"/>
    <s v="OK"/>
    <n v="3424.78"/>
    <n v="1951.45"/>
    <n v="1473.33"/>
    <s v="Paid"/>
    <s v="Completed"/>
    <n v="0"/>
    <n v="3424.78"/>
    <n v="1473.3300000000002"/>
    <n v="43.019697615613268"/>
    <n v="8"/>
    <n v="2025"/>
    <s v="CLEAN"/>
  </r>
  <r>
    <s v="ORD-2025-10137"/>
    <d v="2025-09-02T00:00:00"/>
    <d v="2025-02-15T00:00:00"/>
    <n v="-199"/>
    <s v="INVALID"/>
    <s v="CUST-3350"/>
    <s v="Mira Das"/>
    <s v="Home Office"/>
    <x v="1"/>
    <s v="Jharkhand"/>
    <s v="Ranchi"/>
    <s v="Office Supplies"/>
    <s v="Binders"/>
    <s v="Max Binders 362"/>
    <s v="Standard Class"/>
    <n v="9"/>
    <n v="4330.33"/>
    <n v="0.2"/>
    <s v="OK"/>
    <n v="31178.38"/>
    <n v="21421.09"/>
    <n v="9757.2900000000009"/>
    <s v="Paid"/>
    <s v="Completed"/>
    <n v="0.2"/>
    <n v="31178.376000000004"/>
    <n v="9757.2860000000037"/>
    <n v="31.29504243582155"/>
    <n v="9"/>
    <n v="2025"/>
    <s v="INVALID"/>
  </r>
  <r>
    <s v="ORD-2025-10138"/>
    <d v="2025-01-09T00:00:00"/>
    <d v="2025-01-09T00:00:00"/>
    <n v="0"/>
    <s v="OK"/>
    <s v="CUST-7932"/>
    <s v="Sneha Kapoor"/>
    <s v="Small Business"/>
    <x v="0"/>
    <s v="Rajasthan"/>
    <s v="Jaipur"/>
    <s v="Furniture"/>
    <s v="Chairs"/>
    <s v="Prime Chairs 261"/>
    <s v="Same Day"/>
    <n v="8"/>
    <n v="2667.07"/>
    <n v="0.1"/>
    <s v="OK"/>
    <n v="19202.900000000001"/>
    <n v="15526.62"/>
    <n v="3676.28"/>
    <s v="Paid"/>
    <s v="Completed"/>
    <n v="0.1"/>
    <n v="19202.904000000002"/>
    <n v="3676.2840000000015"/>
    <n v="19.14441690694283"/>
    <n v="1"/>
    <n v="2025"/>
    <s v="CLEAN"/>
  </r>
  <r>
    <s v="ORD-2025-10140"/>
    <d v="2025-03-02T00:00:00"/>
    <d v="2025-07-03T00:00:00"/>
    <n v="123"/>
    <s v="OK"/>
    <s v="CUST-4225"/>
    <s v="Neha Gupta"/>
    <s v="Home Office"/>
    <x v="2"/>
    <s v="Karnataka"/>
    <s v="Bengaluru"/>
    <s v="Office Supplies"/>
    <s v="Labels"/>
    <s v="Basic Labels 509"/>
    <s v="Standard Class"/>
    <n v="8"/>
    <n v="1287.6300000000001"/>
    <n v="0"/>
    <s v="OK"/>
    <n v="10301.040000000001"/>
    <n v="6564.06"/>
    <n v="3736.98"/>
    <s v="Paid"/>
    <s v="Completed"/>
    <n v="0"/>
    <n v="10301.040000000001"/>
    <n v="3736.9800000000005"/>
    <n v="36.277696232613408"/>
    <n v="3"/>
    <n v="2025"/>
    <s v="CLEAN"/>
  </r>
  <r>
    <s v="ORD-2025-10146"/>
    <d v="2025-11-04T00:00:00"/>
    <d v="2025-04-13T00:00:00"/>
    <n v="-205"/>
    <s v="INVALID"/>
    <s v="CUST-6161"/>
    <s v="Mira Das"/>
    <s v="Small Business"/>
    <x v="3"/>
    <s v="Goa"/>
    <s v="Panaji"/>
    <s v="Office Supplies"/>
    <s v="Paper"/>
    <s v="Smart Paper 899"/>
    <s v="Standard Class"/>
    <n v="4"/>
    <n v="4182.1499999999996"/>
    <n v="0.1"/>
    <s v="OK"/>
    <n v="15055.74"/>
    <n v="9808.83"/>
    <n v="5246.91"/>
    <s v="Paid"/>
    <s v="Completed"/>
    <n v="0.1"/>
    <n v="15055.74"/>
    <n v="5246.91"/>
    <n v="34.849897779850075"/>
    <n v="11"/>
    <n v="2025"/>
    <s v="INVALID"/>
  </r>
  <r>
    <s v="ORD-2025-10147"/>
    <d v="2025-07-30T00:00:00"/>
    <d v="2025-08-01T00:00:00"/>
    <n v="2"/>
    <s v="OK"/>
    <s v="CUST-1460"/>
    <s v="Sneha Kapoor"/>
    <s v="Small Business"/>
    <x v="2"/>
    <s v="Tamil Nadu"/>
    <s v="Chennai"/>
    <s v="Office Supplies"/>
    <s v="Storage"/>
    <s v="Classic Storage 423"/>
    <s v="Same Day"/>
    <n v="9"/>
    <n v="3165.43"/>
    <n v="0.1"/>
    <s v="OK"/>
    <n v="25639.98"/>
    <n v="21635.08"/>
    <n v="4004.9"/>
    <s v="Paid"/>
    <s v="Completed"/>
    <n v="0.1"/>
    <n v="25639.983"/>
    <n v="4004.9029999999984"/>
    <n v="15.619756846172631"/>
    <n v="7"/>
    <n v="2025"/>
    <s v="CLEAN"/>
  </r>
  <r>
    <s v="ORD-2025-10149"/>
    <d v="2025-02-09T00:00:00"/>
    <d v="2025-02-13T00:00:00"/>
    <n v="4"/>
    <s v="OK"/>
    <s v="CUST-2822"/>
    <s v="Mira Das"/>
    <s v="Home Office"/>
    <x v="3"/>
    <s v="Madhya Pradesh"/>
    <s v="Indore"/>
    <s v="Technology"/>
    <s v="Phones"/>
    <s v="Smart Phones 336"/>
    <s v="Unknown"/>
    <n v="8"/>
    <n v="1696.07"/>
    <n v="0.25"/>
    <s v="OK"/>
    <n v="10176.42"/>
    <n v="7604.47"/>
    <n v="2571.9499999999998"/>
    <s v="Paid"/>
    <s v="Completed"/>
    <n v="0.25"/>
    <n v="10176.42"/>
    <n v="2571.9499999999998"/>
    <n v="25.273622747488801"/>
    <n v="2"/>
    <n v="2025"/>
    <s v="CLEAN"/>
  </r>
  <r>
    <s v="ORD-2025-10157"/>
    <d v="2025-03-27T00:00:00"/>
    <d v="2025-03-27T00:00:00"/>
    <n v="0"/>
    <s v="OK"/>
    <s v="CUST-4058"/>
    <s v="Vikram Iyer"/>
    <s v="Small Business"/>
    <x v="1"/>
    <s v="Bihar"/>
    <s v="Patna"/>
    <s v="Technology"/>
    <s v="Machines"/>
    <s v="Eco Machines 657"/>
    <s v="Second Class"/>
    <n v="7"/>
    <n v="2305.37"/>
    <n v="0.25"/>
    <s v="OK"/>
    <n v="12103.19"/>
    <n v="6717.87"/>
    <n v="5385.32"/>
    <s v="Paid"/>
    <s v="Completed"/>
    <n v="0.25"/>
    <n v="12103.192500000001"/>
    <n v="5385.3225000000011"/>
    <n v="44.495057812225994"/>
    <n v="3"/>
    <n v="2025"/>
    <s v="CLEAN"/>
  </r>
  <r>
    <s v="ORD-2025-10164"/>
    <d v="2025-09-21T00:00:00"/>
    <d v="2025-09-26T00:00:00"/>
    <n v="5"/>
    <s v="OK"/>
    <s v="CUST-2548"/>
    <s v="Rohan Mehta"/>
    <s v="Home Office"/>
    <x v="3"/>
    <s v="Gujarat"/>
    <s v="Ahmedabad"/>
    <s v="Furniture"/>
    <s v="Tables"/>
    <s v="Elite Tables 389"/>
    <s v="Unknown"/>
    <n v="6"/>
    <n v="2903.58"/>
    <n v="0.1"/>
    <s v="OK"/>
    <n v="15679.33"/>
    <n v="12477.82"/>
    <n v="3201.51"/>
    <s v="Pending"/>
    <s v="Returned"/>
    <n v="0.1"/>
    <n v="15679.332"/>
    <n v="3201.5120000000006"/>
    <n v="20.41867599971734"/>
    <n v="9"/>
    <n v="2025"/>
    <s v="CLEAN"/>
  </r>
  <r>
    <s v="ORD-2025-10165"/>
    <d v="2025-09-09T00:00:00"/>
    <d v="2025-09-14T00:00:00"/>
    <n v="5"/>
    <s v="OK"/>
    <s v="CUST-3833"/>
    <s v="Rahul Verma"/>
    <s v="Small Business"/>
    <x v="1"/>
    <s v="West Bengal"/>
    <s v="Kolkata"/>
    <s v="Furniture"/>
    <s v="Bookcases"/>
    <s v="Pro Bookcases 595"/>
    <s v="Second Class"/>
    <n v="1"/>
    <n v="3154.42"/>
    <n v="0.25"/>
    <s v="OK"/>
    <n v="2365.8200000000002"/>
    <n v="1547.99"/>
    <n v="817.83"/>
    <s v="Paid"/>
    <s v="Completed"/>
    <n v="0.25"/>
    <n v="2365.8150000000001"/>
    <n v="817.82500000000005"/>
    <n v="34.568425679945392"/>
    <n v="9"/>
    <n v="2025"/>
    <s v="CLEAN"/>
  </r>
  <r>
    <s v="ORD-2025-10167"/>
    <d v="2025-02-20T00:00:00"/>
    <d v="2025-02-26T00:00:00"/>
    <n v="6"/>
    <s v="OK"/>
    <s v="CUST-7215"/>
    <s v="Karan Malhotra"/>
    <s v="Small Business"/>
    <x v="3"/>
    <s v="Gujarat"/>
    <s v="Ahmedabad"/>
    <s v="Office Supplies"/>
    <s v="Labels"/>
    <s v="Basic Labels 671"/>
    <s v="First Class"/>
    <n v="1"/>
    <n v="2557.85"/>
    <n v="0.2"/>
    <s v="OK"/>
    <n v="2046.28"/>
    <n v="1449.54"/>
    <n v="596.74"/>
    <s v="Paid"/>
    <s v="Completed"/>
    <n v="0.2"/>
    <n v="2046.28"/>
    <n v="596.74"/>
    <n v="29.162186992982384"/>
    <n v="2"/>
    <n v="2025"/>
    <s v="CLEAN"/>
  </r>
  <r>
    <s v="ORD-2025-10168"/>
    <d v="2025-08-18T00:00:00"/>
    <d v="2025-08-18T00:00:00"/>
    <n v="0"/>
    <s v="OK"/>
    <s v="CUST-7770"/>
    <s v="Arjun Bose"/>
    <s v="Home Office"/>
    <x v="2"/>
    <s v="Karnataka"/>
    <s v="Bengaluru"/>
    <s v="Office Supplies"/>
    <s v="Storage"/>
    <s v="Elite Storage 628"/>
    <s v="First Class"/>
    <n v="9"/>
    <n v="3030.93"/>
    <n v="0.15"/>
    <s v="OK"/>
    <n v="23186.61"/>
    <n v="17906.54"/>
    <n v="5280.07"/>
    <s v="Paid"/>
    <s v="Returned"/>
    <n v="0.15"/>
    <n v="23186.6145"/>
    <n v="5280.0744999999988"/>
    <n v="22.772080417345961"/>
    <n v="8"/>
    <n v="2025"/>
    <s v="CLEAN"/>
  </r>
  <r>
    <s v="ORD-2025-10170"/>
    <d v="2025-09-13T00:00:00"/>
    <d v="2025-09-13T00:00:00"/>
    <n v="0"/>
    <s v="OK"/>
    <s v="CUST-2261"/>
    <s v="Diya Patel"/>
    <s v="Consumer"/>
    <x v="1"/>
    <s v="Assam"/>
    <s v="Guwahati"/>
    <s v="Office Supplies"/>
    <s v="Art"/>
    <s v="Pro Art 734"/>
    <s v="Standard Class"/>
    <n v="8"/>
    <n v="733.9"/>
    <n v="0.05"/>
    <s v="OK"/>
    <n v="5577.64"/>
    <n v="3541.29"/>
    <n v="2036.35"/>
    <s v="Pending"/>
    <s v="Returned"/>
    <n v="0.05"/>
    <n v="5577.6399999999994"/>
    <n v="2036.3499999999995"/>
    <n v="36.509168752375551"/>
    <n v="9"/>
    <n v="2025"/>
    <s v="CLEAN"/>
  </r>
  <r>
    <s v="ORD-2025-10171"/>
    <d v="2025-07-09T00:00:00"/>
    <d v="2025-09-15T00:00:00"/>
    <n v="68"/>
    <s v="OK"/>
    <s v="CUST-3734"/>
    <s v="Rohan Mehta"/>
    <s v="Corporate"/>
    <x v="1"/>
    <s v="Bihar"/>
    <s v="Patna"/>
    <s v="Technology"/>
    <s v="Copiers"/>
    <s v="Eco Copiers 102"/>
    <s v="Standard Class"/>
    <n v="3"/>
    <n v="1711.32"/>
    <n v="0"/>
    <s v="OK"/>
    <n v="5133.96"/>
    <n v="3930"/>
    <n v="1203.96"/>
    <s v="Paid"/>
    <s v="Completed"/>
    <n v="0"/>
    <n v="5133.96"/>
    <n v="1203.96"/>
    <n v="23.450903396208776"/>
    <n v="7"/>
    <n v="2025"/>
    <s v="CLEAN"/>
  </r>
  <r>
    <s v="ORD-2025-10171"/>
    <d v="2025-07-09T00:00:00"/>
    <d v="2025-09-15T00:00:00"/>
    <n v="68"/>
    <s v="OK"/>
    <s v="CUST-3734"/>
    <s v="Rohan Mehta"/>
    <s v="Corporate"/>
    <x v="1"/>
    <s v="Bihar"/>
    <s v="Patna"/>
    <s v="Technology"/>
    <s v="Copiers"/>
    <s v="Eco Copiers 102"/>
    <s v="Standard Class"/>
    <n v="3"/>
    <n v="1711.32"/>
    <n v="0"/>
    <s v="OK"/>
    <n v="5206.53"/>
    <n v="3930"/>
    <n v="1203.96"/>
    <s v="Paid"/>
    <s v="Returned"/>
    <n v="0"/>
    <n v="5133.96"/>
    <n v="1203.96"/>
    <n v="23.450903396208776"/>
    <n v="7"/>
    <n v="2025"/>
    <s v="CLEAN"/>
  </r>
  <r>
    <s v="ORD-2025-10172"/>
    <d v="2025-02-23T00:00:00"/>
    <d v="2025-02-25T00:00:00"/>
    <n v="2"/>
    <s v="OK"/>
    <s v="CUST-3436"/>
    <s v="Karan Malhotra"/>
    <s v="Corporate"/>
    <x v="1"/>
    <s v="Bihar"/>
    <s v="Patna"/>
    <s v="Office Supplies"/>
    <s v="Labels"/>
    <s v="Basic Labels 876"/>
    <s v="Same Day"/>
    <n v="5"/>
    <n v="4246.2700000000004"/>
    <n v="0.25"/>
    <s v="OK"/>
    <n v="15923.51"/>
    <n v="11291.8"/>
    <n v="4631.71"/>
    <s v="Paid"/>
    <s v="Completed"/>
    <n v="0.25"/>
    <n v="15923.512500000001"/>
    <n v="4631.7125000000015"/>
    <n v="29.08725383297185"/>
    <n v="2"/>
    <n v="2025"/>
    <s v="CLEAN"/>
  </r>
  <r>
    <s v="ORD-2025-10175"/>
    <d v="2025-09-28T00:00:00"/>
    <d v="2025-04-10T00:00:00"/>
    <n v="-171"/>
    <s v="INVALID"/>
    <s v="CUST-5475"/>
    <s v="Karan Malhotra"/>
    <s v="Small Business"/>
    <x v="2"/>
    <s v="Karnataka"/>
    <s v="Bengaluru"/>
    <s v="Furniture"/>
    <s v="Bookcases"/>
    <s v="Pro Bookcases 319"/>
    <s v="First Class"/>
    <n v="6"/>
    <n v="1620.53"/>
    <n v="0.15"/>
    <s v="OK"/>
    <n v="8264.7000000000007"/>
    <n v="4768.75"/>
    <n v="3495.95"/>
    <s v="Pending"/>
    <s v="Returned"/>
    <n v="0.15"/>
    <n v="8264.7029999999995"/>
    <n v="3495.9529999999995"/>
    <n v="42.299801940856192"/>
    <n v="9"/>
    <n v="2025"/>
    <s v="INVALID"/>
  </r>
  <r>
    <s v="ORD-2025-10177"/>
    <d v="2025-03-18T00:00:00"/>
    <d v="2025-03-26T00:00:00"/>
    <n v="8"/>
    <s v="OK"/>
    <s v="CUST-3027"/>
    <s v="Vikram Iyer"/>
    <s v="Corporate"/>
    <x v="1"/>
    <s v="Jharkhand"/>
    <s v="Ranchi"/>
    <s v="Furniture"/>
    <s v="Bookcases"/>
    <s v="Pro Bookcases 612"/>
    <s v="Standard Class"/>
    <n v="8"/>
    <n v="3563.09"/>
    <n v="0.15"/>
    <s v="OK"/>
    <n v="24229.01"/>
    <n v="13910.64"/>
    <n v="10318.370000000001"/>
    <s v="Paid"/>
    <s v="Completed"/>
    <n v="0.15"/>
    <n v="24229.011999999999"/>
    <n v="10318.371999999999"/>
    <n v="42.586845885420338"/>
    <n v="3"/>
    <n v="2025"/>
    <s v="CLEAN"/>
  </r>
  <r>
    <s v="ORD-2025-10182"/>
    <d v="2025-09-09T00:00:00"/>
    <d v="2025-10-09T00:00:00"/>
    <n v="30"/>
    <s v="OK"/>
    <s v="CUST-5119"/>
    <s v="Priya Menon"/>
    <s v="Home Office"/>
    <x v="2"/>
    <s v="Tamil Nadu"/>
    <s v="Chennai"/>
    <s v="Office Supplies"/>
    <s v="Art"/>
    <s v="Pro Art 587"/>
    <s v="Second Class"/>
    <n v="4"/>
    <n v="2551.4499999999998"/>
    <n v="0"/>
    <s v="OK"/>
    <n v="10205.799999999999"/>
    <n v="5986.31"/>
    <n v="4219.49"/>
    <s v="Paid"/>
    <s v="Completed"/>
    <n v="0"/>
    <n v="10205.799999999999"/>
    <n v="4219.4899999999989"/>
    <n v="41.344039663720622"/>
    <n v="9"/>
    <n v="2025"/>
    <s v="CLEAN"/>
  </r>
  <r>
    <s v="ORD-2025-10184"/>
    <d v="2025-06-24T00:00:00"/>
    <d v="2025-06-27T00:00:00"/>
    <n v="3"/>
    <s v="OK"/>
    <s v="CUST-3366"/>
    <s v="Vikram Iyer"/>
    <s v="Home Office"/>
    <x v="2"/>
    <s v="Telangana"/>
    <s v="Hyderabad"/>
    <s v="Technology"/>
    <s v="Copiers"/>
    <s v="Elite Copiers 788"/>
    <s v="Standard Class"/>
    <n v="7"/>
    <n v="2304.86"/>
    <n v="0.2"/>
    <s v="OK"/>
    <n v="12907.22"/>
    <n v="8327.89"/>
    <n v="4579.33"/>
    <s v="Paid"/>
    <s v="Returned"/>
    <n v="0.2"/>
    <n v="12907.216"/>
    <n v="4579.3260000000009"/>
    <n v="35.478805034331188"/>
    <n v="6"/>
    <n v="2025"/>
    <s v="CLEAN"/>
  </r>
  <r>
    <s v="ORD-2025-10188"/>
    <d v="2025-05-01T00:00:00"/>
    <d v="2025-05-02T00:00:00"/>
    <n v="1"/>
    <s v="OK"/>
    <s v="CUST-3109"/>
    <s v="Mira Das"/>
    <s v="Consumer"/>
    <x v="3"/>
    <s v="Madhya Pradesh"/>
    <s v="Indore"/>
    <s v="Furniture"/>
    <s v="Chairs"/>
    <s v="Pro Chairs 844"/>
    <s v="Same Day"/>
    <n v="3"/>
    <n v="2905.74"/>
    <n v="0"/>
    <s v="OK"/>
    <n v="8717.2199999999993"/>
    <n v="6215.96"/>
    <n v="2501.2600000000002"/>
    <s v="Paid"/>
    <s v="Returned"/>
    <n v="0"/>
    <n v="8717.2199999999993"/>
    <n v="2501.2599999999993"/>
    <n v="28.693321953558581"/>
    <n v="5"/>
    <n v="2025"/>
    <s v="CLEAN"/>
  </r>
  <r>
    <s v="ORD-2025-10189"/>
    <d v="2025-05-21T00:00:00"/>
    <d v="2025-05-28T00:00:00"/>
    <n v="7"/>
    <s v="OK"/>
    <s v="CUST-3422"/>
    <s v="Priya Menon"/>
    <s v="Corporate"/>
    <x v="1"/>
    <s v="West Bengal"/>
    <s v="Kolkata"/>
    <s v="Furniture"/>
    <s v="Bookcases"/>
    <s v="Elite Bookcases 883"/>
    <s v="Same Day"/>
    <n v="2"/>
    <n v="3559.57"/>
    <n v="0.1"/>
    <s v="OK"/>
    <n v="6553.95"/>
    <n v="4923.09"/>
    <n v="1484.14"/>
    <s v="Paid"/>
    <s v="Completed"/>
    <n v="0.1"/>
    <n v="6407.2260000000006"/>
    <n v="1484.1360000000004"/>
    <n v="23.163471992403579"/>
    <n v="5"/>
    <n v="2025"/>
    <s v="CLEAN"/>
  </r>
  <r>
    <s v="ORD-2025-10190"/>
    <d v="2025-05-06T00:00:00"/>
    <d v="2025-05-07T00:00:00"/>
    <n v="1"/>
    <s v="OK"/>
    <s v="CUST-3375"/>
    <s v="Arjun Bose"/>
    <s v="Consumer"/>
    <x v="3"/>
    <s v="Rajasthan"/>
    <s v="Udaipur"/>
    <s v="Furniture"/>
    <s v="Bookcases"/>
    <s v="Basic Bookcases 754"/>
    <s v="First Class"/>
    <n v="9"/>
    <n v="3318.24"/>
    <n v="0"/>
    <s v="OK"/>
    <n v="25384.54"/>
    <n v="16872.39"/>
    <n v="8512.15"/>
    <s v="Paid"/>
    <s v="Completed"/>
    <n v="0"/>
    <n v="29864.159999999996"/>
    <n v="12991.769999999997"/>
    <n v="43.502881045373449"/>
    <n v="5"/>
    <n v="2025"/>
    <s v="CLEAN"/>
  </r>
  <r>
    <s v="ORD-2025-10191"/>
    <d v="2025-04-20T00:00:00"/>
    <d v="2025-04-21T00:00:00"/>
    <n v="1"/>
    <s v="OK"/>
    <s v="CUST-5138"/>
    <s v="Aditi Sen"/>
    <s v="Consumer"/>
    <x v="2"/>
    <s v="Tamil Nadu"/>
    <s v="Chennai"/>
    <s v="Office Supplies"/>
    <s v="Storage"/>
    <s v="Eco Storage 158"/>
    <s v="First Class"/>
    <n v="3"/>
    <n v="540.09"/>
    <n v="0.1"/>
    <s v="OK"/>
    <n v="1458.24"/>
    <n v="943.32"/>
    <n v="514.91999999999996"/>
    <s v="Paid"/>
    <s v="Completed"/>
    <n v="0.1"/>
    <n v="1458.2429999999999"/>
    <n v="514.92299999999989"/>
    <n v="35.311192990468662"/>
    <n v="4"/>
    <n v="2025"/>
    <s v="CLEAN"/>
  </r>
  <r>
    <s v="ORD-2025-10195"/>
    <d v="2025-01-28T00:00:00"/>
    <d v="2025-01-31T00:00:00"/>
    <n v="3"/>
    <s v="OK"/>
    <s v="CUST-3637"/>
    <s v="Priya Menon"/>
    <s v="Consumer"/>
    <x v="3"/>
    <s v="Maharashtra"/>
    <s v="Mumbai"/>
    <s v="Furniture"/>
    <s v="Furnishings"/>
    <s v="Prime Furnishings 433"/>
    <s v="First Class"/>
    <n v="9"/>
    <n v="858.39"/>
    <n v="0.05"/>
    <s v="OK"/>
    <n v="7339.23"/>
    <n v="5434.12"/>
    <n v="1905.11"/>
    <s v="Pending"/>
    <s v="Returned"/>
    <n v="0.05"/>
    <n v="7339.2344999999996"/>
    <n v="1905.1144999999997"/>
    <n v="25.957945614082771"/>
    <n v="1"/>
    <n v="2025"/>
    <s v="CLEAN"/>
  </r>
  <r>
    <s v="ORD-2025-10196"/>
    <d v="2025-07-22T00:00:00"/>
    <d v="2025-07-24T00:00:00"/>
    <n v="2"/>
    <s v="OK"/>
    <s v="CUST-4328"/>
    <s v="Neha Gupta"/>
    <s v="Home Office"/>
    <x v="2"/>
    <s v="Andhra Pradesh"/>
    <s v="Vijayawada"/>
    <s v="Furniture"/>
    <s v="Furnishings"/>
    <s v="Smart Furnishings 685"/>
    <s v="Same Day"/>
    <n v="5"/>
    <n v="1922.83"/>
    <n v="0"/>
    <s v="OK"/>
    <n v="9614.15"/>
    <n v="7576.84"/>
    <n v="2037.31"/>
    <s v="Paid"/>
    <s v="Completed"/>
    <n v="0"/>
    <n v="9614.15"/>
    <n v="2037.3099999999995"/>
    <n v="21.190744891644083"/>
    <n v="7"/>
    <n v="2025"/>
    <s v="CLEAN"/>
  </r>
  <r>
    <s v="ORD-2025-10198"/>
    <d v="2025-03-31T00:00:00"/>
    <d v="2025-07-04T00:00:00"/>
    <n v="95"/>
    <s v="OK"/>
    <s v="CUST-6106"/>
    <s v="Rahul Verma"/>
    <s v="Small Business"/>
    <x v="1"/>
    <s v="Bihar"/>
    <s v="Patna"/>
    <s v="Office Supplies"/>
    <s v="Storage"/>
    <s v="Basic Storage 961"/>
    <s v="Second Class"/>
    <n v="5"/>
    <n v="4096.4399999999996"/>
    <n v="0.15"/>
    <s v="OK"/>
    <n v="17409.87"/>
    <n v="14076.25"/>
    <n v="3333.62"/>
    <s v="Paid"/>
    <s v="Completed"/>
    <n v="0.15"/>
    <n v="17409.869999999995"/>
    <n v="3333.6199999999953"/>
    <n v="19.147874165631311"/>
    <n v="3"/>
    <n v="2025"/>
    <s v="CLEAN"/>
  </r>
  <r>
    <s v="ORD-2025-10203"/>
    <d v="2025-03-28T00:00:00"/>
    <d v="2025-03-28T00:00:00"/>
    <n v="0"/>
    <s v="OK"/>
    <s v="CUST-9378"/>
    <s v="Sneha Kapoor"/>
    <s v="Corporate"/>
    <x v="3"/>
    <s v="Goa"/>
    <s v="Panaji"/>
    <s v="Technology"/>
    <s v="Accessories"/>
    <s v="Prime Accessories 733"/>
    <s v="Standard Class"/>
    <n v="8"/>
    <n v="1740.94"/>
    <n v="0.05"/>
    <s v="OK"/>
    <n v="13231.14"/>
    <n v="11290.06"/>
    <n v="1941.08"/>
    <s v="Paid"/>
    <s v="Completed"/>
    <n v="0.05"/>
    <n v="13231.144"/>
    <n v="1941.0840000000007"/>
    <n v="14.670568168557462"/>
    <n v="3"/>
    <n v="2025"/>
    <s v="CLEAN"/>
  </r>
  <r>
    <s v="ORD-2025-10205"/>
    <d v="2025-07-20T00:00:00"/>
    <d v="2025-07-23T00:00:00"/>
    <n v="3"/>
    <s v="OK"/>
    <s v="CUST-1986"/>
    <s v="Mira Das"/>
    <s v="Home Office"/>
    <x v="1"/>
    <s v="West Bengal"/>
    <s v="Kolkata"/>
    <s v="Furniture"/>
    <s v="Tables"/>
    <s v="Elite Tables 318"/>
    <s v="Second Class"/>
    <n v="4"/>
    <n v="477.69"/>
    <n v="0.15"/>
    <s v="OK"/>
    <n v="1624.15"/>
    <n v="1217.99"/>
    <n v="406.16"/>
    <s v="Paid"/>
    <s v="Completed"/>
    <n v="0.15"/>
    <n v="1624.146"/>
    <n v="406.15599999999995"/>
    <n v="25.007357712914967"/>
    <n v="7"/>
    <n v="2025"/>
    <s v="CLEAN"/>
  </r>
  <r>
    <s v="ORD-2025-10206"/>
    <d v="2025-04-21T00:00:00"/>
    <d v="2025-04-26T00:00:00"/>
    <n v="5"/>
    <s v="OK"/>
    <s v="CUST-3338"/>
    <s v="Ananya Rao"/>
    <s v="Consumer"/>
    <x v="3"/>
    <s v="Maharashtra"/>
    <s v="Mumbai"/>
    <s v="Office Supplies"/>
    <s v="Labels"/>
    <s v="Smart Labels 354"/>
    <s v="Same Day"/>
    <n v="6"/>
    <n v="873.59"/>
    <n v="0.2"/>
    <s v="OK"/>
    <n v="4193.2299999999996"/>
    <n v="3329.99"/>
    <n v="863.24"/>
    <s v="Paid"/>
    <s v="Completed"/>
    <n v="0.2"/>
    <n v="4193.232"/>
    <n v="863.24200000000019"/>
    <n v="20.586554714835721"/>
    <n v="4"/>
    <n v="2025"/>
    <s v="CLEAN"/>
  </r>
  <r>
    <s v="ORD-2025-10207"/>
    <d v="2025-05-18T00:00:00"/>
    <d v="2025-05-20T00:00:00"/>
    <n v="2"/>
    <s v="OK"/>
    <s v="CUST-2343"/>
    <s v="Diya Patel"/>
    <s v="Small Business"/>
    <x v="0"/>
    <s v="Uttar Pradesh"/>
    <s v="Noida"/>
    <s v="Furniture"/>
    <s v="Furnishings"/>
    <s v="Pro Furnishings 981"/>
    <s v="First Class"/>
    <n v="2"/>
    <n v="215.13"/>
    <n v="0"/>
    <s v="OK"/>
    <n v="430.26"/>
    <n v="286.38"/>
    <n v="143.88"/>
    <s v="Paid"/>
    <s v="Completed"/>
    <n v="0"/>
    <n v="430.26"/>
    <n v="143.88"/>
    <n v="33.440245432994004"/>
    <n v="5"/>
    <n v="2025"/>
    <s v="CLEAN"/>
  </r>
  <r>
    <s v="ORD-2025-10209"/>
    <d v="2025-06-29T00:00:00"/>
    <d v="2025-05-07T00:00:00"/>
    <n v="-53"/>
    <s v="INVALID"/>
    <s v="CUST-3662"/>
    <s v="Diya Patel"/>
    <s v="Consumer"/>
    <x v="0"/>
    <s v="Punjab"/>
    <s v="Ludhiana"/>
    <s v="Furniture"/>
    <s v="Chairs"/>
    <s v="Max Chairs 151"/>
    <s v="Same Day"/>
    <n v="1"/>
    <n v="999.83"/>
    <n v="0"/>
    <s v="OK"/>
    <n v="999.83"/>
    <n v="634.91"/>
    <n v="364.92"/>
    <s v="Paid"/>
    <s v="Completed"/>
    <n v="0"/>
    <n v="999.83"/>
    <n v="364.92000000000007"/>
    <n v="36.498204694798119"/>
    <n v="6"/>
    <n v="2025"/>
    <s v="INVALID"/>
  </r>
  <r>
    <s v="ORD-2025-10210"/>
    <d v="2025-08-13T00:00:00"/>
    <d v="2025-08-14T00:00:00"/>
    <n v="1"/>
    <s v="OK"/>
    <s v="CUST-4947"/>
    <s v="Rohan Mehta"/>
    <s v="Small Business"/>
    <x v="2"/>
    <s v="Andhra Pradesh"/>
    <s v="Vijayawada"/>
    <s v="Office Supplies"/>
    <s v="Paper"/>
    <s v="Prime Paper 903"/>
    <s v="First Class"/>
    <n v="9"/>
    <n v="864.98"/>
    <n v="0.1"/>
    <s v="OK"/>
    <n v="7006.34"/>
    <n v="4640.88"/>
    <n v="2365.46"/>
    <s v="Paid"/>
    <s v="Completed"/>
    <n v="0.1"/>
    <n v="7006.3379999999997"/>
    <n v="2365.4579999999996"/>
    <n v="33.761688345609357"/>
    <n v="8"/>
    <n v="2025"/>
    <s v="CLEAN"/>
  </r>
  <r>
    <s v="ORD-2025-10219"/>
    <d v="2025-02-26T00:00:00"/>
    <d v="2025-02-27T00:00:00"/>
    <n v="1"/>
    <s v="OK"/>
    <s v="CUST-8270"/>
    <s v="Priya Menon"/>
    <s v="Corporate"/>
    <x v="3"/>
    <s v="Gujarat"/>
    <s v="Ahmedabad"/>
    <s v="Furniture"/>
    <s v="Bookcases"/>
    <s v="Classic Bookcases 139"/>
    <s v="Standard Class"/>
    <n v="5"/>
    <n v="258.27999999999997"/>
    <n v="0"/>
    <s v="OK"/>
    <n v="1291.4000000000001"/>
    <n v="756.93"/>
    <n v="534.47"/>
    <s v="Paid"/>
    <s v="Completed"/>
    <n v="0"/>
    <n v="1291.3999999999999"/>
    <n v="534.46999999999991"/>
    <n v="41.386866966083318"/>
    <n v="2"/>
    <n v="2025"/>
    <s v="CLEAN"/>
  </r>
  <r>
    <s v="ORD-2025-10222"/>
    <d v="2025-12-01T00:00:00"/>
    <d v="2025-01-15T00:00:00"/>
    <n v="-320"/>
    <s v="INVALID"/>
    <s v="CUST-2495"/>
    <s v="Mira Das"/>
    <s v="Corporate"/>
    <x v="2"/>
    <s v="Karnataka"/>
    <s v="Bengaluru"/>
    <s v="Furniture"/>
    <s v="Chairs"/>
    <s v="Classic Chairs 231"/>
    <s v="Same Day"/>
    <n v="4"/>
    <n v="1531.53"/>
    <n v="0.2"/>
    <s v="OK"/>
    <n v="4900.8999999999996"/>
    <n v="3552.69"/>
    <n v="1348.21"/>
    <s v="Paid"/>
    <s v="Completed"/>
    <n v="0.2"/>
    <n v="4900.8959999999997"/>
    <n v="1348.2059999999997"/>
    <n v="27.509377877024932"/>
    <n v="12"/>
    <n v="2025"/>
    <s v="INVALID"/>
  </r>
  <r>
    <s v="ORD-2025-10223"/>
    <d v="2025-04-29T00:00:00"/>
    <d v="2025-05-02T00:00:00"/>
    <n v="3"/>
    <s v="OK"/>
    <s v="CUST-4583"/>
    <s v="Vikram Iyer"/>
    <s v="Small Business"/>
    <x v="3"/>
    <s v="Goa"/>
    <s v="Panaji"/>
    <s v="Office Supplies"/>
    <s v="Storage"/>
    <s v="Prime Storage 818"/>
    <s v="First Class"/>
    <n v="6"/>
    <n v="4308.09"/>
    <n v="0"/>
    <s v="OK"/>
    <n v="25848.54"/>
    <n v="17729.09"/>
    <n v="8119.45"/>
    <s v="Paid"/>
    <s v="Completed"/>
    <n v="0"/>
    <n v="25848.54"/>
    <n v="8119.4500000000007"/>
    <n v="31.411638723115505"/>
    <n v="4"/>
    <n v="2025"/>
    <s v="CLEAN"/>
  </r>
  <r>
    <s v="ORD-2025-10224"/>
    <d v="2025-02-19T00:00:00"/>
    <d v="2025-02-26T00:00:00"/>
    <n v="7"/>
    <s v="OK"/>
    <s v="CUST-5319"/>
    <s v="Mira Das"/>
    <s v="Corporate"/>
    <x v="3"/>
    <s v="Maharashtra"/>
    <s v="Mumbai"/>
    <s v="Furniture"/>
    <s v="Furnishings"/>
    <s v="Elite Furnishings 449"/>
    <s v="First Class"/>
    <n v="3"/>
    <n v="490.3"/>
    <n v="0.2"/>
    <s v="OK"/>
    <n v="1176.72"/>
    <n v="654.33000000000004"/>
    <n v="522.39"/>
    <s v="Pending"/>
    <s v="Returned"/>
    <n v="0.2"/>
    <n v="1176.72"/>
    <n v="522.39"/>
    <n v="44.393738527432177"/>
    <n v="2"/>
    <n v="2025"/>
    <s v="CLEAN"/>
  </r>
  <r>
    <s v="ORD-2025-10225"/>
    <d v="2025-10-02T00:00:00"/>
    <d v="2025-10-08T00:00:00"/>
    <n v="6"/>
    <s v="OK"/>
    <s v="CUST-9871"/>
    <s v="Isha Nair"/>
    <s v="Small Business"/>
    <x v="0"/>
    <s v="Punjab"/>
    <s v="Ludhiana"/>
    <s v="Furniture"/>
    <s v="Furnishings"/>
    <s v="Classic Furnishings 109"/>
    <s v="Standard Class"/>
    <n v="4"/>
    <n v="3944.64"/>
    <n v="0.25"/>
    <s v="OK"/>
    <n v="12116.89"/>
    <n v="6682.92"/>
    <n v="5151"/>
    <s v="Paid"/>
    <s v="Returned"/>
    <n v="0.25"/>
    <n v="11833.92"/>
    <n v="5151"/>
    <n v="43.527419485681833"/>
    <n v="10"/>
    <n v="2025"/>
    <s v="CLEAN"/>
  </r>
  <r>
    <s v="ORD-2025-10227"/>
    <d v="2025-10-04T00:00:00"/>
    <d v="2025-04-15T00:00:00"/>
    <n v="-172"/>
    <s v="INVALID"/>
    <s v="CUST-2545"/>
    <s v="Diya Patel"/>
    <s v="Home Office"/>
    <x v="4"/>
    <s v="Kerala"/>
    <s v="Kochi"/>
    <s v="Technology"/>
    <s v="Copiers"/>
    <s v="Max Copiers 363"/>
    <s v="Same Day"/>
    <n v="1"/>
    <n v="2208.27"/>
    <n v="0.1"/>
    <s v="OK"/>
    <n v="1987.44"/>
    <n v="1110.23"/>
    <n v="877.21"/>
    <s v="Paid"/>
    <s v="Completed"/>
    <n v="0.1"/>
    <n v="1987.443"/>
    <n v="877.21299999999997"/>
    <n v="44.137768982556985"/>
    <n v="10"/>
    <n v="2025"/>
    <s v="INVALID"/>
  </r>
  <r>
    <s v="ORD-2025-10233"/>
    <d v="2025-06-04T00:00:00"/>
    <d v="2025-06-10T00:00:00"/>
    <n v="6"/>
    <s v="OK"/>
    <s v="CUST-5341"/>
    <s v="Rahul Verma"/>
    <s v="Consumer"/>
    <x v="2"/>
    <s v="Andhra Pradesh"/>
    <s v="Vijayawada"/>
    <s v="Technology"/>
    <s v="Phones"/>
    <s v="Classic Phones 530"/>
    <s v="Standard Class"/>
    <n v="4"/>
    <n v="223.37"/>
    <n v="0.25"/>
    <s v="OK"/>
    <n v="670.11"/>
    <n v="559.57000000000005"/>
    <n v="110.54"/>
    <s v="Paid"/>
    <s v="Completed"/>
    <n v="0.25"/>
    <n v="670.11"/>
    <n v="110.53999999999996"/>
    <n v="16.495799197146731"/>
    <n v="6"/>
    <n v="2025"/>
    <s v="CLEAN"/>
  </r>
  <r>
    <s v="ORD-2025-10242"/>
    <d v="2025-07-06T00:00:00"/>
    <d v="2025-06-07T00:00:00"/>
    <n v="-29"/>
    <s v="INVALID"/>
    <s v="CUST-6949"/>
    <s v="Sneha Kapoor"/>
    <s v="Corporate"/>
    <x v="0"/>
    <s v="Haryana"/>
    <s v="Gurugram"/>
    <s v="Office Supplies"/>
    <s v="Storage"/>
    <s v="Basic Storage 737"/>
    <s v="Standard Class"/>
    <n v="1"/>
    <n v="1617.2"/>
    <n v="0.25"/>
    <s v="OK"/>
    <n v="1212.9000000000001"/>
    <n v="690.52"/>
    <n v="522.38"/>
    <s v="Pending"/>
    <s v="Returned"/>
    <n v="0.25"/>
    <n v="1212.9000000000001"/>
    <n v="522.38000000000011"/>
    <n v="43.068678374144618"/>
    <n v="7"/>
    <n v="2025"/>
    <s v="INVALID"/>
  </r>
  <r>
    <s v="ORD-2025-10243"/>
    <d v="2025-02-07T00:00:00"/>
    <d v="2025-02-07T00:00:00"/>
    <n v="0"/>
    <s v="OK"/>
    <s v="CUST-3430"/>
    <s v="Arjun Bose"/>
    <s v="Consumer"/>
    <x v="0"/>
    <s v="Uttar Pradesh"/>
    <s v="Noida"/>
    <s v="Office Supplies"/>
    <s v="Art"/>
    <s v="Classic Art 126"/>
    <s v="Second Class"/>
    <n v="3"/>
    <n v="1999.24"/>
    <n v="0.05"/>
    <s v="OK"/>
    <n v="5697.83"/>
    <n v="4251.5"/>
    <n v="1446.33"/>
    <s v="Paid"/>
    <s v="Completed"/>
    <n v="0.05"/>
    <n v="5697.8339999999998"/>
    <n v="1446.3339999999998"/>
    <n v="25.38392659386005"/>
    <n v="2"/>
    <n v="2025"/>
    <s v="CLEAN"/>
  </r>
  <r>
    <s v="ORD-2025-10244"/>
    <d v="2025-07-29T00:00:00"/>
    <d v="2025-08-02T00:00:00"/>
    <n v="4"/>
    <s v="OK"/>
    <s v="CUST-6310"/>
    <s v="Sneha Kapoor"/>
    <s v="Small Business"/>
    <x v="4"/>
    <s v="Madhya Pradesh"/>
    <s v="Indore"/>
    <s v="Technology"/>
    <s v="Accessories"/>
    <s v="Prime Accessories 243"/>
    <s v="First Class"/>
    <n v="1"/>
    <n v="4499.46"/>
    <n v="0.1"/>
    <s v="OK"/>
    <n v="4049.51"/>
    <n v="2509.1999999999998"/>
    <n v="1540.31"/>
    <s v="Paid"/>
    <s v="Completed"/>
    <n v="0.1"/>
    <n v="4049.5140000000001"/>
    <n v="1540.3140000000003"/>
    <n v="38.037008885510716"/>
    <n v="7"/>
    <n v="2025"/>
    <s v="CLEAN"/>
  </r>
  <r>
    <s v="ORD-2025-10250"/>
    <d v="2025-08-01T00:00:00"/>
    <d v="2025-08-02T00:00:00"/>
    <n v="1"/>
    <s v="OK"/>
    <s v="CUST-2305"/>
    <s v="Mira Das"/>
    <s v="Corporate"/>
    <x v="0"/>
    <s v="Rajasthan"/>
    <s v="Jaipur"/>
    <s v="Furniture"/>
    <s v="Furnishings"/>
    <s v="Classic Furnishings 378"/>
    <s v="First Class"/>
    <n v="4"/>
    <n v="2790.29"/>
    <n v="0.2"/>
    <s v="OK"/>
    <n v="8928.93"/>
    <n v="5634.38"/>
    <n v="3294.55"/>
    <s v="Paid"/>
    <s v="Completed"/>
    <n v="0.2"/>
    <n v="8928.9279999999999"/>
    <n v="3294.5479999999998"/>
    <n v="36.897464062875187"/>
    <n v="8"/>
    <n v="2025"/>
    <s v="CLEAN"/>
  </r>
  <r>
    <s v="ORD-2025-10252"/>
    <d v="2025-04-06T00:00:00"/>
    <d v="2025-04-10T00:00:00"/>
    <n v="4"/>
    <s v="OK"/>
    <s v="CUST-6268"/>
    <s v="Ananya Rao"/>
    <s v="Corporate"/>
    <x v="3"/>
    <s v="Gujarat"/>
    <s v="Ahmedabad"/>
    <s v="Furniture"/>
    <s v="Tables"/>
    <s v="Prime Tables 263"/>
    <s v="Second Class"/>
    <n v="6"/>
    <n v="1022.16"/>
    <n v="0"/>
    <s v="OK"/>
    <n v="6132.96"/>
    <n v="4881.1000000000004"/>
    <n v="1251.8599999999999"/>
    <s v="Paid"/>
    <s v="Completed"/>
    <n v="0"/>
    <n v="6132.96"/>
    <n v="1251.8599999999997"/>
    <n v="20.412003339333694"/>
    <n v="4"/>
    <n v="2025"/>
    <s v="CLEAN"/>
  </r>
  <r>
    <s v="ORD-2025-10253"/>
    <d v="2025-06-25T00:00:00"/>
    <d v="2025-06-28T00:00:00"/>
    <n v="3"/>
    <s v="OK"/>
    <s v="CUST-2103"/>
    <s v="Arjun Bose"/>
    <s v="Corporate"/>
    <x v="0"/>
    <s v="Haryana"/>
    <s v="Gurugram"/>
    <s v="Office Supplies"/>
    <s v="Storage"/>
    <s v="Basic Storage 269"/>
    <s v="First Class"/>
    <n v="2"/>
    <n v="1455.92"/>
    <n v="0.2"/>
    <s v="OK"/>
    <n v="2329.4699999999998"/>
    <n v="1603.62"/>
    <n v="725.85"/>
    <s v="Pending"/>
    <s v="Returned"/>
    <n v="0.2"/>
    <n v="2329.4720000000002"/>
    <n v="725.85200000000032"/>
    <n v="31.159507390515973"/>
    <n v="6"/>
    <n v="2025"/>
    <s v="CLEAN"/>
  </r>
  <r>
    <s v="ORD-2025-10255"/>
    <d v="2025-01-01T00:00:00"/>
    <d v="2025-03-01T00:00:00"/>
    <n v="59"/>
    <s v="OK"/>
    <s v="CUST-6853"/>
    <s v="Ananya Rao"/>
    <s v="Consumer"/>
    <x v="3"/>
    <s v="Madhya Pradesh"/>
    <s v="Indore"/>
    <s v="Technology"/>
    <s v="Accessories"/>
    <s v="Elite Accessories 978"/>
    <s v="Same Day"/>
    <n v="7"/>
    <n v="1000.55"/>
    <n v="0.2"/>
    <s v="OK"/>
    <n v="5603.08"/>
    <n v="3132.52"/>
    <n v="2470.56"/>
    <s v="Paid"/>
    <s v="Returned"/>
    <n v="0.2"/>
    <n v="5603.08"/>
    <n v="2470.56"/>
    <n v="44.092891766671187"/>
    <n v="1"/>
    <n v="2025"/>
    <s v="CLEAN"/>
  </r>
  <r>
    <s v="ORD-2025-10256"/>
    <d v="2025-02-04T00:00:00"/>
    <d v="2025-02-10T00:00:00"/>
    <n v="6"/>
    <s v="OK"/>
    <s v="CUST-1549"/>
    <s v="Isha Nair"/>
    <s v="Corporate"/>
    <x v="3"/>
    <s v="Maharashtra"/>
    <s v="Mumbai"/>
    <s v="Technology"/>
    <s v="Phones"/>
    <s v="Eco Phones 132"/>
    <s v="First Class"/>
    <n v="7"/>
    <n v="1830"/>
    <n v="0"/>
    <s v="OK"/>
    <n v="12810"/>
    <n v="9334.1200000000008"/>
    <n v="3475.88"/>
    <s v="Paid"/>
    <s v="Completed"/>
    <n v="0"/>
    <n v="12810"/>
    <n v="3475.8799999999992"/>
    <n v="27.134113973458231"/>
    <n v="2"/>
    <n v="2025"/>
    <s v="CLEAN"/>
  </r>
  <r>
    <s v="ORD-2025-10263"/>
    <d v="2025-05-26T00:00:00"/>
    <d v="2025-06-01T00:00:00"/>
    <n v="6"/>
    <s v="OK"/>
    <s v="CUST-6153"/>
    <s v="Arjun Bose"/>
    <s v="Small Business"/>
    <x v="0"/>
    <s v="Delhi"/>
    <s v="New Delhi"/>
    <s v="Technology"/>
    <s v="Phones"/>
    <s v="Eco Phones 245"/>
    <s v="Same Day"/>
    <n v="4"/>
    <n v="3349.86"/>
    <n v="0"/>
    <s v="OK"/>
    <n v="13399.44"/>
    <n v="8581.35"/>
    <n v="4818.09"/>
    <s v="Pending"/>
    <s v="Returned"/>
    <n v="0"/>
    <n v="13399.44"/>
    <n v="4818.09"/>
    <n v="35.957398219627088"/>
    <n v="5"/>
    <n v="2025"/>
    <s v="CLEAN"/>
  </r>
  <r>
    <s v="ORD-2025-10264"/>
    <d v="2025-08-06T00:00:00"/>
    <d v="2025-10-08T00:00:00"/>
    <n v="63"/>
    <s v="OK"/>
    <s v="CUST-8265"/>
    <s v="Rohan Mehta"/>
    <s v="Small Business"/>
    <x v="0"/>
    <s v="Delhi"/>
    <s v="New Delhi"/>
    <s v="Office Supplies"/>
    <s v="Binders"/>
    <s v="Smart Binders 905"/>
    <s v="Second Class"/>
    <n v="9"/>
    <n v="4042.45"/>
    <n v="0.1"/>
    <s v="OK"/>
    <n v="32743.84"/>
    <n v="22452.05"/>
    <n v="10291.790000000001"/>
    <s v="Pending"/>
    <s v="Returned"/>
    <n v="0.1"/>
    <n v="32743.844999999998"/>
    <n v="10291.794999999998"/>
    <n v="31.4312353970647"/>
    <n v="8"/>
    <n v="2025"/>
    <s v="CLEAN"/>
  </r>
  <r>
    <s v="ORD-2025-10267"/>
    <d v="2025-05-03T00:00:00"/>
    <d v="2025-05-10T00:00:00"/>
    <n v="7"/>
    <s v="OK"/>
    <s v="CUST-7114"/>
    <s v="Neha Gupta"/>
    <s v="Home Office"/>
    <x v="3"/>
    <s v="Maharashtra"/>
    <s v="Mumbai"/>
    <s v="Office Supplies"/>
    <s v="Storage"/>
    <s v="Classic Storage 926"/>
    <s v="Second Class"/>
    <n v="3"/>
    <n v="4339.24"/>
    <n v="0"/>
    <s v="OK"/>
    <n v="13017.72"/>
    <n v="10170.57"/>
    <n v="2847.15"/>
    <s v="Paid"/>
    <s v="Completed"/>
    <n v="0"/>
    <n v="13017.72"/>
    <n v="2847.1499999999996"/>
    <n v="21.871341525244052"/>
    <n v="5"/>
    <n v="2025"/>
    <s v="CLEAN"/>
  </r>
  <r>
    <s v="ORD-2025-10268"/>
    <d v="2025-05-28T00:00:00"/>
    <d v="2025-04-06T00:00:00"/>
    <n v="-52"/>
    <s v="INVALID"/>
    <s v="CUST-4431"/>
    <s v="Diya Patel"/>
    <s v="Corporate"/>
    <x v="1"/>
    <s v="Jharkhand"/>
    <s v="Ranchi"/>
    <s v="Furniture"/>
    <s v="Furnishings"/>
    <s v="Basic Furnishings 372"/>
    <s v="First Class"/>
    <n v="4"/>
    <n v="261.8"/>
    <n v="0.25"/>
    <s v="OK"/>
    <n v="785.4"/>
    <n v="557.22"/>
    <n v="228.18"/>
    <s v="Paid"/>
    <s v="Completed"/>
    <n v="0.25"/>
    <n v="785.40000000000009"/>
    <n v="228.18000000000006"/>
    <n v="29.052711993888469"/>
    <n v="5"/>
    <n v="2025"/>
    <s v="INVALID"/>
  </r>
  <r>
    <s v="ORD-2025-10269"/>
    <d v="2025-08-17T00:00:00"/>
    <d v="2025-08-17T00:00:00"/>
    <n v="0"/>
    <s v="OK"/>
    <s v="CUST-1488"/>
    <s v="Aarav Sharma"/>
    <s v="Home Office"/>
    <x v="0"/>
    <s v="Punjab"/>
    <s v="Ludhiana"/>
    <s v="Technology"/>
    <s v="Accessories"/>
    <s v="Prime Accessories 367"/>
    <s v="First Class"/>
    <n v="7"/>
    <n v="632.20000000000005"/>
    <n v="0.25"/>
    <s v="OK"/>
    <n v="3319.05"/>
    <n v="2124.6"/>
    <n v="1194.45"/>
    <s v="Paid"/>
    <s v="Completed"/>
    <n v="0.25"/>
    <n v="3319.05"/>
    <n v="1194.4500000000003"/>
    <n v="35.987707325891449"/>
    <n v="8"/>
    <n v="2025"/>
    <s v="CLEAN"/>
  </r>
  <r>
    <s v="ORD-2025-10270"/>
    <d v="2025-02-10T00:00:00"/>
    <d v="2025-02-12T00:00:00"/>
    <n v="2"/>
    <s v="OK"/>
    <s v="CUST-1586"/>
    <s v="Rahul Verma"/>
    <s v="Small Business"/>
    <x v="3"/>
    <s v="Rajasthan"/>
    <s v="Udaipur"/>
    <s v="Furniture"/>
    <s v="Tables"/>
    <s v="Max Tables 526"/>
    <s v="Same Day"/>
    <n v="1"/>
    <n v="1925.86"/>
    <n v="0"/>
    <s v="OK"/>
    <n v="1925.86"/>
    <n v="1321.89"/>
    <n v="603.97"/>
    <s v="Paid"/>
    <s v="Completed"/>
    <n v="0"/>
    <n v="1925.86"/>
    <n v="603.9699999999998"/>
    <n v="31.36105428224273"/>
    <n v="2"/>
    <n v="2025"/>
    <s v="CLEAN"/>
  </r>
  <r>
    <s v="ORD-2025-10274"/>
    <d v="2025-02-13T00:00:00"/>
    <d v="2025-02-13T00:00:00"/>
    <n v="0"/>
    <s v="OK"/>
    <s v="CUST-8249"/>
    <s v="Isha Nair"/>
    <s v="Consumer"/>
    <x v="1"/>
    <s v="Bihar"/>
    <s v="Patna"/>
    <s v="Office Supplies"/>
    <s v="Paper"/>
    <s v="Basic Paper 657"/>
    <s v="Second Class"/>
    <n v="9"/>
    <n v="2521.63"/>
    <n v="0"/>
    <s v="OK"/>
    <n v="22694.67"/>
    <n v="15405.36"/>
    <n v="7289.31"/>
    <s v="Paid"/>
    <s v="Returned"/>
    <n v="0"/>
    <n v="22694.670000000002"/>
    <n v="7289.3100000000013"/>
    <n v="32.119039404406415"/>
    <n v="2"/>
    <n v="2025"/>
    <s v="CLEAN"/>
  </r>
  <r>
    <s v="ORD-2025-10279"/>
    <d v="2025-07-03T00:00:00"/>
    <d v="2025-03-14T00:00:00"/>
    <n v="-111"/>
    <s v="INVALID"/>
    <s v="CUST-8242"/>
    <s v="Priya Menon"/>
    <s v="Small Business"/>
    <x v="0"/>
    <s v="Delhi"/>
    <s v="New Delhi"/>
    <s v="Technology"/>
    <s v="Accessories"/>
    <s v="Pro Accessories 207"/>
    <s v="Same Day"/>
    <n v="1"/>
    <n v="3979.64"/>
    <n v="0.05"/>
    <s v="OK"/>
    <n v="3780.66"/>
    <n v="2148.31"/>
    <n v="1632.35"/>
    <s v="Paid"/>
    <s v="Returned"/>
    <n v="0.05"/>
    <n v="3780.6579999999999"/>
    <n v="1632.348"/>
    <n v="43.176293650470363"/>
    <n v="7"/>
    <n v="2025"/>
    <s v="INVALID"/>
  </r>
  <r>
    <s v="ORD-2025-10282"/>
    <d v="2025-07-25T00:00:00"/>
    <d v="2025-07-27T00:00:00"/>
    <n v="2"/>
    <s v="OK"/>
    <s v="CUST-2052"/>
    <s v="Kabir Singh"/>
    <s v="Consumer"/>
    <x v="1"/>
    <s v="Jharkhand"/>
    <s v="Ranchi"/>
    <s v="Office Supplies"/>
    <s v="Binders"/>
    <s v="Basic Binders 637"/>
    <s v="Second Class"/>
    <n v="6"/>
    <n v="3438.38"/>
    <n v="0.2"/>
    <s v="OK"/>
    <n v="16504.22"/>
    <n v="11262.71"/>
    <n v="5241.51"/>
    <s v="Paid"/>
    <s v="Completed"/>
    <n v="0.2"/>
    <n v="16504.223999999998"/>
    <n v="5241.5139999999992"/>
    <n v="31.75862130809664"/>
    <n v="7"/>
    <n v="2025"/>
    <s v="CLEAN"/>
  </r>
  <r>
    <s v="ORD-2025-10284"/>
    <d v="2025-03-13T00:00:00"/>
    <d v="2025-03-20T00:00:00"/>
    <n v="7"/>
    <s v="OK"/>
    <s v="CUST-6568"/>
    <s v="Vikram Iyer"/>
    <s v="Consumer"/>
    <x v="3"/>
    <s v="Maharashtra"/>
    <s v="Mumbai"/>
    <s v="Furniture"/>
    <s v="Furnishings"/>
    <s v="Classic Furnishings 819"/>
    <s v="First Class"/>
    <n v="1"/>
    <n v="1814.01"/>
    <n v="0"/>
    <s v="OK"/>
    <n v="1814.01"/>
    <n v="1033.47"/>
    <n v="780.54"/>
    <s v="Paid"/>
    <s v="Completed"/>
    <n v="0"/>
    <n v="1814.01"/>
    <n v="780.54"/>
    <n v="43.028428729720339"/>
    <n v="3"/>
    <n v="2025"/>
    <s v="CLEAN"/>
  </r>
  <r>
    <s v="ORD-2025-10286"/>
    <d v="2025-08-15T00:00:00"/>
    <d v="2025-08-20T00:00:00"/>
    <n v="5"/>
    <s v="OK"/>
    <s v="CUST-5610"/>
    <s v="Neha Gupta"/>
    <s v="Home Office"/>
    <x v="0"/>
    <s v="Rajasthan"/>
    <s v="Jaipur"/>
    <s v="Office Supplies"/>
    <s v="Storage"/>
    <s v="Basic Storage 771"/>
    <s v="Standard Class"/>
    <n v="9"/>
    <n v="4081.77"/>
    <n v="0"/>
    <s v="OK"/>
    <n v="36735.93"/>
    <n v="30820.84"/>
    <n v="5915.09"/>
    <s v="Paid"/>
    <s v="Completed"/>
    <n v="0"/>
    <n v="36735.93"/>
    <n v="5915.09"/>
    <n v="16.101647624001895"/>
    <n v="8"/>
    <n v="2025"/>
    <s v="CLEAN"/>
  </r>
  <r>
    <s v="ORD-2025-10290"/>
    <d v="2025-06-19T00:00:00"/>
    <d v="2025-06-27T00:00:00"/>
    <n v="8"/>
    <s v="OK"/>
    <s v="CUST-9114"/>
    <s v="Karan Malhotra"/>
    <s v="Home Office"/>
    <x v="2"/>
    <s v="Tamil Nadu"/>
    <s v="Chennai"/>
    <s v="Furniture"/>
    <s v="Bookcases"/>
    <s v="Basic Bookcases 823"/>
    <s v="First Class"/>
    <n v="2"/>
    <n v="4346.6899999999996"/>
    <n v="0.05"/>
    <s v="OK"/>
    <n v="8258.7099999999991"/>
    <n v="7018.97"/>
    <n v="1239.74"/>
    <s v="Paid"/>
    <s v="Completed"/>
    <n v="0.05"/>
    <n v="8258.7109999999993"/>
    <n v="1239.7409999999991"/>
    <n v="15.011313508851432"/>
    <n v="6"/>
    <n v="2025"/>
    <s v="CLEAN"/>
  </r>
  <r>
    <s v="ORD-2025-10291"/>
    <d v="2025-08-22T00:00:00"/>
    <d v="2025-08-26T00:00:00"/>
    <n v="4"/>
    <s v="OK"/>
    <s v="CUST-8557"/>
    <s v="Diya Patel"/>
    <s v="Home Office"/>
    <x v="1"/>
    <s v="Jharkhand"/>
    <s v="Ranchi"/>
    <s v="Furniture"/>
    <s v="Tables"/>
    <s v="Classic Tables 178"/>
    <s v="Standard Class"/>
    <n v="1"/>
    <n v="1842.63"/>
    <n v="0.1"/>
    <s v="OK"/>
    <n v="1658.37"/>
    <n v="971.12"/>
    <n v="687.25"/>
    <s v="Paid"/>
    <s v="Completed"/>
    <n v="0.1"/>
    <n v="1658.3670000000002"/>
    <n v="687.24700000000018"/>
    <n v="41.441188832146331"/>
    <n v="8"/>
    <n v="2025"/>
    <s v="CLEAN"/>
  </r>
  <r>
    <s v="ORD-2025-10295"/>
    <d v="2025-07-16T00:00:00"/>
    <d v="2025-07-22T00:00:00"/>
    <n v="6"/>
    <s v="OK"/>
    <s v="CUST-4755"/>
    <s v="Priya Menon"/>
    <s v="Consumer"/>
    <x v="1"/>
    <s v="Odisha"/>
    <s v="Bhubaneswar"/>
    <s v="Technology"/>
    <s v="Phones"/>
    <s v="Basic Phones 326"/>
    <s v="Second Class"/>
    <n v="6"/>
    <n v="4159.33"/>
    <n v="0.25"/>
    <s v="OK"/>
    <n v="18716.990000000002"/>
    <n v="12282.43"/>
    <n v="6434.56"/>
    <s v="Paid"/>
    <s v="Returned"/>
    <n v="0.25"/>
    <n v="18716.985000000001"/>
    <n v="6434.5550000000003"/>
    <n v="34.378159730319815"/>
    <n v="7"/>
    <n v="2025"/>
    <s v="CLEAN"/>
  </r>
  <r>
    <s v="ORD-2025-10296"/>
    <d v="2025-06-25T00:00:00"/>
    <d v="2025-06-28T00:00:00"/>
    <n v="3"/>
    <s v="OK"/>
    <s v="CUST-6778"/>
    <s v="Aditi Sen"/>
    <s v="Small Business"/>
    <x v="1"/>
    <s v="Assam"/>
    <s v="Guwahati"/>
    <s v="Office Supplies"/>
    <s v="Binders"/>
    <s v="Max Binders 587"/>
    <s v="Standard Class"/>
    <n v="3"/>
    <n v="3476.05"/>
    <n v="0.1"/>
    <s v="OK"/>
    <n v="9385.34"/>
    <n v="5828.54"/>
    <n v="3556.8"/>
    <s v="Paid"/>
    <s v="Completed"/>
    <n v="0.1"/>
    <n v="9385.3350000000009"/>
    <n v="3556.795000000001"/>
    <n v="37.897368607513748"/>
    <n v="6"/>
    <n v="2025"/>
    <s v="CLEAN"/>
  </r>
  <r>
    <s v="ORD-2025-10297"/>
    <d v="2025-05-24T00:00:00"/>
    <d v="2025-05-26T00:00:00"/>
    <n v="2"/>
    <s v="OK"/>
    <s v="CUST-7629"/>
    <s v="Aditi Sen"/>
    <s v="Home Office"/>
    <x v="0"/>
    <s v="Haryana"/>
    <s v="Gurugram"/>
    <s v="Furniture"/>
    <s v="Furnishings"/>
    <s v="Basic Furnishings 617"/>
    <s v="Same Day"/>
    <n v="6"/>
    <n v="3495.41"/>
    <n v="0.15"/>
    <s v="OK"/>
    <n v="17826.59"/>
    <n v="10855.35"/>
    <n v="6971.24"/>
    <s v="Paid"/>
    <s v="Completed"/>
    <n v="0.15"/>
    <n v="17826.591"/>
    <n v="6971.241"/>
    <n v="39.105855965394618"/>
    <n v="5"/>
    <n v="2025"/>
    <s v="CLEAN"/>
  </r>
  <r>
    <s v="ORD-2025-10302"/>
    <d v="2025-05-28T00:00:00"/>
    <d v="2025-01-06T00:00:00"/>
    <n v="-142"/>
    <s v="INVALID"/>
    <s v="CUST-5599"/>
    <s v="Isha Nair"/>
    <s v="Home Office"/>
    <x v="1"/>
    <s v="Bihar"/>
    <s v="Patna"/>
    <s v="Technology"/>
    <s v="Phones"/>
    <s v="Elite Phones 202"/>
    <s v="Same Day"/>
    <n v="4"/>
    <n v="1654.11"/>
    <n v="0.05"/>
    <s v="OK"/>
    <n v="6285.62"/>
    <n v="3705.38"/>
    <n v="2580.2399999999998"/>
    <s v="Paid"/>
    <s v="Completed"/>
    <n v="0.05"/>
    <n v="6285.6179999999995"/>
    <n v="2580.2379999999994"/>
    <n v="41.049869718458865"/>
    <n v="5"/>
    <n v="2025"/>
    <s v="INVALID"/>
  </r>
  <r>
    <s v="ORD-2025-10303"/>
    <d v="2025-04-06T00:00:00"/>
    <d v="2025-06-12T00:00:00"/>
    <n v="67"/>
    <s v="OK"/>
    <s v="CUST-1623"/>
    <s v="Neha Gupta"/>
    <s v="Consumer"/>
    <x v="3"/>
    <s v="Goa"/>
    <s v="Panaji"/>
    <s v="Office Supplies"/>
    <s v="Storage"/>
    <s v="Elite Storage 535"/>
    <s v="Same Day"/>
    <n v="2"/>
    <n v="2703.28"/>
    <n v="0.25"/>
    <s v="OK"/>
    <n v="4054.92"/>
    <n v="2424.83"/>
    <n v="1630.09"/>
    <s v="Paid"/>
    <s v="Completed"/>
    <n v="0.25"/>
    <n v="4054.92"/>
    <n v="1630.0900000000001"/>
    <n v="40.200299882611745"/>
    <n v="4"/>
    <n v="2025"/>
    <s v="CLEAN"/>
  </r>
  <r>
    <s v="ORD-2025-10307"/>
    <d v="2025-02-20T00:00:00"/>
    <d v="2025-02-23T00:00:00"/>
    <n v="3"/>
    <s v="OK"/>
    <s v="CUST-2589"/>
    <s v="Aarav Sharma"/>
    <s v="Consumer"/>
    <x v="0"/>
    <s v="Rajasthan"/>
    <s v="Jaipur"/>
    <s v="Technology"/>
    <s v="Phones"/>
    <s v="Pro Phones 530"/>
    <s v="Second Class"/>
    <n v="4"/>
    <n v="3673.11"/>
    <n v="0"/>
    <s v="OK"/>
    <n v="14692.44"/>
    <n v="10082.19"/>
    <n v="4610.25"/>
    <s v="Paid"/>
    <s v="Completed"/>
    <n v="0"/>
    <n v="14692.44"/>
    <n v="4610.25"/>
    <n v="31.378382351740076"/>
    <n v="2"/>
    <n v="2025"/>
    <s v="CLEAN"/>
  </r>
  <r>
    <s v="ORD-2025-10309"/>
    <d v="2025-06-13T00:00:00"/>
    <d v="2025-06-19T00:00:00"/>
    <n v="6"/>
    <s v="OK"/>
    <s v="CUST-6727"/>
    <s v="Rohan Mehta"/>
    <s v="Consumer"/>
    <x v="0"/>
    <s v="Rajasthan"/>
    <s v="Jaipur"/>
    <s v="Furniture"/>
    <s v="Tables"/>
    <s v="Classic Tables 224"/>
    <s v="First Class"/>
    <n v="4"/>
    <n v="731.57"/>
    <n v="0.2"/>
    <s v="OK"/>
    <n v="2341.02"/>
    <n v="1565.49"/>
    <n v="775.53"/>
    <s v="Paid"/>
    <s v="Completed"/>
    <n v="0.2"/>
    <n v="2341.0240000000003"/>
    <n v="775.53400000000033"/>
    <n v="33.127981601213833"/>
    <n v="6"/>
    <n v="2025"/>
    <s v="CLEAN"/>
  </r>
  <r>
    <s v="ORD-2025-10318"/>
    <d v="2025-08-29T00:00:00"/>
    <d v="2025-09-04T00:00:00"/>
    <n v="6"/>
    <s v="OK"/>
    <s v="CUST-7992"/>
    <s v="Neha Gupta"/>
    <s v="Corporate"/>
    <x v="2"/>
    <s v="Kerala"/>
    <s v="Kochi"/>
    <s v="Furniture"/>
    <s v="Tables"/>
    <s v="Pro Tables 778"/>
    <s v="First Class"/>
    <n v="9"/>
    <n v="2996.97"/>
    <n v="0.15"/>
    <s v="OK"/>
    <n v="22926.82"/>
    <n v="14621.59"/>
    <n v="8305.23"/>
    <s v="Paid"/>
    <s v="Completed"/>
    <n v="0.15"/>
    <n v="22926.820499999998"/>
    <n v="8305.2304999999978"/>
    <n v="36.224955396671767"/>
    <n v="8"/>
    <n v="2025"/>
    <s v="CLEAN"/>
  </r>
  <r>
    <s v="ORD-2025-10325"/>
    <d v="2025-07-31T00:00:00"/>
    <d v="2025-02-08T00:00:00"/>
    <n v="-173"/>
    <s v="INVALID"/>
    <s v="CUST-7212"/>
    <s v="Rohan Mehta"/>
    <s v="Home Office"/>
    <x v="2"/>
    <s v="Andhra Pradesh"/>
    <s v="Vijayawada"/>
    <s v="Office Supplies"/>
    <s v="Labels"/>
    <s v="Basic Labels 102"/>
    <s v="Same Day"/>
    <n v="1"/>
    <n v="1947.88"/>
    <n v="0.15"/>
    <s v="OK"/>
    <n v="1655.7"/>
    <n v="1354.8"/>
    <n v="300.89999999999998"/>
    <s v="Paid"/>
    <s v="Returned"/>
    <n v="0.15"/>
    <n v="1655.6980000000001"/>
    <n v="300.89800000000014"/>
    <n v="18.17348332848141"/>
    <n v="7"/>
    <n v="2025"/>
    <s v="INVALID"/>
  </r>
  <r>
    <s v="ORD-2025-10326"/>
    <d v="2025-09-16T00:00:00"/>
    <d v="2025-09-22T00:00:00"/>
    <n v="6"/>
    <s v="OK"/>
    <s v="CUST-7980"/>
    <s v="Sneha Kapoor"/>
    <s v="Home Office"/>
    <x v="1"/>
    <s v="West Bengal"/>
    <s v="Kolkata"/>
    <s v="Technology"/>
    <s v="Copiers"/>
    <s v="Prime Copiers 170"/>
    <s v="Second Class"/>
    <n v="5"/>
    <n v="3671.2"/>
    <n v="0.15"/>
    <s v="OK"/>
    <n v="15602.6"/>
    <n v="11908.52"/>
    <n v="3694.08"/>
    <s v="Paid"/>
    <s v="Completed"/>
    <n v="0.15"/>
    <n v="15602.6"/>
    <n v="3694.08"/>
    <n v="23.676053991001499"/>
    <n v="9"/>
    <n v="2025"/>
    <s v="CLEAN"/>
  </r>
  <r>
    <s v="ORD-2025-10327"/>
    <d v="2025-07-22T00:00:00"/>
    <d v="2025-07-22T00:00:00"/>
    <n v="0"/>
    <s v="OK"/>
    <s v="CUST-1966"/>
    <s v="Sneha Kapoor"/>
    <s v="Corporate"/>
    <x v="1"/>
    <s v="Jharkhand"/>
    <s v="Ranchi"/>
    <s v="Furniture"/>
    <s v="Furnishings"/>
    <s v="Smart Furnishings 533"/>
    <s v="Same Day"/>
    <n v="5"/>
    <n v="3187.05"/>
    <n v="0.05"/>
    <s v="OK"/>
    <n v="15138.49"/>
    <n v="11235.72"/>
    <n v="3902.77"/>
    <s v="Paid"/>
    <s v="Completed"/>
    <n v="0.05"/>
    <n v="15138.487499999999"/>
    <n v="3902.7674999999999"/>
    <n v="25.780432160082047"/>
    <n v="7"/>
    <n v="2025"/>
    <s v="CLEAN"/>
  </r>
  <r>
    <s v="ORD-2025-10329"/>
    <d v="2025-05-29T00:00:00"/>
    <d v="2025-06-04T00:00:00"/>
    <n v="6"/>
    <s v="OK"/>
    <s v="CUST-7239"/>
    <s v="Diya Patel"/>
    <s v="Consumer"/>
    <x v="3"/>
    <s v="Maharashtra"/>
    <s v="Mumbai"/>
    <s v="Office Supplies"/>
    <s v="Storage"/>
    <s v="Smart Storage 439"/>
    <s v="First Class"/>
    <n v="6"/>
    <n v="3100.68"/>
    <n v="0"/>
    <s v="OK"/>
    <n v="18604.080000000002"/>
    <n v="15834.3"/>
    <n v="2769.78"/>
    <s v="Paid"/>
    <s v="Completed"/>
    <n v="0"/>
    <n v="18604.079999999998"/>
    <n v="2769.7799999999988"/>
    <n v="14.88802456235406"/>
    <n v="5"/>
    <n v="2025"/>
    <s v="CLEAN"/>
  </r>
  <r>
    <s v="ORD-2025-10330"/>
    <d v="2025-05-12T00:00:00"/>
    <d v="2025-05-18T00:00:00"/>
    <n v="6"/>
    <s v="OK"/>
    <s v="CUST-9718"/>
    <s v="Neha Gupta"/>
    <s v="Small Business"/>
    <x v="3"/>
    <s v="Maharashtra"/>
    <s v="Mumbai"/>
    <s v="Office Supplies"/>
    <s v="Storage"/>
    <s v="Prime Storage 232"/>
    <s v="Standard Class"/>
    <n v="4"/>
    <n v="4053.03"/>
    <n v="0.05"/>
    <s v="OK"/>
    <n v="15401.51"/>
    <n v="8650.42"/>
    <n v="6751.09"/>
    <s v="Paid"/>
    <s v="Completed"/>
    <n v="0.05"/>
    <n v="15401.513999999999"/>
    <n v="6751.0939999999991"/>
    <n v="43.833963336331735"/>
    <n v="5"/>
    <n v="2025"/>
    <s v="CLEAN"/>
  </r>
  <r>
    <s v="ORD-2025-10333"/>
    <d v="2025-05-27T00:00:00"/>
    <d v="2025-05-28T00:00:00"/>
    <n v="1"/>
    <s v="OK"/>
    <s v="CUST-5332"/>
    <s v="Aarav Sharma"/>
    <s v="Consumer"/>
    <x v="2"/>
    <s v="Andhra Pradesh"/>
    <s v="Vijayawada"/>
    <s v="Technology"/>
    <s v="Machines"/>
    <s v="Basic Machines 601"/>
    <s v="Second Class"/>
    <n v="2"/>
    <n v="3911.96"/>
    <n v="0"/>
    <s v="OK"/>
    <n v="7823.92"/>
    <n v="6034.63"/>
    <n v="1789.29"/>
    <s v="Paid"/>
    <s v="Completed"/>
    <n v="0"/>
    <n v="7823.92"/>
    <n v="1789.29"/>
    <n v="22.869482305545048"/>
    <n v="5"/>
    <n v="2025"/>
    <s v="CLEAN"/>
  </r>
  <r>
    <s v="ORD-2025-10334"/>
    <d v="2025-06-22T00:00:00"/>
    <d v="2025-06-27T00:00:00"/>
    <n v="5"/>
    <s v="OK"/>
    <s v="CUST-8081"/>
    <s v="Rohan Mehta"/>
    <s v="Home Office"/>
    <x v="4"/>
    <s v="Delhi"/>
    <s v="New Delhi"/>
    <s v="Technology"/>
    <s v="Phones"/>
    <s v="Pro Phones 968"/>
    <s v="First Class"/>
    <n v="2"/>
    <n v="1468.05"/>
    <n v="0"/>
    <s v="OK"/>
    <n v="2936.1"/>
    <n v="1923.1"/>
    <n v="1013"/>
    <s v="Paid"/>
    <s v="Completed"/>
    <n v="0"/>
    <n v="2936.1"/>
    <n v="1013"/>
    <n v="34.501549674738605"/>
    <n v="6"/>
    <n v="2025"/>
    <s v="CLEAN"/>
  </r>
  <r>
    <s v="ORD-2025-10336"/>
    <d v="2025-06-16T00:00:00"/>
    <d v="2025-06-18T00:00:00"/>
    <n v="2"/>
    <s v="OK"/>
    <s v="CUST-3621"/>
    <s v="Rahul Verma"/>
    <s v="Home Office"/>
    <x v="3"/>
    <s v="Madhya Pradesh"/>
    <s v="Indore"/>
    <s v="Office Supplies"/>
    <s v="Paper"/>
    <s v="Prime Paper 559"/>
    <s v="First Class"/>
    <n v="3"/>
    <n v="4289.37"/>
    <n v="0.1"/>
    <s v="OK"/>
    <n v="11581.3"/>
    <n v="6829.43"/>
    <n v="4751.87"/>
    <s v="Paid"/>
    <s v="Completed"/>
    <n v="0.1"/>
    <n v="11581.299000000001"/>
    <n v="4751.8690000000006"/>
    <n v="41.030535521101733"/>
    <n v="6"/>
    <n v="2025"/>
    <s v="CLEAN"/>
  </r>
  <r>
    <s v="ORD-2025-10336"/>
    <d v="2025-06-16T00:00:00"/>
    <d v="2025-06-18T00:00:00"/>
    <n v="2"/>
    <s v="OK"/>
    <s v="CUST-3621"/>
    <s v="Rahul Verma"/>
    <s v="Home Office"/>
    <x v="3"/>
    <s v="Madhya Pradesh"/>
    <s v="Indore"/>
    <s v="Office Supplies"/>
    <s v="Paper"/>
    <s v="Prime Paper 559"/>
    <s v="First Class"/>
    <n v="3"/>
    <n v="4289.37"/>
    <n v="0.1"/>
    <s v="OK"/>
    <n v="11778.71"/>
    <n v="6829.43"/>
    <n v="4751.87"/>
    <s v="Paid"/>
    <s v="Returned"/>
    <n v="0.1"/>
    <n v="11581.299000000001"/>
    <n v="4751.8690000000006"/>
    <n v="41.030535521101733"/>
    <n v="6"/>
    <n v="2025"/>
    <s v="CLEAN"/>
  </r>
  <r>
    <s v="ORD-2025-10340"/>
    <d v="2025-02-20T00:00:00"/>
    <d v="2025-02-22T00:00:00"/>
    <n v="2"/>
    <s v="OK"/>
    <s v="CUST-2752"/>
    <s v="Neha Gupta"/>
    <s v="Corporate"/>
    <x v="1"/>
    <s v="Jharkhand"/>
    <s v="Ranchi"/>
    <s v="Furniture"/>
    <s v="Bookcases"/>
    <s v="Elite Bookcases 988"/>
    <s v="Standard Class"/>
    <n v="8"/>
    <n v="3265.76"/>
    <n v="0.2"/>
    <s v="OK"/>
    <n v="20900.86"/>
    <n v="12513.14"/>
    <n v="8387.7199999999993"/>
    <s v="Paid"/>
    <s v="Completed"/>
    <n v="0.2"/>
    <n v="20900.864000000001"/>
    <n v="8387.724000000002"/>
    <n v="40.130991714026756"/>
    <n v="2"/>
    <n v="2025"/>
    <s v="CLEAN"/>
  </r>
  <r>
    <s v="ORD-2025-10342"/>
    <d v="2025-09-08T00:00:00"/>
    <d v="2025-09-09T00:00:00"/>
    <n v="1"/>
    <s v="OK"/>
    <s v="CUST-9969"/>
    <s v="Rohan Mehta"/>
    <s v="Home Office"/>
    <x v="3"/>
    <s v="Gujarat"/>
    <s v="Ahmedabad"/>
    <s v="Furniture"/>
    <s v="Chairs"/>
    <s v="Eco Chairs 552"/>
    <s v="Second Class"/>
    <n v="2"/>
    <n v="3960.33"/>
    <n v="0.05"/>
    <s v="OK"/>
    <n v="7524.63"/>
    <n v="6229.6"/>
    <n v="1295.03"/>
    <s v="Paid"/>
    <s v="Completed"/>
    <n v="0.05"/>
    <n v="7524.6269999999995"/>
    <n v="1295.0269999999991"/>
    <n v="17.210514222166751"/>
    <n v="9"/>
    <n v="2025"/>
    <s v="CLEAN"/>
  </r>
  <r>
    <s v="ORD-2025-10343"/>
    <d v="2025-07-24T00:00:00"/>
    <d v="2025-01-08T00:00:00"/>
    <n v="-197"/>
    <s v="INVALID"/>
    <s v="CUST-3335"/>
    <s v="Kabir Singh"/>
    <s v="Small Business"/>
    <x v="1"/>
    <s v="Jharkhand"/>
    <s v="Ranchi"/>
    <s v="Office Supplies"/>
    <s v="Binders"/>
    <s v="Smart Binders 574"/>
    <s v="First Class"/>
    <n v="8"/>
    <n v="1528.92"/>
    <n v="0"/>
    <s v="OK"/>
    <n v="12231.36"/>
    <n v="8766.9"/>
    <n v="3464.46"/>
    <s v="Paid"/>
    <s v="Completed"/>
    <n v="0"/>
    <n v="12231.36"/>
    <n v="3464.4600000000009"/>
    <n v="28.324405462679547"/>
    <n v="7"/>
    <n v="2025"/>
    <s v="INVALID"/>
  </r>
  <r>
    <s v="ORD-2025-10344"/>
    <d v="2025-10-03T00:00:00"/>
    <d v="2025-10-08T00:00:00"/>
    <n v="5"/>
    <s v="OK"/>
    <s v="CUST-7358"/>
    <s v="Aarav Sharma"/>
    <s v="Corporate"/>
    <x v="3"/>
    <s v="Madhya Pradesh"/>
    <s v="Indore"/>
    <s v="Technology"/>
    <s v="Machines"/>
    <s v="Pro Machines 444"/>
    <s v="Same Day"/>
    <n v="9"/>
    <n v="3837"/>
    <n v="0.1"/>
    <s v="OK"/>
    <n v="31079.7"/>
    <n v="17758.25"/>
    <n v="13321.45"/>
    <s v="Paid"/>
    <s v="Completed"/>
    <n v="0.1"/>
    <n v="31079.7"/>
    <n v="13321.45"/>
    <n v="42.862221964819483"/>
    <n v="10"/>
    <n v="2025"/>
    <s v="CLEAN"/>
  </r>
  <r>
    <s v="ORD-2025-10347"/>
    <d v="2025-07-22T00:00:00"/>
    <d v="2025-07-28T00:00:00"/>
    <n v="6"/>
    <s v="OK"/>
    <s v="CUST-3400"/>
    <s v="Rahul Verma"/>
    <s v="Corporate"/>
    <x v="2"/>
    <s v="Kerala"/>
    <s v="Kochi"/>
    <s v="Furniture"/>
    <s v="Chairs"/>
    <s v="Eco Chairs 369"/>
    <s v="Second Class"/>
    <n v="6"/>
    <n v="1607.46"/>
    <n v="0.2"/>
    <s v="OK"/>
    <n v="7715.81"/>
    <n v="4258.42"/>
    <n v="3457.39"/>
    <s v="Paid"/>
    <s v="Completed"/>
    <n v="0.2"/>
    <n v="7715.8080000000009"/>
    <n v="3457.3880000000008"/>
    <n v="44.809150253609218"/>
    <n v="7"/>
    <n v="2025"/>
    <s v="CLEAN"/>
  </r>
  <r>
    <s v="ORD-2025-10350"/>
    <d v="2025-09-27T00:00:00"/>
    <d v="2025-09-29T00:00:00"/>
    <n v="2"/>
    <s v="OK"/>
    <s v="CUST-6697"/>
    <s v="Kabir Singh"/>
    <s v="Home Office"/>
    <x v="1"/>
    <s v="Jharkhand"/>
    <s v="Ranchi"/>
    <s v="Furniture"/>
    <s v="Furnishings"/>
    <s v="Max Furnishings 628"/>
    <s v="Second Class"/>
    <n v="9"/>
    <n v="2867.55"/>
    <n v="0.25"/>
    <s v="OK"/>
    <n v="19355.96"/>
    <n v="15012.45"/>
    <n v="4017.4"/>
    <s v="Paid"/>
    <s v="Completed"/>
    <n v="0.25"/>
    <n v="19355.962500000001"/>
    <n v="4343.5125000000007"/>
    <n v="22.440178317146461"/>
    <n v="9"/>
    <n v="2025"/>
    <s v="CLEAN"/>
  </r>
  <r>
    <s v="ORD-2025-10353"/>
    <d v="2025-08-15T00:00:00"/>
    <d v="2025-08-17T00:00:00"/>
    <n v="2"/>
    <s v="OK"/>
    <s v="CUST-6382"/>
    <s v="Diya Patel"/>
    <s v="Small Business"/>
    <x v="1"/>
    <s v="Assam"/>
    <s v="Guwahati"/>
    <s v="Technology"/>
    <s v="Copiers"/>
    <s v="Elite Copiers 706"/>
    <s v="First Class"/>
    <n v="5"/>
    <n v="2862.6"/>
    <n v="0.25"/>
    <s v="OK"/>
    <n v="10734.75"/>
    <n v="6475.73"/>
    <n v="4259.0200000000004"/>
    <s v="Paid"/>
    <s v="Completed"/>
    <n v="0.25"/>
    <n v="10734.75"/>
    <n v="4259.0200000000004"/>
    <n v="39.675073942103914"/>
    <n v="8"/>
    <n v="2025"/>
    <s v="CLEAN"/>
  </r>
  <r>
    <s v="ORD-2025-10354"/>
    <d v="2025-02-21T00:00:00"/>
    <d v="2025-02-27T00:00:00"/>
    <n v="6"/>
    <s v="OK"/>
    <s v="CUST-3253"/>
    <s v="Ananya Rao"/>
    <s v="Consumer"/>
    <x v="0"/>
    <s v="Rajasthan"/>
    <s v="Jaipur"/>
    <s v="Office Supplies"/>
    <s v="Art"/>
    <s v="Prime Art 978"/>
    <s v="Same Day"/>
    <n v="9"/>
    <n v="1431.67"/>
    <n v="0.2"/>
    <s v="OK"/>
    <n v="10308.02"/>
    <n v="5822.31"/>
    <n v="4485.71"/>
    <s v="Paid"/>
    <s v="Completed"/>
    <n v="0.2"/>
    <n v="10308.024000000001"/>
    <n v="4485.7140000000009"/>
    <n v="43.516720566424759"/>
    <n v="2"/>
    <n v="2025"/>
    <s v="CLEAN"/>
  </r>
  <r>
    <s v="ORD-2025-10357"/>
    <d v="2025-06-27T00:00:00"/>
    <d v="2025-06-29T00:00:00"/>
    <n v="2"/>
    <s v="OK"/>
    <s v="CUST-9268"/>
    <s v="Rohan Mehta"/>
    <s v="Home Office"/>
    <x v="2"/>
    <s v="Telangana"/>
    <s v="Hyderabad"/>
    <s v="Furniture"/>
    <s v="Chairs"/>
    <s v="Eco Chairs 346"/>
    <s v="First Class"/>
    <n v="5"/>
    <n v="621.70000000000005"/>
    <n v="0.2"/>
    <s v="OK"/>
    <n v="2486.8000000000002"/>
    <n v="2131.73"/>
    <n v="355.07"/>
    <s v="Pending"/>
    <s v="Returned"/>
    <n v="0.2"/>
    <n v="2486.8000000000002"/>
    <n v="355.07000000000016"/>
    <n v="14.27818883705968"/>
    <n v="6"/>
    <n v="2025"/>
    <s v="CLEAN"/>
  </r>
  <r>
    <s v="ORD-2025-10359"/>
    <d v="2025-08-09T00:00:00"/>
    <d v="2025-08-07T00:00:00"/>
    <n v="-2"/>
    <s v="INVALID"/>
    <s v="CUST-2477"/>
    <s v="Vikram Iyer"/>
    <s v="Home Office"/>
    <x v="3"/>
    <s v="Gujarat"/>
    <s v="Ahmedabad"/>
    <s v="Furniture"/>
    <s v="Bookcases"/>
    <s v="Smart Bookcases 134"/>
    <s v="Second Class"/>
    <n v="5"/>
    <n v="1253.92"/>
    <n v="0.05"/>
    <s v="OK"/>
    <n v="5956.12"/>
    <n v="4379.18"/>
    <n v="1576.94"/>
    <s v="Pending"/>
    <s v="Returned"/>
    <n v="0.05"/>
    <n v="5956.12"/>
    <n v="1576.9399999999996"/>
    <n v="26.475960860425907"/>
    <n v="8"/>
    <n v="2025"/>
    <s v="INVALID"/>
  </r>
  <r>
    <s v="ORD-2025-10362"/>
    <d v="2025-01-04T00:00:00"/>
    <d v="2025-04-02T00:00:00"/>
    <n v="88"/>
    <s v="OK"/>
    <s v="CUST-2909"/>
    <s v="Rohan Mehta"/>
    <s v="Corporate"/>
    <x v="1"/>
    <s v="Odisha"/>
    <s v="Bhubaneswar"/>
    <s v="Furniture"/>
    <s v="Chairs"/>
    <s v="Basic Chairs 113"/>
    <s v="Second Class"/>
    <n v="9"/>
    <n v="4165.58"/>
    <n v="0.05"/>
    <s v="OK"/>
    <n v="35615.71"/>
    <n v="20389.71"/>
    <n v="15226"/>
    <s v="Pending"/>
    <s v="Returned"/>
    <n v="0.05"/>
    <n v="35615.709000000003"/>
    <n v="15225.999000000003"/>
    <n v="42.75079572331412"/>
    <n v="1"/>
    <n v="2025"/>
    <s v="CLEAN"/>
  </r>
  <r>
    <s v="ORD-2025-10364"/>
    <d v="2025-07-07T00:00:00"/>
    <d v="2025-07-12T00:00:00"/>
    <n v="5"/>
    <s v="OK"/>
    <s v="CUST-1832"/>
    <s v="Diya Patel"/>
    <s v="Corporate"/>
    <x v="1"/>
    <s v="West Bengal"/>
    <s v="Kolkata"/>
    <s v="Furniture"/>
    <s v="Tables"/>
    <s v="Smart Tables 943"/>
    <s v="Second Class"/>
    <n v="5"/>
    <n v="1831.37"/>
    <n v="0.25"/>
    <s v="OK"/>
    <n v="6867.64"/>
    <n v="5205.3599999999997"/>
    <n v="1662.28"/>
    <s v="Paid"/>
    <s v="Completed"/>
    <n v="0.25"/>
    <n v="6867.6374999999989"/>
    <n v="1662.2774999999992"/>
    <n v="24.204502640100028"/>
    <n v="7"/>
    <n v="2025"/>
    <s v="CLEAN"/>
  </r>
  <r>
    <s v="ORD-2025-10365"/>
    <d v="2025-03-21T00:00:00"/>
    <d v="2025-03-24T00:00:00"/>
    <n v="3"/>
    <s v="OK"/>
    <s v="CUST-4452"/>
    <s v="Aarav Sharma"/>
    <s v="Small Business"/>
    <x v="2"/>
    <s v="Andhra Pradesh"/>
    <s v="Vijayawada"/>
    <s v="Furniture"/>
    <s v="Chairs"/>
    <s v="Prime Chairs 101"/>
    <s v="Second Class"/>
    <n v="5"/>
    <n v="1239.1500000000001"/>
    <n v="0"/>
    <s v="OK"/>
    <n v="6195.75"/>
    <n v="3967.02"/>
    <n v="2228.73"/>
    <s v="Paid"/>
    <s v="Completed"/>
    <n v="0"/>
    <n v="6195.75"/>
    <n v="2228.73"/>
    <n v="35.971916232901584"/>
    <n v="3"/>
    <n v="2025"/>
    <s v="CLEAN"/>
  </r>
  <r>
    <s v="ORD-2025-10367"/>
    <d v="2025-01-16T00:00:00"/>
    <d v="2025-01-22T00:00:00"/>
    <n v="6"/>
    <s v="OK"/>
    <s v="CUST-5397"/>
    <s v="Sneha Kapoor"/>
    <s v="Corporate"/>
    <x v="0"/>
    <s v="Rajasthan"/>
    <s v="Jaipur"/>
    <s v="Furniture"/>
    <s v="Tables"/>
    <s v="Max Tables 478"/>
    <s v="Same Day"/>
    <n v="2"/>
    <n v="4418.28"/>
    <n v="0"/>
    <s v="OK"/>
    <n v="8836.56"/>
    <n v="5867.75"/>
    <n v="2968.81"/>
    <s v="Paid"/>
    <s v="Completed"/>
    <n v="0"/>
    <n v="8836.56"/>
    <n v="2968.8099999999995"/>
    <n v="33.596897435201022"/>
    <n v="1"/>
    <n v="2025"/>
    <s v="CLEAN"/>
  </r>
  <r>
    <s v="ORD-2025-10370"/>
    <d v="2025-01-23T00:00:00"/>
    <d v="2025-01-30T00:00:00"/>
    <n v="7"/>
    <s v="OK"/>
    <s v="CUST-5672"/>
    <s v="Priya Menon"/>
    <s v="Consumer"/>
    <x v="0"/>
    <s v="Delhi"/>
    <s v="New Delhi"/>
    <s v="Office Supplies"/>
    <s v="Labels"/>
    <s v="Eco Labels 646"/>
    <s v="Standard Class"/>
    <n v="9"/>
    <n v="1169.3699999999999"/>
    <n v="0.15"/>
    <s v="OK"/>
    <n v="8945.68"/>
    <n v="6740.35"/>
    <n v="2205.33"/>
    <s v="Paid"/>
    <s v="Completed"/>
    <n v="0.15"/>
    <n v="8945.6804999999986"/>
    <n v="2205.3304999999982"/>
    <n v="24.652462157574245"/>
    <n v="1"/>
    <n v="2025"/>
    <s v="CLEAN"/>
  </r>
  <r>
    <s v="ORD-2025-10373"/>
    <d v="2025-08-16T00:00:00"/>
    <d v="2025-08-18T00:00:00"/>
    <n v="2"/>
    <s v="OK"/>
    <s v="CUST-4399"/>
    <s v="Kabir Singh"/>
    <s v="Consumer"/>
    <x v="1"/>
    <s v="Jharkhand"/>
    <s v="Ranchi"/>
    <s v="Furniture"/>
    <s v="Chairs"/>
    <s v="Max Chairs 181"/>
    <s v="Same Day"/>
    <n v="5"/>
    <n v="1530.36"/>
    <n v="0"/>
    <s v="OK"/>
    <n v="7651.8"/>
    <n v="5171.78"/>
    <n v="2480.02"/>
    <s v="Paid"/>
    <s v="Completed"/>
    <n v="0"/>
    <n v="7651.7999999999993"/>
    <n v="2480.0199999999995"/>
    <n v="32.410935988917636"/>
    <n v="8"/>
    <n v="2025"/>
    <s v="CLEAN"/>
  </r>
  <r>
    <s v="ORD-2025-10374"/>
    <d v="2025-04-13T00:00:00"/>
    <d v="2025-04-13T00:00:00"/>
    <n v="0"/>
    <s v="OK"/>
    <s v="CUST-8566"/>
    <s v="Sneha Kapoor"/>
    <s v="Small Business"/>
    <x v="0"/>
    <s v="Uttar Pradesh"/>
    <s v="Noida"/>
    <s v="Office Supplies"/>
    <s v="Storage"/>
    <s v="Prime Storage 951"/>
    <s v="Second Class"/>
    <n v="9"/>
    <n v="1118.68"/>
    <n v="0"/>
    <s v="OK"/>
    <n v="10068.120000000001"/>
    <n v="8595.3700000000008"/>
    <n v="1472.75"/>
    <s v="Paid"/>
    <s v="Completed"/>
    <n v="0"/>
    <n v="10068.120000000001"/>
    <n v="1472.75"/>
    <n v="14.627855051389933"/>
    <n v="4"/>
    <n v="2025"/>
    <s v="CLEAN"/>
  </r>
  <r>
    <s v="ORD-2025-10374"/>
    <d v="2025-04-13T00:00:00"/>
    <d v="2025-04-13T00:00:00"/>
    <n v="0"/>
    <s v="OK"/>
    <s v="CUST-8566"/>
    <s v="Sneha Kapoor"/>
    <s v="Small Business"/>
    <x v="0"/>
    <s v="Uttar Pradesh"/>
    <s v="Noida"/>
    <s v="Office Supplies"/>
    <s v="Storage"/>
    <s v="Prime Storage 951"/>
    <s v="Second Class"/>
    <n v="9"/>
    <n v="1118.68"/>
    <n v="0"/>
    <s v="OK"/>
    <n v="10348.43"/>
    <n v="8595.3700000000008"/>
    <n v="1472.75"/>
    <s v="Paid"/>
    <s v="Returned"/>
    <n v="0"/>
    <n v="10068.120000000001"/>
    <n v="1472.75"/>
    <n v="14.627855051389933"/>
    <n v="4"/>
    <n v="2025"/>
    <s v="CLEAN"/>
  </r>
  <r>
    <s v="ORD-2025-10375"/>
    <d v="2025-02-27T00:00:00"/>
    <d v="2025-02-28T00:00:00"/>
    <n v="1"/>
    <s v="OK"/>
    <s v="CUST-2358"/>
    <s v="Aditi Sen"/>
    <s v="Small Business"/>
    <x v="0"/>
    <s v="Uttar Pradesh"/>
    <s v="Noida"/>
    <s v="Office Supplies"/>
    <s v="Labels"/>
    <s v="Smart Labels 668"/>
    <s v="Standard Class"/>
    <n v="6"/>
    <n v="2393.25"/>
    <n v="0"/>
    <s v="OK"/>
    <n v="14359.5"/>
    <n v="8117.71"/>
    <n v="6241.79"/>
    <s v="Paid"/>
    <s v="Completed"/>
    <n v="0"/>
    <n v="14359.5"/>
    <n v="6241.79"/>
    <n v="43.468017688638184"/>
    <n v="2"/>
    <n v="2025"/>
    <s v="CLEAN"/>
  </r>
  <r>
    <s v="ORD-2025-10378"/>
    <d v="2025-05-24T00:00:00"/>
    <d v="2025-05-30T00:00:00"/>
    <n v="6"/>
    <s v="OK"/>
    <s v="CUST-4875"/>
    <s v="Kabir Singh"/>
    <s v="Small Business"/>
    <x v="1"/>
    <s v="Odisha"/>
    <s v="Bhubaneswar"/>
    <s v="Office Supplies"/>
    <s v="Storage"/>
    <s v="Basic Storage 360"/>
    <s v="Same Day"/>
    <n v="1"/>
    <n v="2564.7399999999998"/>
    <n v="0"/>
    <s v="OK"/>
    <n v="2564.7399999999998"/>
    <n v="1754.58"/>
    <n v="810.16"/>
    <s v="Paid"/>
    <s v="Completed"/>
    <n v="0"/>
    <n v="2564.7399999999998"/>
    <n v="810.15999999999985"/>
    <n v="31.588387126960232"/>
    <n v="5"/>
    <n v="2025"/>
    <s v="CLEAN"/>
  </r>
  <r>
    <s v="ORD-2025-10379"/>
    <d v="2025-05-22T00:00:00"/>
    <d v="2025-05-22T00:00:00"/>
    <n v="0"/>
    <s v="OK"/>
    <s v="CUST-3154"/>
    <s v="Mira Das"/>
    <s v="Consumer"/>
    <x v="3"/>
    <s v="Goa"/>
    <s v="Panaji"/>
    <s v="Technology"/>
    <s v="Accessories"/>
    <s v="Basic Accessories 988"/>
    <s v="Standard Class"/>
    <n v="2"/>
    <n v="3910.61"/>
    <n v="0"/>
    <s v="OK"/>
    <n v="7821.22"/>
    <n v="4994.46"/>
    <n v="2826.76"/>
    <s v="Paid"/>
    <s v="Completed"/>
    <n v="0"/>
    <n v="7821.22"/>
    <n v="2826.76"/>
    <n v="36.142187535959863"/>
    <n v="5"/>
    <n v="2025"/>
    <s v="CLEAN"/>
  </r>
  <r>
    <s v="ORD-2025-10383"/>
    <d v="2025-03-04T00:00:00"/>
    <d v="2025-03-08T00:00:00"/>
    <n v="4"/>
    <s v="OK"/>
    <s v="CUST-7098"/>
    <s v="Arjun Bose"/>
    <s v="Small Business"/>
    <x v="1"/>
    <s v="Bihar"/>
    <s v="Patna"/>
    <s v="Technology"/>
    <s v="Phones"/>
    <s v="Pro Phones 538"/>
    <s v="First Class"/>
    <n v="3"/>
    <n v="4361.8500000000004"/>
    <n v="0.2"/>
    <s v="OK"/>
    <n v="10468.44"/>
    <n v="8399.8700000000008"/>
    <n v="2068.5700000000002"/>
    <s v="Paid"/>
    <s v="Completed"/>
    <n v="0.2"/>
    <n v="10468.440000000002"/>
    <n v="2068.5700000000015"/>
    <n v="19.760059760575608"/>
    <n v="3"/>
    <n v="2025"/>
    <s v="CLEAN"/>
  </r>
  <r>
    <s v="ORD-2025-10386"/>
    <d v="2025-06-24T00:00:00"/>
    <d v="2025-06-30T00:00:00"/>
    <n v="6"/>
    <s v="OK"/>
    <s v="CUST-2834"/>
    <s v="Arjun Bose"/>
    <s v="Consumer"/>
    <x v="0"/>
    <s v="Haryana"/>
    <s v="Gurugram"/>
    <s v="Office Supplies"/>
    <s v="Labels"/>
    <s v="Classic Labels 670"/>
    <s v="Standard Class"/>
    <n v="6"/>
    <n v="365.76"/>
    <n v="0.1"/>
    <s v="OK"/>
    <n v="1975.1"/>
    <n v="1115.3499999999999"/>
    <n v="859.75"/>
    <s v="Paid"/>
    <s v="Completed"/>
    <n v="0.1"/>
    <n v="1975.104"/>
    <n v="859.75400000000013"/>
    <n v="43.529555911992489"/>
    <n v="6"/>
    <n v="2025"/>
    <s v="CLEAN"/>
  </r>
  <r>
    <s v="ORD-2025-10387"/>
    <d v="2025-02-12T00:00:00"/>
    <d v="2025-02-14T00:00:00"/>
    <n v="2"/>
    <s v="OK"/>
    <s v="CUST-4222"/>
    <s v="Sneha Kapoor"/>
    <s v="Consumer"/>
    <x v="3"/>
    <s v="Maharashtra"/>
    <s v="Mumbai"/>
    <s v="Furniture"/>
    <s v="Furnishings"/>
    <s v="Prime Furnishings 597"/>
    <s v="Second Class"/>
    <n v="8"/>
    <n v="2786.66"/>
    <n v="0.1"/>
    <s v="OK"/>
    <n v="20063.95"/>
    <n v="14363.38"/>
    <n v="5700.57"/>
    <s v="Paid"/>
    <s v="Completed"/>
    <n v="0.1"/>
    <n v="20063.952000000001"/>
    <n v="5700.5720000000019"/>
    <n v="28.412009757599112"/>
    <n v="2"/>
    <n v="2025"/>
    <s v="CLEAN"/>
  </r>
  <r>
    <s v="ORD-2025-10392"/>
    <d v="2025-02-14T00:00:00"/>
    <d v="2025-02-14T00:00:00"/>
    <n v="0"/>
    <s v="OK"/>
    <s v="CUST-2267"/>
    <s v="Diya Patel"/>
    <s v="Consumer"/>
    <x v="2"/>
    <s v="Karnataka"/>
    <s v="Bengaluru"/>
    <s v="Office Supplies"/>
    <s v="Storage"/>
    <s v="Eco Storage 285"/>
    <s v="First Class"/>
    <n v="1"/>
    <n v="714.43"/>
    <n v="0"/>
    <s v="OK"/>
    <n v="714.43"/>
    <n v="565.44000000000005"/>
    <n v="148.99"/>
    <s v="Paid"/>
    <s v="Completed"/>
    <n v="0"/>
    <n v="714.43"/>
    <n v="148.9899999999999"/>
    <n v="20.854387413742412"/>
    <n v="2"/>
    <n v="2025"/>
    <s v="CLEAN"/>
  </r>
  <r>
    <s v="ORD-2025-10397"/>
    <d v="2025-04-14T00:00:00"/>
    <d v="2025-04-22T00:00:00"/>
    <n v="8"/>
    <s v="OK"/>
    <s v="CUST-2280"/>
    <s v="Aditi Sen"/>
    <s v="Small Business"/>
    <x v="2"/>
    <s v="Karnataka"/>
    <s v="Bengaluru"/>
    <s v="Technology"/>
    <s v="Machines"/>
    <s v="Prime Machines 267"/>
    <s v="Standard Class"/>
    <n v="2"/>
    <n v="638.73"/>
    <n v="0.05"/>
    <s v="OK"/>
    <n v="1213.5899999999999"/>
    <n v="956.22"/>
    <n v="257.37"/>
    <s v="Paid"/>
    <s v="Completed"/>
    <n v="0.05"/>
    <n v="1213.587"/>
    <n v="257.36699999999996"/>
    <n v="21.207132245154238"/>
    <n v="4"/>
    <n v="2025"/>
    <s v="CLEAN"/>
  </r>
  <r>
    <s v="ORD-2025-10398"/>
    <d v="2025-06-09T00:00:00"/>
    <d v="2025-06-10T00:00:00"/>
    <n v="1"/>
    <s v="OK"/>
    <s v="CUST-3177"/>
    <s v="Sneha Kapoor"/>
    <s v="Small Business"/>
    <x v="0"/>
    <s v="Uttar Pradesh"/>
    <s v="Noida"/>
    <s v="Furniture"/>
    <s v="Tables"/>
    <s v="Eco Tables 378"/>
    <s v="Second Class"/>
    <n v="2"/>
    <n v="1731.88"/>
    <n v="0"/>
    <s v="OK"/>
    <n v="3463.76"/>
    <n v="2143.7399999999998"/>
    <n v="1320.02"/>
    <s v="Paid"/>
    <s v="Completed"/>
    <n v="0"/>
    <n v="3463.76"/>
    <n v="1320.0200000000004"/>
    <n v="38.109453310852956"/>
    <n v="6"/>
    <n v="2025"/>
    <s v="CLEAN"/>
  </r>
  <r>
    <s v="ORD-2025-10400"/>
    <d v="2025-04-24T00:00:00"/>
    <d v="2025-04-29T00:00:00"/>
    <n v="5"/>
    <s v="OK"/>
    <s v="CUST-5647"/>
    <s v="Diya Patel"/>
    <s v="Small Business"/>
    <x v="2"/>
    <s v="Andhra Pradesh"/>
    <s v="Vijayawada"/>
    <s v="Office Supplies"/>
    <s v="Paper"/>
    <s v="Elite Paper 308"/>
    <s v="Same Day"/>
    <n v="1"/>
    <n v="4358.5"/>
    <n v="0.25"/>
    <s v="OK"/>
    <n v="3268.88"/>
    <n v="1993.74"/>
    <n v="1275.1400000000001"/>
    <s v="Paid"/>
    <s v="Completed"/>
    <n v="0.25"/>
    <n v="3268.875"/>
    <n v="1275.135"/>
    <n v="39.008374440747964"/>
    <n v="4"/>
    <n v="2025"/>
    <s v="CLEAN"/>
  </r>
  <r>
    <s v="ORD-2025-10401"/>
    <d v="2025-06-06T00:00:00"/>
    <d v="2025-06-11T00:00:00"/>
    <n v="5"/>
    <s v="OK"/>
    <s v="CUST-7150"/>
    <s v="Sneha Kapoor"/>
    <s v="Small Business"/>
    <x v="0"/>
    <s v="Uttar Pradesh"/>
    <s v="Noida"/>
    <s v="Office Supplies"/>
    <s v="Paper"/>
    <s v="Prime Paper 851"/>
    <s v="Same Day"/>
    <n v="7"/>
    <n v="878.09"/>
    <n v="-0.1"/>
    <s v="INVALID"/>
    <n v="5839.3"/>
    <n v="4877.38"/>
    <n v="961.92"/>
    <s v="Paid"/>
    <s v="Completed"/>
    <n v="0"/>
    <n v="6146.63"/>
    <n v="1269.25"/>
    <n v="20.649526651189351"/>
    <n v="6"/>
    <n v="2025"/>
    <s v="INVALID"/>
  </r>
  <r>
    <s v="ORD-2025-10402"/>
    <d v="2025-03-09T00:00:00"/>
    <d v="2025-03-16T00:00:00"/>
    <n v="7"/>
    <s v="OK"/>
    <s v="CUST-6694"/>
    <s v="Arjun Bose"/>
    <s v="Small Business"/>
    <x v="1"/>
    <s v="Jharkhand"/>
    <s v="Ranchi"/>
    <s v="Furniture"/>
    <s v="Tables"/>
    <s v="Classic Tables 151"/>
    <s v="Same Day"/>
    <n v="3"/>
    <n v="2625.85"/>
    <n v="0"/>
    <s v="OK"/>
    <n v="7877.55"/>
    <n v="5562.77"/>
    <n v="2314.7800000000002"/>
    <s v="Paid"/>
    <s v="Completed"/>
    <n v="0"/>
    <n v="7877.5499999999993"/>
    <n v="2314.7799999999988"/>
    <n v="29.384516759652417"/>
    <n v="3"/>
    <n v="2025"/>
    <s v="CLEAN"/>
  </r>
  <r>
    <s v="ORD-2025-10407"/>
    <d v="2025-02-25T00:00:00"/>
    <d v="2025-02-25T00:00:00"/>
    <n v="0"/>
    <s v="OK"/>
    <s v="CUST-9909"/>
    <s v="Kabir Singh"/>
    <s v="Small Business"/>
    <x v="3"/>
    <s v="Goa"/>
    <s v="Panaji"/>
    <s v="Furniture"/>
    <s v="Furnishings"/>
    <s v="Basic Furnishings 164"/>
    <s v="Standard Class"/>
    <n v="2"/>
    <n v="3924.2"/>
    <n v="0.25"/>
    <s v="OK"/>
    <n v="5886.3"/>
    <n v="3621.76"/>
    <n v="2264.54"/>
    <s v="Pending"/>
    <s v="Returned"/>
    <n v="0.25"/>
    <n v="5886.2999999999993"/>
    <n v="2264.5399999999991"/>
    <n v="38.471365713606161"/>
    <n v="2"/>
    <n v="2025"/>
    <s v="CLEAN"/>
  </r>
  <r>
    <s v="ORD-2025-10417"/>
    <d v="2025-01-08T00:00:00"/>
    <d v="2025-01-16T00:00:00"/>
    <n v="8"/>
    <s v="OK"/>
    <s v="CUST-7608"/>
    <s v="Neha Gupta"/>
    <s v="Consumer"/>
    <x v="2"/>
    <s v="Telangana"/>
    <s v="Hyderabad"/>
    <s v="Furniture"/>
    <s v="Furnishings"/>
    <s v="Smart Furnishings 152"/>
    <s v="First Class"/>
    <n v="8"/>
    <n v="638.95000000000005"/>
    <n v="0.25"/>
    <s v="OK"/>
    <n v="3833.7"/>
    <n v="2886.35"/>
    <n v="947.35"/>
    <s v="Paid"/>
    <s v="Completed"/>
    <n v="0.25"/>
    <n v="3833.7000000000003"/>
    <n v="947.35000000000036"/>
    <n v="24.711114589039319"/>
    <n v="1"/>
    <n v="2025"/>
    <s v="CLEAN"/>
  </r>
  <r>
    <s v="ORD-2025-10418"/>
    <d v="2025-01-29T00:00:00"/>
    <d v="2025-02-05T00:00:00"/>
    <n v="7"/>
    <s v="OK"/>
    <s v="CUST-5269"/>
    <s v="Mira Das"/>
    <s v="Consumer"/>
    <x v="3"/>
    <s v="Gujarat"/>
    <s v="Ahmedabad"/>
    <s v="Office Supplies"/>
    <s v="Art"/>
    <s v="Max Art 736"/>
    <s v="First Class"/>
    <n v="6"/>
    <n v="3863"/>
    <n v="0.2"/>
    <s v="OK"/>
    <n v="18542.400000000001"/>
    <n v="11193.75"/>
    <n v="7348.65"/>
    <s v="Paid"/>
    <s v="Completed"/>
    <n v="0.2"/>
    <n v="18542.400000000001"/>
    <n v="7348.6500000000015"/>
    <n v="39.631601087237904"/>
    <n v="1"/>
    <n v="2025"/>
    <s v="CLEAN"/>
  </r>
  <r>
    <s v="ORD-2025-10420"/>
    <d v="2025-09-26T00:00:00"/>
    <d v="2025-09-30T00:00:00"/>
    <n v="4"/>
    <s v="OK"/>
    <s v="CUST-6552"/>
    <s v="Sneha Kapoor"/>
    <s v="Home Office"/>
    <x v="0"/>
    <s v="Haryana"/>
    <s v="Gurugram"/>
    <s v="Technology"/>
    <s v="Phones"/>
    <s v="Classic Phones 940"/>
    <s v="Same Day"/>
    <n v="2"/>
    <n v="688.83"/>
    <n v="0.05"/>
    <s v="OK"/>
    <n v="1308.78"/>
    <n v="843"/>
    <n v="465.78"/>
    <s v="Paid"/>
    <s v="Completed"/>
    <n v="0.05"/>
    <n v="1308.777"/>
    <n v="465.77700000000004"/>
    <n v="35.588721378813965"/>
    <n v="9"/>
    <n v="2025"/>
    <s v="CLEAN"/>
  </r>
  <r>
    <s v="ORD-2025-10422"/>
    <d v="2025-06-14T00:00:00"/>
    <d v="2025-06-19T00:00:00"/>
    <n v="5"/>
    <s v="OK"/>
    <s v="CUST-2779"/>
    <s v="Rohan Mehta"/>
    <s v="Small Business"/>
    <x v="0"/>
    <s v="Delhi"/>
    <s v="New Delhi"/>
    <s v="Office Supplies"/>
    <s v="Binders"/>
    <s v="Elite Binders 943"/>
    <s v="Same Day"/>
    <n v="3"/>
    <n v="1037.45"/>
    <n v="0.2"/>
    <s v="OK"/>
    <n v="2489.88"/>
    <n v="1707.52"/>
    <n v="782.36"/>
    <s v="Pending"/>
    <s v="Returned"/>
    <n v="0.2"/>
    <n v="2489.8800000000006"/>
    <n v="782.36000000000058"/>
    <n v="31.421594615001542"/>
    <n v="6"/>
    <n v="2025"/>
    <s v="CLEAN"/>
  </r>
  <r>
    <s v="ORD-2025-10423"/>
    <d v="2025-09-03T00:00:00"/>
    <d v="2025-09-06T00:00:00"/>
    <n v="3"/>
    <s v="OK"/>
    <s v="CUST-6077"/>
    <s v="Kabir Singh"/>
    <s v="Consumer"/>
    <x v="3"/>
    <s v="Madhya Pradesh"/>
    <s v="Indore"/>
    <s v="Technology"/>
    <s v="Copiers"/>
    <s v="Elite Copiers 474"/>
    <s v="Same Day"/>
    <n v="7"/>
    <n v="688.85"/>
    <n v="0.15"/>
    <s v="OK"/>
    <n v="4098.66"/>
    <n v="2678.06"/>
    <n v="1420.6"/>
    <s v="Paid"/>
    <s v="Completed"/>
    <n v="0.15"/>
    <n v="4098.6574999999993"/>
    <n v="1420.5974999999994"/>
    <n v="34.660068571233374"/>
    <n v="9"/>
    <n v="2025"/>
    <s v="CLEAN"/>
  </r>
  <r>
    <s v="ORD-2025-10428"/>
    <d v="2025-04-22T00:00:00"/>
    <d v="2025-04-24T00:00:00"/>
    <n v="2"/>
    <s v="OK"/>
    <s v="CUST-8843"/>
    <s v="Isha Nair"/>
    <s v="Corporate"/>
    <x v="4"/>
    <s v="Jharkhand"/>
    <s v="Ranchi"/>
    <s v="Technology"/>
    <s v="Accessories"/>
    <s v="Prime Accessories 419"/>
    <s v="Standard Class"/>
    <n v="9"/>
    <n v="2939.44"/>
    <n v="0"/>
    <s v="OK"/>
    <n v="26454.959999999999"/>
    <n v="17630.25"/>
    <n v="8824.7099999999991"/>
    <s v="Paid"/>
    <s v="Completed"/>
    <n v="0"/>
    <n v="26454.959999999999"/>
    <n v="8824.7099999999991"/>
    <n v="33.35748759400883"/>
    <n v="4"/>
    <n v="2025"/>
    <s v="CLEAN"/>
  </r>
  <r>
    <s v="ORD-2025-10430"/>
    <d v="2025-03-01T00:00:00"/>
    <d v="2025-08-03T00:00:00"/>
    <n v="155"/>
    <s v="OK"/>
    <s v="CUST-8562"/>
    <s v="Neha Gupta"/>
    <s v="Home Office"/>
    <x v="0"/>
    <s v="Rajasthan"/>
    <s v="Jaipur"/>
    <s v="Technology"/>
    <s v="Copiers"/>
    <s v="Prime Copiers 109"/>
    <s v="Same Day"/>
    <n v="8"/>
    <n v="2943.1"/>
    <n v="0.25"/>
    <s v="OK"/>
    <n v="17658.599999999999"/>
    <n v="13842.48"/>
    <n v="3816.12"/>
    <s v="Paid"/>
    <s v="Completed"/>
    <n v="0.25"/>
    <n v="17658.599999999999"/>
    <n v="3816.119999999999"/>
    <n v="21.610546702456588"/>
    <n v="3"/>
    <n v="2025"/>
    <s v="CLEAN"/>
  </r>
  <r>
    <s v="ORD-2025-10435"/>
    <d v="2025-04-11T00:00:00"/>
    <d v="2025-04-15T00:00:00"/>
    <n v="4"/>
    <s v="OK"/>
    <s v="CUST-2351"/>
    <s v="Mira Das"/>
    <s v="Home Office"/>
    <x v="0"/>
    <s v="Uttar Pradesh"/>
    <s v="Noida"/>
    <s v="Technology"/>
    <s v="Accessories"/>
    <s v="Eco Accessories 705"/>
    <s v="Second Class"/>
    <n v="5"/>
    <n v="652.78"/>
    <n v="0"/>
    <s v="OK"/>
    <n v="3263.9"/>
    <n v="2068.44"/>
    <n v="1195.46"/>
    <s v="Paid"/>
    <s v="Completed"/>
    <n v="0"/>
    <n v="3263.8999999999996"/>
    <n v="1195.4599999999996"/>
    <n v="36.626734887711009"/>
    <n v="4"/>
    <n v="2025"/>
    <s v="CLEAN"/>
  </r>
  <r>
    <s v="ORD-2025-10439"/>
    <d v="2025-05-07T00:00:00"/>
    <d v="2025-05-05T00:00:00"/>
    <n v="-2"/>
    <s v="INVALID"/>
    <s v="CUST-7252"/>
    <s v="Neha Gupta"/>
    <s v="Corporate"/>
    <x v="1"/>
    <s v="Jharkhand"/>
    <s v="Ranchi"/>
    <s v="Technology"/>
    <s v="Phones"/>
    <s v="Elite Phones 276"/>
    <s v="Standard Class"/>
    <n v="1"/>
    <n v="2266.4699999999998"/>
    <n v="0.2"/>
    <s v="OK"/>
    <n v="1813.18"/>
    <n v="1363.64"/>
    <n v="449.54"/>
    <s v="Paid"/>
    <s v="Completed"/>
    <n v="0.2"/>
    <n v="1813.1759999999999"/>
    <n v="449.53599999999983"/>
    <n v="24.792739370033566"/>
    <n v="5"/>
    <n v="2025"/>
    <s v="INVALID"/>
  </r>
  <r>
    <s v="ORD-2025-10443"/>
    <d v="2025-01-12T00:00:00"/>
    <d v="2025-01-19T00:00:00"/>
    <n v="7"/>
    <s v="OK"/>
    <s v="CUST-6588"/>
    <s v="Aarav Sharma"/>
    <s v="Consumer"/>
    <x v="1"/>
    <s v="Jharkhand"/>
    <s v="Ranchi"/>
    <s v="Furniture"/>
    <s v="Tables"/>
    <s v="Prime Tables 242"/>
    <s v="First Class"/>
    <n v="1"/>
    <n v="1842.31"/>
    <n v="0"/>
    <s v="OK"/>
    <n v="1842.31"/>
    <n v="1019.17"/>
    <n v="823.14"/>
    <s v="Paid"/>
    <s v="Completed"/>
    <n v="0"/>
    <n v="1842.31"/>
    <n v="823.14"/>
    <n v="44.679777019068453"/>
    <n v="1"/>
    <n v="2025"/>
    <s v="CLEAN"/>
  </r>
  <r>
    <s v="ORD-2025-10445"/>
    <d v="2025-08-12T00:00:00"/>
    <d v="2025-08-16T00:00:00"/>
    <n v="4"/>
    <s v="OK"/>
    <s v="CUST-4475"/>
    <s v="Ananya Rao"/>
    <s v="Consumer"/>
    <x v="1"/>
    <s v="Assam"/>
    <s v="Guwahati"/>
    <s v="Technology"/>
    <s v="Accessories"/>
    <s v="Prime Accessories 482"/>
    <s v="Same Day"/>
    <n v="9"/>
    <n v="2379.2399999999998"/>
    <n v="0.05"/>
    <s v="OK"/>
    <n v="20342.5"/>
    <n v="12407.51"/>
    <n v="7934.99"/>
    <s v="Paid"/>
    <s v="Completed"/>
    <n v="0.05"/>
    <n v="20342.501999999997"/>
    <n v="7934.9919999999966"/>
    <n v="39.00696187715748"/>
    <n v="8"/>
    <n v="2025"/>
    <s v="CLEAN"/>
  </r>
  <r>
    <s v="ORD-2025-10447"/>
    <d v="2025-09-18T00:00:00"/>
    <d v="2025-09-19T00:00:00"/>
    <n v="1"/>
    <s v="OK"/>
    <s v="CUST-9295"/>
    <s v="Sneha Kapoor"/>
    <s v="Home Office"/>
    <x v="2"/>
    <s v="Andhra Pradesh"/>
    <s v="Vijayawada"/>
    <s v="Office Supplies"/>
    <s v="Storage"/>
    <s v="Eco Storage 793"/>
    <s v="Same Day"/>
    <n v="8"/>
    <n v="4242.51"/>
    <n v="0"/>
    <s v="OK"/>
    <n v="33940.080000000002"/>
    <n v="23754.19"/>
    <n v="10185.89"/>
    <s v="Paid"/>
    <s v="Completed"/>
    <n v="0"/>
    <n v="33940.080000000002"/>
    <n v="10185.890000000003"/>
    <n v="30.011390662603045"/>
    <n v="9"/>
    <n v="2025"/>
    <s v="CLEAN"/>
  </r>
  <r>
    <s v="ORD-2025-10448"/>
    <d v="2025-10-08T00:00:00"/>
    <d v="2025-08-10T00:00:00"/>
    <n v="-59"/>
    <s v="INVALID"/>
    <s v="CUST-3614"/>
    <s v="Rohan Mehta"/>
    <s v="Home Office"/>
    <x v="2"/>
    <s v="Telangana"/>
    <s v="Hyderabad"/>
    <s v="Furniture"/>
    <s v="Bookcases"/>
    <s v="Basic Bookcases 182"/>
    <s v="Standard Class"/>
    <n v="6"/>
    <n v="4288.7"/>
    <n v="0.15"/>
    <s v="OK"/>
    <n v="21872.37"/>
    <n v="13829.5"/>
    <n v="8042.87"/>
    <s v="Pending"/>
    <s v="Returned"/>
    <n v="0.15"/>
    <n v="21872.369999999995"/>
    <n v="8042.8699999999953"/>
    <n v="36.771826738483284"/>
    <n v="10"/>
    <n v="2025"/>
    <s v="INVALID"/>
  </r>
  <r>
    <s v="ORD-2025-10451"/>
    <d v="2025-06-12T00:00:00"/>
    <d v="2025-06-19T00:00:00"/>
    <n v="7"/>
    <s v="OK"/>
    <s v="CUST-8672"/>
    <s v="Ananya Rao"/>
    <s v="Corporate"/>
    <x v="0"/>
    <s v="Delhi"/>
    <s v="New Delhi"/>
    <s v="Furniture"/>
    <s v="Chairs"/>
    <s v="Pro Chairs 302"/>
    <s v="Standard Class"/>
    <n v="9"/>
    <n v="2278.5700000000002"/>
    <n v="0.25"/>
    <s v="OK"/>
    <n v="15380.35"/>
    <n v="9907.3700000000008"/>
    <n v="5472.98"/>
    <s v="Paid"/>
    <s v="Completed"/>
    <n v="0.25"/>
    <n v="15380.3475"/>
    <n v="5472.9774999999991"/>
    <n v="35.584225258889624"/>
    <n v="6"/>
    <n v="2025"/>
    <s v="CLEAN"/>
  </r>
  <r>
    <s v="ORD-2025-10454"/>
    <d v="2025-05-03T00:00:00"/>
    <d v="2025-05-11T00:00:00"/>
    <n v="8"/>
    <s v="OK"/>
    <s v="CUST-2317"/>
    <s v="Rohan Mehta"/>
    <s v="Small Business"/>
    <x v="3"/>
    <s v="Madhya Pradesh"/>
    <s v="Indore"/>
    <s v="Office Supplies"/>
    <s v="Labels"/>
    <s v="Elite Labels 322"/>
    <s v="Same Day"/>
    <n v="5"/>
    <n v="1483.52"/>
    <n v="0"/>
    <s v="OK"/>
    <n v="7417.6"/>
    <n v="4955.8599999999997"/>
    <n v="2461.7399999999998"/>
    <s v="Paid"/>
    <s v="Completed"/>
    <n v="0"/>
    <n v="7417.6"/>
    <n v="2461.7400000000007"/>
    <n v="33.187823554788622"/>
    <n v="5"/>
    <n v="2025"/>
    <s v="CLEAN"/>
  </r>
  <r>
    <s v="ORD-2025-10455"/>
    <d v="2025-03-23T00:00:00"/>
    <d v="2025-03-28T00:00:00"/>
    <n v="5"/>
    <s v="OK"/>
    <s v="CUST-8643"/>
    <s v="Vikram Iyer"/>
    <s v="Small Business"/>
    <x v="0"/>
    <s v="Rajasthan"/>
    <s v="Jaipur"/>
    <s v="Furniture"/>
    <s v="Furnishings"/>
    <s v="Max Furnishings 821"/>
    <s v="Standard Class"/>
    <n v="9"/>
    <n v="3298"/>
    <n v="0.15"/>
    <s v="OK"/>
    <n v="25229.7"/>
    <n v="20170.43"/>
    <n v="5059.2700000000004"/>
    <s v="Paid"/>
    <s v="Completed"/>
    <n v="0.15"/>
    <n v="25229.7"/>
    <n v="5059.2700000000004"/>
    <n v="20.052834556098567"/>
    <n v="3"/>
    <n v="2025"/>
    <s v="CLEAN"/>
  </r>
  <r>
    <s v="ORD-2025-10461"/>
    <d v="2025-09-30T00:00:00"/>
    <d v="2025-10-06T00:00:00"/>
    <n v="6"/>
    <s v="OK"/>
    <s v="CUST-5551"/>
    <s v="Aarav Sharma"/>
    <s v="Corporate"/>
    <x v="4"/>
    <s v="Rajasthan"/>
    <s v="Jaipur"/>
    <s v="Technology"/>
    <s v="Copiers"/>
    <s v="Eco Copiers 603"/>
    <s v="Second Class"/>
    <n v="9"/>
    <n v="1359.88"/>
    <n v="0.05"/>
    <s v="OK"/>
    <n v="11626.97"/>
    <n v="7394.07"/>
    <n v="4232.8999999999996"/>
    <s v="Paid"/>
    <s v="Completed"/>
    <n v="0.05"/>
    <n v="11626.974000000002"/>
    <n v="4232.9040000000023"/>
    <n v="36.405895463428415"/>
    <n v="9"/>
    <n v="2025"/>
    <s v="CLEAN"/>
  </r>
  <r>
    <s v="ORD-2025-10462"/>
    <d v="2025-05-25T00:00:00"/>
    <d v="2025-05-26T00:00:00"/>
    <n v="1"/>
    <s v="OK"/>
    <s v="CUST-3659"/>
    <s v="Neha Gupta"/>
    <s v="Corporate"/>
    <x v="2"/>
    <s v="Andhra Pradesh"/>
    <s v="Vijayawada"/>
    <s v="Office Supplies"/>
    <s v="Paper"/>
    <s v="Max Paper 700"/>
    <s v="Standard Class"/>
    <n v="3"/>
    <n v="3378.15"/>
    <n v="0.15"/>
    <s v="OK"/>
    <n v="8614.2800000000007"/>
    <n v="7052.08"/>
    <n v="1562.2"/>
    <s v="Paid"/>
    <s v="Completed"/>
    <n v="0.15"/>
    <n v="8614.2825000000012"/>
    <n v="1562.2025000000012"/>
    <n v="18.135027496486224"/>
    <n v="5"/>
    <n v="2025"/>
    <s v="CLEAN"/>
  </r>
  <r>
    <s v="ORD-2025-10464"/>
    <d v="2025-07-02T00:00:00"/>
    <d v="2025-02-08T00:00:00"/>
    <n v="-144"/>
    <s v="INVALID"/>
    <s v="CUST-2626"/>
    <s v="Arjun Bose"/>
    <s v="Corporate"/>
    <x v="3"/>
    <s v="Madhya Pradesh"/>
    <s v="Indore"/>
    <s v="Technology"/>
    <s v="Phones"/>
    <s v="Eco Phones 208"/>
    <s v="Standard Class"/>
    <n v="4"/>
    <n v="889.5"/>
    <n v="0.2"/>
    <s v="OK"/>
    <n v="2846.4"/>
    <n v="2132.37"/>
    <n v="714.03"/>
    <s v="Paid"/>
    <s v="Completed"/>
    <n v="0.2"/>
    <n v="2846.4"/>
    <n v="714.0300000000002"/>
    <n v="25.085370994940988"/>
    <n v="7"/>
    <n v="2025"/>
    <s v="INVALID"/>
  </r>
  <r>
    <s v="ORD-2025-10469"/>
    <d v="2025-01-09T00:00:00"/>
    <d v="2025-01-07T00:00:00"/>
    <n v="-2"/>
    <s v="INVALID"/>
    <s v="CUST-4176"/>
    <s v="Aarav Sharma"/>
    <s v="Home Office"/>
    <x v="1"/>
    <s v="West Bengal"/>
    <s v="Kolkata"/>
    <s v="Office Supplies"/>
    <s v="Binders"/>
    <s v="Pro Binders 555"/>
    <s v="Second Class"/>
    <n v="3"/>
    <n v="2188.33"/>
    <n v="0"/>
    <s v="OK"/>
    <n v="6564.99"/>
    <n v="5407.24"/>
    <n v="1157.75"/>
    <s v="Paid"/>
    <s v="Completed"/>
    <n v="0"/>
    <n v="6564.99"/>
    <n v="1157.75"/>
    <n v="17.635213458055535"/>
    <n v="1"/>
    <n v="2025"/>
    <s v="INVALID"/>
  </r>
  <r>
    <s v="ORD-2025-10476"/>
    <d v="2025-03-01T00:00:00"/>
    <d v="2025-03-08T00:00:00"/>
    <n v="7"/>
    <s v="OK"/>
    <s v="CUST-5712"/>
    <s v="Vikram Iyer"/>
    <s v="Consumer"/>
    <x v="1"/>
    <s v="West Bengal"/>
    <s v="Kolkata"/>
    <s v="Furniture"/>
    <s v="Chairs"/>
    <s v="Eco Chairs 365"/>
    <s v="Same Day"/>
    <n v="8"/>
    <n v="3378.82"/>
    <n v="0.25"/>
    <s v="OK"/>
    <n v="20272.919999999998"/>
    <n v="15873.38"/>
    <n v="4399.54"/>
    <s v="Pending"/>
    <s v="Returned"/>
    <n v="0.25"/>
    <n v="20272.920000000002"/>
    <n v="4399.5400000000027"/>
    <n v="21.701560505344087"/>
    <n v="3"/>
    <n v="2025"/>
    <s v="CLEAN"/>
  </r>
  <r>
    <s v="ORD-2025-10481"/>
    <d v="2025-01-05T00:00:00"/>
    <d v="2025-01-09T00:00:00"/>
    <n v="4"/>
    <s v="OK"/>
    <s v="CUST-9947"/>
    <s v="Neha Gupta"/>
    <s v="Small Business"/>
    <x v="2"/>
    <s v="Tamil Nadu"/>
    <s v="Chennai"/>
    <s v="Office Supplies"/>
    <s v="Storage"/>
    <s v="Eco Storage 923"/>
    <s v="Unknown"/>
    <n v="5"/>
    <n v="905.16"/>
    <n v="0"/>
    <s v="OK"/>
    <n v="4525.8"/>
    <n v="2714.51"/>
    <n v="1811.29"/>
    <s v="Paid"/>
    <s v="Completed"/>
    <n v="0"/>
    <n v="4525.8"/>
    <n v="1811.29"/>
    <n v="40.021432674886206"/>
    <n v="1"/>
    <n v="2025"/>
    <s v="CLEAN"/>
  </r>
  <r>
    <s v="ORD-2025-10482"/>
    <d v="2025-06-05T00:00:00"/>
    <d v="2025-06-13T00:00:00"/>
    <n v="8"/>
    <s v="OK"/>
    <s v="CUST-4403"/>
    <s v="Isha Nair"/>
    <s v="Consumer"/>
    <x v="0"/>
    <s v="Uttar Pradesh"/>
    <s v="Noida"/>
    <s v="Technology"/>
    <s v="Machines"/>
    <s v="Classic Machines 287"/>
    <s v="Same Day"/>
    <n v="4"/>
    <n v="2793.88"/>
    <s v="85%"/>
    <s v="INVALID"/>
    <n v="10616.74"/>
    <n v="6353.59"/>
    <n v="4263.1499999999996"/>
    <s v="Paid"/>
    <s v="Completed"/>
    <n v="0"/>
    <n v="11175.52"/>
    <n v="4821.93"/>
    <n v="43.147253998024254"/>
    <n v="6"/>
    <n v="2025"/>
    <s v="INVALID"/>
  </r>
  <r>
    <s v="ORD-2025-10486"/>
    <d v="2025-01-22T00:00:00"/>
    <d v="2025-01-23T00:00:00"/>
    <n v="1"/>
    <s v="OK"/>
    <s v="CUST-1594"/>
    <s v="Rahul Verma"/>
    <s v="Corporate"/>
    <x v="3"/>
    <s v="Goa"/>
    <s v="Panaji"/>
    <s v="Furniture"/>
    <s v="Bookcases"/>
    <s v="Elite Bookcases 802"/>
    <s v="Standard Class"/>
    <n v="4"/>
    <n v="2555.19"/>
    <n v="0.25"/>
    <s v="OK"/>
    <n v="7665.57"/>
    <n v="5595.6"/>
    <n v="2069.9699999999998"/>
    <s v="Paid"/>
    <s v="Completed"/>
    <n v="0.25"/>
    <n v="7665.57"/>
    <n v="2069.9699999999993"/>
    <n v="27.003471366121495"/>
    <n v="1"/>
    <n v="2025"/>
    <s v="CLEAN"/>
  </r>
  <r>
    <s v="ORD-2025-10487"/>
    <d v="2025-06-22T00:00:00"/>
    <d v="2025-06-26T00:00:00"/>
    <n v="4"/>
    <s v="OK"/>
    <s v="CUST-8132"/>
    <s v="Rahul Verma"/>
    <s v="Corporate"/>
    <x v="3"/>
    <s v="Goa"/>
    <s v="Panaji"/>
    <s v="Furniture"/>
    <s v="Tables"/>
    <s v="Pro Tables 257"/>
    <s v="Standard Class"/>
    <n v="3"/>
    <n v="1946.18"/>
    <n v="0.2"/>
    <s v="OK"/>
    <n v="4670.83"/>
    <n v="3166.49"/>
    <n v="1504.34"/>
    <s v="Paid"/>
    <s v="Completed"/>
    <n v="0.2"/>
    <n v="4670.8320000000003"/>
    <n v="1504.3420000000006"/>
    <n v="32.207152815601169"/>
    <n v="6"/>
    <n v="2025"/>
    <s v="CLEAN"/>
  </r>
  <r>
    <s v="ORD-2025-10492"/>
    <d v="2025-04-29T00:00:00"/>
    <d v="2025-04-30T00:00:00"/>
    <n v="1"/>
    <s v="OK"/>
    <s v="CUST-4101"/>
    <s v="Mira Das"/>
    <s v="Corporate"/>
    <x v="2"/>
    <s v="Kerala"/>
    <s v="Kochi"/>
    <s v="Technology"/>
    <s v="Accessories"/>
    <s v="Prime Accessories 118"/>
    <s v="Standard Class"/>
    <n v="4"/>
    <n v="606.58000000000004"/>
    <n v="0.2"/>
    <s v="OK"/>
    <n v="1941.06"/>
    <n v="1207.42"/>
    <n v="733.64"/>
    <s v="Paid"/>
    <s v="Completed"/>
    <n v="0.2"/>
    <n v="1941.0560000000003"/>
    <n v="733.63600000000019"/>
    <n v="37.795715321969077"/>
    <n v="4"/>
    <n v="2025"/>
    <s v="CLEAN"/>
  </r>
  <r>
    <s v="ORD-2025-10493"/>
    <d v="2025-06-28T00:00:00"/>
    <d v="2025-07-02T00:00:00"/>
    <n v="4"/>
    <s v="OK"/>
    <s v="CUST-4679"/>
    <s v="Ananya Rao"/>
    <s v="Corporate"/>
    <x v="2"/>
    <s v="Andhra Pradesh"/>
    <s v="Vijayawada"/>
    <s v="Office Supplies"/>
    <s v="Storage"/>
    <s v="Elite Storage 331"/>
    <s v="Second Class"/>
    <n v="2"/>
    <n v="2725.44"/>
    <n v="0.25"/>
    <s v="OK"/>
    <n v="4088.16"/>
    <n v="3205.68"/>
    <n v="882.48"/>
    <s v="Paid"/>
    <s v="Completed"/>
    <n v="0.25"/>
    <n v="4088.16"/>
    <n v="882.48"/>
    <n v="21.586239286133615"/>
    <n v="6"/>
    <n v="2025"/>
    <s v="CLEAN"/>
  </r>
  <r>
    <s v="ORD-2025-10494"/>
    <d v="2025-02-13T00:00:00"/>
    <d v="2025-02-13T00:00:00"/>
    <n v="0"/>
    <s v="OK"/>
    <s v="CUST-3765"/>
    <s v="Kabir Singh"/>
    <s v="Corporate"/>
    <x v="1"/>
    <s v="Odisha"/>
    <s v="Bhubaneswar"/>
    <s v="Office Supplies"/>
    <s v="Paper"/>
    <s v="Prime Paper 996"/>
    <s v="Second Class"/>
    <n v="7"/>
    <n v="2296.6999999999998"/>
    <n v="0.05"/>
    <s v="OK"/>
    <n v="15273.05"/>
    <n v="11088.76"/>
    <n v="4184.29"/>
    <s v="Paid"/>
    <s v="Completed"/>
    <n v="0.05"/>
    <n v="15273.054999999997"/>
    <n v="4184.2949999999964"/>
    <n v="27.396581757873573"/>
    <n v="2"/>
    <n v="2025"/>
    <s v="CLEAN"/>
  </r>
  <r>
    <s v="ORD-2025-10497"/>
    <d v="2025-07-04T00:00:00"/>
    <d v="2025-07-06T00:00:00"/>
    <n v="2"/>
    <s v="OK"/>
    <s v="CUST-2038"/>
    <s v="Kabir Singh"/>
    <s v="Small Business"/>
    <x v="1"/>
    <s v="Jharkhand"/>
    <s v="Ranchi"/>
    <s v="Furniture"/>
    <s v="Chairs"/>
    <s v="Eco Chairs 795"/>
    <s v="Second Class"/>
    <n v="2"/>
    <n v="3686.42"/>
    <n v="0.1"/>
    <s v="OK"/>
    <n v="6635.56"/>
    <n v="3652.91"/>
    <n v="2982.65"/>
    <s v="Paid"/>
    <s v="Completed"/>
    <n v="0.1"/>
    <n v="6635.5560000000005"/>
    <n v="2982.6460000000006"/>
    <n v="44.94945110854313"/>
    <n v="7"/>
    <n v="2025"/>
    <s v="CLEAN"/>
  </r>
  <r>
    <s v="ORD-2025-10505"/>
    <d v="2025-02-12T00:00:00"/>
    <d v="2025-02-17T00:00:00"/>
    <n v="5"/>
    <s v="OK"/>
    <s v="CUST-9693"/>
    <s v="Arjun Bose"/>
    <s v="Corporate"/>
    <x v="3"/>
    <s v="Gujarat"/>
    <s v="Ahmedabad"/>
    <s v="Office Supplies"/>
    <s v="Art"/>
    <s v="Elite Art 553"/>
    <s v="Standard Class"/>
    <n v="4"/>
    <n v="4328.12"/>
    <n v="0"/>
    <s v="OK"/>
    <n v="17312.48"/>
    <n v="14424.22"/>
    <n v="2888.26"/>
    <s v="Paid"/>
    <s v="Completed"/>
    <n v="0"/>
    <n v="17312.48"/>
    <n v="2888.26"/>
    <n v="16.683109525613894"/>
    <n v="2"/>
    <n v="2025"/>
    <s v="CLEAN"/>
  </r>
  <r>
    <s v="ORD-2025-10508"/>
    <d v="2025-04-15T00:00:00"/>
    <d v="2025-04-22T00:00:00"/>
    <n v="7"/>
    <s v="OK"/>
    <s v="CUST-1826"/>
    <s v="Isha Nair"/>
    <s v="Small Business"/>
    <x v="0"/>
    <s v="Haryana"/>
    <s v="Gurugram"/>
    <s v="Office Supplies"/>
    <s v="Binders"/>
    <s v="Classic Binders 602"/>
    <s v="Same Day"/>
    <n v="4"/>
    <n v="2990.42"/>
    <n v="0.25"/>
    <s v="OK"/>
    <n v="8971.26"/>
    <n v="6814.35"/>
    <n v="2156.91"/>
    <s v="Paid"/>
    <s v="Completed"/>
    <n v="0.25"/>
    <n v="8971.26"/>
    <n v="2156.91"/>
    <n v="24.042442198754689"/>
    <n v="4"/>
    <n v="2025"/>
    <s v="CLEAN"/>
  </r>
  <r>
    <s v="ORD-2025-10510"/>
    <d v="2025-05-12T00:00:00"/>
    <d v="2025-05-14T00:00:00"/>
    <n v="2"/>
    <s v="OK"/>
    <s v="CUST-7901"/>
    <s v="Neha Gupta"/>
    <s v="Consumer"/>
    <x v="3"/>
    <s v="Gujarat"/>
    <s v="Ahmedabad"/>
    <s v="Technology"/>
    <s v="Machines"/>
    <s v="Classic Machines 599"/>
    <s v="Same Day"/>
    <n v="8"/>
    <n v="3631.44"/>
    <n v="0.2"/>
    <s v="OK"/>
    <n v="23241.22"/>
    <n v="17220.900000000001"/>
    <n v="6020.32"/>
    <s v="Paid"/>
    <s v="Completed"/>
    <n v="0.2"/>
    <n v="23241.216"/>
    <n v="6020.3159999999989"/>
    <n v="25.903618812371949"/>
    <n v="5"/>
    <n v="2025"/>
    <s v="CLEAN"/>
  </r>
  <r>
    <s v="ORD-2025-10513"/>
    <d v="2025-03-02T00:00:00"/>
    <d v="2025-03-03T00:00:00"/>
    <n v="1"/>
    <s v="OK"/>
    <s v="CUST-9943"/>
    <s v="Isha Nair"/>
    <s v="Corporate"/>
    <x v="2"/>
    <s v="Kerala"/>
    <s v="Kochi"/>
    <s v="Office Supplies"/>
    <s v="Labels"/>
    <s v="Pro Labels 849"/>
    <s v="Second Class"/>
    <n v="2"/>
    <n v="4031.45"/>
    <n v="0.25"/>
    <s v="OK"/>
    <n v="6047.17"/>
    <n v="3368.79"/>
    <n v="2678.38"/>
    <s v="Paid"/>
    <s v="Completed"/>
    <n v="0.25"/>
    <n v="6047.1749999999993"/>
    <n v="2678.3849999999993"/>
    <n v="44.291508018206841"/>
    <n v="3"/>
    <n v="2025"/>
    <s v="CLEAN"/>
  </r>
  <r>
    <s v="ORD-2025-10514"/>
    <d v="2025-06-27T00:00:00"/>
    <d v="2025-07-02T00:00:00"/>
    <n v="5"/>
    <s v="OK"/>
    <s v="CUST-8993"/>
    <s v="Aarav Sharma"/>
    <s v="Corporate"/>
    <x v="2"/>
    <s v="Kerala"/>
    <s v="Kochi"/>
    <s v="Technology"/>
    <s v="Accessories"/>
    <s v="Prime Accessories 849"/>
    <s v="First Class"/>
    <n v="6"/>
    <n v="1099.49"/>
    <n v="0.1"/>
    <s v="OK"/>
    <n v="6212.38"/>
    <n v="4088.46"/>
    <n v="1848.79"/>
    <s v="Paid"/>
    <s v="Completed"/>
    <n v="0.1"/>
    <n v="5937.246000000001"/>
    <n v="1848.786000000001"/>
    <n v="31.138780505304997"/>
    <n v="6"/>
    <n v="2025"/>
    <s v="CLEAN"/>
  </r>
  <r>
    <s v="ORD-2025-10516"/>
    <d v="2025-04-11T00:00:00"/>
    <d v="2025-04-11T00:00:00"/>
    <n v="0"/>
    <s v="OK"/>
    <s v="CUST-9986"/>
    <s v="Rahul Verma"/>
    <s v="Corporate"/>
    <x v="0"/>
    <s v="Delhi"/>
    <s v="New Delhi"/>
    <s v="Office Supplies"/>
    <s v="Paper"/>
    <s v="Classic Paper 752"/>
    <s v="Standard Class"/>
    <n v="1"/>
    <n v="4458.49"/>
    <n v="-7.0000000000000007E-2"/>
    <s v="INVALID"/>
    <n v="3566.79"/>
    <n v="2083.41"/>
    <n v="1483.38"/>
    <s v="Paid"/>
    <s v="Completed"/>
    <n v="0"/>
    <n v="4458.49"/>
    <n v="2375.08"/>
    <n v="53.270950478749533"/>
    <n v="4"/>
    <n v="2025"/>
    <s v="INVALID"/>
  </r>
  <r>
    <s v="ORD-2025-10522"/>
    <d v="2025-03-25T00:00:00"/>
    <d v="2025-04-01T00:00:00"/>
    <n v="7"/>
    <s v="OK"/>
    <s v="CUST-8012"/>
    <s v="Diya Patel"/>
    <s v="Consumer"/>
    <x v="0"/>
    <s v="Punjab"/>
    <s v="Ludhiana"/>
    <s v="Office Supplies"/>
    <s v="Labels"/>
    <s v="Classic Labels 776"/>
    <s v="Second Class"/>
    <n v="6"/>
    <n v="2192.11"/>
    <n v="0.05"/>
    <s v="OK"/>
    <n v="12495.03"/>
    <n v="9184.52"/>
    <n v="3310.51"/>
    <s v="Paid"/>
    <s v="Completed"/>
    <n v="0.05"/>
    <n v="12495.027"/>
    <n v="3310.5069999999996"/>
    <n v="26.494596610315448"/>
    <n v="3"/>
    <n v="2025"/>
    <s v="CLEAN"/>
  </r>
  <r>
    <s v="ORD-2025-10523"/>
    <d v="2025-02-28T00:00:00"/>
    <d v="2025-03-08T00:00:00"/>
    <n v="8"/>
    <s v="OK"/>
    <s v="CUST-2917"/>
    <s v="Neha Gupta"/>
    <s v="Small Business"/>
    <x v="1"/>
    <s v="Jharkhand"/>
    <s v="Ranchi"/>
    <s v="Technology"/>
    <s v="Phones"/>
    <s v="Max Phones 612"/>
    <s v="First Class"/>
    <n v="9"/>
    <n v="3670.54"/>
    <n v="0"/>
    <s v="OK"/>
    <n v="33034.86"/>
    <n v="24539.83"/>
    <n v="8495.0300000000007"/>
    <s v="Paid"/>
    <s v="Completed"/>
    <n v="0"/>
    <n v="33034.86"/>
    <n v="8495.0299999999988"/>
    <n v="25.715350390466305"/>
    <n v="2"/>
    <n v="2025"/>
    <s v="CLEAN"/>
  </r>
  <r>
    <s v="ORD-2025-10527"/>
    <d v="2025-07-18T00:00:00"/>
    <d v="2025-07-21T00:00:00"/>
    <n v="3"/>
    <s v="OK"/>
    <s v="CUST-7198"/>
    <s v="Priya Menon"/>
    <s v="Consumer"/>
    <x v="1"/>
    <s v="Odisha"/>
    <s v="Bhubaneswar"/>
    <s v="Furniture"/>
    <s v="Tables"/>
    <s v="Elite Tables 815"/>
    <s v="Second Class"/>
    <n v="4"/>
    <n v="284.04000000000002"/>
    <n v="0"/>
    <s v="OK"/>
    <n v="908.93"/>
    <n v="572.08000000000004"/>
    <n v="336.85"/>
    <s v="Paid"/>
    <s v="Completed"/>
    <n v="0"/>
    <n v="1136.1600000000001"/>
    <n v="564.08000000000004"/>
    <n v="49.647936910294327"/>
    <n v="7"/>
    <n v="2025"/>
    <s v="CLEAN"/>
  </r>
  <r>
    <s v="ORD-2025-10528"/>
    <d v="2025-01-10T00:00:00"/>
    <d v="2025-10-05T00:00:00"/>
    <n v="268"/>
    <s v="OK"/>
    <s v="CUST-3419"/>
    <s v="Aditi Sen"/>
    <s v="Home Office"/>
    <x v="0"/>
    <s v="Haryana"/>
    <s v="Gurugram"/>
    <s v="Office Supplies"/>
    <s v="Paper"/>
    <s v="Basic Paper 388"/>
    <s v="First Class"/>
    <n v="5"/>
    <n v="3247.56"/>
    <n v="0.15"/>
    <s v="OK"/>
    <n v="13802.13"/>
    <n v="10075.93"/>
    <n v="3726.2"/>
    <s v="Paid"/>
    <s v="Completed"/>
    <n v="0.15"/>
    <n v="13802.13"/>
    <n v="3726.1999999999989"/>
    <n v="26.997282303528507"/>
    <n v="1"/>
    <n v="2025"/>
    <s v="CLEAN"/>
  </r>
  <r>
    <s v="ORD-2025-10531"/>
    <d v="2025-05-30T00:00:00"/>
    <d v="2025-06-01T00:00:00"/>
    <n v="2"/>
    <s v="OK"/>
    <s v="CUST-8177"/>
    <s v="Rahul Verma"/>
    <s v="Home Office"/>
    <x v="2"/>
    <s v="Tamil Nadu"/>
    <s v="Chennai"/>
    <s v="Office Supplies"/>
    <s v="Binders"/>
    <s v="Eco Binders 352"/>
    <s v="Standard Class"/>
    <n v="9"/>
    <n v="1994.51"/>
    <n v="0.05"/>
    <s v="OK"/>
    <n v="17053.060000000001"/>
    <n v="10742.38"/>
    <n v="6310.68"/>
    <s v="Paid"/>
    <s v="Completed"/>
    <n v="0.05"/>
    <n v="17053.0605"/>
    <n v="6310.6805000000004"/>
    <n v="37.00614619880109"/>
    <n v="5"/>
    <n v="2025"/>
    <s v="CLEAN"/>
  </r>
  <r>
    <s v="ORD-2025-10535"/>
    <d v="2025-04-27T00:00:00"/>
    <d v="2025-05-05T00:00:00"/>
    <n v="8"/>
    <s v="OK"/>
    <s v="CUST-8204"/>
    <s v="Rohan Mehta"/>
    <s v="Home Office"/>
    <x v="1"/>
    <s v="Bihar"/>
    <s v="Patna"/>
    <s v="Technology"/>
    <s v="Accessories"/>
    <s v="Classic Accessories 325"/>
    <s v="Second Class"/>
    <n v="4"/>
    <n v="3963.39"/>
    <n v="0.1"/>
    <s v="OK"/>
    <n v="14268.2"/>
    <n v="11705.3"/>
    <n v="2562.9"/>
    <s v="Pending"/>
    <s v="Returned"/>
    <n v="0.1"/>
    <n v="14268.204"/>
    <n v="2562.9040000000005"/>
    <n v="17.962344805274725"/>
    <n v="4"/>
    <n v="2025"/>
    <s v="CLEAN"/>
  </r>
  <r>
    <s v="ORD-2025-10542"/>
    <d v="2025-08-07T00:00:00"/>
    <d v="2025-07-09T00:00:00"/>
    <n v="-29"/>
    <s v="INVALID"/>
    <s v="CUST-4188"/>
    <s v="Sneha Kapoor"/>
    <s v="Consumer"/>
    <x v="3"/>
    <s v="Maharashtra"/>
    <s v="Mumbai"/>
    <s v="Technology"/>
    <s v="Copiers"/>
    <s v="Elite Copiers 831"/>
    <s v="Same Day"/>
    <n v="3"/>
    <n v="2880.56"/>
    <n v="0"/>
    <s v="OK"/>
    <n v="8641.68"/>
    <n v="5747.09"/>
    <n v="2894.59"/>
    <s v="Paid"/>
    <s v="Returned"/>
    <n v="0"/>
    <n v="8641.68"/>
    <n v="2894.59"/>
    <n v="33.49568602401385"/>
    <n v="8"/>
    <n v="2025"/>
    <s v="INVALID"/>
  </r>
  <r>
    <s v="ORD-2025-10547"/>
    <d v="2025-08-14T00:00:00"/>
    <d v="2025-08-22T00:00:00"/>
    <n v="8"/>
    <s v="OK"/>
    <s v="CUST-8157"/>
    <s v="Arjun Bose"/>
    <s v="Corporate"/>
    <x v="3"/>
    <s v="Gujarat"/>
    <s v="Ahmedabad"/>
    <s v="Office Supplies"/>
    <s v="Paper"/>
    <s v="Prime Paper 143"/>
    <s v="First Class"/>
    <n v="5"/>
    <n v="2567.37"/>
    <n v="0.15"/>
    <s v="OK"/>
    <n v="10911.32"/>
    <n v="6966.44"/>
    <n v="4395.17"/>
    <s v="Paid"/>
    <s v="Completed"/>
    <n v="0.15"/>
    <n v="10911.322499999998"/>
    <n v="3944.8824999999988"/>
    <n v="36.154027158486052"/>
    <n v="8"/>
    <n v="2025"/>
    <s v="CLEAN"/>
  </r>
  <r>
    <s v="ORD-2025-10550"/>
    <d v="2025-10-11T00:00:00"/>
    <d v="2025-10-13T00:00:00"/>
    <n v="2"/>
    <s v="OK"/>
    <s v="CUST-6028"/>
    <s v="Mira Das"/>
    <s v="Corporate"/>
    <x v="2"/>
    <s v="Telangana"/>
    <s v="Hyderabad"/>
    <s v="Office Supplies"/>
    <s v="Art"/>
    <s v="Pro Art 287"/>
    <s v="Second Class"/>
    <n v="3"/>
    <n v="3804.27"/>
    <n v="0.1"/>
    <s v="OK"/>
    <n v="10271.530000000001"/>
    <n v="8272.24"/>
    <n v="1999.29"/>
    <s v="Paid"/>
    <s v="Completed"/>
    <n v="0.1"/>
    <n v="10271.529"/>
    <n v="1999.2890000000007"/>
    <n v="19.464375751652948"/>
    <n v="10"/>
    <n v="2025"/>
    <s v="CLEAN"/>
  </r>
  <r>
    <s v="ORD-2025-10553"/>
    <d v="2025-01-24T00:00:00"/>
    <d v="2025-01-30T00:00:00"/>
    <n v="6"/>
    <s v="OK"/>
    <s v="CUST-8861"/>
    <s v="Ananya Rao"/>
    <s v="Corporate"/>
    <x v="1"/>
    <s v="West Bengal"/>
    <s v="Kolkata"/>
    <s v="Technology"/>
    <s v="Copiers"/>
    <s v="Pro Copiers 246"/>
    <s v="Standard Class"/>
    <n v="8"/>
    <n v="312.52999999999997"/>
    <s v="70%"/>
    <s v="INVALID"/>
    <n v="1875.18"/>
    <n v="1579.17"/>
    <n v="296.01"/>
    <s v="Paid"/>
    <s v="Completed"/>
    <n v="0"/>
    <n v="2500.2399999999998"/>
    <n v="921.06999999999971"/>
    <n v="36.839263430710645"/>
    <n v="1"/>
    <n v="2025"/>
    <s v="INVALID"/>
  </r>
  <r>
    <s v="ORD-2025-10554"/>
    <d v="2025-04-25T00:00:00"/>
    <d v="2025-04-28T00:00:00"/>
    <n v="3"/>
    <s v="OK"/>
    <s v="CUST-9241"/>
    <s v="Aarav Sharma"/>
    <s v="Small Business"/>
    <x v="3"/>
    <s v="Gujarat"/>
    <s v="Ahmedabad"/>
    <s v="Office Supplies"/>
    <s v="Storage"/>
    <s v="Pro Storage 128"/>
    <s v="First Class"/>
    <n v="9"/>
    <n v="1294.1099999999999"/>
    <n v="0.25"/>
    <s v="OK"/>
    <n v="8735.24"/>
    <n v="6620.07"/>
    <n v="2115.17"/>
    <s v="Paid"/>
    <s v="Completed"/>
    <n v="0.25"/>
    <n v="8735.2425000000003"/>
    <n v="2115.1725000000006"/>
    <n v="24.21423904373577"/>
    <n v="4"/>
    <n v="2025"/>
    <s v="CLEAN"/>
  </r>
  <r>
    <s v="ORD-2025-10556"/>
    <d v="2025-04-02T00:00:00"/>
    <d v="2025-02-10T00:00:00"/>
    <n v="-51"/>
    <s v="INVALID"/>
    <s v="CUST-7513"/>
    <s v="Ananya Rao"/>
    <s v="Small Business"/>
    <x v="2"/>
    <s v="Telangana"/>
    <s v="Hyderabad"/>
    <s v="Office Supplies"/>
    <s v="Storage"/>
    <s v="Prime Storage 689"/>
    <s v="Standard Class"/>
    <n v="6"/>
    <n v="1042.8"/>
    <n v="0.05"/>
    <s v="OK"/>
    <n v="5943.96"/>
    <n v="3604.14"/>
    <n v="2339.8200000000002"/>
    <s v="Paid"/>
    <s v="Completed"/>
    <n v="0.05"/>
    <n v="5943.9599999999991"/>
    <n v="2339.8199999999993"/>
    <n v="39.36466598025558"/>
    <n v="4"/>
    <n v="2025"/>
    <s v="INVALID"/>
  </r>
  <r>
    <s v="ORD-2025-10559"/>
    <d v="2025-09-04T00:00:00"/>
    <d v="2025-09-04T00:00:00"/>
    <n v="0"/>
    <s v="OK"/>
    <s v="CUST-9368"/>
    <s v="Aditi Sen"/>
    <s v="Corporate"/>
    <x v="0"/>
    <s v="Punjab"/>
    <s v="Ludhiana"/>
    <s v="Technology"/>
    <s v="Machines"/>
    <s v="Basic Machines 136"/>
    <s v="First Class"/>
    <n v="8"/>
    <n v="3079.95"/>
    <n v="0.2"/>
    <s v="OK"/>
    <n v="19711.68"/>
    <n v="14461.8"/>
    <n v="5249.88"/>
    <s v="Paid"/>
    <s v="Completed"/>
    <n v="0.2"/>
    <n v="19711.68"/>
    <n v="5249.880000000001"/>
    <n v="26.633346320557155"/>
    <n v="9"/>
    <n v="2025"/>
    <s v="CLEAN"/>
  </r>
  <r>
    <s v="ORD-2025-10560"/>
    <d v="2025-09-30T00:00:00"/>
    <d v="2025-10-07T00:00:00"/>
    <n v="7"/>
    <s v="OK"/>
    <s v="CUST-6797"/>
    <s v="Diya Patel"/>
    <s v="Corporate"/>
    <x v="1"/>
    <s v="Bihar"/>
    <s v="Patna"/>
    <s v="Technology"/>
    <s v="Copiers"/>
    <s v="Basic Copiers 512"/>
    <s v="Second Class"/>
    <n v="5"/>
    <n v="3277.82"/>
    <n v="0.1"/>
    <s v="OK"/>
    <n v="14750.19"/>
    <n v="9482.58"/>
    <n v="5267.61"/>
    <s v="Paid"/>
    <s v="Returned"/>
    <n v="0.1"/>
    <n v="14750.190000000002"/>
    <n v="5267.6100000000024"/>
    <n v="35.712150148574366"/>
    <n v="9"/>
    <n v="2025"/>
    <s v="CLEAN"/>
  </r>
  <r>
    <s v="ORD-2025-10562"/>
    <d v="2025-07-14T00:00:00"/>
    <d v="2025-07-18T00:00:00"/>
    <n v="4"/>
    <s v="OK"/>
    <s v="CUST-6654"/>
    <s v="Aditi Sen"/>
    <s v="Consumer"/>
    <x v="0"/>
    <s v="Punjab"/>
    <s v="Ludhiana"/>
    <s v="Technology"/>
    <s v="Copiers"/>
    <s v="Eco Copiers 954"/>
    <s v="First Class"/>
    <n v="4"/>
    <n v="725.22"/>
    <n v="0"/>
    <s v="OK"/>
    <n v="2900.88"/>
    <n v="2391.85"/>
    <n v="509.03"/>
    <s v="Pending"/>
    <s v="Returned"/>
    <n v="0"/>
    <n v="2900.88"/>
    <n v="509.0300000000002"/>
    <n v="17.547433882132324"/>
    <n v="7"/>
    <n v="2025"/>
    <s v="CLEAN"/>
  </r>
  <r>
    <s v="ORD-2025-10574"/>
    <d v="2025-09-22T00:00:00"/>
    <d v="2025-09-26T00:00:00"/>
    <n v="4"/>
    <s v="OK"/>
    <s v="CUST-8243"/>
    <s v="Isha Nair"/>
    <s v="Consumer"/>
    <x v="2"/>
    <s v="Andhra Pradesh"/>
    <s v="Vijayawada"/>
    <s v="Technology"/>
    <s v="Phones"/>
    <s v="Pro Phones 644"/>
    <s v="Standard Class"/>
    <n v="1"/>
    <n v="573.65"/>
    <n v="0"/>
    <s v="OK"/>
    <n v="573.65"/>
    <n v="322.67"/>
    <n v="250.98"/>
    <s v="Paid"/>
    <s v="Completed"/>
    <n v="0"/>
    <n v="573.65"/>
    <n v="250.97999999999996"/>
    <n v="43.751416368866032"/>
    <n v="9"/>
    <n v="2025"/>
    <s v="CLEAN"/>
  </r>
  <r>
    <s v="ORD-2025-10578"/>
    <d v="2025-08-28T00:00:00"/>
    <d v="2025-09-03T00:00:00"/>
    <n v="6"/>
    <s v="OK"/>
    <s v="CUST-4151"/>
    <s v="Priya Menon"/>
    <s v="Corporate"/>
    <x v="3"/>
    <s v="Madhya Pradesh"/>
    <s v="Indore"/>
    <s v="Furniture"/>
    <s v="Furnishings"/>
    <s v="Smart Furnishings 714"/>
    <s v="Standard Class"/>
    <n v="7"/>
    <n v="268.45"/>
    <n v="0"/>
    <s v="OK"/>
    <n v="1879.15"/>
    <n v="1134.9000000000001"/>
    <n v="744.25"/>
    <s v="Paid"/>
    <s v="Completed"/>
    <n v="0"/>
    <n v="1879.1499999999999"/>
    <n v="744.24999999999977"/>
    <n v="39.605672777585596"/>
    <n v="8"/>
    <n v="2025"/>
    <s v="CLEAN"/>
  </r>
  <r>
    <s v="ORD-2025-10586"/>
    <d v="2025-06-22T00:00:00"/>
    <d v="2025-06-25T00:00:00"/>
    <n v="3"/>
    <s v="OK"/>
    <s v="CUST-5201"/>
    <s v="Diya Patel"/>
    <s v="Small Business"/>
    <x v="3"/>
    <s v="Maharashtra"/>
    <s v="Mumbai"/>
    <s v="Technology"/>
    <s v="Phones"/>
    <s v="Prime Phones 744"/>
    <s v="First Class"/>
    <n v="8"/>
    <n v="3453.66"/>
    <n v="0"/>
    <s v="OK"/>
    <n v="27629.279999999999"/>
    <n v="22026.48"/>
    <n v="5602.8"/>
    <s v="Paid"/>
    <s v="Completed"/>
    <n v="0"/>
    <n v="27629.279999999999"/>
    <n v="5602.7999999999993"/>
    <n v="20.278487170132554"/>
    <n v="6"/>
    <n v="2025"/>
    <s v="CLEAN"/>
  </r>
  <r>
    <s v="ORD-2025-10587"/>
    <d v="2025-12-04T00:00:00"/>
    <d v="2025-04-12T00:00:00"/>
    <n v="-236"/>
    <s v="INVALID"/>
    <s v="CUST-8626"/>
    <s v="Mira Das"/>
    <s v="Home Office"/>
    <x v="0"/>
    <s v="Punjab"/>
    <s v="Ludhiana"/>
    <s v="Office Supplies"/>
    <s v="Binders"/>
    <s v="Prime Binders 249"/>
    <s v="Second Class"/>
    <n v="7"/>
    <n v="1334.2"/>
    <n v="0.2"/>
    <s v="OK"/>
    <n v="7471.52"/>
    <n v="6184.32"/>
    <n v="1287.2"/>
    <s v="Paid"/>
    <s v="Completed"/>
    <n v="0.2"/>
    <n v="7471.52"/>
    <n v="1287.2000000000007"/>
    <n v="17.228087457438388"/>
    <n v="12"/>
    <n v="2025"/>
    <s v="INVALID"/>
  </r>
  <r>
    <s v="ORD-2025-10594"/>
    <d v="2025-09-27T00:00:00"/>
    <d v="2025-09-29T00:00:00"/>
    <n v="2"/>
    <s v="OK"/>
    <s v="CUST-2917"/>
    <s v="Arjun Bose"/>
    <s v="Home Office"/>
    <x v="0"/>
    <s v="Uttar Pradesh"/>
    <s v="Noida"/>
    <s v="Furniture"/>
    <s v="Tables"/>
    <s v="Eco Tables 550"/>
    <s v="Second Class"/>
    <n v="9"/>
    <n v="4100.1099999999997"/>
    <n v="0.25"/>
    <s v="OK"/>
    <n v="27675.74"/>
    <n v="15571.08"/>
    <n v="12104.66"/>
    <s v="Paid"/>
    <s v="Completed"/>
    <n v="0.25"/>
    <n v="27675.7425"/>
    <n v="12104.6625"/>
    <n v="43.737444442547478"/>
    <n v="9"/>
    <n v="2025"/>
    <s v="CLEAN"/>
  </r>
  <r>
    <s v="ORD-2025-10596"/>
    <d v="2025-02-11T00:00:00"/>
    <d v="2025-02-16T00:00:00"/>
    <n v="5"/>
    <s v="OK"/>
    <s v="CUST-5566"/>
    <s v="Mira Das"/>
    <s v="Corporate"/>
    <x v="0"/>
    <s v="Uttar Pradesh"/>
    <s v="Noida"/>
    <s v="Technology"/>
    <s v="Phones"/>
    <s v="Classic Phones 294"/>
    <s v="First Class"/>
    <n v="8"/>
    <n v="1825.56"/>
    <n v="0.1"/>
    <s v="OK"/>
    <n v="13144.03"/>
    <n v="9764"/>
    <n v="3380.03"/>
    <s v="Paid"/>
    <s v="Completed"/>
    <n v="0.1"/>
    <n v="13144.031999999999"/>
    <n v="3380.0319999999992"/>
    <n v="25.715336055176973"/>
    <n v="2"/>
    <n v="2025"/>
    <s v="CLEAN"/>
  </r>
  <r>
    <s v="ORD-2025-10598"/>
    <d v="2025-07-08T00:00:00"/>
    <d v="2025-07-08T00:00:00"/>
    <n v="0"/>
    <s v="OK"/>
    <s v="CUST-6957"/>
    <s v="Aditi Sen"/>
    <s v="Consumer"/>
    <x v="2"/>
    <s v="Telangana"/>
    <s v="Hyderabad"/>
    <s v="Technology"/>
    <s v="Copiers"/>
    <s v="Prime Copiers 969"/>
    <s v="Same Day"/>
    <n v="9"/>
    <n v="274.88"/>
    <n v="0.25"/>
    <s v="OK"/>
    <n v="1855.44"/>
    <n v="1262.74"/>
    <n v="592.70000000000005"/>
    <s v="Paid"/>
    <s v="Completed"/>
    <n v="0.25"/>
    <n v="1855.44"/>
    <n v="592.70000000000005"/>
    <n v="31.943905488725051"/>
    <n v="7"/>
    <n v="2025"/>
    <s v="CLEAN"/>
  </r>
  <r>
    <s v="ORD-2025-10601"/>
    <d v="2025-05-03T00:00:00"/>
    <d v="2025-03-12T00:00:00"/>
    <n v="-52"/>
    <s v="INVALID"/>
    <s v="CUST-6013"/>
    <s v="Ananya Rao"/>
    <s v="Corporate"/>
    <x v="3"/>
    <s v="Madhya Pradesh"/>
    <s v="Indore"/>
    <s v="Office Supplies"/>
    <s v="Storage"/>
    <s v="Prime Storage 432"/>
    <s v="Same Day"/>
    <n v="3"/>
    <n v="3682.75"/>
    <n v="0"/>
    <s v="OK"/>
    <n v="11048.25"/>
    <n v="9062.7199999999993"/>
    <n v="1985.53"/>
    <s v="Paid"/>
    <s v="Completed"/>
    <n v="0"/>
    <n v="11048.25"/>
    <n v="1985.5300000000007"/>
    <n v="17.971443441268985"/>
    <n v="5"/>
    <n v="2025"/>
    <s v="INVALID"/>
  </r>
  <r>
    <s v="ORD-2025-10605"/>
    <d v="2025-05-02T00:00:00"/>
    <d v="2025-02-06T00:00:00"/>
    <n v="-85"/>
    <s v="INVALID"/>
    <s v="CUST-4526"/>
    <s v="Ananya Rao"/>
    <s v="Consumer"/>
    <x v="3"/>
    <s v="Madhya Pradesh"/>
    <s v="Indore"/>
    <s v="Office Supplies"/>
    <s v="Binders"/>
    <s v="Max Binders 547"/>
    <s v="Same Day"/>
    <n v="3"/>
    <n v="1076.3"/>
    <n v="0"/>
    <s v="OK"/>
    <n v="3228.9"/>
    <n v="1853.23"/>
    <n v="1375.67"/>
    <s v="Paid"/>
    <s v="Completed"/>
    <n v="0"/>
    <n v="3228.8999999999996"/>
    <n v="1375.6699999999996"/>
    <n v="42.604911889497963"/>
    <n v="5"/>
    <n v="2025"/>
    <s v="INVALID"/>
  </r>
  <r>
    <s v="ORD-2025-10607"/>
    <d v="2025-02-22T00:00:00"/>
    <d v="2025-02-28T00:00:00"/>
    <n v="6"/>
    <s v="OK"/>
    <s v="CUST-2698"/>
    <s v="Rahul Verma"/>
    <s v="Home Office"/>
    <x v="3"/>
    <s v="Madhya Pradesh"/>
    <s v="Indore"/>
    <s v="Technology"/>
    <s v="Copiers"/>
    <s v="Max Copiers 520"/>
    <s v="Same Day"/>
    <n v="3"/>
    <n v="3890.81"/>
    <n v="0.25"/>
    <s v="OK"/>
    <n v="8754.32"/>
    <n v="6238.9"/>
    <n v="2515.42"/>
    <s v="Paid"/>
    <s v="Completed"/>
    <n v="0.25"/>
    <n v="8754.3225000000002"/>
    <n v="2515.4225000000006"/>
    <n v="28.733491369549164"/>
    <n v="2"/>
    <n v="2025"/>
    <s v="CLEAN"/>
  </r>
  <r>
    <s v="ORD-2025-10608"/>
    <d v="2025-02-16T00:00:00"/>
    <d v="2025-02-22T00:00:00"/>
    <n v="6"/>
    <s v="OK"/>
    <s v="CUST-6297"/>
    <s v="Sneha Kapoor"/>
    <s v="Home Office"/>
    <x v="1"/>
    <s v="Bihar"/>
    <s v="Patna"/>
    <s v="Office Supplies"/>
    <s v="Storage"/>
    <s v="Max Storage 424"/>
    <s v="Same Day"/>
    <n v="5"/>
    <n v="954.67"/>
    <n v="0.15"/>
    <s v="OK"/>
    <n v="4057.35"/>
    <n v="2862.03"/>
    <n v="1195.32"/>
    <s v="Paid"/>
    <s v="Completed"/>
    <n v="0.15"/>
    <n v="4057.3474999999994"/>
    <n v="1195.3174999999992"/>
    <n v="29.460565061286946"/>
    <n v="2"/>
    <n v="2025"/>
    <s v="CLEAN"/>
  </r>
  <r>
    <s v="ORD-2025-10610"/>
    <d v="2025-01-08T00:00:00"/>
    <d v="2025-12-01T00:00:00"/>
    <n v="327"/>
    <s v="OK"/>
    <s v="CUST-4380"/>
    <s v="Sneha Kapoor"/>
    <s v="Home Office"/>
    <x v="2"/>
    <s v="Karnataka"/>
    <s v="Bengaluru"/>
    <s v="Furniture"/>
    <s v="Chairs"/>
    <s v="Pro Chairs 908"/>
    <s v="Standard Class"/>
    <n v="7"/>
    <n v="4337.4799999999996"/>
    <n v="0"/>
    <s v="OK"/>
    <n v="30362.36"/>
    <n v="25065.4"/>
    <n v="5296.96"/>
    <s v="Paid"/>
    <s v="Completed"/>
    <n v="0"/>
    <n v="30362.359999999997"/>
    <n v="5296.9599999999955"/>
    <n v="17.445811195177175"/>
    <n v="1"/>
    <n v="2025"/>
    <s v="CLEAN"/>
  </r>
  <r>
    <s v="ORD-2025-10612"/>
    <d v="2025-08-07T00:00:00"/>
    <d v="2025-07-15T00:00:00"/>
    <n v="-23"/>
    <s v="INVALID"/>
    <s v="CUST-6108"/>
    <s v="Ananya Rao"/>
    <s v="Small Business"/>
    <x v="0"/>
    <s v="Rajasthan"/>
    <s v="Jaipur"/>
    <s v="Office Supplies"/>
    <s v="Binders"/>
    <s v="Max Binders 785"/>
    <s v="Same Day"/>
    <n v="8"/>
    <n v="655.28"/>
    <n v="0.1"/>
    <s v="OK"/>
    <n v="4718.0200000000004"/>
    <n v="3908.23"/>
    <n v="809.79"/>
    <s v="Paid"/>
    <s v="Completed"/>
    <n v="0.1"/>
    <n v="4718.0159999999996"/>
    <n v="809.7859999999996"/>
    <n v="17.163697622051295"/>
    <n v="8"/>
    <n v="2025"/>
    <s v="INVALID"/>
  </r>
  <r>
    <s v="ORD-2025-10613"/>
    <d v="2025-04-06T00:00:00"/>
    <d v="2025-04-13T00:00:00"/>
    <n v="7"/>
    <s v="OK"/>
    <s v="CUST-5663"/>
    <s v="Aditi Sen"/>
    <s v="Consumer"/>
    <x v="4"/>
    <s v="Odisha"/>
    <s v="Bhubaneswar"/>
    <s v="Technology"/>
    <s v="Phones"/>
    <s v="Elite Phones 239"/>
    <s v="Standard Class"/>
    <n v="1"/>
    <n v="3844.01"/>
    <n v="0"/>
    <s v="OK"/>
    <n v="3844.01"/>
    <n v="2195.79"/>
    <n v="1648.22"/>
    <s v="Paid"/>
    <s v="Completed"/>
    <n v="0"/>
    <n v="3844.01"/>
    <n v="1648.2200000000003"/>
    <n v="42.877619985379859"/>
    <n v="4"/>
    <n v="2025"/>
    <s v="CLEAN"/>
  </r>
  <r>
    <s v="ORD-2025-10623"/>
    <d v="2025-01-29T00:00:00"/>
    <d v="2025-02-06T00:00:00"/>
    <n v="8"/>
    <s v="OK"/>
    <s v="CUST-1127"/>
    <s v="Vikram Iyer"/>
    <s v="Consumer"/>
    <x v="1"/>
    <s v="Bihar"/>
    <s v="Patna"/>
    <s v="Office Supplies"/>
    <s v="Storage"/>
    <s v="Basic Storage 934"/>
    <s v="Standard Class"/>
    <n v="4"/>
    <n v="2759.01"/>
    <n v="0.05"/>
    <s v="OK"/>
    <n v="10484.24"/>
    <n v="6680.15"/>
    <n v="3804.09"/>
    <s v="Paid"/>
    <s v="Completed"/>
    <n v="0.05"/>
    <n v="10484.238000000001"/>
    <n v="3804.0880000000016"/>
    <n v="36.283876806306772"/>
    <n v="1"/>
    <n v="2025"/>
    <s v="CLEAN"/>
  </r>
  <r>
    <s v="ORD-2025-10627"/>
    <d v="2025-04-06T00:00:00"/>
    <d v="2025-06-07T00:00:00"/>
    <n v="62"/>
    <s v="OK"/>
    <s v="CUST-1793"/>
    <s v="Sneha Kapoor"/>
    <s v="Home Office"/>
    <x v="1"/>
    <s v="Assam"/>
    <s v="Guwahati"/>
    <s v="Technology"/>
    <s v="Machines"/>
    <s v="Elite Machines 971"/>
    <s v="Standard Class"/>
    <n v="8"/>
    <n v="1434.13"/>
    <n v="0"/>
    <s v="OK"/>
    <n v="11473.04"/>
    <n v="8931.33"/>
    <n v="2541.71"/>
    <s v="Pending"/>
    <s v="Returned"/>
    <n v="0"/>
    <n v="11473.04"/>
    <n v="2541.7100000000009"/>
    <n v="22.153762211236085"/>
    <n v="4"/>
    <n v="2025"/>
    <s v="CLEAN"/>
  </r>
  <r>
    <s v="ORD-2025-10629"/>
    <d v="2025-10-05T00:00:00"/>
    <d v="2025-10-12T00:00:00"/>
    <n v="7"/>
    <s v="OK"/>
    <s v="CUST-6725"/>
    <s v="Ananya Rao"/>
    <s v="Home Office"/>
    <x v="1"/>
    <s v="Jharkhand"/>
    <s v="Ranchi"/>
    <s v="Technology"/>
    <s v="Accessories"/>
    <s v="Eco Accessories 933"/>
    <s v="Same Day"/>
    <n v="7"/>
    <n v="806.67"/>
    <n v="0.05"/>
    <s v="OK"/>
    <n v="5364.36"/>
    <n v="4391.29"/>
    <n v="973.07"/>
    <s v="Paid"/>
    <s v="Completed"/>
    <n v="0.05"/>
    <n v="5364.3554999999997"/>
    <n v="973.0654999999997"/>
    <n v="18.139467080434915"/>
    <n v="10"/>
    <n v="2025"/>
    <s v="CLEAN"/>
  </r>
  <r>
    <s v="ORD-2025-10630"/>
    <d v="2025-09-10T00:00:00"/>
    <d v="2025-09-14T00:00:00"/>
    <n v="4"/>
    <s v="OK"/>
    <s v="CUST-3793"/>
    <s v="Arjun Bose"/>
    <s v="Home Office"/>
    <x v="3"/>
    <s v="Gujarat"/>
    <s v="Ahmedabad"/>
    <s v="Furniture"/>
    <s v="Tables"/>
    <s v="Max Tables 908"/>
    <s v="Same Day"/>
    <n v="3"/>
    <n v="4198.46"/>
    <n v="0.15"/>
    <s v="OK"/>
    <n v="10706.07"/>
    <n v="5927.1"/>
    <n v="4778.97"/>
    <s v="Paid"/>
    <s v="Completed"/>
    <n v="0.15"/>
    <n v="10706.073"/>
    <n v="4778.973"/>
    <n v="44.637963892082553"/>
    <n v="9"/>
    <n v="2025"/>
    <s v="CLEAN"/>
  </r>
  <r>
    <s v="ORD-2025-10633"/>
    <d v="2025-04-15T00:00:00"/>
    <d v="2025-04-16T00:00:00"/>
    <n v="1"/>
    <s v="OK"/>
    <s v="CUST-4593"/>
    <s v="Sneha Kapoor"/>
    <s v="Small Business"/>
    <x v="2"/>
    <s v="Karnataka"/>
    <s v="Bengaluru"/>
    <s v="Furniture"/>
    <s v="Furnishings"/>
    <s v="Smart Furnishings 721"/>
    <s v="First Class"/>
    <n v="5"/>
    <n v="2850.53"/>
    <n v="0"/>
    <s v="OK"/>
    <n v="14252.65"/>
    <n v="11558.31"/>
    <n v="2694.34"/>
    <s v="Paid"/>
    <s v="Completed"/>
    <n v="0"/>
    <n v="14252.650000000001"/>
    <n v="2694.340000000002"/>
    <n v="18.904133617257155"/>
    <n v="4"/>
    <n v="2025"/>
    <s v="CLEAN"/>
  </r>
  <r>
    <s v="ORD-2025-10634"/>
    <d v="2025-04-18T00:00:00"/>
    <d v="2025-04-20T00:00:00"/>
    <n v="2"/>
    <s v="OK"/>
    <s v="CUST-5043"/>
    <s v="Aarav Sharma"/>
    <s v="Small Business"/>
    <x v="2"/>
    <s v="Tamil Nadu"/>
    <s v="Chennai"/>
    <s v="Technology"/>
    <s v="Accessories"/>
    <s v="Basic Accessories 729"/>
    <s v="Second Class"/>
    <n v="1"/>
    <n v="1626.08"/>
    <n v="0.15"/>
    <s v="OK"/>
    <n v="1382.17"/>
    <n v="810.03"/>
    <n v="572.14"/>
    <s v="Paid"/>
    <s v="Completed"/>
    <n v="0.15"/>
    <n v="1382.1679999999999"/>
    <n v="572.13799999999992"/>
    <n v="41.394244404442873"/>
    <n v="4"/>
    <n v="2025"/>
    <s v="CLEAN"/>
  </r>
  <r>
    <s v="ORD-2025-10635"/>
    <d v="2025-01-11T00:00:00"/>
    <d v="2025-01-12T00:00:00"/>
    <n v="1"/>
    <s v="OK"/>
    <s v="CUST-4722"/>
    <s v="Aditi Sen"/>
    <s v="Consumer"/>
    <x v="2"/>
    <s v="Telangana"/>
    <s v="Hyderabad"/>
    <s v="Furniture"/>
    <s v="Chairs"/>
    <s v="Classic Chairs 220"/>
    <s v="Second Class"/>
    <n v="4"/>
    <n v="2427.15"/>
    <n v="0.05"/>
    <s v="OK"/>
    <n v="9223.17"/>
    <n v="5103.7"/>
    <n v="4119.47"/>
    <s v="Paid"/>
    <s v="Completed"/>
    <n v="0.05"/>
    <n v="9223.17"/>
    <n v="4119.47"/>
    <n v="44.664361602355804"/>
    <n v="1"/>
    <n v="2025"/>
    <s v="CLEAN"/>
  </r>
  <r>
    <s v="ORD-2025-10641"/>
    <d v="2025-01-14T00:00:00"/>
    <d v="2025-01-17T00:00:00"/>
    <n v="3"/>
    <s v="OK"/>
    <s v="CUST-5061"/>
    <s v="Vikram Iyer"/>
    <s v="Consumer"/>
    <x v="3"/>
    <s v="Goa"/>
    <s v="Panaji"/>
    <s v="Office Supplies"/>
    <s v="Storage"/>
    <s v="Basic Storage 973"/>
    <s v="First Class"/>
    <n v="1"/>
    <n v="1584.12"/>
    <n v="0.2"/>
    <s v="OK"/>
    <n v="1267.3"/>
    <n v="923.53"/>
    <n v="343.77"/>
    <s v="Paid"/>
    <s v="Completed"/>
    <n v="0.2"/>
    <n v="1267.296"/>
    <n v="343.76600000000008"/>
    <n v="27.125943741635737"/>
    <n v="1"/>
    <n v="2025"/>
    <s v="CLEAN"/>
  </r>
  <r>
    <s v="ORD-2025-10642"/>
    <d v="2025-04-09T00:00:00"/>
    <d v="2025-04-14T00:00:00"/>
    <n v="5"/>
    <s v="OK"/>
    <s v="CUST-7915"/>
    <s v="Karan Malhotra"/>
    <s v="Consumer"/>
    <x v="0"/>
    <s v="Delhi"/>
    <s v="New Delhi"/>
    <s v="Furniture"/>
    <s v="Furnishings"/>
    <s v="Smart Furnishings 783"/>
    <s v="Same Day"/>
    <n v="2"/>
    <n v="3202.87"/>
    <n v="0"/>
    <s v="OK"/>
    <n v="6405.74"/>
    <n v="3561.87"/>
    <n v="2843.87"/>
    <s v="Paid"/>
    <s v="Completed"/>
    <n v="0"/>
    <n v="6405.74"/>
    <n v="2843.87"/>
    <n v="44.395651400150484"/>
    <n v="4"/>
    <n v="2025"/>
    <s v="CLEAN"/>
  </r>
  <r>
    <s v="ORD-2025-10645"/>
    <d v="2025-04-10T00:00:00"/>
    <d v="2025-04-17T00:00:00"/>
    <n v="7"/>
    <s v="OK"/>
    <s v="CUST-5549"/>
    <s v="Vikram Iyer"/>
    <s v="Consumer"/>
    <x v="1"/>
    <s v="West Bengal"/>
    <s v="Kolkata"/>
    <s v="Furniture"/>
    <s v="Chairs"/>
    <s v="Pro Chairs 812"/>
    <s v="Standard Class"/>
    <n v="4"/>
    <n v="3750.02"/>
    <n v="0.05"/>
    <s v="OK"/>
    <n v="14250.08"/>
    <n v="10914.92"/>
    <n v="3335.16"/>
    <s v="Paid"/>
    <s v="Completed"/>
    <n v="0.05"/>
    <n v="14250.075999999999"/>
    <n v="3335.155999999999"/>
    <n v="23.404478684885603"/>
    <n v="4"/>
    <n v="2025"/>
    <s v="CLEAN"/>
  </r>
  <r>
    <s v="ORD-2025-10648"/>
    <d v="2025-01-01T00:00:00"/>
    <d v="2025-09-01T00:00:00"/>
    <n v="243"/>
    <s v="OK"/>
    <s v="CUST-9942"/>
    <s v="Rohan Mehta"/>
    <s v="Small Business"/>
    <x v="0"/>
    <s v="Punjab"/>
    <s v="Ludhiana"/>
    <s v="Office Supplies"/>
    <s v="Art"/>
    <s v="Prime Art 461"/>
    <s v="First Class"/>
    <n v="8"/>
    <n v="2123.81"/>
    <n v="0.15"/>
    <s v="OK"/>
    <n v="14441.91"/>
    <n v="10872.89"/>
    <n v="3569.02"/>
    <s v="Paid"/>
    <s v="Completed"/>
    <n v="0.15"/>
    <n v="14441.907999999999"/>
    <n v="3569.018"/>
    <n v="24.712925743606732"/>
    <n v="1"/>
    <n v="2025"/>
    <s v="CLEAN"/>
  </r>
  <r>
    <s v="ORD-2025-10650"/>
    <d v="2025-08-11T00:00:00"/>
    <d v="2025-08-19T00:00:00"/>
    <n v="8"/>
    <s v="OK"/>
    <s v="CUST-7277"/>
    <s v="Kabir Singh"/>
    <s v="Small Business"/>
    <x v="2"/>
    <s v="Kerala"/>
    <s v="Kochi"/>
    <s v="Technology"/>
    <s v="Accessories"/>
    <s v="Classic Accessories 354"/>
    <s v="Standard Class"/>
    <n v="4"/>
    <n v="2258.96"/>
    <n v="0.25"/>
    <s v="OK"/>
    <n v="6776.88"/>
    <n v="3836.24"/>
    <n v="2940.64"/>
    <s v="Paid"/>
    <s v="Completed"/>
    <n v="0.25"/>
    <n v="6776.88"/>
    <n v="2940.6400000000003"/>
    <n v="43.39223949664153"/>
    <n v="8"/>
    <n v="2025"/>
    <s v="CLEAN"/>
  </r>
  <r>
    <s v="ORD-2025-10652"/>
    <d v="2025-08-06T00:00:00"/>
    <d v="2025-09-08T00:00:00"/>
    <n v="33"/>
    <s v="OK"/>
    <s v="CUST-2660"/>
    <s v="Mira Das"/>
    <s v="Small Business"/>
    <x v="2"/>
    <s v="Andhra Pradesh"/>
    <s v="Vijayawada"/>
    <s v="Office Supplies"/>
    <s v="Paper"/>
    <s v="Smart Paper 364"/>
    <s v="Second Class"/>
    <n v="3"/>
    <n v="598.54999999999995"/>
    <n v="0"/>
    <s v="OK"/>
    <n v="1795.65"/>
    <n v="996.72"/>
    <n v="798.93"/>
    <s v="Paid"/>
    <s v="Completed"/>
    <n v="0"/>
    <n v="1795.6499999999999"/>
    <n v="798.92999999999984"/>
    <n v="44.492523598696842"/>
    <n v="8"/>
    <n v="2025"/>
    <s v="CLEAN"/>
  </r>
  <r>
    <s v="ORD-2025-10653"/>
    <d v="2025-03-17T00:00:00"/>
    <d v="2025-03-21T00:00:00"/>
    <n v="4"/>
    <s v="OK"/>
    <s v="CUST-8177"/>
    <s v="Sneha Kapoor"/>
    <s v="Consumer"/>
    <x v="0"/>
    <s v="Uttar Pradesh"/>
    <s v="Noida"/>
    <s v="Office Supplies"/>
    <s v="Binders"/>
    <s v="Smart Binders 999"/>
    <s v="Standard Class"/>
    <n v="5"/>
    <n v="4320.59"/>
    <n v="0.15"/>
    <s v="OK"/>
    <n v="18362.509999999998"/>
    <n v="11133.97"/>
    <n v="7228.54"/>
    <s v="Paid"/>
    <s v="Completed"/>
    <n v="0.15"/>
    <n v="18362.5075"/>
    <n v="7228.5375000000004"/>
    <n v="39.365742941153329"/>
    <n v="3"/>
    <n v="2025"/>
    <s v="CLEAN"/>
  </r>
  <r>
    <s v="ORD-2025-10654"/>
    <d v="2025-04-04T00:00:00"/>
    <d v="2025-04-07T00:00:00"/>
    <n v="3"/>
    <s v="OK"/>
    <s v="CUST-3970"/>
    <s v="Priya Menon"/>
    <s v="Small Business"/>
    <x v="2"/>
    <s v="Tamil Nadu"/>
    <s v="Chennai"/>
    <s v="Technology"/>
    <s v="Copiers"/>
    <s v="Max Copiers 356"/>
    <s v="Second Class"/>
    <n v="7"/>
    <n v="4457.93"/>
    <n v="0.15"/>
    <s v="OK"/>
    <n v="26524.68"/>
    <n v="20574.3"/>
    <n v="5950.38"/>
    <s v="Paid"/>
    <s v="Completed"/>
    <n v="0.15"/>
    <n v="26524.683500000003"/>
    <n v="5950.3835000000036"/>
    <n v="22.433381721595293"/>
    <n v="4"/>
    <n v="2025"/>
    <s v="CLEAN"/>
  </r>
  <r>
    <s v="ORD-2025-10655"/>
    <d v="2025-10-12T00:00:00"/>
    <d v="2025-10-16T00:00:00"/>
    <n v="4"/>
    <s v="OK"/>
    <s v="CUST-8249"/>
    <s v="Diya Patel"/>
    <s v="Corporate"/>
    <x v="1"/>
    <s v="Bihar"/>
    <s v="Patna"/>
    <s v="Technology"/>
    <s v="Machines"/>
    <s v="Classic Machines 639"/>
    <s v="Same Day"/>
    <n v="1"/>
    <n v="2570.06"/>
    <n v="0.2"/>
    <s v="OK"/>
    <n v="2056.0500000000002"/>
    <n v="1662.39"/>
    <n v="393.66"/>
    <s v="Paid"/>
    <s v="Completed"/>
    <n v="0.2"/>
    <n v="2056.0480000000002"/>
    <n v="393.65800000000013"/>
    <n v="19.146342886936495"/>
    <n v="10"/>
    <n v="2025"/>
    <s v="CLEAN"/>
  </r>
  <r>
    <s v="ORD-2025-10656"/>
    <d v="2025-08-26T00:00:00"/>
    <d v="2025-08-26T00:00:00"/>
    <n v="0"/>
    <s v="OK"/>
    <s v="CUST-8039"/>
    <s v="Neha Gupta"/>
    <s v="Home Office"/>
    <x v="1"/>
    <s v="West Bengal"/>
    <s v="Kolkata"/>
    <s v="Furniture"/>
    <s v="Furnishings"/>
    <s v="Smart Furnishings 748"/>
    <s v="Standard Class"/>
    <n v="4"/>
    <n v="2151.8200000000002"/>
    <n v="0"/>
    <s v="OK"/>
    <n v="8607.2800000000007"/>
    <n v="5124.01"/>
    <n v="3483.27"/>
    <s v="Paid"/>
    <s v="Completed"/>
    <n v="0"/>
    <n v="8607.2800000000007"/>
    <n v="3483.2700000000004"/>
    <n v="40.468882155570633"/>
    <n v="8"/>
    <n v="2025"/>
    <s v="CLEAN"/>
  </r>
  <r>
    <s v="ORD-2025-10658"/>
    <d v="2025-08-07T00:00:00"/>
    <d v="2025-08-10T00:00:00"/>
    <n v="3"/>
    <s v="OK"/>
    <s v="CUST-7787"/>
    <s v="Aditi Sen"/>
    <s v="Home Office"/>
    <x v="1"/>
    <s v="Bihar"/>
    <s v="Patna"/>
    <s v="Office Supplies"/>
    <s v="Storage"/>
    <s v="Eco Storage 316"/>
    <s v="Second Class"/>
    <n v="1"/>
    <n v="2541.25"/>
    <n v="0.2"/>
    <s v="OK"/>
    <n v="2033"/>
    <n v="1291.4100000000001"/>
    <n v="741.59"/>
    <s v="Paid"/>
    <s v="Completed"/>
    <n v="0.2"/>
    <n v="2033"/>
    <n v="741.58999999999992"/>
    <n v="36.477619281849478"/>
    <n v="8"/>
    <n v="2025"/>
    <s v="CLEAN"/>
  </r>
  <r>
    <s v="ORD-2025-10661"/>
    <d v="2025-07-15T00:00:00"/>
    <d v="2025-07-15T00:00:00"/>
    <n v="0"/>
    <s v="OK"/>
    <s v="CUST-5638"/>
    <s v="Arjun Bose"/>
    <s v="Small Business"/>
    <x v="1"/>
    <s v="Jharkhand"/>
    <s v="Ranchi"/>
    <s v="Technology"/>
    <s v="Phones"/>
    <s v="Basic Phones 865"/>
    <s v="Same Day"/>
    <n v="4"/>
    <n v="4442.91"/>
    <n v="0.1"/>
    <s v="OK"/>
    <n v="15994.48"/>
    <n v="9224.2800000000007"/>
    <n v="6770.2"/>
    <s v="Paid"/>
    <s v="Completed"/>
    <n v="0.1"/>
    <n v="15994.476000000001"/>
    <n v="6770.1959999999999"/>
    <n v="42.328338858991067"/>
    <n v="7"/>
    <n v="2025"/>
    <s v="CLEAN"/>
  </r>
  <r>
    <s v="ORD-2025-10668"/>
    <d v="2025-05-20T00:00:00"/>
    <d v="2025-05-27T00:00:00"/>
    <n v="7"/>
    <s v="OK"/>
    <s v="CUST-3912"/>
    <s v="Diya Patel"/>
    <s v="Small Business"/>
    <x v="1"/>
    <s v="Bihar"/>
    <s v="Patna"/>
    <s v="Technology"/>
    <s v="Machines"/>
    <s v="Pro Machines 706"/>
    <s v="Standard Class"/>
    <n v="1"/>
    <n v="3959.14"/>
    <n v="0"/>
    <s v="OK"/>
    <n v="3959.14"/>
    <n v="3239.53"/>
    <n v="719.61"/>
    <s v="Pending"/>
    <s v="Returned"/>
    <n v="0"/>
    <n v="3959.14"/>
    <n v="719.60999999999967"/>
    <n v="18.175916992074029"/>
    <n v="5"/>
    <n v="2025"/>
    <s v="CLEAN"/>
  </r>
  <r>
    <s v="ORD-2025-10671"/>
    <d v="2025-02-02T00:00:00"/>
    <d v="2025-02-06T00:00:00"/>
    <n v="4"/>
    <s v="OK"/>
    <s v="CUST-5604"/>
    <s v="Sneha Kapoor"/>
    <s v="Corporate"/>
    <x v="0"/>
    <s v="Uttar Pradesh"/>
    <s v="Noida"/>
    <s v="Furniture"/>
    <s v="Tables"/>
    <s v="Smart Tables 835"/>
    <s v="Standard Class"/>
    <n v="8"/>
    <n v="857.86"/>
    <n v="0.1"/>
    <s v="OK"/>
    <n v="6176.59"/>
    <n v="3560.96"/>
    <n v="2615.63"/>
    <s v="Paid"/>
    <s v="Completed"/>
    <n v="0.1"/>
    <n v="6176.5920000000006"/>
    <n v="2615.6320000000005"/>
    <n v="42.347495188285066"/>
    <n v="2"/>
    <n v="2025"/>
    <s v="CLEAN"/>
  </r>
  <r>
    <s v="ORD-2025-10674"/>
    <d v="2025-02-13T00:00:00"/>
    <d v="2025-02-16T00:00:00"/>
    <n v="3"/>
    <s v="OK"/>
    <s v="CUST-2807"/>
    <s v="Arjun Bose"/>
    <s v="Small Business"/>
    <x v="3"/>
    <s v="Rajasthan"/>
    <s v="Udaipur"/>
    <s v="Furniture"/>
    <s v="Bookcases"/>
    <s v="Classic Bookcases 488"/>
    <s v="Second Class"/>
    <n v="4"/>
    <n v="4072.9"/>
    <n v="0.15"/>
    <s v="OK"/>
    <n v="13847.86"/>
    <n v="8471.7800000000007"/>
    <n v="5376.08"/>
    <s v="Paid"/>
    <s v="Completed"/>
    <n v="0.15"/>
    <n v="13847.86"/>
    <n v="5376.08"/>
    <n v="38.822460654570449"/>
    <n v="2"/>
    <n v="2025"/>
    <s v="CLEAN"/>
  </r>
  <r>
    <s v="ORD-2025-10676"/>
    <d v="2025-07-06T00:00:00"/>
    <d v="2025-06-10T00:00:00"/>
    <n v="-26"/>
    <s v="INVALID"/>
    <s v="CUST-5061"/>
    <s v="Aarav Sharma"/>
    <s v="Consumer"/>
    <x v="0"/>
    <s v="Rajasthan"/>
    <s v="Jaipur"/>
    <s v="Furniture"/>
    <s v="Furnishings"/>
    <s v="Eco Furnishings 217"/>
    <s v="Same Day"/>
    <n v="3"/>
    <n v="963.26"/>
    <n v="0"/>
    <s v="OK"/>
    <n v="2889.78"/>
    <n v="1811.23"/>
    <n v="1078.55"/>
    <s v="Paid"/>
    <s v="Completed"/>
    <n v="0"/>
    <n v="2889.7799999999997"/>
    <n v="1078.5499999999997"/>
    <n v="37.322910394562903"/>
    <n v="7"/>
    <n v="2025"/>
    <s v="INVALID"/>
  </r>
  <r>
    <s v="ORD-2025-10677"/>
    <d v="2025-09-11T00:00:00"/>
    <d v="2025-09-18T00:00:00"/>
    <n v="7"/>
    <s v="OK"/>
    <s v="CUST-9212"/>
    <s v="Rahul Verma"/>
    <s v="Small Business"/>
    <x v="0"/>
    <s v="Delhi"/>
    <s v="New Delhi"/>
    <s v="Technology"/>
    <s v="Phones"/>
    <s v="Smart Phones 967"/>
    <s v="Same Day"/>
    <n v="7"/>
    <n v="3411.21"/>
    <n v="0.15"/>
    <s v="OK"/>
    <n v="20296.7"/>
    <n v="14920.87"/>
    <n v="5375.83"/>
    <s v="Paid"/>
    <s v="Completed"/>
    <n v="0.15"/>
    <n v="20296.699499999999"/>
    <n v="5375.829499999998"/>
    <n v="26.486225014071863"/>
    <n v="9"/>
    <n v="2025"/>
    <s v="CLEAN"/>
  </r>
  <r>
    <s v="ORD-2025-10683"/>
    <d v="2025-02-05T00:00:00"/>
    <d v="2025-05-02T00:00:00"/>
    <n v="86"/>
    <s v="OK"/>
    <s v="CUST-1553"/>
    <s v="Ananya Rao"/>
    <s v="Corporate"/>
    <x v="0"/>
    <s v="Haryana"/>
    <s v="Gurugram"/>
    <s v="Office Supplies"/>
    <s v="Storage"/>
    <s v="Eco Storage 861"/>
    <s v="Same Day"/>
    <n v="3"/>
    <n v="2590.7800000000002"/>
    <n v="0"/>
    <s v="OK"/>
    <n v="7383.72"/>
    <n v="4113.66"/>
    <n v="3270.06"/>
    <s v="Paid"/>
    <s v="Completed"/>
    <n v="0"/>
    <n v="7772.34"/>
    <n v="3658.6800000000003"/>
    <n v="47.073082237781676"/>
    <n v="2"/>
    <n v="2025"/>
    <s v="CLEAN"/>
  </r>
  <r>
    <s v="ORD-2025-10689"/>
    <d v="2025-02-26T00:00:00"/>
    <d v="2025-02-27T00:00:00"/>
    <n v="1"/>
    <s v="OK"/>
    <s v="CUST-8575"/>
    <s v="Neha Gupta"/>
    <s v="Home Office"/>
    <x v="0"/>
    <s v="Haryana"/>
    <s v="Gurugram"/>
    <s v="Office Supplies"/>
    <s v="Art"/>
    <s v="Basic Art 798"/>
    <s v="Second Class"/>
    <n v="6"/>
    <n v="3037.66"/>
    <n v="0.15"/>
    <s v="OK"/>
    <n v="15492.07"/>
    <n v="12581.23"/>
    <n v="2910.84"/>
    <s v="Paid"/>
    <s v="Completed"/>
    <n v="0.15"/>
    <n v="15492.065999999999"/>
    <n v="2910.8359999999993"/>
    <n v="18.789204745190212"/>
    <n v="2"/>
    <n v="2025"/>
    <s v="CLEAN"/>
  </r>
  <r>
    <s v="ORD-2025-10693"/>
    <d v="2025-05-10T00:00:00"/>
    <d v="2025-10-10T00:00:00"/>
    <n v="153"/>
    <s v="OK"/>
    <s v="CUST-9531"/>
    <s v="Isha Nair"/>
    <s v="Corporate"/>
    <x v="2"/>
    <s v="Karnataka"/>
    <s v="Bengaluru"/>
    <s v="Furniture"/>
    <s v="Furnishings"/>
    <s v="Prime Furnishings 883"/>
    <s v="Second Class"/>
    <n v="4"/>
    <n v="2365.6799999999998"/>
    <n v="0.1"/>
    <s v="OK"/>
    <n v="8516.4500000000007"/>
    <n v="5903.81"/>
    <n v="2612.64"/>
    <s v="Paid"/>
    <s v="Completed"/>
    <n v="0.1"/>
    <n v="8516.4480000000003"/>
    <n v="2612.6379999999999"/>
    <n v="30.677554774009071"/>
    <n v="5"/>
    <n v="2025"/>
    <s v="CLEAN"/>
  </r>
  <r>
    <s v="ORD-2025-10694"/>
    <d v="2025-03-04T00:00:00"/>
    <d v="2025-04-11T00:00:00"/>
    <n v="38"/>
    <s v="OK"/>
    <s v="CUST-6032"/>
    <s v="Arjun Bose"/>
    <s v="Consumer"/>
    <x v="2"/>
    <s v="Tamil Nadu"/>
    <s v="Chennai"/>
    <s v="Furniture"/>
    <s v="Bookcases"/>
    <s v="Smart Bookcases 828"/>
    <s v="Second Class"/>
    <n v="3"/>
    <n v="4149.7700000000004"/>
    <n v="0.05"/>
    <s v="OK"/>
    <n v="11826.84"/>
    <n v="8035.96"/>
    <n v="3790.88"/>
    <s v="Paid"/>
    <s v="Completed"/>
    <n v="0.05"/>
    <n v="11826.844500000001"/>
    <n v="3790.884500000001"/>
    <n v="32.053220112938838"/>
    <n v="3"/>
    <n v="2025"/>
    <s v="CLEAN"/>
  </r>
  <r>
    <s v="ORD-2025-10695"/>
    <d v="2025-01-08T00:00:00"/>
    <d v="2025-09-08T00:00:00"/>
    <n v="243"/>
    <s v="OK"/>
    <s v="CUST-8025"/>
    <s v="Isha Nair"/>
    <s v="Consumer"/>
    <x v="2"/>
    <s v="Andhra Pradesh"/>
    <s v="Vijayawada"/>
    <s v="Office Supplies"/>
    <s v="Storage"/>
    <s v="Classic Storage 291"/>
    <s v="First Class"/>
    <n v="5"/>
    <n v="2736.24"/>
    <n v="0.15"/>
    <s v="OK"/>
    <n v="11629.02"/>
    <n v="9627.2099999999991"/>
    <n v="2001.81"/>
    <s v="Paid"/>
    <s v="Completed"/>
    <n v="0.15"/>
    <n v="11629.019999999999"/>
    <n v="2001.8099999999995"/>
    <n v="17.213918283741876"/>
    <n v="1"/>
    <n v="2025"/>
    <s v="CLEAN"/>
  </r>
  <r>
    <s v="ORD-2025-10697"/>
    <d v="2025-09-22T00:00:00"/>
    <d v="2025-09-25T00:00:00"/>
    <n v="3"/>
    <s v="OK"/>
    <s v="CUST-7812"/>
    <s v="Isha Nair"/>
    <s v="Small Business"/>
    <x v="2"/>
    <s v="Kerala"/>
    <s v="Kochi"/>
    <s v="Technology"/>
    <s v="Phones"/>
    <s v="Classic Phones 842"/>
    <s v="Unknown"/>
    <n v="4"/>
    <n v="1178.8399999999999"/>
    <n v="0.25"/>
    <s v="OK"/>
    <n v="3536.52"/>
    <n v="2102.41"/>
    <n v="1363.28"/>
    <s v="Paid"/>
    <s v="Completed"/>
    <n v="0.25"/>
    <n v="3536.5199999999995"/>
    <n v="1434.1099999999997"/>
    <n v="40.551446054313281"/>
    <n v="9"/>
    <n v="2025"/>
    <s v="CLEAN"/>
  </r>
  <r>
    <s v="ORD-2025-10703"/>
    <d v="2025-02-02T00:00:00"/>
    <d v="2025-02-06T00:00:00"/>
    <n v="4"/>
    <s v="OK"/>
    <s v="CUST-5231"/>
    <s v="Karan Malhotra"/>
    <s v="Small Business"/>
    <x v="3"/>
    <s v="Rajasthan"/>
    <s v="Udaipur"/>
    <s v="Furniture"/>
    <s v="Tables"/>
    <s v="Pro Tables 980"/>
    <s v="Second Class"/>
    <n v="3"/>
    <n v="997.34"/>
    <n v="0.1"/>
    <s v="OK"/>
    <n v="2692.82"/>
    <n v="1820.08"/>
    <n v="872.74"/>
    <s v="Paid"/>
    <s v="Completed"/>
    <n v="0.1"/>
    <n v="2692.8180000000002"/>
    <n v="872.73800000000028"/>
    <n v="32.409839803506969"/>
    <n v="2"/>
    <n v="2025"/>
    <s v="CLEAN"/>
  </r>
  <r>
    <s v="ORD-2025-10708"/>
    <d v="2025-06-24T00:00:00"/>
    <d v="2025-06-26T00:00:00"/>
    <n v="2"/>
    <s v="OK"/>
    <s v="CUST-4902"/>
    <s v="Vikram Iyer"/>
    <s v="Consumer"/>
    <x v="0"/>
    <s v="Rajasthan"/>
    <s v="Jaipur"/>
    <s v="Technology"/>
    <s v="Accessories"/>
    <s v="Pro Accessories 485"/>
    <s v="Same Day"/>
    <n v="5"/>
    <n v="3722.66"/>
    <n v="0.55000000000000004"/>
    <s v="INVALID"/>
    <n v="16751.97"/>
    <n v="11678.32"/>
    <n v="5073.6499999999996"/>
    <s v="Paid"/>
    <s v="Completed"/>
    <n v="0"/>
    <n v="18613.3"/>
    <n v="6934.98"/>
    <n v="37.258197095625171"/>
    <n v="6"/>
    <n v="2025"/>
    <s v="WARNING"/>
  </r>
  <r>
    <s v="ORD-2025-10709"/>
    <d v="2025-03-20T00:00:00"/>
    <d v="2025-03-26T00:00:00"/>
    <n v="6"/>
    <s v="OK"/>
    <s v="CUST-6504"/>
    <s v="Sneha Kapoor"/>
    <s v="Consumer"/>
    <x v="1"/>
    <s v="Assam"/>
    <s v="Guwahati"/>
    <s v="Furniture"/>
    <s v="Bookcases"/>
    <s v="Elite Bookcases 113"/>
    <s v="First Class"/>
    <n v="4"/>
    <n v="4357.66"/>
    <n v="0.05"/>
    <s v="OK"/>
    <n v="16559.11"/>
    <n v="13233.79"/>
    <n v="3325.32"/>
    <s v="Paid"/>
    <s v="Completed"/>
    <n v="0.05"/>
    <n v="16559.108"/>
    <n v="3325.3179999999993"/>
    <n v="20.081504390212316"/>
    <n v="3"/>
    <n v="2025"/>
    <s v="CLEAN"/>
  </r>
  <r>
    <s v="ORD-2025-10712"/>
    <d v="2025-02-02T00:00:00"/>
    <d v="2025-02-02T00:00:00"/>
    <n v="0"/>
    <s v="OK"/>
    <s v="CUST-6176"/>
    <s v="Kabir Singh"/>
    <s v="Corporate"/>
    <x v="1"/>
    <s v="West Bengal"/>
    <s v="Kolkata"/>
    <s v="Technology"/>
    <s v="Machines"/>
    <s v="Basic Machines 172"/>
    <s v="First Class"/>
    <n v="1"/>
    <n v="4326.75"/>
    <n v="0.05"/>
    <s v="OK"/>
    <n v="4110.41"/>
    <n v="2394.14"/>
    <n v="1716.27"/>
    <s v="Pending"/>
    <s v="Returned"/>
    <n v="0.05"/>
    <n v="4110.4124999999995"/>
    <n v="1716.2724999999996"/>
    <n v="41.754264322619683"/>
    <n v="2"/>
    <n v="2025"/>
    <s v="CLEAN"/>
  </r>
  <r>
    <s v="ORD-2025-10714"/>
    <d v="2025-06-06T00:00:00"/>
    <d v="2025-06-10T00:00:00"/>
    <n v="4"/>
    <s v="OK"/>
    <s v="CUST-2548"/>
    <s v="Mira Das"/>
    <s v="Consumer"/>
    <x v="3"/>
    <s v="Rajasthan"/>
    <s v="Udaipur"/>
    <s v="Technology"/>
    <s v="Machines"/>
    <s v="Pro Machines 987"/>
    <s v="Second Class"/>
    <n v="1"/>
    <n v="289.97000000000003"/>
    <n v="0.25"/>
    <s v="OK"/>
    <n v="217.48"/>
    <n v="132.13"/>
    <n v="85.35"/>
    <s v="Paid"/>
    <s v="Completed"/>
    <n v="0.25"/>
    <n v="217.47750000000002"/>
    <n v="85.347500000000025"/>
    <n v="39.244289639158083"/>
    <n v="6"/>
    <n v="2025"/>
    <s v="CLEAN"/>
  </r>
  <r>
    <s v="ORD-2025-10715"/>
    <d v="2025-03-22T00:00:00"/>
    <d v="2025-03-23T00:00:00"/>
    <n v="1"/>
    <s v="OK"/>
    <s v="CUST-9902"/>
    <s v="Karan Malhotra"/>
    <s v="Home Office"/>
    <x v="0"/>
    <s v="Delhi"/>
    <s v="New Delhi"/>
    <s v="Technology"/>
    <s v="Copiers"/>
    <s v="Pro Copiers 206"/>
    <s v="Standard Class"/>
    <n v="9"/>
    <n v="2075.02"/>
    <n v="0"/>
    <s v="OK"/>
    <n v="18675.18"/>
    <n v="13974.7"/>
    <n v="4700.4799999999996"/>
    <s v="Paid"/>
    <s v="Completed"/>
    <n v="0"/>
    <n v="18675.18"/>
    <n v="4700.4799999999996"/>
    <n v="25.169663692665878"/>
    <n v="3"/>
    <n v="2025"/>
    <s v="CLEAN"/>
  </r>
  <r>
    <s v="ORD-2025-10717"/>
    <d v="2025-08-26T00:00:00"/>
    <d v="2025-08-31T00:00:00"/>
    <n v="5"/>
    <s v="OK"/>
    <s v="CUST-7540"/>
    <s v="Diya Patel"/>
    <s v="Small Business"/>
    <x v="0"/>
    <s v="Haryana"/>
    <s v="Gurugram"/>
    <s v="Technology"/>
    <s v="Phones"/>
    <s v="Basic Phones 496"/>
    <s v="First Class"/>
    <n v="1"/>
    <n v="3388.02"/>
    <n v="0.15"/>
    <s v="OK"/>
    <n v="2879.82"/>
    <n v="1824.88"/>
    <n v="1054.94"/>
    <s v="Paid"/>
    <s v="Completed"/>
    <n v="0.15"/>
    <n v="2879.817"/>
    <n v="1054.9369999999999"/>
    <n v="36.632084608153917"/>
    <n v="8"/>
    <n v="2025"/>
    <s v="CLEAN"/>
  </r>
  <r>
    <s v="ORD-2025-10720"/>
    <d v="2025-09-08T00:00:00"/>
    <d v="2025-09-09T00:00:00"/>
    <n v="1"/>
    <s v="OK"/>
    <s v="CUST-3190"/>
    <s v="Kabir Singh"/>
    <s v="Corporate"/>
    <x v="3"/>
    <s v="Gujarat"/>
    <s v="Ahmedabad"/>
    <s v="Office Supplies"/>
    <s v="Art"/>
    <s v="Pro Art 447"/>
    <s v="Same Day"/>
    <n v="2"/>
    <n v="2372.41"/>
    <n v="0.2"/>
    <s v="OK"/>
    <n v="3795.86"/>
    <n v="2264.92"/>
    <n v="1530.94"/>
    <s v="Paid"/>
    <s v="Completed"/>
    <n v="0.2"/>
    <n v="3795.8559999999998"/>
    <n v="1530.9359999999997"/>
    <n v="40.331772332775529"/>
    <n v="9"/>
    <n v="2025"/>
    <s v="CLEAN"/>
  </r>
  <r>
    <s v="ORD-2025-10722"/>
    <d v="2025-06-19T00:00:00"/>
    <d v="2025-06-23T00:00:00"/>
    <n v="4"/>
    <s v="OK"/>
    <s v="CUST-7606"/>
    <s v="Sneha Kapoor"/>
    <s v="Consumer"/>
    <x v="2"/>
    <s v="Karnataka"/>
    <s v="Bengaluru"/>
    <s v="Technology"/>
    <s v="Copiers"/>
    <s v="Pro Copiers 532"/>
    <s v="First Class"/>
    <n v="5"/>
    <n v="2729.95"/>
    <n v="0"/>
    <s v="OK"/>
    <n v="13649.75"/>
    <n v="10288.030000000001"/>
    <n v="3361.72"/>
    <s v="Paid"/>
    <s v="Completed"/>
    <n v="0"/>
    <n v="13649.75"/>
    <n v="3361.7199999999993"/>
    <n v="24.628436418249414"/>
    <n v="6"/>
    <n v="2025"/>
    <s v="CLEAN"/>
  </r>
  <r>
    <s v="ORD-2025-10726"/>
    <d v="2025-10-05T00:00:00"/>
    <d v="2025-10-12T00:00:00"/>
    <n v="7"/>
    <s v="OK"/>
    <s v="CUST-6371"/>
    <s v="Priya Menon"/>
    <s v="Corporate"/>
    <x v="2"/>
    <s v="Karnataka"/>
    <s v="Bengaluru"/>
    <s v="Furniture"/>
    <s v="Tables"/>
    <s v="Max Tables 309"/>
    <s v="Second Class"/>
    <n v="7"/>
    <n v="2134.73"/>
    <n v="0"/>
    <s v="OK"/>
    <n v="14943.11"/>
    <n v="8521.5"/>
    <n v="6421.61"/>
    <s v="Paid"/>
    <s v="Completed"/>
    <n v="0"/>
    <n v="14943.11"/>
    <n v="6421.6100000000006"/>
    <n v="42.973718322357264"/>
    <n v="10"/>
    <n v="2025"/>
    <s v="CLEAN"/>
  </r>
  <r>
    <s v="ORD-2025-10730"/>
    <d v="2025-05-17T00:00:00"/>
    <d v="2025-05-25T00:00:00"/>
    <n v="8"/>
    <s v="OK"/>
    <s v="CUST-8713"/>
    <s v="Ananya Rao"/>
    <s v="Corporate"/>
    <x v="2"/>
    <s v="Tamil Nadu"/>
    <s v="Chennai"/>
    <s v="Technology"/>
    <s v="Machines"/>
    <s v="Pro Machines 563"/>
    <s v="Same Day"/>
    <n v="6"/>
    <n v="1810.63"/>
    <n v="0.15"/>
    <s v="OK"/>
    <n v="9234.2099999999991"/>
    <n v="5516.52"/>
    <n v="3717.69"/>
    <s v="Paid"/>
    <s v="Completed"/>
    <n v="0.15"/>
    <n v="9234.2129999999997"/>
    <n v="3717.6929999999993"/>
    <n v="40.259987505161504"/>
    <n v="5"/>
    <n v="2025"/>
    <s v="CLEAN"/>
  </r>
  <r>
    <s v="ORD-2025-10739"/>
    <d v="2025-02-20T00:00:00"/>
    <d v="2025-02-22T00:00:00"/>
    <n v="2"/>
    <s v="OK"/>
    <s v="CUST-5334"/>
    <s v="Priya Menon"/>
    <s v="Corporate"/>
    <x v="2"/>
    <s v="Kerala"/>
    <s v="Kochi"/>
    <s v="Office Supplies"/>
    <s v="Paper"/>
    <s v="Prime Paper 307"/>
    <s v="First Class"/>
    <n v="1"/>
    <n v="2188.19"/>
    <n v="0"/>
    <s v="OK"/>
    <n v="2188.19"/>
    <n v="1298.8399999999999"/>
    <n v="889.35"/>
    <s v="Paid"/>
    <s v="Completed"/>
    <n v="0"/>
    <n v="2188.19"/>
    <n v="889.35000000000014"/>
    <n v="40.643179979800664"/>
    <n v="2"/>
    <n v="2025"/>
    <s v="CLEAN"/>
  </r>
  <r>
    <s v="ORD-2025-10744"/>
    <d v="2025-02-12T00:00:00"/>
    <d v="2025-02-14T00:00:00"/>
    <n v="2"/>
    <s v="OK"/>
    <s v="CUST-6231"/>
    <s v="Sneha Kapoor"/>
    <s v="Consumer"/>
    <x v="0"/>
    <s v="Uttar Pradesh"/>
    <s v="Noida"/>
    <s v="Office Supplies"/>
    <s v="Art"/>
    <s v="Basic Art 764"/>
    <s v="Standard Class"/>
    <n v="6"/>
    <n v="491.4"/>
    <n v="0.25"/>
    <s v="OK"/>
    <n v="2211.3000000000002"/>
    <n v="1735.64"/>
    <n v="475.66"/>
    <s v="Paid"/>
    <s v="Completed"/>
    <n v="0.25"/>
    <n v="2211.2999999999997"/>
    <n v="475.65999999999963"/>
    <n v="21.510423732645943"/>
    <n v="2"/>
    <n v="2025"/>
    <s v="CLEAN"/>
  </r>
  <r>
    <s v="ORD-2025-10747"/>
    <d v="2025-01-04T00:00:00"/>
    <d v="2025-10-01T00:00:00"/>
    <n v="270"/>
    <s v="OK"/>
    <s v="CUST-2314"/>
    <s v="Aarav Sharma"/>
    <s v="Home Office"/>
    <x v="1"/>
    <s v="West Bengal"/>
    <s v="Kolkata"/>
    <s v="Office Supplies"/>
    <s v="Paper"/>
    <s v="Pro Paper 662"/>
    <s v="Standard Class"/>
    <n v="4"/>
    <n v="2583.19"/>
    <n v="0.2"/>
    <s v="OK"/>
    <n v="8266.2099999999991"/>
    <n v="6236.32"/>
    <n v="2029.89"/>
    <s v="Paid"/>
    <s v="Completed"/>
    <n v="0.2"/>
    <n v="8266.2080000000005"/>
    <n v="2029.8880000000008"/>
    <n v="24.556459261610652"/>
    <n v="1"/>
    <n v="2025"/>
    <s v="CLEAN"/>
  </r>
  <r>
    <s v="ORD-2025-10751"/>
    <d v="2025-06-02T00:00:00"/>
    <d v="2025-06-02T00:00:00"/>
    <n v="0"/>
    <s v="OK"/>
    <s v="CUST-7036"/>
    <s v="Aarav Sharma"/>
    <s v="Home Office"/>
    <x v="2"/>
    <s v="Telangana"/>
    <s v="Hyderabad"/>
    <s v="Technology"/>
    <s v="Accessories"/>
    <s v="Max Accessories 291"/>
    <s v="First Class"/>
    <n v="8"/>
    <n v="3925.93"/>
    <n v="0.15"/>
    <s v="OK"/>
    <n v="26696.32"/>
    <n v="22724.52"/>
    <n v="3971.8"/>
    <s v="Paid"/>
    <s v="Completed"/>
    <n v="0.15"/>
    <n v="26696.323999999997"/>
    <n v="3971.8039999999964"/>
    <n v="14.87771874509763"/>
    <n v="6"/>
    <n v="2025"/>
    <s v="CLEAN"/>
  </r>
  <r>
    <s v="ORD-2025-10752"/>
    <d v="2025-07-18T00:00:00"/>
    <d v="2025-07-19T00:00:00"/>
    <n v="1"/>
    <s v="OK"/>
    <s v="CUST-8512"/>
    <s v="Priya Menon"/>
    <s v="Home Office"/>
    <x v="4"/>
    <s v="Uttar Pradesh"/>
    <s v="Noida"/>
    <s v="Technology"/>
    <s v="Machines"/>
    <s v="Eco Machines 414"/>
    <s v="Unknown"/>
    <n v="3"/>
    <n v="2963.25"/>
    <n v="0.05"/>
    <s v="OK"/>
    <n v="8445.26"/>
    <n v="6937.6"/>
    <n v="1507.66"/>
    <s v="Paid"/>
    <s v="Completed"/>
    <n v="0.05"/>
    <n v="8445.2624999999989"/>
    <n v="1507.6624999999985"/>
    <n v="17.852168597482894"/>
    <n v="7"/>
    <n v="2025"/>
    <s v="CLEAN"/>
  </r>
  <r>
    <s v="ORD-2025-10755"/>
    <d v="2025-06-04T00:00:00"/>
    <d v="2025-06-04T00:00:00"/>
    <n v="0"/>
    <s v="OK"/>
    <s v="CUST-7960"/>
    <s v="Neha Gupta"/>
    <s v="Corporate"/>
    <x v="2"/>
    <s v="Kerala"/>
    <s v="Kochi"/>
    <s v="Office Supplies"/>
    <s v="Storage"/>
    <s v="Elite Storage 857"/>
    <s v="Standard Class"/>
    <n v="4"/>
    <n v="891.34"/>
    <n v="0.25"/>
    <s v="OK"/>
    <n v="2674.02"/>
    <n v="2207.5700000000002"/>
    <n v="466.45"/>
    <s v="Paid"/>
    <s v="Completed"/>
    <n v="0.25"/>
    <n v="2674.02"/>
    <n v="466.44999999999982"/>
    <n v="17.44377379376369"/>
    <n v="6"/>
    <n v="2025"/>
    <s v="CLEAN"/>
  </r>
  <r>
    <s v="ORD-2025-10756"/>
    <d v="2025-07-20T00:00:00"/>
    <d v="2025-07-24T00:00:00"/>
    <n v="4"/>
    <s v="OK"/>
    <s v="CUST-3365"/>
    <s v="Priya Menon"/>
    <s v="Home Office"/>
    <x v="3"/>
    <s v="Madhya Pradesh"/>
    <s v="Indore"/>
    <s v="Office Supplies"/>
    <s v="Storage"/>
    <s v="Prime Storage 183"/>
    <s v="Second Class"/>
    <n v="5"/>
    <n v="2481.7399999999998"/>
    <n v="0.2"/>
    <s v="OK"/>
    <n v="9926.9599999999991"/>
    <n v="7994.98"/>
    <n v="1931.98"/>
    <s v="Paid"/>
    <s v="Completed"/>
    <n v="0.2"/>
    <n v="9926.9599999999991"/>
    <n v="1931.9799999999996"/>
    <n v="19.461950083409217"/>
    <n v="7"/>
    <n v="2025"/>
    <s v="CLEAN"/>
  </r>
  <r>
    <s v="ORD-2025-10762"/>
    <d v="2025-08-27T00:00:00"/>
    <d v="2025-08-31T00:00:00"/>
    <n v="4"/>
    <s v="OK"/>
    <s v="CUST-8948"/>
    <s v="Isha Nair"/>
    <s v="Consumer"/>
    <x v="2"/>
    <s v="Karnataka"/>
    <s v="Bengaluru"/>
    <s v="Technology"/>
    <s v="Machines"/>
    <s v="Max Machines 364"/>
    <s v="First Class"/>
    <n v="3"/>
    <n v="2489.12"/>
    <n v="0"/>
    <s v="OK"/>
    <n v="7467.36"/>
    <n v="5010.6099999999997"/>
    <n v="2456.75"/>
    <s v="Paid"/>
    <s v="Completed"/>
    <n v="0"/>
    <n v="7467.36"/>
    <n v="2456.75"/>
    <n v="32.899846799940008"/>
    <n v="8"/>
    <n v="2025"/>
    <s v="CLEAN"/>
  </r>
  <r>
    <s v="ORD-2025-10764"/>
    <d v="2025-08-23T00:00:00"/>
    <d v="2025-08-25T00:00:00"/>
    <n v="2"/>
    <s v="OK"/>
    <s v="CUST-4086"/>
    <s v="Diya Patel"/>
    <s v="Consumer"/>
    <x v="0"/>
    <s v="Rajasthan"/>
    <s v="Jaipur"/>
    <s v="Furniture"/>
    <s v="Furnishings"/>
    <s v="Elite Furnishings 169"/>
    <s v="Same Day"/>
    <n v="6"/>
    <n v="2742.48"/>
    <n v="0"/>
    <s v="OK"/>
    <n v="16454.88"/>
    <n v="12081.54"/>
    <n v="4373.34"/>
    <s v="Paid"/>
    <s v="Completed"/>
    <n v="0"/>
    <n v="16454.88"/>
    <n v="4373.34"/>
    <n v="26.577769026574487"/>
    <n v="8"/>
    <n v="2025"/>
    <s v="CLEAN"/>
  </r>
  <r>
    <s v="ORD-2025-10765"/>
    <d v="2025-04-13T00:00:00"/>
    <d v="2025-04-13T00:00:00"/>
    <n v="0"/>
    <s v="OK"/>
    <s v="CUST-5174"/>
    <s v="Priya Menon"/>
    <s v="Corporate"/>
    <x v="2"/>
    <s v="Kerala"/>
    <s v="Kochi"/>
    <s v="Furniture"/>
    <s v="Bookcases"/>
    <s v="Pro Bookcases 615"/>
    <s v="First Class"/>
    <n v="6"/>
    <n v="4414"/>
    <n v="0.05"/>
    <s v="OK"/>
    <n v="25159.8"/>
    <n v="21606.83"/>
    <n v="3552.97"/>
    <s v="Paid"/>
    <s v="Completed"/>
    <n v="0.05"/>
    <n v="25159.8"/>
    <n v="3552.9699999999975"/>
    <n v="14.121614639226058"/>
    <n v="4"/>
    <n v="2025"/>
    <s v="CLEAN"/>
  </r>
  <r>
    <s v="ORD-2025-10766"/>
    <d v="2025-06-29T00:00:00"/>
    <d v="2025-07-03T00:00:00"/>
    <n v="4"/>
    <s v="OK"/>
    <s v="CUST-8747"/>
    <s v="Vikram Iyer"/>
    <s v="Corporate"/>
    <x v="1"/>
    <s v="Jharkhand"/>
    <s v="Ranchi"/>
    <s v="Office Supplies"/>
    <s v="Labels"/>
    <s v="Max Labels 136"/>
    <s v="First Class"/>
    <n v="3"/>
    <n v="608.14"/>
    <n v="0"/>
    <s v="OK"/>
    <n v="1824.42"/>
    <n v="1214.8699999999999"/>
    <n v="609.54999999999995"/>
    <s v="Paid"/>
    <s v="Completed"/>
    <n v="0"/>
    <n v="1824.42"/>
    <n v="609.55000000000018"/>
    <n v="33.410618169061955"/>
    <n v="6"/>
    <n v="2025"/>
    <s v="CLEAN"/>
  </r>
  <r>
    <s v="ORD-2025-10769"/>
    <d v="2025-04-02T00:00:00"/>
    <d v="2025-04-04T00:00:00"/>
    <n v="2"/>
    <s v="OK"/>
    <s v="CUST-8808"/>
    <s v="Sneha Kapoor"/>
    <s v="Home Office"/>
    <x v="1"/>
    <s v="Jharkhand"/>
    <s v="Ranchi"/>
    <s v="Office Supplies"/>
    <s v="Paper"/>
    <s v="Classic Paper 280"/>
    <s v="Same Day"/>
    <n v="5"/>
    <n v="3234.24"/>
    <n v="0.1"/>
    <s v="OK"/>
    <n v="14554.08"/>
    <n v="11166.84"/>
    <n v="3387.24"/>
    <s v="Paid"/>
    <s v="Completed"/>
    <n v="0.1"/>
    <n v="14554.08"/>
    <n v="3387.24"/>
    <n v="23.273473830018798"/>
    <n v="4"/>
    <n v="2025"/>
    <s v="CLEAN"/>
  </r>
  <r>
    <s v="ORD-2025-10774"/>
    <d v="2025-02-21T00:00:00"/>
    <d v="2025-02-21T00:00:00"/>
    <n v="0"/>
    <s v="OK"/>
    <s v="CUST-4766"/>
    <s v="Karan Malhotra"/>
    <s v="Home Office"/>
    <x v="3"/>
    <s v="Gujarat"/>
    <s v="Ahmedabad"/>
    <s v="Technology"/>
    <s v="Phones"/>
    <s v="Basic Phones 753"/>
    <s v="Unknown"/>
    <n v="4"/>
    <n v="2945.07"/>
    <n v="0.2"/>
    <s v="OK"/>
    <n v="9424.2199999999993"/>
    <n v="6178.92"/>
    <n v="3245.3"/>
    <s v="Paid"/>
    <s v="Completed"/>
    <n v="0.2"/>
    <n v="9424.2240000000002"/>
    <n v="3245.3040000000001"/>
    <n v="34.435768929091672"/>
    <n v="2"/>
    <n v="2025"/>
    <s v="CLEAN"/>
  </r>
  <r>
    <s v="ORD-2025-10775"/>
    <d v="2025-07-08T00:00:00"/>
    <d v="2025-08-07T00:00:00"/>
    <n v="30"/>
    <s v="OK"/>
    <s v="CUST-1182"/>
    <s v="Kabir Singh"/>
    <s v="Consumer"/>
    <x v="3"/>
    <s v="Rajasthan"/>
    <s v="Udaipur"/>
    <s v="Technology"/>
    <s v="Machines"/>
    <s v="Smart Machines 789"/>
    <s v="Unknown"/>
    <n v="9"/>
    <n v="1076.75"/>
    <n v="0.2"/>
    <s v="OK"/>
    <n v="7752.6"/>
    <n v="4689.3"/>
    <n v="3063.3"/>
    <s v="Paid"/>
    <s v="Completed"/>
    <n v="0.2"/>
    <n v="7752.6"/>
    <n v="3063.3"/>
    <n v="39.513195573098059"/>
    <n v="7"/>
    <n v="2025"/>
    <s v="CLEAN"/>
  </r>
  <r>
    <s v="ORD-2025-10777"/>
    <d v="2025-08-06T00:00:00"/>
    <d v="2025-06-13T00:00:00"/>
    <n v="-54"/>
    <s v="INVALID"/>
    <s v="CUST-9690"/>
    <s v="Aditi Sen"/>
    <s v="Small Business"/>
    <x v="0"/>
    <s v="Rajasthan"/>
    <s v="Jaipur"/>
    <s v="Technology"/>
    <s v="Copiers"/>
    <s v="Eco Copiers 528"/>
    <s v="Second Class"/>
    <n v="7"/>
    <n v="3857.13"/>
    <n v="0"/>
    <s v="OK"/>
    <n v="26999.91"/>
    <n v="17815.98"/>
    <n v="9183.93"/>
    <s v="Paid"/>
    <s v="Completed"/>
    <n v="0"/>
    <n v="26999.91"/>
    <n v="9183.93"/>
    <n v="34.014668937785345"/>
    <n v="8"/>
    <n v="2025"/>
    <s v="INVALID"/>
  </r>
  <r>
    <s v="ORD-2025-10783"/>
    <d v="2025-03-14T00:00:00"/>
    <d v="2025-03-22T00:00:00"/>
    <n v="8"/>
    <s v="OK"/>
    <s v="CUST-9085"/>
    <s v="Mira Das"/>
    <s v="Corporate"/>
    <x v="1"/>
    <s v="West Bengal"/>
    <s v="Kolkata"/>
    <s v="Technology"/>
    <s v="Copiers"/>
    <s v="Basic Copiers 254"/>
    <s v="Standard Class"/>
    <n v="2"/>
    <n v="669.63"/>
    <n v="0.15"/>
    <s v="OK"/>
    <n v="1138.3699999999999"/>
    <n v="797.34"/>
    <n v="341.03"/>
    <s v="Paid"/>
    <s v="Completed"/>
    <n v="0.15"/>
    <n v="1138.3709999999999"/>
    <n v="341.03099999999984"/>
    <n v="29.957808131092577"/>
    <n v="3"/>
    <n v="2025"/>
    <s v="CLEAN"/>
  </r>
  <r>
    <s v="ORD-2025-10785"/>
    <d v="2025-10-04T00:00:00"/>
    <d v="2025-10-05T00:00:00"/>
    <n v="1"/>
    <s v="OK"/>
    <s v="CUST-3119"/>
    <s v="Priya Menon"/>
    <s v="Corporate"/>
    <x v="0"/>
    <s v="Punjab"/>
    <s v="Ludhiana"/>
    <s v="Technology"/>
    <s v="Copiers"/>
    <s v="Max Copiers 551"/>
    <s v="First Class"/>
    <n v="4"/>
    <n v="418.18"/>
    <n v="0.05"/>
    <s v="OK"/>
    <n v="1589.08"/>
    <n v="1084.6600000000001"/>
    <n v="504.42"/>
    <s v="Paid"/>
    <s v="Completed"/>
    <n v="0.05"/>
    <n v="1589.0840000000001"/>
    <n v="504.42399999999998"/>
    <n v="31.743067075120003"/>
    <n v="10"/>
    <n v="2025"/>
    <s v="CLEAN"/>
  </r>
  <r>
    <s v="ORD-2025-10790"/>
    <d v="2025-03-07T00:00:00"/>
    <d v="2025-03-08T00:00:00"/>
    <n v="1"/>
    <s v="OK"/>
    <s v="CUST-1453"/>
    <s v="Priya Menon"/>
    <s v="Home Office"/>
    <x v="4"/>
    <s v="Rajasthan"/>
    <s v="Udaipur"/>
    <s v="Technology"/>
    <s v="Copiers"/>
    <s v="Smart Copiers 408"/>
    <s v="Same Day"/>
    <n v="4"/>
    <n v="3537.48"/>
    <n v="0"/>
    <s v="OK"/>
    <n v="14149.92"/>
    <n v="9466.51"/>
    <n v="4683.41"/>
    <s v="Paid"/>
    <s v="Completed"/>
    <n v="0"/>
    <n v="14149.92"/>
    <n v="4683.41"/>
    <n v="33.098491016203624"/>
    <n v="3"/>
    <n v="2025"/>
    <s v="CLEAN"/>
  </r>
  <r>
    <s v="ORD-2025-10793"/>
    <d v="2025-06-04T00:00:00"/>
    <d v="2025-06-08T00:00:00"/>
    <n v="4"/>
    <s v="OK"/>
    <s v="CUST-1417"/>
    <s v="Arjun Bose"/>
    <s v="Small Business"/>
    <x v="1"/>
    <s v="Assam"/>
    <s v="Guwahati"/>
    <s v="Furniture"/>
    <s v="Furnishings"/>
    <s v="Elite Furnishings 852"/>
    <s v="Second Class"/>
    <n v="1"/>
    <n v="3501.12"/>
    <n v="0.2"/>
    <s v="OK"/>
    <n v="2800.9"/>
    <n v="1735.98"/>
    <n v="1064.92"/>
    <s v="Paid"/>
    <s v="Returned"/>
    <n v="0.2"/>
    <n v="2800.8960000000002"/>
    <n v="1064.9160000000002"/>
    <n v="38.020547710446948"/>
    <n v="6"/>
    <n v="2025"/>
    <s v="CLEAN"/>
  </r>
  <r>
    <s v="ORD-2025-10795"/>
    <d v="2025-06-22T00:00:00"/>
    <d v="2025-06-24T00:00:00"/>
    <n v="2"/>
    <s v="OK"/>
    <s v="CUST-2829"/>
    <s v="Sneha Kapoor"/>
    <s v="Corporate"/>
    <x v="1"/>
    <s v="Assam"/>
    <s v="Guwahati"/>
    <s v="Office Supplies"/>
    <s v="Paper"/>
    <s v="Elite Paper 847"/>
    <s v="Standard Class"/>
    <n v="9"/>
    <n v="951.55"/>
    <n v="0.15"/>
    <s v="OK"/>
    <n v="7279.36"/>
    <n v="4870.3900000000003"/>
    <n v="2408.9699999999998"/>
    <s v="Paid"/>
    <s v="Completed"/>
    <n v="0.15"/>
    <n v="7279.3574999999992"/>
    <n v="2408.9674999999988"/>
    <n v="33.093133562955238"/>
    <n v="6"/>
    <n v="2025"/>
    <s v="CLEAN"/>
  </r>
  <r>
    <s v="ORD-2025-10799"/>
    <d v="2025-07-11T00:00:00"/>
    <d v="2025-09-07T00:00:00"/>
    <n v="58"/>
    <s v="OK"/>
    <s v="CUST-7553"/>
    <s v="Aditi Sen"/>
    <s v="Corporate"/>
    <x v="0"/>
    <s v="Delhi"/>
    <s v="New Delhi"/>
    <s v="Furniture"/>
    <s v="Furnishings"/>
    <s v="Classic Furnishings 348"/>
    <s v="Standard Class"/>
    <n v="9"/>
    <n v="1706.05"/>
    <n v="0"/>
    <s v="OK"/>
    <n v="15354.45"/>
    <n v="9656.5"/>
    <n v="5697.95"/>
    <s v="Paid"/>
    <s v="Completed"/>
    <n v="0"/>
    <n v="15354.449999999999"/>
    <n v="5697.9499999999989"/>
    <n v="37.109437329243313"/>
    <n v="7"/>
    <n v="2025"/>
    <s v="CLEAN"/>
  </r>
  <r>
    <s v="ORD-2025-10805"/>
    <d v="2025-10-09T00:00:00"/>
    <d v="2025-09-18T00:00:00"/>
    <n v="-21"/>
    <s v="INVALID"/>
    <s v="CUST-8745"/>
    <s v="Rahul Verma"/>
    <s v="Home Office"/>
    <x v="2"/>
    <s v="Telangana"/>
    <s v="Hyderabad"/>
    <s v="Furniture"/>
    <s v="Furnishings"/>
    <s v="Eco Furnishings 541"/>
    <s v="Standard Class"/>
    <n v="1"/>
    <n v="2050.62"/>
    <n v="0.05"/>
    <s v="OK"/>
    <n v="1948.09"/>
    <n v="1507.08"/>
    <n v="441.01"/>
    <s v="Paid"/>
    <s v="Completed"/>
    <n v="0.05"/>
    <n v="1948.0889999999997"/>
    <n v="441.00899999999979"/>
    <n v="22.638031424642296"/>
    <n v="10"/>
    <n v="2025"/>
    <s v="INVALID"/>
  </r>
  <r>
    <s v="ORD-2025-10806"/>
    <d v="2025-04-06T00:00:00"/>
    <d v="2025-07-04T00:00:00"/>
    <n v="89"/>
    <s v="OK"/>
    <s v="CUST-2098"/>
    <s v="Priya Menon"/>
    <s v="Home Office"/>
    <x v="1"/>
    <s v="Assam"/>
    <s v="Guwahati"/>
    <s v="Office Supplies"/>
    <s v="Binders"/>
    <s v="Classic Binders 103"/>
    <s v="Second Class"/>
    <n v="2"/>
    <n v="2030.06"/>
    <n v="0.25"/>
    <s v="OK"/>
    <n v="3045.09"/>
    <n v="2601.09"/>
    <n v="444"/>
    <s v="Paid"/>
    <s v="Completed"/>
    <n v="0.25"/>
    <n v="3045.09"/>
    <n v="444"/>
    <n v="14.580849827098705"/>
    <n v="4"/>
    <n v="2025"/>
    <s v="CLEAN"/>
  </r>
  <r>
    <s v="ORD-2025-10808"/>
    <d v="2025-02-07T00:00:00"/>
    <d v="2025-02-08T00:00:00"/>
    <n v="1"/>
    <s v="OK"/>
    <s v="CUST-5884"/>
    <s v="Karan Malhotra"/>
    <s v="Small Business"/>
    <x v="2"/>
    <s v="Telangana"/>
    <s v="Hyderabad"/>
    <s v="Office Supplies"/>
    <s v="Labels"/>
    <s v="Smart Labels 436"/>
    <s v="Standard Class"/>
    <n v="2"/>
    <n v="2432.98"/>
    <n v="0.1"/>
    <s v="OK"/>
    <n v="4379.3599999999997"/>
    <n v="3723.93"/>
    <n v="655.43"/>
    <s v="Paid"/>
    <s v="Completed"/>
    <n v="0.1"/>
    <n v="4379.3640000000005"/>
    <n v="655.43400000000065"/>
    <n v="14.966419781502532"/>
    <n v="2"/>
    <n v="2025"/>
    <s v="CLEAN"/>
  </r>
  <r>
    <s v="ORD-2025-10809"/>
    <d v="2025-08-31T00:00:00"/>
    <d v="2025-08-28T00:00:00"/>
    <n v="-3"/>
    <s v="INVALID"/>
    <s v="CUST-7503"/>
    <s v="Aarav Sharma"/>
    <s v="Small Business"/>
    <x v="2"/>
    <s v="Tamil Nadu"/>
    <s v="Chennai"/>
    <s v="Furniture"/>
    <s v="Furnishings"/>
    <s v="Pro Furnishings 386"/>
    <s v="First Class"/>
    <n v="7"/>
    <n v="977.28"/>
    <n v="0.2"/>
    <s v="OK"/>
    <n v="5472.77"/>
    <n v="4477.33"/>
    <n v="995.44"/>
    <s v="Paid"/>
    <s v="Completed"/>
    <n v="0.2"/>
    <n v="5472.768"/>
    <n v="995.4380000000001"/>
    <n v="18.188931085695575"/>
    <n v="8"/>
    <n v="2025"/>
    <s v="INVALID"/>
  </r>
  <r>
    <s v="ORD-2025-10810"/>
    <d v="2025-06-25T00:00:00"/>
    <d v="2025-06-25T00:00:00"/>
    <n v="0"/>
    <s v="OK"/>
    <s v="CUST-6973"/>
    <s v="Arjun Bose"/>
    <s v="Small Business"/>
    <x v="4"/>
    <s v="Punjab"/>
    <s v="Ludhiana"/>
    <s v="Office Supplies"/>
    <s v="Binders"/>
    <s v="Eco Binders 601"/>
    <s v="Second Class"/>
    <n v="6"/>
    <n v="1366.13"/>
    <n v="0.1"/>
    <s v="OK"/>
    <n v="7377.1"/>
    <n v="5085.21"/>
    <n v="2291.89"/>
    <s v="Paid"/>
    <s v="Completed"/>
    <n v="0.1"/>
    <n v="7377.1020000000008"/>
    <n v="2291.8920000000007"/>
    <n v="31.067646888981614"/>
    <n v="6"/>
    <n v="2025"/>
    <s v="CLEAN"/>
  </r>
  <r>
    <s v="ORD-2025-10814"/>
    <d v="2025-04-06T00:00:00"/>
    <d v="2025-04-10T00:00:00"/>
    <n v="4"/>
    <s v="OK"/>
    <s v="CUST-7848"/>
    <s v="Rohan Mehta"/>
    <s v="Consumer"/>
    <x v="1"/>
    <s v="Odisha"/>
    <s v="Bhubaneswar"/>
    <s v="Furniture"/>
    <s v="Bookcases"/>
    <s v="Elite Bookcases 988"/>
    <s v="Standard Class"/>
    <n v="2"/>
    <n v="1337.67"/>
    <n v="0"/>
    <s v="OK"/>
    <n v="2675.34"/>
    <n v="1595.87"/>
    <n v="1079.47"/>
    <s v="Paid"/>
    <s v="Completed"/>
    <n v="0"/>
    <n v="2675.34"/>
    <n v="1079.4700000000003"/>
    <n v="40.348890234512261"/>
    <n v="4"/>
    <n v="2025"/>
    <s v="CLEAN"/>
  </r>
  <r>
    <s v="ORD-2025-10815"/>
    <d v="2025-08-06T00:00:00"/>
    <d v="2025-08-11T00:00:00"/>
    <n v="5"/>
    <s v="OK"/>
    <s v="CUST-9048"/>
    <s v="Arjun Bose"/>
    <s v="Consumer"/>
    <x v="3"/>
    <s v="Madhya Pradesh"/>
    <s v="Indore"/>
    <s v="Office Supplies"/>
    <s v="Labels"/>
    <s v="Smart Labels 126"/>
    <s v="First Class"/>
    <n v="2"/>
    <n v="2375.94"/>
    <n v="0.25"/>
    <s v="OK"/>
    <n v="3563.91"/>
    <n v="2639.7"/>
    <n v="924.21"/>
    <s v="Paid"/>
    <s v="Completed"/>
    <n v="0.25"/>
    <n v="3563.91"/>
    <n v="924.21"/>
    <n v="25.932473042248542"/>
    <n v="8"/>
    <n v="2025"/>
    <s v="CLEAN"/>
  </r>
  <r>
    <s v="ORD-2025-10818"/>
    <d v="2025-04-05T00:00:00"/>
    <d v="2025-04-05T00:00:00"/>
    <n v="0"/>
    <s v="OK"/>
    <s v="CUST-2221"/>
    <s v="Sneha Kapoor"/>
    <s v="Consumer"/>
    <x v="1"/>
    <s v="Bihar"/>
    <s v="Patna"/>
    <s v="Office Supplies"/>
    <s v="Binders"/>
    <s v="Classic Binders 873"/>
    <s v="Standard Class"/>
    <n v="6"/>
    <n v="1829.69"/>
    <n v="0.25"/>
    <s v="OK"/>
    <n v="8233.6"/>
    <n v="4713.79"/>
    <n v="3519.81"/>
    <s v="Paid"/>
    <s v="Completed"/>
    <n v="0.25"/>
    <n v="8233.6049999999996"/>
    <n v="3519.8149999999996"/>
    <n v="42.749378917254347"/>
    <n v="4"/>
    <n v="2025"/>
    <s v="CLEAN"/>
  </r>
  <r>
    <s v="ORD-2025-10821"/>
    <d v="2025-06-02T00:00:00"/>
    <d v="2025-10-02T00:00:00"/>
    <n v="122"/>
    <s v="OK"/>
    <s v="CUST-2041"/>
    <s v="Ananya Rao"/>
    <s v="Home Office"/>
    <x v="0"/>
    <s v="Uttar Pradesh"/>
    <s v="Noida"/>
    <s v="Furniture"/>
    <s v="Bookcases"/>
    <s v="Classic Bookcases 882"/>
    <s v="Standard Class"/>
    <n v="2"/>
    <n v="319.57"/>
    <n v="0.2"/>
    <s v="OK"/>
    <n v="511.31"/>
    <n v="436.43"/>
    <n v="74.88"/>
    <s v="Paid"/>
    <s v="Completed"/>
    <n v="0.2"/>
    <n v="511.31200000000001"/>
    <n v="74.882000000000005"/>
    <n v="14.645069937728824"/>
    <n v="6"/>
    <n v="2025"/>
    <s v="CLEAN"/>
  </r>
  <r>
    <s v="ORD-2025-10824"/>
    <d v="2025-01-06T00:00:00"/>
    <d v="2025-01-12T00:00:00"/>
    <n v="6"/>
    <s v="OK"/>
    <s v="CUST-6638"/>
    <s v="Mira Das"/>
    <s v="Home Office"/>
    <x v="3"/>
    <s v="Goa"/>
    <s v="Panaji"/>
    <s v="Office Supplies"/>
    <s v="Paper"/>
    <s v="Basic Paper 899"/>
    <s v="Same Day"/>
    <n v="3"/>
    <n v="668.33"/>
    <n v="0.15"/>
    <s v="OK"/>
    <n v="1704.24"/>
    <n v="957.55"/>
    <n v="746.69"/>
    <s v="Paid"/>
    <s v="Completed"/>
    <n v="0.15"/>
    <n v="1704.2415000000001"/>
    <n v="746.69150000000013"/>
    <n v="43.813714194848565"/>
    <n v="1"/>
    <n v="2025"/>
    <s v="CLEAN"/>
  </r>
  <r>
    <s v="ORD-2025-10825"/>
    <d v="2025-03-21T00:00:00"/>
    <d v="2025-03-22T00:00:00"/>
    <n v="1"/>
    <s v="OK"/>
    <s v="CUST-3540"/>
    <s v="Priya Menon"/>
    <s v="Consumer"/>
    <x v="3"/>
    <s v="Goa"/>
    <s v="Panaji"/>
    <s v="Office Supplies"/>
    <s v="Paper"/>
    <s v="Pro Paper 267"/>
    <s v="First Class"/>
    <n v="8"/>
    <n v="4436.74"/>
    <n v="0.05"/>
    <s v="OK"/>
    <n v="33719.22"/>
    <n v="28924.43"/>
    <n v="4794.79"/>
    <s v="Paid"/>
    <s v="Completed"/>
    <n v="0.05"/>
    <n v="33719.223999999995"/>
    <n v="4794.7939999999944"/>
    <n v="14.219763776295668"/>
    <n v="3"/>
    <n v="2025"/>
    <s v="CLEAN"/>
  </r>
  <r>
    <s v="ORD-2025-10826"/>
    <d v="2025-04-16T00:00:00"/>
    <d v="2025-04-17T00:00:00"/>
    <n v="1"/>
    <s v="OK"/>
    <s v="CUST-3351"/>
    <s v="Vikram Iyer"/>
    <s v="Small Business"/>
    <x v="0"/>
    <s v="Uttar Pradesh"/>
    <s v="Noida"/>
    <s v="Technology"/>
    <s v="Machines"/>
    <s v="Basic Machines 832"/>
    <s v="First Class"/>
    <n v="1"/>
    <n v="2720.17"/>
    <n v="0"/>
    <s v="OK"/>
    <n v="2720.17"/>
    <n v="1834.23"/>
    <n v="885.94"/>
    <s v="Paid"/>
    <s v="Completed"/>
    <n v="0"/>
    <n v="2720.17"/>
    <n v="885.94"/>
    <n v="32.569287948914962"/>
    <n v="4"/>
    <n v="2025"/>
    <s v="CLEAN"/>
  </r>
  <r>
    <s v="ORD-2025-10827"/>
    <d v="2025-08-10T00:00:00"/>
    <d v="2025-08-14T00:00:00"/>
    <n v="4"/>
    <s v="OK"/>
    <s v="CUST-4375"/>
    <s v="Aditi Sen"/>
    <s v="Consumer"/>
    <x v="3"/>
    <s v="Rajasthan"/>
    <s v="Udaipur"/>
    <s v="Technology"/>
    <s v="Accessories"/>
    <s v="Elite Accessories 790"/>
    <s v="Standard Class"/>
    <n v="5"/>
    <n v="2190.14"/>
    <n v="0.25"/>
    <s v="OK"/>
    <n v="8213.02"/>
    <n v="5569.3"/>
    <n v="2643.72"/>
    <s v="Paid"/>
    <s v="Completed"/>
    <n v="0.25"/>
    <n v="8213.0249999999996"/>
    <n v="2643.7249999999995"/>
    <n v="32.189418636860346"/>
    <n v="8"/>
    <n v="2025"/>
    <s v="CLEAN"/>
  </r>
  <r>
    <s v="ORD-2025-10831"/>
    <d v="2025-07-15T00:00:00"/>
    <d v="2025-07-18T00:00:00"/>
    <n v="3"/>
    <s v="OK"/>
    <s v="CUST-7929"/>
    <s v="Aditi Sen"/>
    <s v="Small Business"/>
    <x v="4"/>
    <s v="Tamil Nadu"/>
    <s v="Chennai"/>
    <s v="Technology"/>
    <s v="Machines"/>
    <s v="Smart Machines 951"/>
    <s v="First Class"/>
    <n v="6"/>
    <n v="2382.88"/>
    <n v="0.1"/>
    <s v="OK"/>
    <n v="12867.55"/>
    <n v="10068.94"/>
    <n v="2798.61"/>
    <s v="Paid"/>
    <s v="Completed"/>
    <n v="0.1"/>
    <n v="12867.552000000001"/>
    <n v="2798.612000000001"/>
    <n v="21.749373929089234"/>
    <n v="7"/>
    <n v="2025"/>
    <s v="CLEAN"/>
  </r>
  <r>
    <s v="ORD-2025-10833"/>
    <d v="2025-05-26T00:00:00"/>
    <d v="2025-05-28T00:00:00"/>
    <n v="2"/>
    <s v="OK"/>
    <s v="CUST-9557"/>
    <s v="Kabir Singh"/>
    <s v="Small Business"/>
    <x v="2"/>
    <s v="Andhra Pradesh"/>
    <s v="Vijayawada"/>
    <s v="Technology"/>
    <s v="Phones"/>
    <s v="Max Phones 919"/>
    <s v="Second Class"/>
    <n v="9"/>
    <n v="4302.0200000000004"/>
    <n v="0.05"/>
    <s v="OK"/>
    <n v="36782.269999999997"/>
    <n v="25902.81"/>
    <n v="10879.46"/>
    <s v="Paid"/>
    <s v="Completed"/>
    <n v="0.05"/>
    <n v="36782.271000000008"/>
    <n v="10879.461000000007"/>
    <n v="29.578002402298665"/>
    <n v="5"/>
    <n v="2025"/>
    <s v="CLEAN"/>
  </r>
  <r>
    <s v="ORD-2025-10836"/>
    <d v="2025-09-26T00:00:00"/>
    <d v="2025-04-10T00:00:00"/>
    <n v="-169"/>
    <s v="INVALID"/>
    <s v="CUST-5150"/>
    <s v="Priya Menon"/>
    <s v="Small Business"/>
    <x v="1"/>
    <s v="Assam"/>
    <s v="Guwahati"/>
    <s v="Technology"/>
    <s v="Phones"/>
    <s v="Prime Phones 338"/>
    <s v="Second Class"/>
    <n v="7"/>
    <n v="1509.59"/>
    <n v="0.05"/>
    <s v="OK"/>
    <n v="10038.77"/>
    <n v="5673.1"/>
    <n v="4365.67"/>
    <s v="Paid"/>
    <s v="Completed"/>
    <n v="0.05"/>
    <n v="10038.773499999999"/>
    <n v="4365.673499999999"/>
    <n v="43.48811635206232"/>
    <n v="9"/>
    <n v="2025"/>
    <s v="INVALID"/>
  </r>
  <r>
    <s v="ORD-2025-10838"/>
    <d v="2025-09-27T00:00:00"/>
    <d v="2025-09-28T00:00:00"/>
    <n v="1"/>
    <s v="OK"/>
    <s v="CUST-2551"/>
    <s v="Karan Malhotra"/>
    <s v="Home Office"/>
    <x v="3"/>
    <s v="Maharashtra"/>
    <s v="Mumbai"/>
    <s v="Office Supplies"/>
    <s v="Paper"/>
    <s v="Prime Paper 812"/>
    <s v="First Class"/>
    <n v="3"/>
    <n v="4177.63"/>
    <n v="0.25"/>
    <s v="OK"/>
    <n v="9399.67"/>
    <n v="6540.37"/>
    <n v="2859.3"/>
    <s v="Paid"/>
    <s v="Completed"/>
    <n v="0.25"/>
    <n v="9399.6674999999996"/>
    <n v="2859.2974999999997"/>
    <n v="30.419134506619518"/>
    <n v="9"/>
    <n v="2025"/>
    <s v="CLEAN"/>
  </r>
  <r>
    <s v="ORD-2025-10839"/>
    <d v="2025-04-03T00:00:00"/>
    <d v="2025-04-07T00:00:00"/>
    <n v="4"/>
    <s v="OK"/>
    <s v="CUST-4708"/>
    <s v="Ananya Rao"/>
    <s v="Small Business"/>
    <x v="3"/>
    <s v="Goa"/>
    <s v="Panaji"/>
    <s v="Office Supplies"/>
    <s v="Paper"/>
    <s v="Pro Paper 355"/>
    <s v="Same Day"/>
    <n v="1"/>
    <n v="1470.57"/>
    <n v="0"/>
    <s v="OK"/>
    <n v="1470.57"/>
    <n v="834.02"/>
    <n v="636.54999999999995"/>
    <s v="Paid"/>
    <s v="Returned"/>
    <n v="0"/>
    <n v="1470.57"/>
    <n v="636.54999999999995"/>
    <n v="43.285936745615643"/>
    <n v="4"/>
    <n v="2025"/>
    <s v="CLEAN"/>
  </r>
  <r>
    <s v="ORD-2025-10841"/>
    <d v="2025-09-19T00:00:00"/>
    <d v="2025-09-19T00:00:00"/>
    <n v="0"/>
    <s v="OK"/>
    <s v="CUST-1297"/>
    <s v="Neha Gupta"/>
    <s v="Home Office"/>
    <x v="0"/>
    <s v="Delhi"/>
    <s v="New Delhi"/>
    <s v="Furniture"/>
    <s v="Chairs"/>
    <s v="Classic Chairs 204"/>
    <s v="Same Day"/>
    <n v="4"/>
    <n v="1584.11"/>
    <n v="0"/>
    <s v="OK"/>
    <n v="6336.44"/>
    <n v="4680.68"/>
    <n v="1655.76"/>
    <s v="Paid"/>
    <s v="Completed"/>
    <n v="0"/>
    <n v="6336.44"/>
    <n v="1655.7599999999993"/>
    <n v="26.130761121386765"/>
    <n v="9"/>
    <n v="2025"/>
    <s v="CLEAN"/>
  </r>
  <r>
    <s v="ORD-2025-10842"/>
    <d v="2025-02-06T00:00:00"/>
    <d v="2025-02-12T00:00:00"/>
    <n v="6"/>
    <s v="OK"/>
    <s v="CUST-7558"/>
    <s v="Ananya Rao"/>
    <s v="Small Business"/>
    <x v="1"/>
    <s v="Bihar"/>
    <s v="Patna"/>
    <s v="Office Supplies"/>
    <s v="Art"/>
    <s v="Max Art 339"/>
    <s v="Standard Class"/>
    <n v="9"/>
    <n v="3237.16"/>
    <n v="0.25"/>
    <s v="OK"/>
    <n v="21850.83"/>
    <n v="16600.13"/>
    <n v="5250.7"/>
    <s v="Paid"/>
    <s v="Completed"/>
    <n v="0.25"/>
    <n v="21850.829999999998"/>
    <n v="5250.6999999999971"/>
    <n v="24.029750814957591"/>
    <n v="2"/>
    <n v="2025"/>
    <s v="CLEAN"/>
  </r>
  <r>
    <s v="ORD-2025-10844"/>
    <d v="2025-07-18T00:00:00"/>
    <d v="2025-07-25T00:00:00"/>
    <n v="7"/>
    <s v="OK"/>
    <s v="CUST-7333"/>
    <s v="Priya Menon"/>
    <s v="Small Business"/>
    <x v="0"/>
    <s v="Uttar Pradesh"/>
    <s v="Noida"/>
    <s v="Technology"/>
    <s v="Phones"/>
    <s v="Prime Phones 482"/>
    <s v="First Class"/>
    <n v="9"/>
    <n v="3989.52"/>
    <n v="-0.02"/>
    <s v="INVALID"/>
    <n v="35905.68"/>
    <n v="23916.1"/>
    <n v="11989.58"/>
    <s v="Paid"/>
    <s v="Completed"/>
    <n v="0"/>
    <n v="35905.68"/>
    <n v="11989.580000000002"/>
    <n v="33.391875602968675"/>
    <n v="7"/>
    <n v="2025"/>
    <s v="INVALID"/>
  </r>
  <r>
    <s v="ORD-2025-10845"/>
    <d v="2025-01-20T00:00:00"/>
    <d v="2025-01-25T00:00:00"/>
    <n v="5"/>
    <s v="OK"/>
    <s v="CUST-2086"/>
    <s v="Aditi Sen"/>
    <s v="Home Office"/>
    <x v="3"/>
    <s v="Goa"/>
    <s v="Panaji"/>
    <s v="Office Supplies"/>
    <s v="Art"/>
    <s v="Pro Art 588"/>
    <s v="First Class"/>
    <n v="1"/>
    <n v="3515.15"/>
    <n v="0"/>
    <s v="OK"/>
    <n v="3515.15"/>
    <n v="2216.34"/>
    <n v="1298.81"/>
    <s v="Paid"/>
    <s v="Completed"/>
    <n v="0"/>
    <n v="3515.15"/>
    <n v="1298.81"/>
    <n v="36.948921098672884"/>
    <n v="1"/>
    <n v="2025"/>
    <s v="CLEAN"/>
  </r>
  <r>
    <s v="ORD-2025-10848"/>
    <d v="2025-05-20T00:00:00"/>
    <d v="2025-05-22T00:00:00"/>
    <n v="2"/>
    <s v="OK"/>
    <s v="CUST-8329"/>
    <s v="Diya Patel"/>
    <s v="Home Office"/>
    <x v="1"/>
    <s v="Odisha"/>
    <s v="Bhubaneswar"/>
    <s v="Furniture"/>
    <s v="Tables"/>
    <s v="Pro Tables 828"/>
    <s v="Second Class"/>
    <n v="2"/>
    <n v="210.08"/>
    <n v="0.2"/>
    <s v="OK"/>
    <n v="336.13"/>
    <n v="242.19"/>
    <n v="93.94"/>
    <s v="Paid"/>
    <s v="Completed"/>
    <n v="0.2"/>
    <n v="336.12800000000004"/>
    <n v="93.938000000000045"/>
    <n v="27.947091584158422"/>
    <n v="5"/>
    <n v="2025"/>
    <s v="CLEAN"/>
  </r>
  <r>
    <s v="ORD-2025-10849"/>
    <d v="2025-05-27T00:00:00"/>
    <d v="2025-05-29T00:00:00"/>
    <n v="2"/>
    <s v="OK"/>
    <s v="CUST-4426"/>
    <s v="Rahul Verma"/>
    <s v="Home Office"/>
    <x v="2"/>
    <s v="Tamil Nadu"/>
    <s v="Chennai"/>
    <s v="Furniture"/>
    <s v="Furnishings"/>
    <s v="Elite Furnishings 480"/>
    <s v="Second Class"/>
    <n v="1"/>
    <n v="1744.35"/>
    <n v="0.25"/>
    <s v="OK"/>
    <n v="1308.26"/>
    <n v="1083.56"/>
    <n v="224.7"/>
    <s v="Paid"/>
    <s v="Completed"/>
    <n v="0.25"/>
    <n v="1308.2624999999998"/>
    <n v="224.70249999999987"/>
    <n v="17.175643267310644"/>
    <n v="5"/>
    <n v="2025"/>
    <s v="CLEAN"/>
  </r>
  <r>
    <s v="ORD-2025-10854"/>
    <d v="2025-05-16T00:00:00"/>
    <d v="2025-05-22T00:00:00"/>
    <n v="6"/>
    <s v="OK"/>
    <s v="CUST-8274"/>
    <s v="Arjun Bose"/>
    <s v="Corporate"/>
    <x v="2"/>
    <s v="Tamil Nadu"/>
    <s v="Chennai"/>
    <s v="Technology"/>
    <s v="Accessories"/>
    <s v="Elite Accessories 708"/>
    <s v="Same Day"/>
    <n v="8"/>
    <n v="579.79999999999995"/>
    <n v="0.2"/>
    <s v="OK"/>
    <n v="3710.72"/>
    <n v="3115.29"/>
    <n v="595.42999999999995"/>
    <s v="Paid"/>
    <s v="Completed"/>
    <n v="0.2"/>
    <n v="3710.72"/>
    <n v="595.42999999999984"/>
    <n v="16.046212055881334"/>
    <n v="5"/>
    <n v="2025"/>
    <s v="CLEAN"/>
  </r>
  <r>
    <s v="ORD-2025-10855"/>
    <d v="2025-03-25T00:00:00"/>
    <d v="2025-04-02T00:00:00"/>
    <n v="8"/>
    <s v="OK"/>
    <s v="CUST-2514"/>
    <s v="Priya Menon"/>
    <s v="Consumer"/>
    <x v="2"/>
    <s v="Karnataka"/>
    <s v="Bengaluru"/>
    <s v="Furniture"/>
    <s v="Bookcases"/>
    <s v="Max Bookcases 381"/>
    <s v="Second Class"/>
    <n v="4"/>
    <n v="2233.64"/>
    <n v="0.05"/>
    <s v="OK"/>
    <n v="8487.83"/>
    <n v="5245.72"/>
    <n v="3242.11"/>
    <s v="Paid"/>
    <s v="Completed"/>
    <n v="0.05"/>
    <n v="8487.8319999999985"/>
    <n v="3242.1119999999983"/>
    <n v="38.197174496384925"/>
    <n v="3"/>
    <n v="2025"/>
    <s v="CLEAN"/>
  </r>
  <r>
    <s v="ORD-2025-10862"/>
    <d v="2025-03-08T00:00:00"/>
    <d v="2025-03-09T00:00:00"/>
    <n v="1"/>
    <s v="OK"/>
    <s v="CUST-9448"/>
    <s v="Priya Menon"/>
    <s v="Home Office"/>
    <x v="0"/>
    <s v="Delhi"/>
    <s v="New Delhi"/>
    <s v="Furniture"/>
    <s v="Furnishings"/>
    <s v="Smart Furnishings 892"/>
    <s v="Same Day"/>
    <n v="4"/>
    <n v="3405.68"/>
    <n v="0.2"/>
    <s v="OK"/>
    <n v="10898.18"/>
    <n v="6231.41"/>
    <n v="4666.7700000000004"/>
    <s v="Paid"/>
    <s v="Completed"/>
    <n v="0.2"/>
    <n v="10898.175999999999"/>
    <n v="4666.7659999999996"/>
    <n v="42.8215327041883"/>
    <n v="3"/>
    <n v="2025"/>
    <s v="CLEAN"/>
  </r>
  <r>
    <s v="ORD-2025-10864"/>
    <d v="2025-09-06T00:00:00"/>
    <d v="2025-09-08T00:00:00"/>
    <n v="2"/>
    <s v="OK"/>
    <s v="CUST-2200"/>
    <s v="Aarav Sharma"/>
    <s v="Home Office"/>
    <x v="3"/>
    <s v="Madhya Pradesh"/>
    <s v="Indore"/>
    <s v="Furniture"/>
    <s v="Furnishings"/>
    <s v="Prime Furnishings 679"/>
    <s v="Same Day"/>
    <n v="3"/>
    <n v="2937.23"/>
    <n v="0"/>
    <s v="OK"/>
    <n v="8811.69"/>
    <n v="6765.91"/>
    <n v="2045.78"/>
    <s v="Paid"/>
    <s v="Completed"/>
    <n v="0"/>
    <n v="8811.69"/>
    <n v="2045.7800000000007"/>
    <n v="23.216658779416893"/>
    <n v="9"/>
    <n v="2025"/>
    <s v="CLEAN"/>
  </r>
  <r>
    <s v="ORD-2025-10865"/>
    <d v="2025-09-02T00:00:00"/>
    <d v="2025-05-09T00:00:00"/>
    <n v="-116"/>
    <s v="INVALID"/>
    <s v="CUST-1178"/>
    <s v="Vikram Iyer"/>
    <s v="Consumer"/>
    <x v="2"/>
    <s v="Tamil Nadu"/>
    <s v="Chennai"/>
    <s v="Technology"/>
    <s v="Phones"/>
    <s v="Smart Phones 158"/>
    <s v="First Class"/>
    <n v="5"/>
    <n v="3406.87"/>
    <n v="0"/>
    <s v="OK"/>
    <n v="17034.349999999999"/>
    <n v="14631.36"/>
    <n v="2402.9899999999998"/>
    <s v="Paid"/>
    <s v="Completed"/>
    <n v="0"/>
    <n v="17034.349999999999"/>
    <n v="2402.989999999998"/>
    <n v="14.106731398615141"/>
    <n v="9"/>
    <n v="2025"/>
    <s v="INVALID"/>
  </r>
  <r>
    <s v="ORD-2025-10866"/>
    <d v="2025-06-02T00:00:00"/>
    <d v="2025-02-14T00:00:00"/>
    <n v="-108"/>
    <s v="INVALID"/>
    <s v="CUST-8099"/>
    <s v="Kabir Singh"/>
    <s v="Consumer"/>
    <x v="3"/>
    <s v="Maharashtra"/>
    <s v="Mumbai"/>
    <s v="Office Supplies"/>
    <s v="Labels"/>
    <s v="Classic Labels 218"/>
    <s v="Second Class"/>
    <n v="2"/>
    <n v="3992.04"/>
    <n v="0"/>
    <s v="OK"/>
    <n v="7984.08"/>
    <n v="5658.05"/>
    <n v="2326.0300000000002"/>
    <s v="Paid"/>
    <s v="Completed"/>
    <n v="0"/>
    <n v="7984.08"/>
    <n v="2326.0299999999997"/>
    <n v="29.133350367230786"/>
    <n v="6"/>
    <n v="2025"/>
    <s v="INVALID"/>
  </r>
  <r>
    <s v="ORD-2025-10869"/>
    <d v="2025-11-04T00:00:00"/>
    <d v="2025-04-15T00:00:00"/>
    <n v="-203"/>
    <s v="INVALID"/>
    <s v="CUST-8483"/>
    <s v="Vikram Iyer"/>
    <s v="Home Office"/>
    <x v="2"/>
    <s v="Karnataka"/>
    <s v="Bengaluru"/>
    <s v="Office Supplies"/>
    <s v="Storage"/>
    <s v="Elite Storage 187"/>
    <s v="Same Day"/>
    <n v="9"/>
    <n v="224.94"/>
    <n v="0.05"/>
    <s v="OK"/>
    <n v="1923.24"/>
    <n v="1093.6600000000001"/>
    <n v="829.58"/>
    <s v="Paid"/>
    <s v="Completed"/>
    <n v="0.05"/>
    <n v="1923.2369999999999"/>
    <n v="829.57699999999977"/>
    <n v="43.134413491420965"/>
    <n v="11"/>
    <n v="2025"/>
    <s v="INVALID"/>
  </r>
  <r>
    <s v="ORD-2025-10870"/>
    <d v="2025-03-06T00:00:00"/>
    <d v="2025-07-03T00:00:00"/>
    <n v="119"/>
    <s v="OK"/>
    <s v="CUST-2388"/>
    <s v="Rohan Mehta"/>
    <s v="Home Office"/>
    <x v="4"/>
    <s v="Delhi"/>
    <s v="New Delhi"/>
    <s v="Furniture"/>
    <s v="Chairs"/>
    <s v="Max Chairs 487"/>
    <s v="Same Day"/>
    <n v="6"/>
    <n v="796.65"/>
    <n v="0.1"/>
    <s v="OK"/>
    <n v="4301.91"/>
    <n v="2374.4"/>
    <n v="1927.51"/>
    <s v="Paid"/>
    <s v="Completed"/>
    <n v="0.1"/>
    <n v="4301.91"/>
    <n v="1927.5099999999998"/>
    <n v="44.805911792668837"/>
    <n v="3"/>
    <n v="2025"/>
    <s v="CLEAN"/>
  </r>
  <r>
    <s v="ORD-2025-10874"/>
    <d v="2025-02-01T00:00:00"/>
    <d v="2025-08-02T00:00:00"/>
    <n v="182"/>
    <s v="OK"/>
    <s v="CUST-8160"/>
    <s v="Aditi Sen"/>
    <s v="Home Office"/>
    <x v="3"/>
    <s v="Gujarat"/>
    <s v="Ahmedabad"/>
    <s v="Office Supplies"/>
    <s v="Storage"/>
    <s v="Elite Storage 144"/>
    <s v="Second Class"/>
    <n v="8"/>
    <n v="623.30999999999995"/>
    <n v="0.1"/>
    <s v="OK"/>
    <n v="4487.83"/>
    <n v="2633.78"/>
    <n v="1854.05"/>
    <s v="Paid"/>
    <s v="Completed"/>
    <n v="0.1"/>
    <n v="4487.8319999999994"/>
    <n v="1854.0519999999992"/>
    <n v="41.312865543986483"/>
    <n v="2"/>
    <n v="2025"/>
    <s v="CLEAN"/>
  </r>
  <r>
    <s v="ORD-2025-10875"/>
    <d v="2025-07-15T00:00:00"/>
    <d v="2025-07-16T00:00:00"/>
    <n v="1"/>
    <s v="OK"/>
    <s v="CUST-8770"/>
    <s v="Vikram Iyer"/>
    <s v="Small Business"/>
    <x v="3"/>
    <s v="Maharashtra"/>
    <s v="Mumbai"/>
    <s v="Office Supplies"/>
    <s v="Paper"/>
    <s v="Elite Paper 309"/>
    <s v="Standard Class"/>
    <n v="8"/>
    <n v="3924.88"/>
    <n v="0.05"/>
    <s v="OK"/>
    <n v="29829.09"/>
    <n v="20710.18"/>
    <n v="9118.91"/>
    <s v="Paid"/>
    <s v="Completed"/>
    <n v="0.05"/>
    <n v="29829.088"/>
    <n v="9118.9079999999994"/>
    <n v="30.57052230359842"/>
    <n v="7"/>
    <n v="2025"/>
    <s v="CLEAN"/>
  </r>
  <r>
    <s v="ORD-2025-10878"/>
    <d v="2025-08-26T00:00:00"/>
    <d v="2025-09-03T00:00:00"/>
    <n v="8"/>
    <s v="OK"/>
    <s v="CUST-7146"/>
    <s v="Aarav Sharma"/>
    <s v="Consumer"/>
    <x v="3"/>
    <s v="Rajasthan"/>
    <s v="Udaipur"/>
    <s v="Office Supplies"/>
    <s v="Storage"/>
    <s v="Max Storage 438"/>
    <s v="Second Class"/>
    <n v="6"/>
    <n v="674.36"/>
    <n v="0.1"/>
    <s v="OK"/>
    <n v="3641.54"/>
    <n v="2690.37"/>
    <n v="951.17"/>
    <s v="Paid"/>
    <s v="Completed"/>
    <n v="0.1"/>
    <n v="3641.5439999999999"/>
    <n v="951.17399999999998"/>
    <n v="26.120074342092252"/>
    <n v="8"/>
    <n v="2025"/>
    <s v="CLEAN"/>
  </r>
  <r>
    <s v="ORD-2025-10880"/>
    <d v="2025-08-27T00:00:00"/>
    <d v="2025-08-28T00:00:00"/>
    <n v="1"/>
    <s v="OK"/>
    <s v="CUST-4486"/>
    <s v="Ananya Rao"/>
    <s v="Home Office"/>
    <x v="0"/>
    <s v="Uttar Pradesh"/>
    <s v="Noida"/>
    <s v="Office Supplies"/>
    <s v="Art"/>
    <s v="Smart Art 990"/>
    <s v="Standard Class"/>
    <n v="6"/>
    <n v="1182.03"/>
    <n v="0.15"/>
    <s v="OK"/>
    <n v="6028.35"/>
    <n v="4433.63"/>
    <n v="1594.72"/>
    <s v="Paid"/>
    <s v="Completed"/>
    <n v="0.15"/>
    <n v="6028.3530000000001"/>
    <n v="1594.723"/>
    <n v="26.45370966166049"/>
    <n v="8"/>
    <n v="2025"/>
    <s v="CLEAN"/>
  </r>
  <r>
    <s v="ORD-2025-10883"/>
    <d v="2025-02-02T00:00:00"/>
    <d v="2025-02-10T00:00:00"/>
    <n v="8"/>
    <s v="OK"/>
    <s v="CUST-4983"/>
    <s v="Sneha Kapoor"/>
    <s v="Corporate"/>
    <x v="1"/>
    <s v="Bihar"/>
    <s v="Patna"/>
    <s v="Technology"/>
    <s v="Accessories"/>
    <s v="Basic Accessories 607"/>
    <s v="Standard Class"/>
    <n v="4"/>
    <n v="1912.45"/>
    <n v="0"/>
    <s v="OK"/>
    <n v="7649.8"/>
    <n v="4894.53"/>
    <n v="2755.27"/>
    <s v="Pending"/>
    <s v="Returned"/>
    <n v="0"/>
    <n v="7649.8"/>
    <n v="2755.2700000000004"/>
    <n v="36.017542942299151"/>
    <n v="2"/>
    <n v="2025"/>
    <s v="CLEAN"/>
  </r>
  <r>
    <s v="ORD-2025-10884"/>
    <d v="2025-04-28T00:00:00"/>
    <d v="2025-05-01T00:00:00"/>
    <n v="3"/>
    <s v="OK"/>
    <s v="CUST-2597"/>
    <s v="Aarav Sharma"/>
    <s v="Small Business"/>
    <x v="3"/>
    <s v="Goa"/>
    <s v="Panaji"/>
    <s v="Office Supplies"/>
    <s v="Storage"/>
    <s v="Classic Storage 211"/>
    <s v="Same Day"/>
    <n v="1"/>
    <n v="1620.87"/>
    <n v="0"/>
    <s v="OK"/>
    <n v="1620.87"/>
    <n v="1103.6099999999999"/>
    <n v="517.26"/>
    <s v="Paid"/>
    <s v="Completed"/>
    <n v="0"/>
    <n v="1620.87"/>
    <n v="517.26"/>
    <n v="31.912491439782343"/>
    <n v="4"/>
    <n v="2025"/>
    <s v="CLEAN"/>
  </r>
  <r>
    <s v="ORD-2025-10885"/>
    <d v="2025-01-18T00:00:00"/>
    <d v="2025-01-25T00:00:00"/>
    <n v="7"/>
    <s v="OK"/>
    <s v="CUST-7505"/>
    <s v="Neha Gupta"/>
    <s v="Home Office"/>
    <x v="2"/>
    <s v="Karnataka"/>
    <s v="Bengaluru"/>
    <s v="Office Supplies"/>
    <s v="Storage"/>
    <s v="Eco Storage 783"/>
    <s v="Same Day"/>
    <n v="2"/>
    <n v="2098.54"/>
    <n v="0.15"/>
    <s v="OK"/>
    <n v="3567.52"/>
    <n v="2411.8000000000002"/>
    <n v="1155.72"/>
    <s v="Paid"/>
    <s v="Completed"/>
    <n v="0.15"/>
    <n v="3567.518"/>
    <n v="1155.7179999999998"/>
    <n v="32.395575859743381"/>
    <n v="1"/>
    <n v="2025"/>
    <s v="CLEAN"/>
  </r>
  <r>
    <s v="ORD-2025-10890"/>
    <d v="2025-03-10T00:00:00"/>
    <d v="2025-03-11T00:00:00"/>
    <n v="1"/>
    <s v="OK"/>
    <s v="CUST-8467"/>
    <s v="Aditi Sen"/>
    <s v="Home Office"/>
    <x v="3"/>
    <s v="Madhya Pradesh"/>
    <s v="Indore"/>
    <s v="Office Supplies"/>
    <s v="Storage"/>
    <s v="Prime Storage 806"/>
    <s v="First Class"/>
    <n v="2"/>
    <n v="3922.08"/>
    <n v="0.25"/>
    <s v="OK"/>
    <n v="5883.12"/>
    <n v="4647.91"/>
    <n v="1235.21"/>
    <s v="Paid"/>
    <s v="Returned"/>
    <n v="0.25"/>
    <n v="5883.12"/>
    <n v="1235.21"/>
    <n v="20.995832143488492"/>
    <n v="3"/>
    <n v="2025"/>
    <s v="CLEAN"/>
  </r>
  <r>
    <s v="ORD-2025-10893"/>
    <d v="2025-04-12T00:00:00"/>
    <d v="2025-04-18T00:00:00"/>
    <n v="6"/>
    <s v="OK"/>
    <s v="CUST-5087"/>
    <s v="Isha Nair"/>
    <s v="Small Business"/>
    <x v="1"/>
    <s v="Jharkhand"/>
    <s v="Ranchi"/>
    <s v="Technology"/>
    <s v="Copiers"/>
    <s v="Elite Copiers 221"/>
    <s v="Same Day"/>
    <n v="1"/>
    <n v="726.89"/>
    <n v="0.2"/>
    <s v="OK"/>
    <n v="581.51"/>
    <n v="423.86"/>
    <n v="157.65"/>
    <s v="Paid"/>
    <s v="Completed"/>
    <n v="0.2"/>
    <n v="581.51200000000006"/>
    <n v="157.65200000000004"/>
    <n v="27.110704508247469"/>
    <n v="4"/>
    <n v="2025"/>
    <s v="CLEAN"/>
  </r>
  <r>
    <s v="ORD-2025-10898"/>
    <d v="2025-04-29T00:00:00"/>
    <d v="2025-05-03T00:00:00"/>
    <n v="4"/>
    <s v="OK"/>
    <s v="CUST-2897"/>
    <s v="Rohan Mehta"/>
    <s v="Corporate"/>
    <x v="0"/>
    <s v="Haryana"/>
    <s v="Gurugram"/>
    <s v="Office Supplies"/>
    <s v="Paper"/>
    <s v="Eco Paper 747"/>
    <s v="First Class"/>
    <n v="4"/>
    <n v="1786.65"/>
    <n v="0.05"/>
    <s v="OK"/>
    <n v="6789.27"/>
    <n v="5626.43"/>
    <n v="1162.8399999999999"/>
    <s v="Paid"/>
    <s v="Completed"/>
    <n v="0.05"/>
    <n v="6789.27"/>
    <n v="1162.8400000000001"/>
    <n v="17.127614603631908"/>
    <n v="4"/>
    <n v="2025"/>
    <s v="CLEAN"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6">
  <r>
    <x v="0"/>
    <d v="2024-07-21T00:00:00"/>
    <d v="2024-07-27T00:00:00"/>
    <n v="6"/>
    <s v="OK"/>
    <s v="CUST-4655"/>
    <s v="Karan Malhotra"/>
    <x v="0"/>
    <x v="0"/>
    <s v="Rajasthan"/>
    <s v="Jaipur"/>
    <x v="0"/>
    <x v="0"/>
    <s v="Pro Paper 122"/>
    <x v="0"/>
    <n v="8"/>
    <n v="2976.45"/>
    <n v="0.2"/>
    <s v="OK"/>
    <n v="19049.28"/>
    <n v="15841.89"/>
    <n v="3207.39"/>
    <x v="0"/>
    <x v="0"/>
    <n v="0.2"/>
    <n v="19049.28"/>
    <n v="3207.3899999999994"/>
    <n v="16.837329284886358"/>
    <x v="0"/>
    <x v="0"/>
    <s v="CLEAN"/>
  </r>
  <r>
    <x v="1"/>
    <d v="2024-08-31T00:00:00"/>
    <d v="2024-09-05T00:00:00"/>
    <n v="5"/>
    <s v="OK"/>
    <s v="CUST-2054"/>
    <s v="Mira Das"/>
    <x v="1"/>
    <x v="1"/>
    <s v="Odisha"/>
    <s v="Bhubaneswar"/>
    <x v="1"/>
    <x v="1"/>
    <s v="Pro Tables 258"/>
    <x v="1"/>
    <n v="3"/>
    <n v="2437.5"/>
    <n v="0"/>
    <s v="OK"/>
    <n v="7312.5"/>
    <n v="4904.7299999999996"/>
    <n v="2407.77"/>
    <x v="0"/>
    <x v="0"/>
    <n v="0"/>
    <n v="7312.5"/>
    <n v="2407.7700000000004"/>
    <n v="32.926769230769239"/>
    <x v="1"/>
    <x v="0"/>
    <s v="CLEAN"/>
  </r>
  <r>
    <x v="2"/>
    <d v="2024-06-08T00:00:00"/>
    <d v="2024-06-15T00:00:00"/>
    <n v="7"/>
    <s v="OK"/>
    <s v="CUST-6843"/>
    <s v="Isha Nair"/>
    <x v="0"/>
    <x v="1"/>
    <s v="Odisha"/>
    <s v="Bhubaneswar"/>
    <x v="0"/>
    <x v="2"/>
    <s v="Elite Art 525"/>
    <x v="2"/>
    <n v="4"/>
    <n v="1065.43"/>
    <n v="0.55000000000000004"/>
    <s v="INVALID"/>
    <n v="4261.72"/>
    <n v="2465.69"/>
    <n v="1796.03"/>
    <x v="0"/>
    <x v="0"/>
    <n v="0"/>
    <n v="4261.72"/>
    <n v="1796.0300000000002"/>
    <n v="42.143313028542465"/>
    <x v="2"/>
    <x v="0"/>
    <s v="WARNING"/>
  </r>
  <r>
    <x v="3"/>
    <d v="2024-11-28T00:00:00"/>
    <d v="2024-11-29T00:00:00"/>
    <n v="1"/>
    <s v="OK"/>
    <s v="CUST-3722"/>
    <s v="Arjun Bose"/>
    <x v="1"/>
    <x v="2"/>
    <s v="Telangana"/>
    <s v="Hyderabad"/>
    <x v="1"/>
    <x v="3"/>
    <s v="Smart Furnishings 294"/>
    <x v="3"/>
    <n v="6"/>
    <n v="1848.43"/>
    <n v="0.25"/>
    <s v="OK"/>
    <n v="8317.93"/>
    <n v="6796.77"/>
    <n v="1521.16"/>
    <x v="0"/>
    <x v="0"/>
    <n v="0.25"/>
    <n v="8317.9349999999995"/>
    <n v="1521.1649999999991"/>
    <n v="18.287772145370205"/>
    <x v="3"/>
    <x v="0"/>
    <s v="CLEAN"/>
  </r>
  <r>
    <x v="4"/>
    <d v="2024-05-24T00:00:00"/>
    <d v="2024-05-28T00:00:00"/>
    <n v="4"/>
    <s v="OK"/>
    <s v="CUST-6056"/>
    <s v="Vikram Iyer"/>
    <x v="1"/>
    <x v="3"/>
    <s v="Madhya Pradesh"/>
    <s v="Indore"/>
    <x v="2"/>
    <x v="4"/>
    <s v="Pro Accessories 821"/>
    <x v="1"/>
    <n v="3"/>
    <n v="1053.1099999999999"/>
    <n v="0.2"/>
    <s v="OK"/>
    <n v="2527.46"/>
    <n v="1533.58"/>
    <n v="993.88"/>
    <x v="0"/>
    <x v="0"/>
    <n v="0.2"/>
    <n v="2527.4639999999999"/>
    <n v="993.88400000000001"/>
    <n v="39.323369195367377"/>
    <x v="4"/>
    <x v="0"/>
    <s v="CLEAN"/>
  </r>
  <r>
    <x v="5"/>
    <d v="2024-11-05T00:00:00"/>
    <d v="2024-11-10T00:00:00"/>
    <n v="5"/>
    <s v="OK"/>
    <s v="CUST-2598"/>
    <s v="Aditi Sen"/>
    <x v="2"/>
    <x v="2"/>
    <s v="Telangana"/>
    <s v="Hyderabad"/>
    <x v="0"/>
    <x v="5"/>
    <s v="Classic Labels 815"/>
    <x v="2"/>
    <n v="8"/>
    <n v="3134.2"/>
    <n v="0"/>
    <s v="OK"/>
    <n v="25073.599999999999"/>
    <n v="17347.23"/>
    <n v="7726.37"/>
    <x v="0"/>
    <x v="0"/>
    <n v="0"/>
    <n v="25073.599999999999"/>
    <n v="7726.369999999999"/>
    <n v="30.814761342607362"/>
    <x v="3"/>
    <x v="0"/>
    <s v="CLEAN"/>
  </r>
  <r>
    <x v="6"/>
    <d v="2024-07-22T00:00:00"/>
    <d v="2024-07-23T00:00:00"/>
    <n v="1"/>
    <s v="OK"/>
    <s v="CUST-6528"/>
    <s v="Vikram Iyer"/>
    <x v="1"/>
    <x v="1"/>
    <s v="Odisha"/>
    <s v="Bhubaneswar"/>
    <x v="2"/>
    <x v="4"/>
    <s v="Smart Accessories 603"/>
    <x v="1"/>
    <n v="6"/>
    <n v="2005.95"/>
    <n v="0.2"/>
    <s v="OK"/>
    <n v="9628.56"/>
    <n v="8038.59"/>
    <n v="1589.97"/>
    <x v="0"/>
    <x v="0"/>
    <n v="0.2"/>
    <n v="9628.5600000000013"/>
    <n v="1589.9700000000012"/>
    <n v="16.513061143099289"/>
    <x v="0"/>
    <x v="0"/>
    <s v="CLEAN"/>
  </r>
  <r>
    <x v="7"/>
    <d v="2024-12-20T00:00:00"/>
    <d v="2024-12-21T00:00:00"/>
    <n v="1"/>
    <s v="OK"/>
    <s v="CUST-2648"/>
    <s v="Ananya Rao"/>
    <x v="2"/>
    <x v="3"/>
    <s v="Rajasthan"/>
    <s v="Udaipur"/>
    <x v="0"/>
    <x v="0"/>
    <s v="Pro Paper 481"/>
    <x v="2"/>
    <n v="1"/>
    <n v="702.14"/>
    <n v="0.15"/>
    <s v="OK"/>
    <n v="596.82000000000005"/>
    <n v="380.25"/>
    <n v="216.57"/>
    <x v="1"/>
    <x v="1"/>
    <n v="0.15"/>
    <n v="596.81899999999996"/>
    <n v="216.56899999999996"/>
    <n v="36.287216057129548"/>
    <x v="5"/>
    <x v="0"/>
    <s v="CLEAN"/>
  </r>
  <r>
    <x v="8"/>
    <d v="2024-12-27T00:00:00"/>
    <d v="2024-12-28T00:00:00"/>
    <n v="1"/>
    <s v="OK"/>
    <s v="CUST-4912"/>
    <s v="Rahul Verma"/>
    <x v="0"/>
    <x v="3"/>
    <s v="Rajasthan"/>
    <s v="Udaipur"/>
    <x v="2"/>
    <x v="6"/>
    <s v="Max Copiers 983"/>
    <x v="3"/>
    <n v="2"/>
    <n v="2737.83"/>
    <n v="0.25"/>
    <s v="OK"/>
    <n v="4106.74"/>
    <n v="2666.3"/>
    <n v="1440.44"/>
    <x v="0"/>
    <x v="0"/>
    <n v="0.25"/>
    <n v="4106.7449999999999"/>
    <n v="1440.4449999999997"/>
    <n v="35.075102057712364"/>
    <x v="5"/>
    <x v="0"/>
    <s v="CLEAN"/>
  </r>
  <r>
    <x v="9"/>
    <d v="2024-07-09T00:00:00"/>
    <d v="2024-07-09T00:00:00"/>
    <n v="0"/>
    <s v="OK"/>
    <s v="CUST-7656"/>
    <s v="Karan Malhotra"/>
    <x v="1"/>
    <x v="0"/>
    <s v="Punjab"/>
    <s v="Ludhiana"/>
    <x v="0"/>
    <x v="7"/>
    <s v="Classic Storage 198"/>
    <x v="0"/>
    <n v="6"/>
    <n v="3965.76"/>
    <n v="0"/>
    <s v="OK"/>
    <n v="23794.560000000001"/>
    <n v="15698.47"/>
    <n v="8096.09"/>
    <x v="0"/>
    <x v="0"/>
    <n v="0"/>
    <n v="23794.560000000001"/>
    <n v="8096.090000000002"/>
    <n v="34.02496200812287"/>
    <x v="0"/>
    <x v="0"/>
    <s v="CLEAN"/>
  </r>
  <r>
    <x v="10"/>
    <d v="2024-05-08T00:00:00"/>
    <d v="2024-05-15T00:00:00"/>
    <n v="7"/>
    <s v="OK"/>
    <s v="CUST-6214"/>
    <s v="Aarav Sharma"/>
    <x v="0"/>
    <x v="2"/>
    <s v="Telangana"/>
    <s v="Hyderabad"/>
    <x v="0"/>
    <x v="2"/>
    <s v="Basic Art 204"/>
    <x v="2"/>
    <n v="4"/>
    <n v="3323.51"/>
    <n v="0.25"/>
    <s v="OK"/>
    <n v="9970.5300000000007"/>
    <n v="5668.17"/>
    <n v="4302.3599999999997"/>
    <x v="0"/>
    <x v="0"/>
    <n v="0.25"/>
    <n v="9970.5300000000007"/>
    <n v="4302.3600000000006"/>
    <n v="43.150765305354881"/>
    <x v="4"/>
    <x v="0"/>
    <s v="CLEAN"/>
  </r>
  <r>
    <x v="11"/>
    <d v="2024-01-07T00:00:00"/>
    <d v="2024-01-08T00:00:00"/>
    <n v="1"/>
    <s v="OK"/>
    <s v="CUST-1626"/>
    <s v="Sneha Kapoor"/>
    <x v="1"/>
    <x v="0"/>
    <s v="Rajasthan"/>
    <s v="Jaipur"/>
    <x v="1"/>
    <x v="3"/>
    <s v="Basic Furnishings 434"/>
    <x v="1"/>
    <n v="5"/>
    <n v="1526.78"/>
    <n v="0"/>
    <s v="OK"/>
    <n v="7633.9"/>
    <n v="4706.91"/>
    <n v="2926.99"/>
    <x v="0"/>
    <x v="0"/>
    <n v="0"/>
    <n v="7633.9"/>
    <n v="2926.99"/>
    <n v="38.342000812166781"/>
    <x v="6"/>
    <x v="0"/>
    <s v="CLEAN"/>
  </r>
  <r>
    <x v="12"/>
    <d v="2024-07-27T00:00:00"/>
    <d v="2024-07-31T00:00:00"/>
    <n v="4"/>
    <s v="OK"/>
    <s v="CUST-3186"/>
    <s v="Rohan Mehta"/>
    <x v="3"/>
    <x v="3"/>
    <s v="Madhya Pradesh"/>
    <s v="Indore"/>
    <x v="0"/>
    <x v="7"/>
    <s v="Prime Storage 121"/>
    <x v="0"/>
    <n v="3"/>
    <n v="3887.94"/>
    <n v="-0.19"/>
    <s v="INVALID"/>
    <n v="9331.06"/>
    <n v="7529.31"/>
    <n v="1801.75"/>
    <x v="0"/>
    <x v="0"/>
    <n v="0"/>
    <n v="11663.82"/>
    <n v="4134.5099999999993"/>
    <n v="35.447306285590827"/>
    <x v="0"/>
    <x v="0"/>
    <s v="INVALID"/>
  </r>
  <r>
    <x v="13"/>
    <d v="2024-11-10T00:00:00"/>
    <d v="2024-10-19T00:00:00"/>
    <n v="-22"/>
    <s v="INVALID"/>
    <s v="CUST-1731"/>
    <s v="Arjun Bose"/>
    <x v="2"/>
    <x v="1"/>
    <s v="Assam"/>
    <s v="Guwahati"/>
    <x v="2"/>
    <x v="4"/>
    <s v="Classic Accessories 478"/>
    <x v="2"/>
    <n v="2"/>
    <n v="4315.2"/>
    <n v="0.15"/>
    <s v="OK"/>
    <n v="7335.84"/>
    <n v="4968.41"/>
    <n v="2367.4299999999998"/>
    <x v="0"/>
    <x v="0"/>
    <n v="0.15"/>
    <n v="7335.8399999999992"/>
    <n v="2367.4299999999994"/>
    <n v="32.272105171323254"/>
    <x v="3"/>
    <x v="0"/>
    <s v="INVALID"/>
  </r>
  <r>
    <x v="14"/>
    <d v="2024-11-23T00:00:00"/>
    <d v="2024-11-23T00:00:00"/>
    <n v="0"/>
    <s v="OK"/>
    <s v="CUST-4401"/>
    <s v="Diya Patel"/>
    <x v="2"/>
    <x v="0"/>
    <s v="Uttar Pradesh"/>
    <s v="Noida"/>
    <x v="2"/>
    <x v="8"/>
    <s v="Pro Phones 243"/>
    <x v="3"/>
    <n v="4"/>
    <n v="716.13"/>
    <n v="0.1"/>
    <s v="OK"/>
    <n v="2578.0700000000002"/>
    <n v="1527.55"/>
    <n v="1050.52"/>
    <x v="0"/>
    <x v="1"/>
    <n v="0.1"/>
    <n v="2578.0680000000002"/>
    <n v="1050.5180000000003"/>
    <n v="40.748265755596833"/>
    <x v="3"/>
    <x v="0"/>
    <s v="CLEAN"/>
  </r>
  <r>
    <x v="15"/>
    <d v="2024-02-09T00:00:00"/>
    <d v="2024-02-12T00:00:00"/>
    <n v="3"/>
    <s v="OK"/>
    <s v="CUST-8759"/>
    <s v="Ananya Rao"/>
    <x v="2"/>
    <x v="3"/>
    <s v="Goa"/>
    <s v="Panaji"/>
    <x v="0"/>
    <x v="5"/>
    <s v="Pro Labels 355"/>
    <x v="2"/>
    <n v="1"/>
    <n v="3421.77"/>
    <n v="0.1"/>
    <s v="OK"/>
    <n v="3079.59"/>
    <n v="2001.89"/>
    <n v="1077.7"/>
    <x v="0"/>
    <x v="0"/>
    <n v="0.1"/>
    <n v="3079.5929999999998"/>
    <n v="1077.7029999999997"/>
    <n v="34.994981479695525"/>
    <x v="7"/>
    <x v="0"/>
    <s v="CLEAN"/>
  </r>
  <r>
    <x v="16"/>
    <d v="2024-11-22T00:00:00"/>
    <d v="2024-11-26T00:00:00"/>
    <n v="4"/>
    <s v="OK"/>
    <s v="CUST-6509"/>
    <s v="Aarav Sharma"/>
    <x v="2"/>
    <x v="2"/>
    <s v="Andhra Pradesh"/>
    <s v="Vijayawada"/>
    <x v="2"/>
    <x v="8"/>
    <s v="Basic Phones 242"/>
    <x v="0"/>
    <n v="3"/>
    <n v="4001.25"/>
    <n v="0"/>
    <s v="OK"/>
    <n v="9002.81"/>
    <n v="7529.92"/>
    <n v="1472.89"/>
    <x v="0"/>
    <x v="0"/>
    <n v="0"/>
    <n v="12003.75"/>
    <n v="4473.83"/>
    <n v="37.270269707383108"/>
    <x v="3"/>
    <x v="0"/>
    <s v="CLEAN"/>
  </r>
  <r>
    <x v="17"/>
    <d v="2024-07-22T00:00:00"/>
    <d v="2024-07-27T00:00:00"/>
    <n v="5"/>
    <s v="OK"/>
    <s v="CUST-6660"/>
    <s v="Priya Menon"/>
    <x v="3"/>
    <x v="3"/>
    <s v="Goa"/>
    <s v="Panaji"/>
    <x v="1"/>
    <x v="1"/>
    <s v="Max Tables 836"/>
    <x v="1"/>
    <n v="7"/>
    <n v="492.41"/>
    <n v="0.25"/>
    <s v="OK"/>
    <n v="2585.15"/>
    <n v="2070.73"/>
    <n v="514.41999999999996"/>
    <x v="0"/>
    <x v="0"/>
    <n v="0.25"/>
    <n v="2585.1525000000001"/>
    <n v="514.42250000000013"/>
    <n v="19.899116203009303"/>
    <x v="0"/>
    <x v="0"/>
    <s v="CLEAN"/>
  </r>
  <r>
    <x v="18"/>
    <d v="2024-05-29T00:00:00"/>
    <d v="2024-05-29T00:00:00"/>
    <n v="0"/>
    <s v="OK"/>
    <s v="CUST-1611"/>
    <s v="Sneha Kapoor"/>
    <x v="1"/>
    <x v="3"/>
    <s v="Gujarat"/>
    <s v="Ahmedabad"/>
    <x v="1"/>
    <x v="9"/>
    <s v="Prime Bookcases 414"/>
    <x v="0"/>
    <n v="8"/>
    <n v="2507.12"/>
    <n v="0.05"/>
    <s v="OK"/>
    <n v="19054.11"/>
    <n v="15313.83"/>
    <n v="3740.28"/>
    <x v="1"/>
    <x v="1"/>
    <n v="0.05"/>
    <n v="19054.111999999997"/>
    <n v="3740.2819999999974"/>
    <n v="19.629789097492438"/>
    <x v="4"/>
    <x v="0"/>
    <s v="CLEAN"/>
  </r>
  <r>
    <x v="19"/>
    <d v="2024-10-25T00:00:00"/>
    <d v="2024-10-28T00:00:00"/>
    <n v="3"/>
    <s v="OK"/>
    <s v="CUST-8296"/>
    <s v="Rohan Mehta"/>
    <x v="2"/>
    <x v="3"/>
    <s v="Maharashtra"/>
    <s v="Mumbai"/>
    <x v="1"/>
    <x v="9"/>
    <s v="Eco Bookcases 220"/>
    <x v="0"/>
    <n v="3"/>
    <n v="3126.47"/>
    <n v="0"/>
    <s v="OK"/>
    <n v="9379.41"/>
    <n v="6670.85"/>
    <n v="2708.56"/>
    <x v="0"/>
    <x v="1"/>
    <n v="0"/>
    <n v="9379.41"/>
    <n v="2708.5599999999995"/>
    <n v="28.877722585962225"/>
    <x v="8"/>
    <x v="0"/>
    <s v="CLEAN"/>
  </r>
  <r>
    <x v="20"/>
    <d v="2024-06-17T00:00:00"/>
    <d v="2024-06-22T00:00:00"/>
    <n v="5"/>
    <s v="OK"/>
    <s v="CUST-8235"/>
    <s v="Aarav Sharma"/>
    <x v="2"/>
    <x v="3"/>
    <s v="Gujarat"/>
    <s v="Ahmedabad"/>
    <x v="2"/>
    <x v="8"/>
    <s v="Prime Phones 507"/>
    <x v="2"/>
    <n v="7"/>
    <n v="2210.6799999999998"/>
    <n v="0.1"/>
    <s v="OK"/>
    <n v="13927.28"/>
    <n v="10504.87"/>
    <n v="3422.41"/>
    <x v="0"/>
    <x v="0"/>
    <n v="0.1"/>
    <n v="13927.284"/>
    <n v="3422.4139999999989"/>
    <n v="24.573448778670691"/>
    <x v="2"/>
    <x v="0"/>
    <s v="CLEAN"/>
  </r>
  <r>
    <x v="21"/>
    <d v="2024-12-11T00:00:00"/>
    <d v="2024-12-11T00:00:00"/>
    <n v="0"/>
    <s v="OK"/>
    <s v="CUST-5830"/>
    <s v="Mira Das"/>
    <x v="1"/>
    <x v="3"/>
    <s v="Madhya Pradesh"/>
    <s v="Indore"/>
    <x v="2"/>
    <x v="6"/>
    <s v="Classic Copiers 590"/>
    <x v="2"/>
    <n v="4"/>
    <n v="1370.92"/>
    <n v="0.1"/>
    <s v="OK"/>
    <n v="4935.3100000000004"/>
    <n v="3374.77"/>
    <n v="1560.54"/>
    <x v="1"/>
    <x v="1"/>
    <n v="0.1"/>
    <n v="4935.3120000000008"/>
    <n v="1560.5420000000008"/>
    <n v="31.619925954022776"/>
    <x v="5"/>
    <x v="0"/>
    <s v="CLEAN"/>
  </r>
  <r>
    <x v="22"/>
    <d v="2024-10-10T00:00:00"/>
    <d v="2024-10-16T00:00:00"/>
    <n v="6"/>
    <s v="OK"/>
    <s v="CUST-7178"/>
    <s v="Isha Nair"/>
    <x v="3"/>
    <x v="3"/>
    <s v="Rajasthan"/>
    <s v="Udaipur"/>
    <x v="2"/>
    <x v="6"/>
    <s v="Eco Copiers 865"/>
    <x v="3"/>
    <n v="7"/>
    <n v="2509.27"/>
    <n v="0.2"/>
    <s v="OK"/>
    <n v="14051.91"/>
    <n v="11990.37"/>
    <n v="2061.54"/>
    <x v="0"/>
    <x v="0"/>
    <n v="0.2"/>
    <n v="14051.912"/>
    <n v="2061.5419999999995"/>
    <n v="14.67090030168136"/>
    <x v="8"/>
    <x v="0"/>
    <s v="CLEAN"/>
  </r>
  <r>
    <x v="23"/>
    <d v="2024-07-08T00:00:00"/>
    <d v="2024-07-14T00:00:00"/>
    <n v="6"/>
    <s v="OK"/>
    <s v="CUST-7119"/>
    <s v="Priya Menon"/>
    <x v="1"/>
    <x v="1"/>
    <s v="Odisha"/>
    <s v="Bhubaneswar"/>
    <x v="1"/>
    <x v="3"/>
    <s v="Smart Furnishings 956"/>
    <x v="1"/>
    <n v="3"/>
    <n v="1010.23"/>
    <n v="0"/>
    <s v="OK"/>
    <n v="3030.69"/>
    <n v="1721.08"/>
    <n v="1309.6099999999999"/>
    <x v="0"/>
    <x v="0"/>
    <n v="0"/>
    <n v="3030.69"/>
    <n v="1309.6100000000001"/>
    <n v="43.211611877163293"/>
    <x v="0"/>
    <x v="0"/>
    <s v="CLEAN"/>
  </r>
  <r>
    <x v="24"/>
    <d v="2024-06-22T00:00:00"/>
    <d v="2024-06-25T00:00:00"/>
    <n v="3"/>
    <s v="OK"/>
    <s v="CUST-3373"/>
    <s v="Rohan Mehta"/>
    <x v="1"/>
    <x v="0"/>
    <s v="Haryana"/>
    <s v="Gurugram"/>
    <x v="1"/>
    <x v="10"/>
    <s v="Max Chairs 393"/>
    <x v="3"/>
    <n v="9"/>
    <n v="3329.77"/>
    <n v="0.1"/>
    <s v="OK"/>
    <n v="26971.14"/>
    <n v="17376.2"/>
    <n v="9594.94"/>
    <x v="0"/>
    <x v="0"/>
    <n v="0.1"/>
    <n v="26971.137000000002"/>
    <n v="9594.9370000000017"/>
    <n v="35.574833200394927"/>
    <x v="2"/>
    <x v="0"/>
    <s v="CLEAN"/>
  </r>
  <r>
    <x v="25"/>
    <d v="2024-01-18T00:00:00"/>
    <d v="2024-01-24T00:00:00"/>
    <n v="6"/>
    <s v="OK"/>
    <s v="CUST-8896"/>
    <s v="Isha Nair"/>
    <x v="3"/>
    <x v="1"/>
    <s v="Bihar"/>
    <s v="Patna"/>
    <x v="0"/>
    <x v="2"/>
    <s v="Prime Art 221"/>
    <x v="0"/>
    <n v="8"/>
    <n v="3927.82"/>
    <n v="0.05"/>
    <s v="OK"/>
    <n v="29851.43"/>
    <n v="17487.48"/>
    <n v="12363.95"/>
    <x v="1"/>
    <x v="1"/>
    <n v="0.05"/>
    <n v="29851.432000000001"/>
    <n v="12363.952000000001"/>
    <n v="41.418287739094062"/>
    <x v="6"/>
    <x v="0"/>
    <s v="CLEAN"/>
  </r>
  <r>
    <x v="26"/>
    <d v="2024-12-08T00:00:00"/>
    <d v="2024-08-12T00:00:00"/>
    <n v="-118"/>
    <s v="INVALID"/>
    <s v="CUST-1987"/>
    <s v="Rahul Verma"/>
    <x v="2"/>
    <x v="2"/>
    <s v="Tamil Nadu"/>
    <s v="Chennai"/>
    <x v="0"/>
    <x v="7"/>
    <s v="Max Storage 432"/>
    <x v="3"/>
    <n v="8"/>
    <n v="2445.31"/>
    <n v="0.1"/>
    <s v="OK"/>
    <n v="17606.23"/>
    <n v="12438.96"/>
    <n v="5167.2700000000004"/>
    <x v="0"/>
    <x v="0"/>
    <n v="0.1"/>
    <n v="17606.232"/>
    <n v="5167.2720000000008"/>
    <n v="29.349107747756591"/>
    <x v="5"/>
    <x v="0"/>
    <s v="INVALID"/>
  </r>
  <r>
    <x v="27"/>
    <d v="2024-04-06T00:00:00"/>
    <d v="2024-04-13T00:00:00"/>
    <n v="7"/>
    <s v="OK"/>
    <s v="CUST-2380"/>
    <s v="Aarav Sharma"/>
    <x v="3"/>
    <x v="0"/>
    <s v="Uttar Pradesh"/>
    <s v="Noida"/>
    <x v="2"/>
    <x v="6"/>
    <s v="Classic Copiers 295"/>
    <x v="0"/>
    <n v="9"/>
    <n v="792.11"/>
    <n v="0.05"/>
    <s v="OK"/>
    <n v="6772.54"/>
    <n v="5755.46"/>
    <n v="1017.08"/>
    <x v="0"/>
    <x v="0"/>
    <n v="0.05"/>
    <n v="6772.5404999999992"/>
    <n v="1017.0804999999991"/>
    <n v="15.01771011926764"/>
    <x v="9"/>
    <x v="0"/>
    <s v="CLEAN"/>
  </r>
  <r>
    <x v="28"/>
    <d v="2024-04-24T00:00:00"/>
    <d v="2024-04-29T00:00:00"/>
    <n v="5"/>
    <s v="OK"/>
    <s v="CUST-3557"/>
    <s v="Ananya Rao"/>
    <x v="2"/>
    <x v="2"/>
    <s v="Telangana"/>
    <s v="Hyderabad"/>
    <x v="0"/>
    <x v="2"/>
    <s v="Pro Art 907"/>
    <x v="3"/>
    <n v="6"/>
    <n v="1528.08"/>
    <n v="0"/>
    <s v="OK"/>
    <n v="9168.48"/>
    <n v="7439.77"/>
    <n v="1728.71"/>
    <x v="0"/>
    <x v="0"/>
    <n v="0"/>
    <n v="9168.48"/>
    <n v="1728.7099999999991"/>
    <n v="18.854924698532354"/>
    <x v="9"/>
    <x v="0"/>
    <s v="CLEAN"/>
  </r>
  <r>
    <x v="29"/>
    <d v="2024-02-07T00:00:00"/>
    <d v="2024-02-15T00:00:00"/>
    <n v="8"/>
    <s v="OK"/>
    <s v="CUST-9941"/>
    <s v="Priya Menon"/>
    <x v="0"/>
    <x v="3"/>
    <s v="Goa"/>
    <s v="Panaji"/>
    <x v="1"/>
    <x v="10"/>
    <s v="Max Chairs 813"/>
    <x v="1"/>
    <n v="5"/>
    <n v="255.87"/>
    <n v="0"/>
    <s v="OK"/>
    <n v="1279.3499999999999"/>
    <n v="1091.54"/>
    <n v="187.81"/>
    <x v="0"/>
    <x v="0"/>
    <n v="0"/>
    <n v="1279.3499999999999"/>
    <n v="187.80999999999995"/>
    <n v="14.680110993864067"/>
    <x v="7"/>
    <x v="0"/>
    <s v="CLEAN"/>
  </r>
  <r>
    <x v="30"/>
    <d v="2024-09-01T00:00:00"/>
    <d v="2024-09-07T00:00:00"/>
    <n v="6"/>
    <s v="OK"/>
    <s v="CUST-3983"/>
    <s v="Isha Nair"/>
    <x v="3"/>
    <x v="0"/>
    <s v="Rajasthan"/>
    <s v="Jaipur"/>
    <x v="0"/>
    <x v="7"/>
    <s v="Basic Storage 872"/>
    <x v="4"/>
    <n v="9"/>
    <n v="1389.48"/>
    <n v="0.1"/>
    <s v="OK"/>
    <n v="11254.79"/>
    <n v="6578.06"/>
    <n v="4676.7299999999996"/>
    <x v="1"/>
    <x v="1"/>
    <n v="0.1"/>
    <n v="11254.788"/>
    <n v="4676.7280000000001"/>
    <n v="41.553230500654479"/>
    <x v="10"/>
    <x v="0"/>
    <s v="CLEAN"/>
  </r>
  <r>
    <x v="31"/>
    <d v="2024-04-16T00:00:00"/>
    <d v="2024-04-16T00:00:00"/>
    <n v="0"/>
    <s v="OK"/>
    <s v="CUST-7008"/>
    <s v="Vikram Iyer"/>
    <x v="3"/>
    <x v="1"/>
    <s v="Bihar"/>
    <s v="Patna"/>
    <x v="1"/>
    <x v="9"/>
    <s v="Classic Bookcases 296"/>
    <x v="3"/>
    <n v="1"/>
    <n v="949.59"/>
    <n v="0"/>
    <s v="OK"/>
    <n v="949.59"/>
    <n v="751.25"/>
    <n v="198.34"/>
    <x v="0"/>
    <x v="0"/>
    <n v="0"/>
    <n v="949.59"/>
    <n v="198.34000000000003"/>
    <n v="20.88690908707969"/>
    <x v="9"/>
    <x v="0"/>
    <s v="CLEAN"/>
  </r>
  <r>
    <x v="32"/>
    <d v="2024-10-30T00:00:00"/>
    <d v="2024-02-11T00:00:00"/>
    <n v="-262"/>
    <s v="INVALID"/>
    <s v="CUST-4900"/>
    <s v="Sneha Kapoor"/>
    <x v="3"/>
    <x v="0"/>
    <s v="Rajasthan"/>
    <s v="Jaipur"/>
    <x v="2"/>
    <x v="8"/>
    <s v="Basic Phones 230"/>
    <x v="3"/>
    <n v="9"/>
    <n v="3042.29"/>
    <n v="0.2"/>
    <s v="OK"/>
    <n v="21904.49"/>
    <n v="13570.55"/>
    <n v="8333.94"/>
    <x v="0"/>
    <x v="0"/>
    <n v="0.2"/>
    <n v="21904.488000000001"/>
    <n v="8333.9380000000019"/>
    <n v="38.046714445003246"/>
    <x v="8"/>
    <x v="0"/>
    <s v="INVALID"/>
  </r>
  <r>
    <x v="33"/>
    <d v="2024-01-25T00:00:00"/>
    <d v="2024-01-02T00:00:00"/>
    <n v="-23"/>
    <s v="INVALID"/>
    <s v="CUST-5382"/>
    <s v="Sneha Kapoor"/>
    <x v="3"/>
    <x v="0"/>
    <s v="Haryana"/>
    <s v="Gurugram"/>
    <x v="0"/>
    <x v="11"/>
    <s v="Pro Binders 690"/>
    <x v="1"/>
    <n v="2"/>
    <n v="2832.77"/>
    <n v="0.15"/>
    <s v="OK"/>
    <n v="4815.71"/>
    <n v="3027.75"/>
    <n v="1917.47"/>
    <x v="0"/>
    <x v="0"/>
    <n v="0.15"/>
    <n v="4815.7089999999998"/>
    <n v="1787.9589999999998"/>
    <n v="37.127637903369994"/>
    <x v="6"/>
    <x v="0"/>
    <s v="INVALID"/>
  </r>
  <r>
    <x v="34"/>
    <d v="2024-04-22T00:00:00"/>
    <d v="2024-04-27T00:00:00"/>
    <n v="5"/>
    <s v="OK"/>
    <s v="CUST-2463"/>
    <s v="Mira Das"/>
    <x v="3"/>
    <x v="3"/>
    <s v="Maharashtra"/>
    <s v="Mumbai"/>
    <x v="0"/>
    <x v="0"/>
    <s v="Pro Paper 552"/>
    <x v="0"/>
    <n v="1"/>
    <n v="4280.1899999999996"/>
    <n v="0.05"/>
    <s v="OK"/>
    <n v="4066.18"/>
    <n v="2628.92"/>
    <n v="1437.26"/>
    <x v="0"/>
    <x v="0"/>
    <n v="0.05"/>
    <n v="4066.1804999999995"/>
    <n v="1437.2604999999994"/>
    <n v="35.346696980126673"/>
    <x v="9"/>
    <x v="0"/>
    <s v="CLEAN"/>
  </r>
  <r>
    <x v="35"/>
    <d v="2024-02-11T00:00:00"/>
    <d v="2024-02-07T00:00:00"/>
    <n v="-4"/>
    <s v="INVALID"/>
    <s v="CUST-5018"/>
    <s v="Karan Malhotra"/>
    <x v="3"/>
    <x v="2"/>
    <s v="Tamil Nadu"/>
    <s v="Chennai"/>
    <x v="1"/>
    <x v="1"/>
    <s v="Prime Tables 902"/>
    <x v="2"/>
    <n v="7"/>
    <n v="2287.4699999999998"/>
    <n v="0.15"/>
    <s v="OK"/>
    <n v="13610.45"/>
    <n v="10039.049999999999"/>
    <n v="3571.4"/>
    <x v="0"/>
    <x v="0"/>
    <n v="0.15"/>
    <n v="13610.446499999998"/>
    <n v="3571.3964999999989"/>
    <n v="26.240112695788486"/>
    <x v="7"/>
    <x v="0"/>
    <s v="INVALID"/>
  </r>
  <r>
    <x v="36"/>
    <d v="2024-11-03T00:00:00"/>
    <d v="2024-11-11T00:00:00"/>
    <n v="8"/>
    <s v="OK"/>
    <s v="CUST-2642"/>
    <s v="Ananya Rao"/>
    <x v="2"/>
    <x v="1"/>
    <s v="Jharkhand"/>
    <s v="Ranchi"/>
    <x v="0"/>
    <x v="5"/>
    <s v="Max Labels 617"/>
    <x v="0"/>
    <n v="3"/>
    <n v="3406.27"/>
    <n v="0"/>
    <s v="OK"/>
    <n v="10218.81"/>
    <n v="7616.97"/>
    <n v="2601.84"/>
    <x v="0"/>
    <x v="0"/>
    <n v="0"/>
    <n v="10218.81"/>
    <n v="2601.8399999999992"/>
    <n v="25.461281695226738"/>
    <x v="3"/>
    <x v="0"/>
    <s v="CLEAN"/>
  </r>
  <r>
    <x v="37"/>
    <d v="2024-08-10T00:00:00"/>
    <d v="2024-08-14T00:00:00"/>
    <n v="4"/>
    <s v="OK"/>
    <s v="CUST-2094"/>
    <s v="Aarav Sharma"/>
    <x v="1"/>
    <x v="0"/>
    <s v="Delhi"/>
    <s v="New Delhi"/>
    <x v="0"/>
    <x v="7"/>
    <s v="Elite Storage 371"/>
    <x v="0"/>
    <n v="4"/>
    <n v="1182.32"/>
    <n v="0.1"/>
    <s v="OK"/>
    <n v="4256.3500000000004"/>
    <n v="2495.33"/>
    <n v="1761.02"/>
    <x v="1"/>
    <x v="1"/>
    <n v="0.1"/>
    <n v="4256.3519999999999"/>
    <n v="1761.0219999999999"/>
    <n v="41.373974708858661"/>
    <x v="1"/>
    <x v="0"/>
    <s v="CLEAN"/>
  </r>
  <r>
    <x v="38"/>
    <d v="2024-10-26T00:00:00"/>
    <d v="2024-10-29T00:00:00"/>
    <n v="3"/>
    <s v="OK"/>
    <s v="CUST-4989"/>
    <s v="Aditi Sen"/>
    <x v="3"/>
    <x v="3"/>
    <s v="Maharashtra"/>
    <s v="Mumbai"/>
    <x v="1"/>
    <x v="1"/>
    <s v="Elite Tables 362"/>
    <x v="0"/>
    <n v="9"/>
    <n v="131.74"/>
    <n v="0.2"/>
    <s v="OK"/>
    <n v="948.53"/>
    <n v="674.62"/>
    <n v="273.91000000000003"/>
    <x v="0"/>
    <x v="0"/>
    <n v="0.2"/>
    <n v="948.52800000000013"/>
    <n v="273.90800000000013"/>
    <n v="28.877165460587364"/>
    <x v="8"/>
    <x v="0"/>
    <s v="CLEAN"/>
  </r>
  <r>
    <x v="39"/>
    <d v="2024-10-01T00:00:00"/>
    <d v="2024-10-03T00:00:00"/>
    <n v="2"/>
    <s v="OK"/>
    <s v="CUST-3758"/>
    <s v="Rohan Mehta"/>
    <x v="2"/>
    <x v="2"/>
    <s v="Tamil Nadu"/>
    <s v="Chennai"/>
    <x v="2"/>
    <x v="8"/>
    <s v="Elite Phones 781"/>
    <x v="0"/>
    <n v="6"/>
    <n v="570.28"/>
    <n v="0.2"/>
    <s v="OK"/>
    <n v="2737.34"/>
    <n v="2085.44"/>
    <n v="651.9"/>
    <x v="0"/>
    <x v="0"/>
    <n v="0.2"/>
    <n v="2737.3440000000001"/>
    <n v="651.904"/>
    <n v="23.815201889130485"/>
    <x v="8"/>
    <x v="0"/>
    <s v="CLEAN"/>
  </r>
  <r>
    <x v="40"/>
    <d v="2024-02-08T00:00:00"/>
    <d v="2024-08-03T00:00:00"/>
    <n v="177"/>
    <s v="OK"/>
    <s v="CUST-5829"/>
    <s v="Vikram Iyer"/>
    <x v="0"/>
    <x v="1"/>
    <s v="Assam"/>
    <s v="Guwahati"/>
    <x v="0"/>
    <x v="11"/>
    <s v="Eco Binders 258"/>
    <x v="3"/>
    <n v="7"/>
    <n v="3345.22"/>
    <n v="0"/>
    <s v="OK"/>
    <n v="23416.54"/>
    <n v="15490.89"/>
    <n v="7925.65"/>
    <x v="0"/>
    <x v="0"/>
    <n v="0"/>
    <n v="23416.539999999997"/>
    <n v="7925.6499999999978"/>
    <n v="33.846375254414184"/>
    <x v="7"/>
    <x v="0"/>
    <s v="CLEAN"/>
  </r>
  <r>
    <x v="41"/>
    <d v="2024-03-24T00:00:00"/>
    <d v="2024-03-27T00:00:00"/>
    <n v="3"/>
    <s v="OK"/>
    <s v="CUST-6059"/>
    <s v="Rohan Mehta"/>
    <x v="1"/>
    <x v="3"/>
    <s v="Maharashtra"/>
    <s v="Mumbai"/>
    <x v="1"/>
    <x v="9"/>
    <s v="Max Bookcases 398"/>
    <x v="3"/>
    <n v="2"/>
    <n v="3284.75"/>
    <n v="0.05"/>
    <s v="OK"/>
    <n v="6241.02"/>
    <n v="5345.88"/>
    <n v="895.14"/>
    <x v="0"/>
    <x v="0"/>
    <n v="0.05"/>
    <n v="6241.0249999999996"/>
    <n v="895.14499999999953"/>
    <n v="14.342916427990588"/>
    <x v="11"/>
    <x v="0"/>
    <s v="CLEAN"/>
  </r>
  <r>
    <x v="42"/>
    <d v="2024-01-07T00:00:00"/>
    <d v="2024-01-13T00:00:00"/>
    <n v="6"/>
    <s v="OK"/>
    <s v="CUST-6106"/>
    <s v="Rohan Mehta"/>
    <x v="2"/>
    <x v="0"/>
    <s v="Uttar Pradesh"/>
    <s v="Noida"/>
    <x v="0"/>
    <x v="11"/>
    <s v="Eco Binders 780"/>
    <x v="3"/>
    <n v="7"/>
    <n v="2788.97"/>
    <n v="-0.09"/>
    <s v="INVALID"/>
    <n v="19522.79"/>
    <n v="12455.78"/>
    <n v="7067.01"/>
    <x v="0"/>
    <x v="0"/>
    <n v="0"/>
    <n v="19522.789999999997"/>
    <n v="7067.0099999999966"/>
    <n v="36.198770769956532"/>
    <x v="6"/>
    <x v="0"/>
    <s v="INVALID"/>
  </r>
  <r>
    <x v="43"/>
    <d v="2024-06-05T00:00:00"/>
    <d v="2024-07-06T00:00:00"/>
    <n v="31"/>
    <s v="OK"/>
    <s v="CUST-7283"/>
    <s v="Rahul Verma"/>
    <x v="3"/>
    <x v="1"/>
    <s v="Odisha"/>
    <s v="Bhubaneswar"/>
    <x v="2"/>
    <x v="6"/>
    <s v="Smart Copiers 547"/>
    <x v="0"/>
    <n v="2"/>
    <n v="2259.2399999999998"/>
    <n v="0.15"/>
    <s v="OK"/>
    <n v="3840.71"/>
    <n v="2516.29"/>
    <n v="1324.42"/>
    <x v="0"/>
    <x v="0"/>
    <n v="0.15"/>
    <n v="3840.7079999999996"/>
    <n v="1324.4179999999997"/>
    <n v="34.483694152224011"/>
    <x v="2"/>
    <x v="0"/>
    <s v="CLEAN"/>
  </r>
  <r>
    <x v="44"/>
    <d v="2024-01-26T00:00:00"/>
    <d v="2024-02-01T00:00:00"/>
    <n v="6"/>
    <s v="OK"/>
    <s v="CUST-5434"/>
    <s v="Rohan Mehta"/>
    <x v="3"/>
    <x v="2"/>
    <s v="Kerala"/>
    <s v="Kochi"/>
    <x v="2"/>
    <x v="6"/>
    <s v="Elite Copiers 785"/>
    <x v="4"/>
    <n v="8"/>
    <n v="2108.9299999999998"/>
    <n v="0.1"/>
    <s v="OK"/>
    <n v="15184.3"/>
    <n v="11270.74"/>
    <n v="3913.56"/>
    <x v="0"/>
    <x v="0"/>
    <n v="0.1"/>
    <n v="15184.295999999998"/>
    <n v="3913.5559999999987"/>
    <n v="25.773707256497104"/>
    <x v="6"/>
    <x v="0"/>
    <s v="CLEAN"/>
  </r>
  <r>
    <x v="45"/>
    <d v="2024-06-22T00:00:00"/>
    <d v="2024-06-26T00:00:00"/>
    <n v="4"/>
    <s v="OK"/>
    <s v="CUST-7909"/>
    <s v="Rohan Mehta"/>
    <x v="3"/>
    <x v="1"/>
    <s v="Bihar"/>
    <s v="Patna"/>
    <x v="1"/>
    <x v="3"/>
    <s v="Classic Furnishings 682"/>
    <x v="2"/>
    <n v="5"/>
    <n v="4396.5200000000004"/>
    <n v="0.25"/>
    <s v="OK"/>
    <n v="16486.95"/>
    <n v="12054.14"/>
    <n v="4432.8100000000004"/>
    <x v="0"/>
    <x v="0"/>
    <n v="0.25"/>
    <n v="16486.95"/>
    <n v="4432.8100000000013"/>
    <n v="26.886780150361357"/>
    <x v="2"/>
    <x v="0"/>
    <s v="CLEAN"/>
  </r>
  <r>
    <x v="46"/>
    <d v="2024-06-24T00:00:00"/>
    <d v="2024-06-29T00:00:00"/>
    <n v="5"/>
    <s v="OK"/>
    <s v="CUST-6540"/>
    <s v="Mira Das"/>
    <x v="3"/>
    <x v="1"/>
    <s v="West Bengal"/>
    <s v="Kolkata"/>
    <x v="1"/>
    <x v="1"/>
    <s v="Eco Tables 575"/>
    <x v="0"/>
    <n v="2"/>
    <n v="685"/>
    <n v="0.1"/>
    <s v="OK"/>
    <n v="1233"/>
    <n v="1006.9"/>
    <n v="226.1"/>
    <x v="0"/>
    <x v="0"/>
    <n v="0.1"/>
    <n v="1233"/>
    <n v="226.10000000000002"/>
    <n v="18.337388483373886"/>
    <x v="2"/>
    <x v="0"/>
    <s v="CLEAN"/>
  </r>
  <r>
    <x v="47"/>
    <d v="2024-10-29T00:00:00"/>
    <d v="2024-11-04T00:00:00"/>
    <n v="6"/>
    <s v="OK"/>
    <s v="CUST-6604"/>
    <s v="Rohan Mehta"/>
    <x v="3"/>
    <x v="1"/>
    <s v="West Bengal"/>
    <s v="Kolkata"/>
    <x v="1"/>
    <x v="3"/>
    <s v="Prime Furnishings 952"/>
    <x v="2"/>
    <n v="3"/>
    <n v="4302.8900000000003"/>
    <n v="0.05"/>
    <s v="OK"/>
    <n v="12263.24"/>
    <n v="8925.57"/>
    <n v="3337.67"/>
    <x v="0"/>
    <x v="0"/>
    <n v="0.05"/>
    <n v="12263.236500000001"/>
    <n v="3337.6665000000012"/>
    <n v="27.216848504878797"/>
    <x v="8"/>
    <x v="0"/>
    <s v="CLEAN"/>
  </r>
  <r>
    <x v="48"/>
    <d v="2024-08-15T00:00:00"/>
    <d v="2024-08-23T00:00:00"/>
    <n v="8"/>
    <s v="OK"/>
    <s v="CUST-4337"/>
    <s v="Aditi Sen"/>
    <x v="1"/>
    <x v="1"/>
    <s v="Odisha"/>
    <s v="Bhubaneswar"/>
    <x v="1"/>
    <x v="9"/>
    <s v="Prime Bookcases 631"/>
    <x v="1"/>
    <n v="2"/>
    <n v="537.54"/>
    <n v="0.25"/>
    <s v="OK"/>
    <n v="806.31"/>
    <n v="498.5"/>
    <n v="307.81"/>
    <x v="0"/>
    <x v="0"/>
    <n v="0.25"/>
    <n v="806.31"/>
    <n v="307.80999999999995"/>
    <n v="38.175143555208294"/>
    <x v="1"/>
    <x v="0"/>
    <s v="CLEAN"/>
  </r>
  <r>
    <x v="49"/>
    <d v="2024-01-10T00:00:00"/>
    <d v="2024-01-14T00:00:00"/>
    <n v="4"/>
    <s v="OK"/>
    <s v="CUST-5213"/>
    <s v="Sneha Kapoor"/>
    <x v="0"/>
    <x v="4"/>
    <s v="Gujarat"/>
    <s v="Ahmedabad"/>
    <x v="2"/>
    <x v="4"/>
    <s v="Max Accessories 451"/>
    <x v="3"/>
    <n v="3"/>
    <n v="3829.48"/>
    <n v="0.05"/>
    <s v="OK"/>
    <n v="10914.02"/>
    <n v="6548.74"/>
    <n v="4365.28"/>
    <x v="0"/>
    <x v="0"/>
    <n v="0.05"/>
    <n v="10914.018"/>
    <n v="4365.2780000000002"/>
    <n v="39.996983695647195"/>
    <x v="6"/>
    <x v="0"/>
    <s v="CLEAN"/>
  </r>
  <r>
    <x v="50"/>
    <d v="2024-12-02T00:00:00"/>
    <d v="2024-12-02T00:00:00"/>
    <n v="0"/>
    <s v="OK"/>
    <s v="CUST-4989"/>
    <s v="Isha Nair"/>
    <x v="3"/>
    <x v="2"/>
    <s v="Tamil Nadu"/>
    <s v="Chennai"/>
    <x v="1"/>
    <x v="1"/>
    <s v="Classic Tables 752"/>
    <x v="3"/>
    <n v="3"/>
    <n v="1089.1500000000001"/>
    <n v="0.25"/>
    <s v="OK"/>
    <n v="2450.59"/>
    <n v="1639.89"/>
    <n v="810.7"/>
    <x v="0"/>
    <x v="0"/>
    <n v="0.25"/>
    <n v="2450.5875000000001"/>
    <n v="810.69749999999999"/>
    <n v="33.081761006289305"/>
    <x v="5"/>
    <x v="0"/>
    <s v="CLEAN"/>
  </r>
  <r>
    <x v="51"/>
    <d v="2024-02-15T00:00:00"/>
    <d v="2024-02-17T00:00:00"/>
    <n v="2"/>
    <s v="OK"/>
    <s v="CUST-9608"/>
    <s v="Mira Das"/>
    <x v="3"/>
    <x v="2"/>
    <s v="Tamil Nadu"/>
    <s v="Chennai"/>
    <x v="2"/>
    <x v="12"/>
    <s v="Elite Machines 705"/>
    <x v="3"/>
    <n v="9"/>
    <n v="3324.55"/>
    <s v="70%"/>
    <s v="INVALID"/>
    <n v="25432.81"/>
    <n v="20370.16"/>
    <n v="5062.6499999999996"/>
    <x v="0"/>
    <x v="0"/>
    <n v="0"/>
    <n v="29920.95"/>
    <n v="9550.7900000000009"/>
    <n v="31.920076067103487"/>
    <x v="7"/>
    <x v="0"/>
    <s v="INVALID"/>
  </r>
  <r>
    <x v="52"/>
    <d v="2024-06-10T00:00:00"/>
    <d v="2024-06-18T00:00:00"/>
    <n v="8"/>
    <s v="OK"/>
    <s v="CUST-9135"/>
    <s v="Vikram Iyer"/>
    <x v="3"/>
    <x v="2"/>
    <s v="Andhra Pradesh"/>
    <s v="Vijayawada"/>
    <x v="2"/>
    <x v="6"/>
    <s v="Pro Copiers 208"/>
    <x v="1"/>
    <n v="5"/>
    <n v="1580.27"/>
    <n v="0.2"/>
    <s v="OK"/>
    <n v="6321.08"/>
    <n v="4407.22"/>
    <n v="1913.86"/>
    <x v="0"/>
    <x v="0"/>
    <n v="0.2"/>
    <n v="6321.0800000000008"/>
    <n v="1913.8600000000006"/>
    <n v="30.277420947053358"/>
    <x v="2"/>
    <x v="0"/>
    <s v="CLEAN"/>
  </r>
  <r>
    <x v="53"/>
    <d v="2024-08-10T00:00:00"/>
    <d v="2024-08-18T00:00:00"/>
    <n v="8"/>
    <s v="OK"/>
    <s v="CUST-6096"/>
    <s v="Sneha Kapoor"/>
    <x v="1"/>
    <x v="1"/>
    <s v="Bihar"/>
    <s v="Patna"/>
    <x v="2"/>
    <x v="8"/>
    <s v="Prime Phones 540"/>
    <x v="3"/>
    <n v="1"/>
    <n v="1823.67"/>
    <n v="0.2"/>
    <s v="OK"/>
    <n v="1458.94"/>
    <n v="893.2"/>
    <n v="565.74"/>
    <x v="0"/>
    <x v="1"/>
    <n v="0.2"/>
    <n v="1458.9360000000001"/>
    <n v="565.7360000000001"/>
    <n v="38.777300717783376"/>
    <x v="1"/>
    <x v="0"/>
    <s v="CLEAN"/>
  </r>
  <r>
    <x v="54"/>
    <d v="2024-11-30T00:00:00"/>
    <d v="2024-04-12T00:00:00"/>
    <n v="-232"/>
    <s v="INVALID"/>
    <s v="CUST-1721"/>
    <s v="Ananya Rao"/>
    <x v="1"/>
    <x v="1"/>
    <s v="Assam"/>
    <s v="Guwahati"/>
    <x v="1"/>
    <x v="10"/>
    <s v="Max Chairs 786"/>
    <x v="0"/>
    <n v="3"/>
    <n v="170.35"/>
    <n v="0"/>
    <s v="OK"/>
    <n v="511.05"/>
    <n v="367.18"/>
    <n v="143.87"/>
    <x v="0"/>
    <x v="0"/>
    <n v="0"/>
    <n v="511.04999999999995"/>
    <n v="143.86999999999995"/>
    <n v="28.151844242246348"/>
    <x v="3"/>
    <x v="0"/>
    <s v="INVALID"/>
  </r>
  <r>
    <x v="55"/>
    <d v="2024-07-21T00:00:00"/>
    <d v="2024-07-24T00:00:00"/>
    <n v="3"/>
    <s v="OK"/>
    <s v="CUST-4450"/>
    <s v="Isha Nair"/>
    <x v="2"/>
    <x v="2"/>
    <s v="Karnataka"/>
    <s v="Bengaluru"/>
    <x v="2"/>
    <x v="6"/>
    <s v="Pro Copiers 769"/>
    <x v="3"/>
    <n v="9"/>
    <n v="465.06"/>
    <n v="-0.15"/>
    <s v="INVALID"/>
    <n v="4185.54"/>
    <n v="3443.74"/>
    <n v="741.8"/>
    <x v="0"/>
    <x v="0"/>
    <n v="0"/>
    <n v="4185.54"/>
    <n v="741.80000000000018"/>
    <n v="17.7229222513702"/>
    <x v="0"/>
    <x v="0"/>
    <s v="INVALID"/>
  </r>
  <r>
    <x v="56"/>
    <d v="2024-12-13T00:00:00"/>
    <d v="2024-12-16T00:00:00"/>
    <n v="3"/>
    <s v="OK"/>
    <s v="CUST-9328"/>
    <s v="Neha Gupta"/>
    <x v="1"/>
    <x v="1"/>
    <s v="Odisha"/>
    <s v="Bhubaneswar"/>
    <x v="1"/>
    <x v="3"/>
    <s v="Prime Furnishings 710"/>
    <x v="3"/>
    <n v="5"/>
    <n v="923.45"/>
    <n v="0.05"/>
    <s v="OK"/>
    <n v="4386.3900000000003"/>
    <n v="3366.88"/>
    <n v="1019.51"/>
    <x v="0"/>
    <x v="1"/>
    <n v="0.05"/>
    <n v="4386.3874999999998"/>
    <n v="1019.5074999999997"/>
    <n v="23.242531582082059"/>
    <x v="5"/>
    <x v="0"/>
    <s v="CLEAN"/>
  </r>
  <r>
    <x v="57"/>
    <d v="2024-07-19T00:00:00"/>
    <d v="2024-07-25T00:00:00"/>
    <n v="6"/>
    <s v="OK"/>
    <s v="CUST-2588"/>
    <s v="Isha Nair"/>
    <x v="1"/>
    <x v="3"/>
    <s v="Goa"/>
    <s v="Panaji"/>
    <x v="0"/>
    <x v="11"/>
    <s v="Elite Binders 723"/>
    <x v="3"/>
    <n v="7"/>
    <n v="2741.29"/>
    <n v="0.05"/>
    <s v="OK"/>
    <n v="18229.580000000002"/>
    <n v="15139.15"/>
    <n v="3090.43"/>
    <x v="0"/>
    <x v="0"/>
    <n v="0.05"/>
    <n v="18229.5785"/>
    <n v="3090.4285"/>
    <n v="16.952824773211294"/>
    <x v="0"/>
    <x v="0"/>
    <s v="CLEAN"/>
  </r>
  <r>
    <x v="58"/>
    <d v="2024-12-13T00:00:00"/>
    <d v="2024-12-18T00:00:00"/>
    <n v="5"/>
    <s v="OK"/>
    <s v="CUST-9441"/>
    <s v="Karan Malhotra"/>
    <x v="0"/>
    <x v="3"/>
    <s v="Goa"/>
    <s v="Panaji"/>
    <x v="2"/>
    <x v="8"/>
    <s v="Prime Phones 419"/>
    <x v="0"/>
    <n v="8"/>
    <n v="3372.15"/>
    <n v="0.15"/>
    <s v="OK"/>
    <n v="22930.62"/>
    <n v="16875.55"/>
    <n v="6055.07"/>
    <x v="0"/>
    <x v="0"/>
    <n v="0.15"/>
    <n v="22930.62"/>
    <n v="6055.07"/>
    <n v="26.406045715292475"/>
    <x v="5"/>
    <x v="0"/>
    <s v="CLEAN"/>
  </r>
  <r>
    <x v="59"/>
    <d v="2024-01-20T00:00:00"/>
    <d v="2024-01-26T00:00:00"/>
    <n v="6"/>
    <s v="OK"/>
    <s v="CUST-7173"/>
    <s v="Diya Patel"/>
    <x v="3"/>
    <x v="1"/>
    <s v="Jharkhand"/>
    <s v="Ranchi"/>
    <x v="2"/>
    <x v="12"/>
    <s v="Basic Machines 185"/>
    <x v="3"/>
    <n v="8"/>
    <n v="4003.05"/>
    <n v="0.25"/>
    <s v="OK"/>
    <n v="24018.3"/>
    <n v="14070.78"/>
    <n v="9947.52"/>
    <x v="0"/>
    <x v="0"/>
    <n v="0.25"/>
    <n v="24018.300000000003"/>
    <n v="9947.5200000000023"/>
    <n v="41.416419979765436"/>
    <x v="6"/>
    <x v="0"/>
    <s v="CLEAN"/>
  </r>
  <r>
    <x v="60"/>
    <d v="2024-05-31T00:00:00"/>
    <d v="2024-06-01T00:00:00"/>
    <n v="1"/>
    <s v="OK"/>
    <s v="CUST-2149"/>
    <s v="Mira Das"/>
    <x v="2"/>
    <x v="2"/>
    <s v="Karnataka"/>
    <s v="Bengaluru"/>
    <x v="1"/>
    <x v="9"/>
    <s v="Elite Bookcases 696"/>
    <x v="1"/>
    <n v="3"/>
    <n v="2914.55"/>
    <n v="0"/>
    <s v="OK"/>
    <n v="8743.65"/>
    <n v="6603.76"/>
    <n v="2139.89"/>
    <x v="0"/>
    <x v="0"/>
    <n v="0"/>
    <n v="8743.6500000000015"/>
    <n v="2139.8900000000012"/>
    <n v="24.47364658923906"/>
    <x v="4"/>
    <x v="0"/>
    <s v="CLEAN"/>
  </r>
  <r>
    <x v="61"/>
    <d v="2024-03-23T00:00:00"/>
    <d v="2024-03-29T00:00:00"/>
    <n v="6"/>
    <s v="OK"/>
    <s v="CUST-3314"/>
    <s v="Priya Menon"/>
    <x v="2"/>
    <x v="0"/>
    <s v="Delhi"/>
    <s v="New Delhi"/>
    <x v="1"/>
    <x v="9"/>
    <s v="Elite Bookcases 772"/>
    <x v="1"/>
    <n v="7"/>
    <n v="634.29"/>
    <n v="0.1"/>
    <s v="OK"/>
    <n v="3996.03"/>
    <n v="2859.51"/>
    <n v="1136.52"/>
    <x v="0"/>
    <x v="1"/>
    <n v="0.1"/>
    <n v="3996.027"/>
    <n v="1136.5169999999998"/>
    <n v="28.441174196270442"/>
    <x v="11"/>
    <x v="0"/>
    <s v="CLEAN"/>
  </r>
  <r>
    <x v="62"/>
    <d v="2024-03-30T00:00:00"/>
    <d v="2024-03-26T00:00:00"/>
    <n v="-4"/>
    <s v="INVALID"/>
    <s v="CUST-8944"/>
    <s v="Aditi Sen"/>
    <x v="3"/>
    <x v="0"/>
    <s v="Rajasthan"/>
    <s v="Jaipur"/>
    <x v="2"/>
    <x v="8"/>
    <s v="Classic Phones 142"/>
    <x v="0"/>
    <n v="5"/>
    <n v="907.54"/>
    <n v="0.15"/>
    <s v="OK"/>
    <n v="3857.04"/>
    <n v="2769.26"/>
    <n v="1087.78"/>
    <x v="0"/>
    <x v="0"/>
    <n v="0.15"/>
    <n v="3857.0449999999996"/>
    <n v="1087.7849999999994"/>
    <n v="28.202548842442845"/>
    <x v="11"/>
    <x v="0"/>
    <s v="INVALID"/>
  </r>
  <r>
    <x v="62"/>
    <d v="2024-03-30T00:00:00"/>
    <d v="2024-03-26T00:00:00"/>
    <n v="-4"/>
    <s v="INVALID"/>
    <s v="CUST-8944"/>
    <s v="Aditi Sen"/>
    <x v="3"/>
    <x v="0"/>
    <s v="Rajasthan"/>
    <s v="Jaipur"/>
    <x v="2"/>
    <x v="8"/>
    <s v="Classic Phones 142"/>
    <x v="0"/>
    <n v="5"/>
    <n v="907.54"/>
    <n v="0.15"/>
    <s v="OK"/>
    <n v="4099.6899999999996"/>
    <n v="2769.26"/>
    <n v="1087.78"/>
    <x v="0"/>
    <x v="1"/>
    <n v="0.15"/>
    <n v="3857.0449999999996"/>
    <n v="1087.7849999999994"/>
    <n v="28.202548842442845"/>
    <x v="11"/>
    <x v="0"/>
    <s v="INVALID"/>
  </r>
  <r>
    <x v="63"/>
    <d v="2024-03-24T00:00:00"/>
    <d v="2024-03-26T00:00:00"/>
    <n v="2"/>
    <s v="OK"/>
    <s v="CUST-3144"/>
    <s v="Priya Menon"/>
    <x v="0"/>
    <x v="3"/>
    <s v="Gujarat"/>
    <s v="Ahmedabad"/>
    <x v="0"/>
    <x v="0"/>
    <s v="Pro Paper 575"/>
    <x v="0"/>
    <n v="1"/>
    <n v="3409.5"/>
    <n v="0.1"/>
    <s v="OK"/>
    <n v="3068.55"/>
    <n v="1916.16"/>
    <n v="1152.3900000000001"/>
    <x v="0"/>
    <x v="1"/>
    <n v="0.1"/>
    <n v="3068.55"/>
    <n v="1152.3900000000001"/>
    <n v="37.55487119323459"/>
    <x v="11"/>
    <x v="0"/>
    <s v="CLEAN"/>
  </r>
  <r>
    <x v="64"/>
    <d v="2024-12-23T00:00:00"/>
    <d v="2024-12-30T00:00:00"/>
    <n v="7"/>
    <s v="OK"/>
    <s v="CUST-2692"/>
    <s v="Priya Menon"/>
    <x v="3"/>
    <x v="3"/>
    <s v="Goa"/>
    <s v="Panaji"/>
    <x v="1"/>
    <x v="3"/>
    <s v="Classic Furnishings 743"/>
    <x v="2"/>
    <n v="8"/>
    <n v="386.1"/>
    <n v="0.1"/>
    <s v="OK"/>
    <n v="2779.92"/>
    <n v="1744.05"/>
    <n v="1035.8699999999999"/>
    <x v="0"/>
    <x v="0"/>
    <n v="0.1"/>
    <n v="2779.92"/>
    <n v="1035.8700000000001"/>
    <n v="37.262583095916433"/>
    <x v="5"/>
    <x v="0"/>
    <s v="CLEAN"/>
  </r>
  <r>
    <x v="65"/>
    <d v="2024-01-30T00:00:00"/>
    <d v="2024-01-30T00:00:00"/>
    <n v="0"/>
    <s v="OK"/>
    <s v="CUST-5876"/>
    <s v="Aarav Sharma"/>
    <x v="1"/>
    <x v="3"/>
    <s v="Rajasthan"/>
    <s v="Udaipur"/>
    <x v="2"/>
    <x v="6"/>
    <s v="Eco Copiers 381"/>
    <x v="1"/>
    <n v="7"/>
    <n v="2527.61"/>
    <n v="0.25"/>
    <s v="OK"/>
    <n v="13269.95"/>
    <n v="8977.1"/>
    <n v="4292.8500000000004"/>
    <x v="0"/>
    <x v="0"/>
    <n v="0.25"/>
    <n v="13269.952499999999"/>
    <n v="4292.8524999999991"/>
    <n v="32.350172315989823"/>
    <x v="6"/>
    <x v="0"/>
    <s v="CLEAN"/>
  </r>
  <r>
    <x v="66"/>
    <d v="2024-04-03T00:00:00"/>
    <d v="2024-03-12T00:00:00"/>
    <n v="-22"/>
    <s v="INVALID"/>
    <s v="CUST-4661"/>
    <s v="Arjun Bose"/>
    <x v="0"/>
    <x v="4"/>
    <s v="Gujarat"/>
    <s v="Ahmedabad"/>
    <x v="1"/>
    <x v="9"/>
    <s v="Max Bookcases 595"/>
    <x v="2"/>
    <n v="1"/>
    <n v="1554.12"/>
    <n v="0.1"/>
    <s v="OK"/>
    <n v="1398.71"/>
    <n v="1056.92"/>
    <n v="341.79"/>
    <x v="0"/>
    <x v="0"/>
    <n v="0.1"/>
    <n v="1398.7079999999999"/>
    <n v="341.78799999999978"/>
    <n v="24.435979489643287"/>
    <x v="9"/>
    <x v="0"/>
    <s v="INVALID"/>
  </r>
  <r>
    <x v="67"/>
    <d v="2024-06-27T00:00:00"/>
    <d v="2024-06-27T00:00:00"/>
    <n v="0"/>
    <s v="OK"/>
    <s v="CUST-6011"/>
    <s v="Neha Gupta"/>
    <x v="3"/>
    <x v="4"/>
    <s v="Madhya Pradesh"/>
    <s v="Indore"/>
    <x v="2"/>
    <x v="6"/>
    <s v="Max Copiers 992"/>
    <x v="3"/>
    <n v="2"/>
    <n v="3859.11"/>
    <n v="0"/>
    <s v="OK"/>
    <n v="7718.22"/>
    <n v="5355.93"/>
    <n v="2362.29"/>
    <x v="1"/>
    <x v="1"/>
    <n v="0"/>
    <n v="7718.22"/>
    <n v="2362.29"/>
    <n v="30.606668376905553"/>
    <x v="2"/>
    <x v="0"/>
    <s v="CLEAN"/>
  </r>
  <r>
    <x v="68"/>
    <d v="2024-06-14T00:00:00"/>
    <d v="2024-06-17T00:00:00"/>
    <n v="3"/>
    <s v="OK"/>
    <s v="CUST-6160"/>
    <s v="Kabir Singh"/>
    <x v="1"/>
    <x v="2"/>
    <s v="Kerala"/>
    <s v="Kochi"/>
    <x v="1"/>
    <x v="1"/>
    <s v="Pro Tables 407"/>
    <x v="0"/>
    <n v="6"/>
    <n v="1088.04"/>
    <n v="0.1"/>
    <s v="OK"/>
    <n v="5875.42"/>
    <n v="4380.55"/>
    <n v="1494.87"/>
    <x v="1"/>
    <x v="1"/>
    <n v="0.1"/>
    <n v="5875.4160000000002"/>
    <n v="1494.866"/>
    <n v="25.442726098032885"/>
    <x v="2"/>
    <x v="0"/>
    <s v="CLEAN"/>
  </r>
  <r>
    <x v="69"/>
    <d v="2024-02-12T00:00:00"/>
    <d v="2024-02-11T00:00:00"/>
    <n v="-1"/>
    <s v="INVALID"/>
    <s v="CUST-7764"/>
    <s v="Priya Menon"/>
    <x v="0"/>
    <x v="2"/>
    <s v="Tamil Nadu"/>
    <s v="Chennai"/>
    <x v="1"/>
    <x v="9"/>
    <s v="Classic Bookcases 847"/>
    <x v="1"/>
    <n v="1"/>
    <n v="2599.12"/>
    <n v="0.15"/>
    <s v="OK"/>
    <n v="2209.25"/>
    <n v="1523.78"/>
    <n v="685.47"/>
    <x v="0"/>
    <x v="0"/>
    <n v="0.15"/>
    <n v="2209.252"/>
    <n v="685.47199999999998"/>
    <n v="31.027334138432373"/>
    <x v="7"/>
    <x v="0"/>
    <s v="INVALID"/>
  </r>
  <r>
    <x v="70"/>
    <d v="2024-10-22T00:00:00"/>
    <d v="2024-10-24T00:00:00"/>
    <n v="2"/>
    <s v="OK"/>
    <s v="CUST-1142"/>
    <s v="Rohan Mehta"/>
    <x v="1"/>
    <x v="2"/>
    <s v="Andhra Pradesh"/>
    <s v="Vijayawada"/>
    <x v="1"/>
    <x v="9"/>
    <s v="Pro Bookcases 430"/>
    <x v="3"/>
    <n v="3"/>
    <n v="915.84"/>
    <n v="0.15"/>
    <s v="OK"/>
    <n v="2335.39"/>
    <n v="1466.15"/>
    <n v="869.24"/>
    <x v="0"/>
    <x v="0"/>
    <n v="0.15"/>
    <n v="2335.3919999999998"/>
    <n v="869.24199999999973"/>
    <n v="37.220389553445408"/>
    <x v="8"/>
    <x v="0"/>
    <s v="CLEAN"/>
  </r>
  <r>
    <x v="71"/>
    <d v="2024-09-09T00:00:00"/>
    <d v="2024-09-11T00:00:00"/>
    <n v="2"/>
    <s v="OK"/>
    <s v="CUST-2324"/>
    <s v="Neha Gupta"/>
    <x v="3"/>
    <x v="2"/>
    <s v="Telangana"/>
    <s v="Hyderabad"/>
    <x v="1"/>
    <x v="9"/>
    <s v="Max Bookcases 881"/>
    <x v="2"/>
    <n v="1"/>
    <n v="4199.54"/>
    <n v="0.05"/>
    <s v="OK"/>
    <n v="3989.56"/>
    <n v="2381.38"/>
    <n v="1608.18"/>
    <x v="0"/>
    <x v="0"/>
    <n v="0.05"/>
    <n v="3989.5629999999996"/>
    <n v="1608.1829999999995"/>
    <n v="40.309753223598662"/>
    <x v="10"/>
    <x v="0"/>
    <s v="CLEAN"/>
  </r>
  <r>
    <x v="72"/>
    <d v="2024-03-09T00:00:00"/>
    <d v="2024-03-14T00:00:00"/>
    <n v="5"/>
    <s v="OK"/>
    <s v="CUST-4830"/>
    <s v="Neha Gupta"/>
    <x v="1"/>
    <x v="3"/>
    <s v="Goa"/>
    <s v="Panaji"/>
    <x v="1"/>
    <x v="3"/>
    <s v="Pro Furnishings 108"/>
    <x v="0"/>
    <n v="8"/>
    <n v="4472.84"/>
    <n v="0"/>
    <s v="OK"/>
    <n v="35997.620000000003"/>
    <n v="26424.41"/>
    <n v="9358.31"/>
    <x v="1"/>
    <x v="1"/>
    <n v="0"/>
    <n v="35782.720000000001"/>
    <n v="9358.3100000000013"/>
    <n v="26.15315437171909"/>
    <x v="11"/>
    <x v="0"/>
    <s v="CLEAN"/>
  </r>
  <r>
    <x v="73"/>
    <d v="2024-11-22T00:00:00"/>
    <d v="2024-11-29T00:00:00"/>
    <n v="7"/>
    <s v="OK"/>
    <s v="CUST-4598"/>
    <s v="Mira Das"/>
    <x v="3"/>
    <x v="1"/>
    <s v="Bihar"/>
    <s v="Patna"/>
    <x v="1"/>
    <x v="10"/>
    <s v="Max Chairs 148"/>
    <x v="3"/>
    <n v="4"/>
    <n v="3422.99"/>
    <n v="0.25"/>
    <s v="OK"/>
    <n v="10268.969999999999"/>
    <n v="6470.92"/>
    <n v="3798.05"/>
    <x v="0"/>
    <x v="0"/>
    <n v="0.25"/>
    <n v="10268.969999999999"/>
    <n v="3798.0499999999993"/>
    <n v="36.98569574163718"/>
    <x v="3"/>
    <x v="0"/>
    <s v="CLEAN"/>
  </r>
  <r>
    <x v="74"/>
    <d v="2024-02-05T00:00:00"/>
    <d v="2024-05-08T00:00:00"/>
    <n v="93"/>
    <s v="OK"/>
    <s v="CUST-6153"/>
    <s v="Priya Menon"/>
    <x v="3"/>
    <x v="0"/>
    <s v="Punjab"/>
    <s v="Ludhiana"/>
    <x v="2"/>
    <x v="6"/>
    <s v="Prime Copiers 440"/>
    <x v="0"/>
    <n v="1"/>
    <n v="2312.25"/>
    <n v="0.25"/>
    <s v="OK"/>
    <n v="1734.19"/>
    <n v="1386.07"/>
    <n v="348.12"/>
    <x v="0"/>
    <x v="0"/>
    <n v="0.25"/>
    <n v="1734.1875"/>
    <n v="348.11750000000006"/>
    <n v="20.073809781237614"/>
    <x v="7"/>
    <x v="0"/>
    <s v="CLEAN"/>
  </r>
  <r>
    <x v="75"/>
    <d v="2024-01-27T00:00:00"/>
    <d v="2024-02-03T00:00:00"/>
    <n v="7"/>
    <s v="OK"/>
    <s v="CUST-5580"/>
    <s v="Arjun Bose"/>
    <x v="1"/>
    <x v="1"/>
    <s v="Bihar"/>
    <s v="Patna"/>
    <x v="2"/>
    <x v="12"/>
    <s v="Basic Machines 584"/>
    <x v="1"/>
    <n v="7"/>
    <n v="2673.42"/>
    <n v="0.15"/>
    <s v="OK"/>
    <n v="15906.85"/>
    <n v="11014.46"/>
    <n v="4892.3900000000003"/>
    <x v="0"/>
    <x v="1"/>
    <n v="0.15"/>
    <n v="15906.849000000002"/>
    <n v="4892.3890000000029"/>
    <n v="30.756493633654298"/>
    <x v="6"/>
    <x v="0"/>
    <s v="CLEAN"/>
  </r>
  <r>
    <x v="76"/>
    <d v="2024-01-06T00:00:00"/>
    <d v="2024-06-03T00:00:00"/>
    <n v="149"/>
    <s v="OK"/>
    <s v="CUST-4399"/>
    <s v="Sneha Kapoor"/>
    <x v="3"/>
    <x v="4"/>
    <s v="Bihar"/>
    <s v="Patna"/>
    <x v="0"/>
    <x v="2"/>
    <s v="Classic Art 573"/>
    <x v="1"/>
    <n v="8"/>
    <n v="3879.95"/>
    <n v="0"/>
    <s v="OK"/>
    <n v="31039.599999999999"/>
    <n v="20866.72"/>
    <n v="10172.879999999999"/>
    <x v="0"/>
    <x v="0"/>
    <n v="0"/>
    <n v="31039.599999999999"/>
    <n v="10172.879999999997"/>
    <n v="32.773875952009682"/>
    <x v="6"/>
    <x v="0"/>
    <s v="CLEAN"/>
  </r>
  <r>
    <x v="77"/>
    <d v="2024-09-30T00:00:00"/>
    <d v="2024-09-30T00:00:00"/>
    <n v="0"/>
    <s v="OK"/>
    <s v="CUST-3092"/>
    <s v="Isha Nair"/>
    <x v="2"/>
    <x v="2"/>
    <s v="Telangana"/>
    <s v="Hyderabad"/>
    <x v="0"/>
    <x v="2"/>
    <s v="Eco Art 854"/>
    <x v="3"/>
    <n v="4"/>
    <n v="3281.74"/>
    <n v="0"/>
    <s v="OK"/>
    <n v="13126.96"/>
    <n v="10732.44"/>
    <n v="2394.52"/>
    <x v="0"/>
    <x v="0"/>
    <n v="0"/>
    <n v="13126.96"/>
    <n v="2394.5199999999986"/>
    <n v="18.24123787990516"/>
    <x v="10"/>
    <x v="0"/>
    <s v="CLEAN"/>
  </r>
  <r>
    <x v="78"/>
    <d v="2024-08-26T00:00:00"/>
    <d v="2024-08-26T00:00:00"/>
    <n v="0"/>
    <s v="OK"/>
    <s v="CUST-3787"/>
    <s v="Mira Das"/>
    <x v="3"/>
    <x v="0"/>
    <s v="Uttar Pradesh"/>
    <s v="Noida"/>
    <x v="0"/>
    <x v="11"/>
    <s v="Prime Binders 735"/>
    <x v="2"/>
    <n v="7"/>
    <n v="844.59"/>
    <n v="0.1"/>
    <s v="OK"/>
    <n v="5320.92"/>
    <n v="3041.5"/>
    <n v="2279.42"/>
    <x v="0"/>
    <x v="0"/>
    <n v="0.1"/>
    <n v="5320.9170000000004"/>
    <n v="2279.4170000000004"/>
    <n v="42.838800154183957"/>
    <x v="1"/>
    <x v="0"/>
    <s v="CLEAN"/>
  </r>
  <r>
    <x v="79"/>
    <d v="2024-10-16T00:00:00"/>
    <d v="2024-10-16T00:00:00"/>
    <n v="0"/>
    <s v="OK"/>
    <s v="CUST-4121"/>
    <s v="Ananya Rao"/>
    <x v="3"/>
    <x v="1"/>
    <s v="Bihar"/>
    <s v="Patna"/>
    <x v="2"/>
    <x v="12"/>
    <s v="Basic Machines 575"/>
    <x v="3"/>
    <n v="7"/>
    <n v="775.77"/>
    <n v="0"/>
    <s v="OK"/>
    <n v="5430.39"/>
    <n v="3707.66"/>
    <n v="1722.73"/>
    <x v="0"/>
    <x v="0"/>
    <n v="0"/>
    <n v="5430.3899999999994"/>
    <n v="1722.7299999999996"/>
    <n v="31.723872502711586"/>
    <x v="8"/>
    <x v="0"/>
    <s v="CLEAN"/>
  </r>
  <r>
    <x v="80"/>
    <d v="2024-11-05T00:00:00"/>
    <d v="2024-11-13T00:00:00"/>
    <n v="8"/>
    <s v="OK"/>
    <s v="CUST-4968"/>
    <s v="Arjun Bose"/>
    <x v="0"/>
    <x v="4"/>
    <s v="Punjab"/>
    <s v="Ludhiana"/>
    <x v="0"/>
    <x v="5"/>
    <s v="Smart Labels 475"/>
    <x v="0"/>
    <n v="2"/>
    <n v="1003.17"/>
    <n v="0.2"/>
    <s v="OK"/>
    <n v="1605.07"/>
    <n v="1337.28"/>
    <n v="267.79000000000002"/>
    <x v="0"/>
    <x v="0"/>
    <n v="0.2"/>
    <n v="1605.0720000000001"/>
    <n v="267.79200000000014"/>
    <n v="16.684111366966722"/>
    <x v="3"/>
    <x v="0"/>
    <s v="CLEAN"/>
  </r>
  <r>
    <x v="81"/>
    <d v="2024-07-19T00:00:00"/>
    <d v="2024-07-20T00:00:00"/>
    <n v="1"/>
    <s v="OK"/>
    <s v="CUST-2778"/>
    <s v="Vikram Iyer"/>
    <x v="0"/>
    <x v="2"/>
    <s v="Tamil Nadu"/>
    <s v="Chennai"/>
    <x v="1"/>
    <x v="1"/>
    <s v="Basic Tables 417"/>
    <x v="2"/>
    <n v="7"/>
    <n v="3608.43"/>
    <n v="0.05"/>
    <s v="OK"/>
    <n v="23996.06"/>
    <n v="20167.28"/>
    <n v="3828.78"/>
    <x v="0"/>
    <x v="0"/>
    <n v="0.05"/>
    <n v="23996.059499999996"/>
    <n v="3828.7794999999969"/>
    <n v="15.955867670689837"/>
    <x v="0"/>
    <x v="0"/>
    <s v="CLEAN"/>
  </r>
  <r>
    <x v="82"/>
    <d v="2024-10-19T00:00:00"/>
    <d v="2024-10-24T00:00:00"/>
    <n v="5"/>
    <s v="OK"/>
    <s v="CUST-7410"/>
    <s v="Sneha Kapoor"/>
    <x v="1"/>
    <x v="2"/>
    <s v="Tamil Nadu"/>
    <s v="Chennai"/>
    <x v="1"/>
    <x v="9"/>
    <s v="Prime Bookcases 602"/>
    <x v="0"/>
    <n v="6"/>
    <n v="4308.3999999999996"/>
    <n v="0.65"/>
    <s v="INVALID"/>
    <n v="25850.400000000001"/>
    <n v="19397.68"/>
    <n v="6452.72"/>
    <x v="0"/>
    <x v="0"/>
    <n v="0"/>
    <n v="25850.399999999998"/>
    <n v="6452.7199999999975"/>
    <n v="24.961780088509261"/>
    <x v="8"/>
    <x v="0"/>
    <s v="WARNING"/>
  </r>
  <r>
    <x v="83"/>
    <d v="2024-12-09T00:00:00"/>
    <d v="2024-12-16T00:00:00"/>
    <n v="7"/>
    <s v="OK"/>
    <s v="CUST-7115"/>
    <s v="Isha Nair"/>
    <x v="3"/>
    <x v="3"/>
    <s v="Gujarat"/>
    <s v="Ahmedabad"/>
    <x v="1"/>
    <x v="10"/>
    <s v="Eco Chairs 438"/>
    <x v="2"/>
    <n v="4"/>
    <n v="2191.0300000000002"/>
    <n v="0"/>
    <s v="OK"/>
    <n v="8764.1200000000008"/>
    <n v="7220.05"/>
    <n v="1544.07"/>
    <x v="0"/>
    <x v="0"/>
    <n v="0"/>
    <n v="8764.1200000000008"/>
    <n v="1544.0700000000006"/>
    <n v="17.618083732308556"/>
    <x v="5"/>
    <x v="0"/>
    <s v="CLEAN"/>
  </r>
  <r>
    <x v="84"/>
    <d v="2024-01-22T00:00:00"/>
    <d v="2024-01-25T00:00:00"/>
    <n v="3"/>
    <s v="OK"/>
    <s v="CUST-8028"/>
    <s v="Kabir Singh"/>
    <x v="3"/>
    <x v="0"/>
    <s v="Uttar Pradesh"/>
    <s v="Noida"/>
    <x v="0"/>
    <x v="7"/>
    <s v="Elite Storage 915"/>
    <x v="2"/>
    <n v="3"/>
    <n v="1212.03"/>
    <n v="0.1"/>
    <s v="OK"/>
    <n v="3272.48"/>
    <n v="2517.44"/>
    <n v="755.04"/>
    <x v="0"/>
    <x v="0"/>
    <n v="0.1"/>
    <n v="3272.4810000000002"/>
    <n v="755.04100000000017"/>
    <n v="23.072433422837292"/>
    <x v="6"/>
    <x v="0"/>
    <s v="CLEAN"/>
  </r>
  <r>
    <x v="85"/>
    <d v="2024-03-12T00:00:00"/>
    <d v="2024-12-03T00:00:00"/>
    <n v="266"/>
    <s v="OK"/>
    <s v="CUST-4536"/>
    <s v="Rahul Verma"/>
    <x v="3"/>
    <x v="1"/>
    <s v="Bihar"/>
    <s v="Patna"/>
    <x v="2"/>
    <x v="12"/>
    <s v="Prime Machines 806"/>
    <x v="4"/>
    <n v="6"/>
    <n v="2185.58"/>
    <n v="0.25"/>
    <s v="OK"/>
    <n v="9835.11"/>
    <n v="5437.64"/>
    <n v="4397.47"/>
    <x v="0"/>
    <x v="0"/>
    <n v="0.25"/>
    <n v="9835.11"/>
    <n v="4397.47"/>
    <n v="44.711955433136993"/>
    <x v="11"/>
    <x v="0"/>
    <s v="CLEAN"/>
  </r>
  <r>
    <x v="86"/>
    <d v="2024-03-28T00:00:00"/>
    <d v="2024-03-30T00:00:00"/>
    <n v="2"/>
    <s v="OK"/>
    <s v="CUST-3384"/>
    <s v="Sneha Kapoor"/>
    <x v="2"/>
    <x v="3"/>
    <s v="Rajasthan"/>
    <s v="Udaipur"/>
    <x v="2"/>
    <x v="4"/>
    <s v="Max Accessories 186"/>
    <x v="0"/>
    <n v="1"/>
    <n v="570.34"/>
    <n v="0.15"/>
    <s v="OK"/>
    <n v="484.79"/>
    <n v="333.54"/>
    <n v="151.25"/>
    <x v="0"/>
    <x v="0"/>
    <n v="0.15"/>
    <n v="484.78899999999999"/>
    <n v="151.24899999999997"/>
    <n v="31.198933969211339"/>
    <x v="11"/>
    <x v="0"/>
    <s v="CLEAN"/>
  </r>
  <r>
    <x v="87"/>
    <d v="2024-07-10T00:00:00"/>
    <d v="2024-07-16T00:00:00"/>
    <n v="6"/>
    <s v="OK"/>
    <s v="CUST-3362"/>
    <s v="Aarav Sharma"/>
    <x v="3"/>
    <x v="3"/>
    <s v="Goa"/>
    <s v="Panaji"/>
    <x v="1"/>
    <x v="9"/>
    <s v="Eco Bookcases 671"/>
    <x v="0"/>
    <n v="2"/>
    <n v="1095.45"/>
    <n v="0.2"/>
    <s v="OK"/>
    <n v="1752.72"/>
    <n v="996.41"/>
    <n v="756.31"/>
    <x v="0"/>
    <x v="0"/>
    <n v="0.2"/>
    <n v="1752.7200000000003"/>
    <n v="756.31000000000029"/>
    <n v="43.150645853302308"/>
    <x v="0"/>
    <x v="0"/>
    <s v="CLEAN"/>
  </r>
  <r>
    <x v="88"/>
    <d v="2024-05-16T00:00:00"/>
    <d v="2024-05-17T00:00:00"/>
    <n v="1"/>
    <s v="OK"/>
    <s v="CUST-2222"/>
    <s v="Rohan Mehta"/>
    <x v="2"/>
    <x v="1"/>
    <s v="West Bengal"/>
    <s v="Kolkata"/>
    <x v="2"/>
    <x v="6"/>
    <s v="Basic Copiers 222"/>
    <x v="0"/>
    <n v="8"/>
    <n v="4221.95"/>
    <n v="0.2"/>
    <s v="OK"/>
    <n v="27020.48"/>
    <n v="22885.24"/>
    <n v="4135.24"/>
    <x v="0"/>
    <x v="0"/>
    <n v="0.2"/>
    <n v="27020.48"/>
    <n v="4135.239999999998"/>
    <n v="15.304095264036752"/>
    <x v="4"/>
    <x v="0"/>
    <s v="CLEAN"/>
  </r>
  <r>
    <x v="89"/>
    <d v="2024-09-21T00:00:00"/>
    <d v="2024-09-21T00:00:00"/>
    <n v="0"/>
    <s v="OK"/>
    <s v="CUST-3610"/>
    <s v="Ananya Rao"/>
    <x v="1"/>
    <x v="1"/>
    <s v="Odisha"/>
    <s v="Bhubaneswar"/>
    <x v="2"/>
    <x v="8"/>
    <s v="Max Phones 329"/>
    <x v="1"/>
    <n v="2"/>
    <n v="214.5"/>
    <n v="0.15"/>
    <s v="OK"/>
    <n v="364.65"/>
    <n v="280.74"/>
    <n v="83.91"/>
    <x v="0"/>
    <x v="0"/>
    <n v="0.15"/>
    <n v="364.65"/>
    <n v="83.909999999999968"/>
    <n v="23.011106540518298"/>
    <x v="10"/>
    <x v="0"/>
    <s v="CLEAN"/>
  </r>
  <r>
    <x v="90"/>
    <d v="2024-05-15T00:00:00"/>
    <d v="2024-05-21T00:00:00"/>
    <n v="6"/>
    <s v="OK"/>
    <s v="CUST-9136"/>
    <s v="Isha Nair"/>
    <x v="1"/>
    <x v="1"/>
    <s v="Bihar"/>
    <s v="Patna"/>
    <x v="2"/>
    <x v="4"/>
    <s v="Classic Accessories 840"/>
    <x v="0"/>
    <n v="4"/>
    <n v="4332.7299999999996"/>
    <n v="0.2"/>
    <s v="OK"/>
    <n v="13864.74"/>
    <n v="11294.06"/>
    <n v="2570.6799999999998"/>
    <x v="0"/>
    <x v="0"/>
    <n v="0.2"/>
    <n v="13864.735999999999"/>
    <n v="2570.6759999999995"/>
    <n v="18.541110339208764"/>
    <x v="4"/>
    <x v="0"/>
    <s v="CLEAN"/>
  </r>
  <r>
    <x v="91"/>
    <d v="2024-03-17T00:00:00"/>
    <d v="2024-03-23T00:00:00"/>
    <n v="6"/>
    <s v="OK"/>
    <s v="CUST-1301"/>
    <s v="Rahul Verma"/>
    <x v="0"/>
    <x v="0"/>
    <s v="Haryana"/>
    <s v="Gurugram"/>
    <x v="2"/>
    <x v="4"/>
    <s v="Classic Accessories 757"/>
    <x v="2"/>
    <n v="3"/>
    <n v="248.18"/>
    <n v="0.05"/>
    <s v="OK"/>
    <n v="707.31"/>
    <n v="569"/>
    <n v="138.31"/>
    <x v="0"/>
    <x v="0"/>
    <n v="0.05"/>
    <n v="707.31299999999999"/>
    <n v="138.31299999999999"/>
    <n v="19.554709159876886"/>
    <x v="11"/>
    <x v="0"/>
    <s v="CLEAN"/>
  </r>
  <r>
    <x v="92"/>
    <d v="2024-01-03T00:00:00"/>
    <d v="2024-03-04T00:00:00"/>
    <n v="61"/>
    <s v="OK"/>
    <s v="CUST-8603"/>
    <s v="Mira Das"/>
    <x v="0"/>
    <x v="3"/>
    <s v="Madhya Pradesh"/>
    <s v="Indore"/>
    <x v="0"/>
    <x v="0"/>
    <s v="Prime Paper 286"/>
    <x v="2"/>
    <n v="8"/>
    <n v="3202.4"/>
    <n v="0.25"/>
    <s v="OK"/>
    <n v="19214.400000000001"/>
    <n v="10916.01"/>
    <n v="8298.39"/>
    <x v="0"/>
    <x v="0"/>
    <n v="0.25"/>
    <n v="19214.400000000001"/>
    <n v="8298.3900000000012"/>
    <n v="43.188389957531854"/>
    <x v="6"/>
    <x v="0"/>
    <s v="CLEAN"/>
  </r>
  <r>
    <x v="93"/>
    <d v="2024-06-18T00:00:00"/>
    <d v="2024-06-19T00:00:00"/>
    <n v="1"/>
    <s v="OK"/>
    <s v="CUST-1472"/>
    <s v="Rahul Verma"/>
    <x v="0"/>
    <x v="1"/>
    <s v="Bihar"/>
    <s v="Patna"/>
    <x v="2"/>
    <x v="12"/>
    <s v="Elite Machines 290"/>
    <x v="2"/>
    <n v="2"/>
    <n v="121.49"/>
    <s v="85%"/>
    <s v="INVALID"/>
    <n v="242.98"/>
    <n v="161.41999999999999"/>
    <n v="81.56"/>
    <x v="0"/>
    <x v="0"/>
    <n v="0"/>
    <n v="242.98"/>
    <n v="81.56"/>
    <n v="33.566548687134748"/>
    <x v="2"/>
    <x v="0"/>
    <s v="INVALID"/>
  </r>
  <r>
    <x v="94"/>
    <d v="2024-09-02T00:00:00"/>
    <d v="2024-09-10T00:00:00"/>
    <n v="8"/>
    <s v="OK"/>
    <s v="CUST-1266"/>
    <s v="Mira Das"/>
    <x v="2"/>
    <x v="3"/>
    <s v="Goa"/>
    <s v="Panaji"/>
    <x v="2"/>
    <x v="8"/>
    <s v="Classic Phones 548"/>
    <x v="3"/>
    <n v="6"/>
    <n v="1032.47"/>
    <n v="0.15"/>
    <s v="OK"/>
    <n v="5265.6"/>
    <n v="4293.1099999999997"/>
    <n v="787.57"/>
    <x v="0"/>
    <x v="0"/>
    <n v="0.15"/>
    <n v="5265.5969999999998"/>
    <n v="972.48700000000008"/>
    <n v="18.468694053114966"/>
    <x v="10"/>
    <x v="0"/>
    <s v="CLEAN"/>
  </r>
  <r>
    <x v="95"/>
    <d v="2024-07-05T00:00:00"/>
    <d v="2024-07-12T00:00:00"/>
    <n v="7"/>
    <s v="OK"/>
    <s v="CUST-2819"/>
    <s v="Ananya Rao"/>
    <x v="1"/>
    <x v="3"/>
    <s v="Goa"/>
    <s v="Panaji"/>
    <x v="0"/>
    <x v="11"/>
    <s v="Prime Binders 507"/>
    <x v="2"/>
    <n v="3"/>
    <n v="577.75"/>
    <n v="0.15"/>
    <s v="OK"/>
    <n v="1473.26"/>
    <n v="899.86"/>
    <n v="573.4"/>
    <x v="0"/>
    <x v="0"/>
    <n v="0.15"/>
    <n v="1473.2625"/>
    <n v="573.40250000000003"/>
    <n v="38.920592901808064"/>
    <x v="0"/>
    <x v="0"/>
    <s v="CLEAN"/>
  </r>
  <r>
    <x v="96"/>
    <d v="2024-04-24T00:00:00"/>
    <d v="2024-04-28T00:00:00"/>
    <n v="4"/>
    <s v="OK"/>
    <s v="CUST-1076"/>
    <s v="Karan Malhotra"/>
    <x v="1"/>
    <x v="2"/>
    <s v="Telangana"/>
    <s v="Hyderabad"/>
    <x v="0"/>
    <x v="5"/>
    <s v="Smart Labels 914"/>
    <x v="0"/>
    <n v="1"/>
    <n v="3194.37"/>
    <n v="0.15"/>
    <s v="OK"/>
    <n v="2715.21"/>
    <n v="1551.55"/>
    <n v="1163.6600000000001"/>
    <x v="0"/>
    <x v="0"/>
    <n v="0.15"/>
    <n v="2715.2145"/>
    <n v="1163.6645000000001"/>
    <n v="42.857184948003194"/>
    <x v="9"/>
    <x v="0"/>
    <s v="CLEAN"/>
  </r>
  <r>
    <x v="97"/>
    <d v="2024-05-28T00:00:00"/>
    <d v="2024-03-06T00:00:00"/>
    <n v="-83"/>
    <s v="INVALID"/>
    <s v="CUST-3434"/>
    <s v="Neha Gupta"/>
    <x v="1"/>
    <x v="0"/>
    <s v="Rajasthan"/>
    <s v="Jaipur"/>
    <x v="0"/>
    <x v="0"/>
    <s v="Eco Paper 937"/>
    <x v="3"/>
    <n v="8"/>
    <n v="1540.33"/>
    <n v="0.1"/>
    <s v="OK"/>
    <n v="11090.38"/>
    <n v="8840.9500000000007"/>
    <n v="2249.4299999999998"/>
    <x v="0"/>
    <x v="0"/>
    <n v="0.1"/>
    <n v="11090.376"/>
    <n v="2249.4259999999995"/>
    <n v="20.282684734944958"/>
    <x v="4"/>
    <x v="0"/>
    <s v="INVALID"/>
  </r>
  <r>
    <x v="98"/>
    <d v="2024-10-14T00:00:00"/>
    <d v="2024-10-14T00:00:00"/>
    <n v="0"/>
    <s v="OK"/>
    <s v="CUST-3710"/>
    <s v="Vikram Iyer"/>
    <x v="2"/>
    <x v="2"/>
    <s v="Karnataka"/>
    <s v="Bengaluru"/>
    <x v="1"/>
    <x v="9"/>
    <s v="Smart Bookcases 328"/>
    <x v="4"/>
    <n v="8"/>
    <n v="3904.59"/>
    <n v="0"/>
    <s v="OK"/>
    <n v="31236.720000000001"/>
    <n v="26377.7"/>
    <n v="4859.0200000000004"/>
    <x v="0"/>
    <x v="0"/>
    <n v="0"/>
    <n v="31236.720000000001"/>
    <n v="4859.0200000000004"/>
    <n v="15.555474454424154"/>
    <x v="8"/>
    <x v="0"/>
    <s v="CLEAN"/>
  </r>
  <r>
    <x v="99"/>
    <d v="2024-09-02T00:00:00"/>
    <d v="2024-09-03T00:00:00"/>
    <n v="1"/>
    <s v="OK"/>
    <s v="CUST-9754"/>
    <s v="Kabir Singh"/>
    <x v="3"/>
    <x v="0"/>
    <s v="Delhi"/>
    <s v="New Delhi"/>
    <x v="1"/>
    <x v="3"/>
    <s v="Eco Furnishings 981"/>
    <x v="2"/>
    <n v="9"/>
    <n v="1353.61"/>
    <n v="0.1"/>
    <s v="OK"/>
    <n v="10964.24"/>
    <n v="9262.4699999999993"/>
    <n v="1701.77"/>
    <x v="0"/>
    <x v="0"/>
    <n v="0.1"/>
    <n v="10964.241"/>
    <n v="1701.7710000000006"/>
    <n v="15.521101734265057"/>
    <x v="10"/>
    <x v="0"/>
    <s v="CLEAN"/>
  </r>
  <r>
    <x v="100"/>
    <d v="2024-11-02T00:00:00"/>
    <d v="2024-11-03T00:00:00"/>
    <n v="1"/>
    <s v="OK"/>
    <s v="CUST-6256"/>
    <s v="Rahul Verma"/>
    <x v="1"/>
    <x v="3"/>
    <s v="Rajasthan"/>
    <s v="Udaipur"/>
    <x v="0"/>
    <x v="7"/>
    <s v="Basic Storage 195"/>
    <x v="3"/>
    <n v="6"/>
    <n v="2671.29"/>
    <n v="0.05"/>
    <s v="OK"/>
    <n v="15226.35"/>
    <n v="11145.28"/>
    <n v="4081.07"/>
    <x v="0"/>
    <x v="0"/>
    <n v="0.05"/>
    <n v="15226.352999999999"/>
    <n v="4081.0729999999985"/>
    <n v="26.802695300706603"/>
    <x v="3"/>
    <x v="0"/>
    <s v="CLEAN"/>
  </r>
  <r>
    <x v="101"/>
    <d v="2024-10-14T00:00:00"/>
    <d v="2024-10-21T00:00:00"/>
    <n v="7"/>
    <s v="OK"/>
    <s v="CUST-7113"/>
    <s v="Priya Menon"/>
    <x v="2"/>
    <x v="0"/>
    <s v="Uttar Pradesh"/>
    <s v="Noida"/>
    <x v="1"/>
    <x v="9"/>
    <s v="Elite Bookcases 907"/>
    <x v="2"/>
    <n v="6"/>
    <n v="4062.78"/>
    <n v="0"/>
    <s v="OK"/>
    <n v="24376.68"/>
    <n v="18533.39"/>
    <n v="5843.29"/>
    <x v="0"/>
    <x v="0"/>
    <n v="0"/>
    <n v="24376.68"/>
    <n v="5843.2900000000009"/>
    <n v="23.970819652224996"/>
    <x v="8"/>
    <x v="0"/>
    <s v="CLEAN"/>
  </r>
  <r>
    <x v="102"/>
    <d v="2024-08-27T00:00:00"/>
    <d v="2024-08-27T00:00:00"/>
    <n v="0"/>
    <s v="OK"/>
    <s v="CUST-3827"/>
    <s v="Mira Das"/>
    <x v="0"/>
    <x v="0"/>
    <s v="Haryana"/>
    <s v="Gurugram"/>
    <x v="2"/>
    <x v="6"/>
    <s v="Smart Copiers 471"/>
    <x v="3"/>
    <n v="9"/>
    <n v="2330.3000000000002"/>
    <n v="0"/>
    <s v="OK"/>
    <n v="20972.7"/>
    <n v="13504.88"/>
    <n v="7467.82"/>
    <x v="0"/>
    <x v="0"/>
    <n v="0"/>
    <n v="20972.7"/>
    <n v="7467.8200000000015"/>
    <n v="35.607337157352184"/>
    <x v="1"/>
    <x v="0"/>
    <s v="CLEAN"/>
  </r>
  <r>
    <x v="103"/>
    <d v="2024-01-12T00:00:00"/>
    <d v="2024-01-17T00:00:00"/>
    <n v="5"/>
    <s v="OK"/>
    <s v="CUST-2375"/>
    <s v="Arjun Bose"/>
    <x v="0"/>
    <x v="2"/>
    <s v="Andhra Pradesh"/>
    <s v="Vijayawada"/>
    <x v="0"/>
    <x v="7"/>
    <s v="Prime Storage 625"/>
    <x v="2"/>
    <n v="7"/>
    <n v="4005.05"/>
    <n v="0.55000000000000004"/>
    <s v="INVALID"/>
    <n v="26633.58"/>
    <n v="18838.75"/>
    <n v="7794.83"/>
    <x v="0"/>
    <x v="0"/>
    <n v="0"/>
    <n v="28035.350000000002"/>
    <n v="9196.6000000000022"/>
    <n v="32.803585473339915"/>
    <x v="6"/>
    <x v="0"/>
    <s v="WARNING"/>
  </r>
  <r>
    <x v="104"/>
    <d v="2024-09-21T00:00:00"/>
    <d v="2024-09-21T00:00:00"/>
    <n v="0"/>
    <s v="OK"/>
    <s v="CUST-2233"/>
    <s v="Kabir Singh"/>
    <x v="2"/>
    <x v="2"/>
    <s v="Karnataka"/>
    <s v="Bengaluru"/>
    <x v="2"/>
    <x v="12"/>
    <s v="Smart Machines 801"/>
    <x v="2"/>
    <n v="2"/>
    <n v="1960.06"/>
    <n v="0.2"/>
    <s v="OK"/>
    <n v="3136.1"/>
    <n v="2279.4899999999998"/>
    <n v="856.61"/>
    <x v="0"/>
    <x v="0"/>
    <n v="0.2"/>
    <n v="3136.096"/>
    <n v="856.60600000000022"/>
    <n v="27.314406191647201"/>
    <x v="10"/>
    <x v="0"/>
    <s v="CLEAN"/>
  </r>
  <r>
    <x v="105"/>
    <d v="2024-12-17T00:00:00"/>
    <d v="2024-12-23T00:00:00"/>
    <n v="6"/>
    <s v="OK"/>
    <s v="CUST-9778"/>
    <s v="Aarav Sharma"/>
    <x v="2"/>
    <x v="2"/>
    <s v="Telangana"/>
    <s v="Hyderabad"/>
    <x v="0"/>
    <x v="11"/>
    <s v="Max Binders 170"/>
    <x v="2"/>
    <n v="9"/>
    <n v="2315.1"/>
    <n v="0"/>
    <s v="OK"/>
    <n v="20835.900000000001"/>
    <n v="13928.19"/>
    <n v="6907.71"/>
    <x v="0"/>
    <x v="0"/>
    <n v="0"/>
    <n v="20835.899999999998"/>
    <n v="6907.7099999999973"/>
    <n v="33.152923559817424"/>
    <x v="5"/>
    <x v="0"/>
    <s v="CLEAN"/>
  </r>
  <r>
    <x v="106"/>
    <d v="2024-08-23T00:00:00"/>
    <d v="2024-08-24T00:00:00"/>
    <n v="1"/>
    <s v="OK"/>
    <s v="CUST-6008"/>
    <s v="Neha Gupta"/>
    <x v="0"/>
    <x v="2"/>
    <s v="Telangana"/>
    <s v="Hyderabad"/>
    <x v="1"/>
    <x v="9"/>
    <s v="Eco Bookcases 768"/>
    <x v="1"/>
    <n v="6"/>
    <n v="1021.89"/>
    <n v="0"/>
    <s v="OK"/>
    <n v="6131.34"/>
    <n v="4060.88"/>
    <n v="2070.46"/>
    <x v="0"/>
    <x v="0"/>
    <n v="0"/>
    <n v="6131.34"/>
    <n v="2070.46"/>
    <n v="33.768474754295148"/>
    <x v="1"/>
    <x v="0"/>
    <s v="CLEAN"/>
  </r>
  <r>
    <x v="107"/>
    <d v="2024-10-18T00:00:00"/>
    <d v="2024-10-24T00:00:00"/>
    <n v="6"/>
    <s v="OK"/>
    <s v="CUST-1704"/>
    <s v="Neha Gupta"/>
    <x v="3"/>
    <x v="2"/>
    <s v="Kerala"/>
    <s v="Kochi"/>
    <x v="1"/>
    <x v="10"/>
    <s v="Pro Chairs 316"/>
    <x v="0"/>
    <n v="3"/>
    <n v="3275.93"/>
    <n v="0"/>
    <s v="OK"/>
    <n v="9827.7900000000009"/>
    <n v="5478.28"/>
    <n v="4349.51"/>
    <x v="0"/>
    <x v="0"/>
    <n v="0"/>
    <n v="9827.7899999999991"/>
    <n v="4349.5099999999993"/>
    <n v="44.25725417413274"/>
    <x v="8"/>
    <x v="0"/>
    <s v="CLEAN"/>
  </r>
  <r>
    <x v="108"/>
    <d v="2024-07-25T00:00:00"/>
    <d v="2024-08-01T00:00:00"/>
    <n v="7"/>
    <s v="OK"/>
    <s v="CUST-6663"/>
    <s v="Rahul Verma"/>
    <x v="2"/>
    <x v="0"/>
    <s v="Rajasthan"/>
    <s v="Jaipur"/>
    <x v="2"/>
    <x v="4"/>
    <s v="Smart Accessories 572"/>
    <x v="0"/>
    <n v="8"/>
    <n v="2493.4"/>
    <n v="0.25"/>
    <s v="OK"/>
    <n v="14960.4"/>
    <n v="12500.84"/>
    <n v="2459.56"/>
    <x v="0"/>
    <x v="0"/>
    <n v="0.25"/>
    <n v="14960.400000000001"/>
    <n v="2459.5600000000013"/>
    <n v="16.440469506162945"/>
    <x v="0"/>
    <x v="0"/>
    <s v="CLEAN"/>
  </r>
  <r>
    <x v="109"/>
    <d v="2024-06-02T00:00:00"/>
    <d v="2024-07-06T00:00:00"/>
    <n v="34"/>
    <s v="OK"/>
    <s v="CUST-6278"/>
    <s v="Rohan Mehta"/>
    <x v="3"/>
    <x v="1"/>
    <s v="Odisha"/>
    <s v="Bhubaneswar"/>
    <x v="0"/>
    <x v="5"/>
    <s v="Basic Labels 432"/>
    <x v="0"/>
    <n v="9"/>
    <n v="787.91"/>
    <n v="0.15"/>
    <s v="OK"/>
    <n v="6027.51"/>
    <n v="4883.82"/>
    <n v="1143.69"/>
    <x v="0"/>
    <x v="0"/>
    <n v="0.15"/>
    <n v="6027.5114999999996"/>
    <n v="1143.6914999999999"/>
    <n v="18.974522072666307"/>
    <x v="2"/>
    <x v="0"/>
    <s v="CLEAN"/>
  </r>
  <r>
    <x v="110"/>
    <d v="2024-02-21T00:00:00"/>
    <d v="2024-02-27T00:00:00"/>
    <n v="6"/>
    <s v="OK"/>
    <s v="CUST-5351"/>
    <s v="Arjun Bose"/>
    <x v="1"/>
    <x v="1"/>
    <s v="West Bengal"/>
    <s v="Kolkata"/>
    <x v="1"/>
    <x v="3"/>
    <s v="Prime Furnishings 781"/>
    <x v="3"/>
    <n v="5"/>
    <n v="3373.86"/>
    <n v="0.15"/>
    <s v="OK"/>
    <n v="14338.9"/>
    <n v="11897.65"/>
    <n v="2441.25"/>
    <x v="1"/>
    <x v="1"/>
    <n v="0.15"/>
    <n v="14338.904999999999"/>
    <n v="2441.2549999999992"/>
    <n v="17.025393501107647"/>
    <x v="7"/>
    <x v="0"/>
    <s v="CLEAN"/>
  </r>
  <r>
    <x v="111"/>
    <d v="2024-11-05T00:00:00"/>
    <d v="2024-11-03T00:00:00"/>
    <n v="-2"/>
    <s v="INVALID"/>
    <s v="CUST-8411"/>
    <s v="Ananya Rao"/>
    <x v="0"/>
    <x v="1"/>
    <s v="West Bengal"/>
    <s v="Kolkata"/>
    <x v="1"/>
    <x v="1"/>
    <s v="Prime Tables 481"/>
    <x v="2"/>
    <n v="9"/>
    <n v="2260.61"/>
    <n v="0.05"/>
    <s v="OK"/>
    <n v="19328.22"/>
    <n v="12039.5"/>
    <n v="7288.72"/>
    <x v="0"/>
    <x v="0"/>
    <n v="0.05"/>
    <n v="19328.215500000002"/>
    <n v="7288.7155000000021"/>
    <n v="37.710235070588908"/>
    <x v="3"/>
    <x v="0"/>
    <s v="INVALID"/>
  </r>
  <r>
    <x v="112"/>
    <d v="2024-12-30T00:00:00"/>
    <d v="2025-01-04T00:00:00"/>
    <n v="5"/>
    <s v="OK"/>
    <s v="CUST-8467"/>
    <s v="Sneha Kapoor"/>
    <x v="2"/>
    <x v="2"/>
    <s v="Tamil Nadu"/>
    <s v="Chennai"/>
    <x v="1"/>
    <x v="1"/>
    <s v="Smart Tables 774"/>
    <x v="1"/>
    <n v="2"/>
    <n v="3720.07"/>
    <n v="0.25"/>
    <s v="OK"/>
    <n v="5580.11"/>
    <n v="4307.01"/>
    <n v="1273.0999999999999"/>
    <x v="0"/>
    <x v="0"/>
    <n v="0.25"/>
    <n v="5580.1050000000005"/>
    <n v="1273.0950000000003"/>
    <n v="22.814893268137428"/>
    <x v="5"/>
    <x v="0"/>
    <s v="CLEAN"/>
  </r>
  <r>
    <x v="113"/>
    <d v="2024-06-21T00:00:00"/>
    <d v="2024-06-29T00:00:00"/>
    <n v="8"/>
    <s v="OK"/>
    <s v="CUST-5174"/>
    <s v="Neha Gupta"/>
    <x v="0"/>
    <x v="2"/>
    <s v="Tamil Nadu"/>
    <s v="Chennai"/>
    <x v="2"/>
    <x v="12"/>
    <s v="Prime Machines 793"/>
    <x v="3"/>
    <n v="8"/>
    <n v="2853.92"/>
    <n v="0.2"/>
    <s v="OK"/>
    <n v="18265.09"/>
    <n v="10437.14"/>
    <n v="7827.95"/>
    <x v="0"/>
    <x v="0"/>
    <n v="0.2"/>
    <n v="18265.088"/>
    <n v="7827.9480000000003"/>
    <n v="42.857433810338065"/>
    <x v="2"/>
    <x v="0"/>
    <s v="CLEAN"/>
  </r>
  <r>
    <x v="114"/>
    <d v="2024-05-16T00:00:00"/>
    <d v="2024-05-21T00:00:00"/>
    <n v="5"/>
    <s v="OK"/>
    <s v="CUST-4750"/>
    <s v="Diya Patel"/>
    <x v="1"/>
    <x v="1"/>
    <s v="Bihar"/>
    <s v="Patna"/>
    <x v="2"/>
    <x v="6"/>
    <s v="Pro Copiers 599"/>
    <x v="3"/>
    <n v="4"/>
    <n v="1503.07"/>
    <n v="0"/>
    <s v="OK"/>
    <n v="6012.28"/>
    <n v="3927.64"/>
    <n v="2084.64"/>
    <x v="0"/>
    <x v="0"/>
    <n v="0"/>
    <n v="6012.28"/>
    <n v="2084.64"/>
    <n v="34.67303585328694"/>
    <x v="4"/>
    <x v="0"/>
    <s v="CLEAN"/>
  </r>
  <r>
    <x v="115"/>
    <d v="2024-01-12T00:00:00"/>
    <d v="2024-01-13T00:00:00"/>
    <n v="1"/>
    <s v="OK"/>
    <s v="CUST-2487"/>
    <s v="Aditi Sen"/>
    <x v="2"/>
    <x v="0"/>
    <s v="Uttar Pradesh"/>
    <s v="Noida"/>
    <x v="2"/>
    <x v="12"/>
    <s v="Prime Machines 794"/>
    <x v="1"/>
    <n v="3"/>
    <n v="827.44"/>
    <n v="0"/>
    <s v="OK"/>
    <n v="2482.3200000000002"/>
    <n v="1520.21"/>
    <n v="962.11"/>
    <x v="0"/>
    <x v="0"/>
    <n v="0"/>
    <n v="2482.3200000000002"/>
    <n v="962.11000000000013"/>
    <n v="38.758500112797705"/>
    <x v="6"/>
    <x v="0"/>
    <s v="CLEAN"/>
  </r>
  <r>
    <x v="116"/>
    <d v="2024-08-18T00:00:00"/>
    <d v="2024-08-24T00:00:00"/>
    <n v="6"/>
    <s v="OK"/>
    <s v="CUST-7389"/>
    <s v="Arjun Bose"/>
    <x v="0"/>
    <x v="2"/>
    <s v="Andhra Pradesh"/>
    <s v="Vijayawada"/>
    <x v="1"/>
    <x v="10"/>
    <s v="Eco Chairs 314"/>
    <x v="2"/>
    <n v="7"/>
    <n v="557.21"/>
    <n v="0.1"/>
    <s v="OK"/>
    <n v="3510.42"/>
    <n v="2191.5"/>
    <n v="1213.48"/>
    <x v="0"/>
    <x v="0"/>
    <n v="0.1"/>
    <n v="3510.4230000000002"/>
    <n v="1318.9230000000002"/>
    <n v="37.57162598353532"/>
    <x v="1"/>
    <x v="0"/>
    <s v="CLEAN"/>
  </r>
  <r>
    <x v="116"/>
    <d v="2024-08-18T00:00:00"/>
    <d v="2024-08-24T00:00:00"/>
    <n v="6"/>
    <s v="OK"/>
    <s v="CUST-7389"/>
    <s v="Arjun Bose"/>
    <x v="0"/>
    <x v="2"/>
    <s v="Andhra Pradesh"/>
    <s v="Vijayawada"/>
    <x v="1"/>
    <x v="10"/>
    <s v="Eco Chairs 314"/>
    <x v="2"/>
    <n v="7"/>
    <n v="557.21"/>
    <n v="0.1"/>
    <s v="OK"/>
    <n v="3797.79"/>
    <n v="2191.5"/>
    <n v="1213.48"/>
    <x v="0"/>
    <x v="1"/>
    <n v="0.1"/>
    <n v="3510.4230000000002"/>
    <n v="1318.9230000000002"/>
    <n v="37.57162598353532"/>
    <x v="1"/>
    <x v="0"/>
    <s v="CLEAN"/>
  </r>
  <r>
    <x v="117"/>
    <d v="2024-02-15T00:00:00"/>
    <d v="2024-02-22T00:00:00"/>
    <n v="7"/>
    <s v="OK"/>
    <s v="CUST-2875"/>
    <s v="Priya Menon"/>
    <x v="1"/>
    <x v="1"/>
    <s v="West Bengal"/>
    <s v="Kolkata"/>
    <x v="1"/>
    <x v="3"/>
    <s v="Eco Furnishings 678"/>
    <x v="1"/>
    <n v="1"/>
    <n v="980.51"/>
    <n v="0"/>
    <s v="OK"/>
    <n v="980.51"/>
    <n v="660.92"/>
    <n v="319.58999999999997"/>
    <x v="0"/>
    <x v="0"/>
    <n v="0"/>
    <n v="980.51"/>
    <n v="319.59000000000003"/>
    <n v="32.594262169687205"/>
    <x v="7"/>
    <x v="0"/>
    <s v="CLEAN"/>
  </r>
  <r>
    <x v="118"/>
    <d v="2024-01-22T00:00:00"/>
    <d v="2024-01-23T00:00:00"/>
    <n v="1"/>
    <s v="OK"/>
    <s v="CUST-7039"/>
    <s v="Aarav Sharma"/>
    <x v="1"/>
    <x v="4"/>
    <s v="Assam"/>
    <s v="Guwahati"/>
    <x v="1"/>
    <x v="10"/>
    <s v="Basic Chairs 141"/>
    <x v="0"/>
    <n v="6"/>
    <n v="3391.53"/>
    <n v="-0.14000000000000001"/>
    <s v="INVALID"/>
    <n v="15261.89"/>
    <n v="8413.5300000000007"/>
    <n v="6848.36"/>
    <x v="0"/>
    <x v="0"/>
    <n v="0"/>
    <n v="20349.18"/>
    <n v="11935.65"/>
    <n v="58.654206213714758"/>
    <x v="6"/>
    <x v="0"/>
    <s v="INVALID"/>
  </r>
  <r>
    <x v="119"/>
    <d v="2024-04-09T00:00:00"/>
    <d v="2024-04-10T00:00:00"/>
    <n v="1"/>
    <s v="OK"/>
    <s v="CUST-4571"/>
    <s v="Rohan Mehta"/>
    <x v="1"/>
    <x v="3"/>
    <s v="Maharashtra"/>
    <s v="Mumbai"/>
    <x v="0"/>
    <x v="7"/>
    <s v="Max Storage 564"/>
    <x v="2"/>
    <n v="1"/>
    <n v="4359.12"/>
    <n v="0.05"/>
    <s v="OK"/>
    <n v="4141.16"/>
    <n v="2754.17"/>
    <n v="1386.99"/>
    <x v="0"/>
    <x v="0"/>
    <n v="0.05"/>
    <n v="4141.1639999999998"/>
    <n v="1386.9939999999997"/>
    <n v="33.492853700070796"/>
    <x v="9"/>
    <x v="0"/>
    <s v="CLEAN"/>
  </r>
  <r>
    <x v="120"/>
    <d v="2024-12-23T00:00:00"/>
    <d v="2024-12-26T00:00:00"/>
    <n v="3"/>
    <s v="OK"/>
    <s v="CUST-4098"/>
    <s v="Aditi Sen"/>
    <x v="0"/>
    <x v="2"/>
    <s v="Karnataka"/>
    <s v="Bengaluru"/>
    <x v="2"/>
    <x v="6"/>
    <s v="Prime Copiers 961"/>
    <x v="3"/>
    <n v="9"/>
    <n v="993.67"/>
    <n v="0"/>
    <s v="OK"/>
    <n v="8943.0300000000007"/>
    <n v="5165.38"/>
    <n v="3777.65"/>
    <x v="0"/>
    <x v="0"/>
    <n v="0"/>
    <n v="8943.0299999999988"/>
    <n v="3777.6499999999987"/>
    <n v="42.241276167026157"/>
    <x v="5"/>
    <x v="0"/>
    <s v="CLEAN"/>
  </r>
  <r>
    <x v="121"/>
    <d v="2024-10-01T00:00:00"/>
    <d v="2024-10-02T00:00:00"/>
    <n v="1"/>
    <s v="OK"/>
    <s v="CUST-9445"/>
    <s v="Karan Malhotra"/>
    <x v="3"/>
    <x v="1"/>
    <s v="Assam"/>
    <s v="Guwahati"/>
    <x v="1"/>
    <x v="1"/>
    <s v="Classic Tables 811"/>
    <x v="0"/>
    <n v="2"/>
    <n v="2298"/>
    <n v="0"/>
    <s v="OK"/>
    <n v="4596"/>
    <n v="3220.33"/>
    <n v="1375.67"/>
    <x v="0"/>
    <x v="0"/>
    <n v="0"/>
    <n v="4596"/>
    <n v="1375.67"/>
    <n v="29.931897302001744"/>
    <x v="8"/>
    <x v="0"/>
    <s v="CLEAN"/>
  </r>
  <r>
    <x v="122"/>
    <d v="2024-12-08T00:00:00"/>
    <d v="2024-12-14T00:00:00"/>
    <n v="6"/>
    <s v="OK"/>
    <s v="CUST-2076"/>
    <s v="Karan Malhotra"/>
    <x v="0"/>
    <x v="1"/>
    <s v="Odisha"/>
    <s v="Bhubaneswar"/>
    <x v="1"/>
    <x v="1"/>
    <s v="Prime Tables 542"/>
    <x v="1"/>
    <n v="3"/>
    <n v="1576.92"/>
    <n v="0"/>
    <s v="OK"/>
    <n v="4730.76"/>
    <n v="3139.73"/>
    <n v="1591.03"/>
    <x v="0"/>
    <x v="1"/>
    <n v="0"/>
    <n v="4730.76"/>
    <n v="1591.0300000000002"/>
    <n v="33.631594077907145"/>
    <x v="5"/>
    <x v="0"/>
    <s v="CLEAN"/>
  </r>
  <r>
    <x v="123"/>
    <d v="2024-02-28T00:00:00"/>
    <d v="2024-03-02T00:00:00"/>
    <n v="3"/>
    <s v="OK"/>
    <s v="CUST-5823"/>
    <s v="Priya Menon"/>
    <x v="1"/>
    <x v="0"/>
    <s v="Delhi"/>
    <s v="New Delhi"/>
    <x v="1"/>
    <x v="3"/>
    <s v="Pro Furnishings 848"/>
    <x v="2"/>
    <n v="7"/>
    <n v="701.8"/>
    <n v="0.1"/>
    <s v="OK"/>
    <n v="4421.34"/>
    <n v="2489.98"/>
    <n v="1931.36"/>
    <x v="1"/>
    <x v="1"/>
    <n v="0.1"/>
    <n v="4421.3399999999992"/>
    <n v="1931.3599999999992"/>
    <n v="43.682684435035526"/>
    <x v="7"/>
    <x v="0"/>
    <s v="CLEAN"/>
  </r>
  <r>
    <x v="124"/>
    <d v="2024-06-24T00:00:00"/>
    <d v="2024-06-24T00:00:00"/>
    <n v="0"/>
    <s v="OK"/>
    <s v="CUST-4805"/>
    <s v="Rohan Mehta"/>
    <x v="1"/>
    <x v="1"/>
    <s v="Bihar"/>
    <s v="Patna"/>
    <x v="0"/>
    <x v="11"/>
    <s v="Classic Binders 721"/>
    <x v="1"/>
    <n v="2"/>
    <n v="4359.8999999999996"/>
    <n v="0.15"/>
    <s v="OK"/>
    <n v="7411.83"/>
    <n v="4904.63"/>
    <n v="2507.1999999999998"/>
    <x v="0"/>
    <x v="0"/>
    <n v="0.15"/>
    <n v="7411.829999999999"/>
    <n v="2507.1999999999989"/>
    <n v="33.827003587508067"/>
    <x v="2"/>
    <x v="0"/>
    <s v="CLEAN"/>
  </r>
  <r>
    <x v="125"/>
    <d v="2024-04-05T00:00:00"/>
    <d v="2024-04-10T00:00:00"/>
    <n v="5"/>
    <s v="OK"/>
    <s v="CUST-2860"/>
    <s v="Priya Menon"/>
    <x v="3"/>
    <x v="0"/>
    <s v="Rajasthan"/>
    <s v="Jaipur"/>
    <x v="0"/>
    <x v="11"/>
    <s v="Eco Binders 153"/>
    <x v="3"/>
    <n v="4"/>
    <n v="3228.66"/>
    <n v="0.25"/>
    <s v="OK"/>
    <n v="9685.98"/>
    <n v="7730.04"/>
    <n v="1955.94"/>
    <x v="0"/>
    <x v="0"/>
    <n v="0.25"/>
    <n v="9685.98"/>
    <n v="1955.9399999999996"/>
    <n v="20.193516815025426"/>
    <x v="9"/>
    <x v="0"/>
    <s v="CLEAN"/>
  </r>
  <r>
    <x v="126"/>
    <d v="2024-03-07T00:00:00"/>
    <d v="2024-11-03T00:00:00"/>
    <n v="241"/>
    <s v="OK"/>
    <s v="CUST-7010"/>
    <s v="Arjun Bose"/>
    <x v="3"/>
    <x v="2"/>
    <s v="Telangana"/>
    <s v="Hyderabad"/>
    <x v="2"/>
    <x v="8"/>
    <s v="Pro Phones 455"/>
    <x v="2"/>
    <n v="2"/>
    <n v="4401.51"/>
    <n v="0.65"/>
    <s v="INVALID"/>
    <n v="8362.8700000000008"/>
    <n v="6541.04"/>
    <n v="1821.83"/>
    <x v="0"/>
    <x v="0"/>
    <n v="0"/>
    <n v="8803.02"/>
    <n v="2261.9800000000005"/>
    <n v="25.695499953425077"/>
    <x v="11"/>
    <x v="0"/>
    <s v="WARNING"/>
  </r>
  <r>
    <x v="127"/>
    <d v="2024-10-29T00:00:00"/>
    <d v="2024-06-11T00:00:00"/>
    <n v="-140"/>
    <s v="INVALID"/>
    <s v="CUST-6724"/>
    <s v="Sneha Kapoor"/>
    <x v="2"/>
    <x v="2"/>
    <s v="Tamil Nadu"/>
    <s v="Chennai"/>
    <x v="2"/>
    <x v="6"/>
    <s v="Prime Copiers 669"/>
    <x v="1"/>
    <n v="6"/>
    <n v="1169.92"/>
    <n v="0.15"/>
    <s v="OK"/>
    <n v="5966.59"/>
    <n v="3994.72"/>
    <n v="1971.87"/>
    <x v="0"/>
    <x v="0"/>
    <n v="0.15"/>
    <n v="5966.5920000000006"/>
    <n v="1971.8720000000008"/>
    <n v="33.048547646629778"/>
    <x v="8"/>
    <x v="0"/>
    <s v="INVALID"/>
  </r>
  <r>
    <x v="128"/>
    <d v="2024-06-11T00:00:00"/>
    <d v="2024-11-12T00:00:00"/>
    <n v="154"/>
    <s v="OK"/>
    <s v="CUST-7264"/>
    <s v="Rahul Verma"/>
    <x v="1"/>
    <x v="3"/>
    <s v="Gujarat"/>
    <s v="Ahmedabad"/>
    <x v="2"/>
    <x v="4"/>
    <s v="Max Accessories 145"/>
    <x v="3"/>
    <n v="7"/>
    <n v="1719.05"/>
    <n v="0.1"/>
    <s v="OK"/>
    <n v="10830.02"/>
    <n v="7055.31"/>
    <n v="3774.71"/>
    <x v="0"/>
    <x v="0"/>
    <n v="0.1"/>
    <n v="10830.015000000001"/>
    <n v="3774.7050000000008"/>
    <n v="34.854106850267527"/>
    <x v="2"/>
    <x v="0"/>
    <s v="CLEAN"/>
  </r>
  <r>
    <x v="129"/>
    <d v="2024-04-15T00:00:00"/>
    <d v="2024-04-23T00:00:00"/>
    <n v="8"/>
    <s v="OK"/>
    <s v="CUST-2668"/>
    <s v="Diya Patel"/>
    <x v="1"/>
    <x v="0"/>
    <s v="Punjab"/>
    <s v="Ludhiana"/>
    <x v="2"/>
    <x v="4"/>
    <s v="Classic Accessories 126"/>
    <x v="0"/>
    <n v="9"/>
    <n v="3893.74"/>
    <n v="0.1"/>
    <s v="OK"/>
    <n v="31539.29"/>
    <n v="22100.14"/>
    <n v="9439.15"/>
    <x v="0"/>
    <x v="0"/>
    <n v="0.1"/>
    <n v="31539.293999999998"/>
    <n v="9439.1539999999986"/>
    <n v="29.928234918638314"/>
    <x v="9"/>
    <x v="0"/>
    <s v="CLEAN"/>
  </r>
  <r>
    <x v="130"/>
    <d v="2024-06-23T00:00:00"/>
    <d v="2024-06-28T00:00:00"/>
    <n v="5"/>
    <s v="OK"/>
    <s v="CUST-9035"/>
    <s v="Diya Patel"/>
    <x v="3"/>
    <x v="3"/>
    <s v="Gujarat"/>
    <s v="Ahmedabad"/>
    <x v="1"/>
    <x v="10"/>
    <s v="Elite Chairs 107"/>
    <x v="3"/>
    <n v="2"/>
    <n v="1313.14"/>
    <n v="0.1"/>
    <s v="OK"/>
    <n v="2363.65"/>
    <n v="1876.1"/>
    <n v="487.55"/>
    <x v="1"/>
    <x v="1"/>
    <n v="0.1"/>
    <n v="2363.652"/>
    <n v="487.55200000000013"/>
    <n v="20.627063544041174"/>
    <x v="2"/>
    <x v="0"/>
    <s v="CLEAN"/>
  </r>
  <r>
    <x v="131"/>
    <d v="2024-03-06T00:00:00"/>
    <d v="2024-03-13T00:00:00"/>
    <n v="7"/>
    <s v="OK"/>
    <s v="CUST-6286"/>
    <s v="Karan Malhotra"/>
    <x v="0"/>
    <x v="0"/>
    <s v="Punjab"/>
    <s v="Ludhiana"/>
    <x v="1"/>
    <x v="3"/>
    <s v="Pro Furnishings 991"/>
    <x v="3"/>
    <n v="6"/>
    <n v="2403.0500000000002"/>
    <n v="0.1"/>
    <s v="OK"/>
    <n v="12976.47"/>
    <n v="10019.98"/>
    <n v="2956.49"/>
    <x v="0"/>
    <x v="0"/>
    <n v="0.1"/>
    <n v="12976.470000000001"/>
    <n v="2956.4900000000016"/>
    <n v="22.783468847845377"/>
    <x v="11"/>
    <x v="0"/>
    <s v="CLEAN"/>
  </r>
  <r>
    <x v="132"/>
    <d v="2024-04-07T00:00:00"/>
    <d v="2024-08-07T00:00:00"/>
    <n v="122"/>
    <s v="OK"/>
    <s v="CUST-3784"/>
    <s v="Rohan Mehta"/>
    <x v="1"/>
    <x v="2"/>
    <s v="Tamil Nadu"/>
    <s v="Chennai"/>
    <x v="2"/>
    <x v="12"/>
    <s v="Max Machines 988"/>
    <x v="2"/>
    <n v="8"/>
    <n v="2034.25"/>
    <n v="0"/>
    <s v="OK"/>
    <n v="16274"/>
    <n v="9424.25"/>
    <n v="6849.75"/>
    <x v="0"/>
    <x v="0"/>
    <n v="0"/>
    <n v="16274"/>
    <n v="6849.75"/>
    <n v="42.09014378763672"/>
    <x v="9"/>
    <x v="0"/>
    <s v="CLEAN"/>
  </r>
  <r>
    <x v="133"/>
    <d v="2024-04-27T00:00:00"/>
    <d v="2024-02-05T00:00:00"/>
    <n v="-82"/>
    <s v="INVALID"/>
    <s v="CUST-3545"/>
    <s v="Mira Das"/>
    <x v="2"/>
    <x v="2"/>
    <s v="Karnataka"/>
    <s v="Bengaluru"/>
    <x v="0"/>
    <x v="11"/>
    <s v="Max Binders 425"/>
    <x v="0"/>
    <n v="5"/>
    <n v="554.04"/>
    <n v="0.1"/>
    <s v="OK"/>
    <n v="2493.1799999999998"/>
    <n v="1764"/>
    <n v="729.18"/>
    <x v="0"/>
    <x v="0"/>
    <n v="0.1"/>
    <n v="2493.1799999999998"/>
    <n v="729.17999999999984"/>
    <n v="29.246985777200194"/>
    <x v="9"/>
    <x v="0"/>
    <s v="INVALID"/>
  </r>
  <r>
    <x v="134"/>
    <d v="2024-07-02T00:00:00"/>
    <d v="2024-07-08T00:00:00"/>
    <n v="6"/>
    <s v="OK"/>
    <s v="CUST-7565"/>
    <s v="Rohan Mehta"/>
    <x v="0"/>
    <x v="0"/>
    <s v="Delhi"/>
    <s v="New Delhi"/>
    <x v="0"/>
    <x v="0"/>
    <s v="Smart Paper 817"/>
    <x v="3"/>
    <n v="9"/>
    <n v="3450.4"/>
    <n v="0.05"/>
    <s v="OK"/>
    <n v="29500.92"/>
    <n v="17989.68"/>
    <n v="11511.24"/>
    <x v="1"/>
    <x v="1"/>
    <n v="0.05"/>
    <n v="29500.920000000002"/>
    <n v="11511.240000000002"/>
    <n v="39.019935649464493"/>
    <x v="0"/>
    <x v="0"/>
    <s v="CLEAN"/>
  </r>
  <r>
    <x v="135"/>
    <d v="2024-04-25T00:00:00"/>
    <d v="2024-04-30T00:00:00"/>
    <n v="5"/>
    <s v="OK"/>
    <s v="CUST-8877"/>
    <s v="Mira Das"/>
    <x v="1"/>
    <x v="2"/>
    <s v="Karnataka"/>
    <s v="Bengaluru"/>
    <x v="2"/>
    <x v="8"/>
    <s v="Basic Phones 789"/>
    <x v="3"/>
    <n v="3"/>
    <n v="4149.46"/>
    <n v="0.1"/>
    <s v="OK"/>
    <n v="11203.54"/>
    <n v="8452.93"/>
    <n v="2750.61"/>
    <x v="0"/>
    <x v="0"/>
    <n v="0.1"/>
    <n v="11203.542000000001"/>
    <n v="2750.612000000001"/>
    <n v="24.551271374713469"/>
    <x v="9"/>
    <x v="0"/>
    <s v="CLEAN"/>
  </r>
  <r>
    <x v="136"/>
    <d v="2024-08-21T00:00:00"/>
    <d v="2024-08-25T00:00:00"/>
    <n v="4"/>
    <s v="OK"/>
    <s v="CUST-4589"/>
    <s v="Diya Patel"/>
    <x v="0"/>
    <x v="3"/>
    <s v="Gujarat"/>
    <s v="Ahmedabad"/>
    <x v="0"/>
    <x v="11"/>
    <s v="Prime Binders 554"/>
    <x v="2"/>
    <n v="1"/>
    <n v="270.27999999999997"/>
    <n v="0"/>
    <s v="OK"/>
    <n v="270.27999999999997"/>
    <n v="156.34"/>
    <n v="113.94"/>
    <x v="0"/>
    <x v="0"/>
    <n v="0"/>
    <n v="270.27999999999997"/>
    <n v="113.93999999999997"/>
    <n v="42.156282373834536"/>
    <x v="1"/>
    <x v="0"/>
    <s v="CLEAN"/>
  </r>
  <r>
    <x v="137"/>
    <d v="2024-12-04T00:00:00"/>
    <d v="2024-12-06T00:00:00"/>
    <n v="2"/>
    <s v="OK"/>
    <s v="CUST-4667"/>
    <s v="Aarav Sharma"/>
    <x v="3"/>
    <x v="1"/>
    <s v="West Bengal"/>
    <s v="Kolkata"/>
    <x v="0"/>
    <x v="2"/>
    <s v="Classic Art 299"/>
    <x v="0"/>
    <n v="3"/>
    <n v="876.14"/>
    <s v="70%"/>
    <s v="INVALID"/>
    <n v="2628.42"/>
    <n v="1541.54"/>
    <n v="1086.8800000000001"/>
    <x v="1"/>
    <x v="1"/>
    <n v="0"/>
    <n v="2628.42"/>
    <n v="1086.8800000000001"/>
    <n v="41.351077833831731"/>
    <x v="5"/>
    <x v="0"/>
    <s v="INVALID"/>
  </r>
  <r>
    <x v="138"/>
    <d v="2024-11-12T00:00:00"/>
    <d v="2024-12-11T00:00:00"/>
    <n v="29"/>
    <s v="OK"/>
    <s v="CUST-8579"/>
    <s v="Isha Nair"/>
    <x v="0"/>
    <x v="0"/>
    <s v="Uttar Pradesh"/>
    <s v="Noida"/>
    <x v="2"/>
    <x v="8"/>
    <s v="Max Phones 422"/>
    <x v="0"/>
    <n v="6"/>
    <n v="1369.48"/>
    <n v="0.15"/>
    <s v="OK"/>
    <n v="6984.35"/>
    <n v="4023.63"/>
    <n v="2960.72"/>
    <x v="0"/>
    <x v="0"/>
    <n v="0.15"/>
    <n v="6984.3480000000009"/>
    <n v="2960.7180000000008"/>
    <n v="42.390757161584737"/>
    <x v="3"/>
    <x v="0"/>
    <s v="CLEAN"/>
  </r>
  <r>
    <x v="139"/>
    <d v="2024-02-25T00:00:00"/>
    <d v="2024-02-29T00:00:00"/>
    <n v="4"/>
    <s v="OK"/>
    <s v="CUST-6909"/>
    <s v="Isha Nair"/>
    <x v="1"/>
    <x v="3"/>
    <s v="Goa"/>
    <s v="Panaji"/>
    <x v="1"/>
    <x v="3"/>
    <s v="Eco Furnishings 897"/>
    <x v="3"/>
    <n v="9"/>
    <n v="1331.46"/>
    <n v="0.15"/>
    <s v="OK"/>
    <n v="10185.67"/>
    <n v="6479.31"/>
    <n v="3706.36"/>
    <x v="0"/>
    <x v="0"/>
    <n v="0.15"/>
    <n v="10185.669"/>
    <n v="3706.3589999999995"/>
    <n v="36.387978050337189"/>
    <x v="7"/>
    <x v="0"/>
    <s v="CLEAN"/>
  </r>
  <r>
    <x v="140"/>
    <d v="2024-04-12T00:00:00"/>
    <d v="2024-12-06T00:00:00"/>
    <n v="238"/>
    <s v="OK"/>
    <s v="CUST-9346"/>
    <s v="Sneha Kapoor"/>
    <x v="3"/>
    <x v="1"/>
    <s v="Odisha"/>
    <s v="Bhubaneswar"/>
    <x v="0"/>
    <x v="11"/>
    <s v="Smart Binders 939"/>
    <x v="0"/>
    <n v="4"/>
    <n v="2685.66"/>
    <n v="0"/>
    <s v="OK"/>
    <n v="10742.64"/>
    <n v="6477.37"/>
    <n v="4265.2700000000004"/>
    <x v="0"/>
    <x v="1"/>
    <n v="0"/>
    <n v="10742.64"/>
    <n v="4265.2699999999995"/>
    <n v="39.704113700170538"/>
    <x v="9"/>
    <x v="0"/>
    <s v="CLEAN"/>
  </r>
  <r>
    <x v="140"/>
    <d v="2024-04-12T00:00:00"/>
    <d v="2024-12-06T00:00:00"/>
    <n v="238"/>
    <s v="OK"/>
    <s v="CUST-9346"/>
    <s v="Sneha Kapoor"/>
    <x v="3"/>
    <x v="1"/>
    <s v="Odisha"/>
    <s v="Bhubaneswar"/>
    <x v="0"/>
    <x v="11"/>
    <s v="Smart Binders 939"/>
    <x v="0"/>
    <n v="4"/>
    <n v="2685.66"/>
    <n v="0"/>
    <s v="OK"/>
    <n v="10989.89"/>
    <n v="6477.37"/>
    <n v="4265.2700000000004"/>
    <x v="0"/>
    <x v="0"/>
    <n v="0"/>
    <n v="10742.64"/>
    <n v="4265.2699999999995"/>
    <n v="39.704113700170538"/>
    <x v="9"/>
    <x v="0"/>
    <s v="CLEAN"/>
  </r>
  <r>
    <x v="141"/>
    <d v="2024-09-12T00:00:00"/>
    <d v="2024-09-17T00:00:00"/>
    <n v="5"/>
    <s v="OK"/>
    <s v="CUST-3062"/>
    <s v="Ananya Rao"/>
    <x v="0"/>
    <x v="1"/>
    <s v="Jharkhand"/>
    <s v="Ranchi"/>
    <x v="0"/>
    <x v="7"/>
    <s v="Pro Storage 563"/>
    <x v="2"/>
    <n v="9"/>
    <n v="1921.47"/>
    <n v="0.25"/>
    <s v="OK"/>
    <n v="12969.92"/>
    <n v="9398.4599999999991"/>
    <n v="3571.46"/>
    <x v="0"/>
    <x v="0"/>
    <n v="0.25"/>
    <n v="12969.922500000001"/>
    <n v="3571.4625000000015"/>
    <n v="27.536498386941027"/>
    <x v="10"/>
    <x v="0"/>
    <s v="CLEAN"/>
  </r>
  <r>
    <x v="142"/>
    <d v="2024-03-17T00:00:00"/>
    <d v="2024-03-21T00:00:00"/>
    <n v="4"/>
    <s v="OK"/>
    <s v="CUST-2103"/>
    <s v="Aarav Sharma"/>
    <x v="0"/>
    <x v="0"/>
    <s v="Rajasthan"/>
    <s v="Jaipur"/>
    <x v="2"/>
    <x v="6"/>
    <s v="Pro Copiers 999"/>
    <x v="2"/>
    <n v="8"/>
    <n v="1992.57"/>
    <n v="0"/>
    <s v="OK"/>
    <n v="15940.56"/>
    <n v="12347.15"/>
    <n v="3593.41"/>
    <x v="0"/>
    <x v="0"/>
    <n v="0"/>
    <n v="15940.56"/>
    <n v="3593.41"/>
    <n v="22.542558103353961"/>
    <x v="11"/>
    <x v="0"/>
    <s v="CLEAN"/>
  </r>
  <r>
    <x v="143"/>
    <d v="2024-08-12T00:00:00"/>
    <d v="2024-08-18T00:00:00"/>
    <n v="6"/>
    <s v="OK"/>
    <s v="CUST-4599"/>
    <s v="Ananya Rao"/>
    <x v="0"/>
    <x v="1"/>
    <s v="Assam"/>
    <s v="Guwahati"/>
    <x v="0"/>
    <x v="5"/>
    <s v="Classic Labels 206"/>
    <x v="1"/>
    <n v="6"/>
    <n v="1181.74"/>
    <n v="0"/>
    <s v="OK"/>
    <n v="7090.44"/>
    <n v="5672.27"/>
    <n v="1262.8699999999999"/>
    <x v="0"/>
    <x v="0"/>
    <n v="0"/>
    <n v="7090.4400000000005"/>
    <n v="1418.17"/>
    <n v="20.001156486762454"/>
    <x v="1"/>
    <x v="0"/>
    <s v="CLEAN"/>
  </r>
  <r>
    <x v="144"/>
    <d v="2024-08-12T00:00:00"/>
    <d v="2024-12-08T00:00:00"/>
    <n v="118"/>
    <s v="OK"/>
    <s v="CUST-3066"/>
    <s v="Arjun Bose"/>
    <x v="1"/>
    <x v="2"/>
    <s v="Andhra Pradesh"/>
    <s v="Vijayawada"/>
    <x v="2"/>
    <x v="4"/>
    <s v="Eco Accessories 315"/>
    <x v="2"/>
    <n v="8"/>
    <n v="4402.3599999999997"/>
    <n v="0.25"/>
    <s v="OK"/>
    <n v="26414.16"/>
    <n v="21822.53"/>
    <n v="4591.63"/>
    <x v="0"/>
    <x v="0"/>
    <n v="0.25"/>
    <n v="26414.159999999996"/>
    <n v="4591.6299999999974"/>
    <n v="17.383214154832096"/>
    <x v="1"/>
    <x v="0"/>
    <s v="CLEAN"/>
  </r>
  <r>
    <x v="145"/>
    <d v="2024-01-21T00:00:00"/>
    <d v="2024-01-29T00:00:00"/>
    <n v="8"/>
    <s v="OK"/>
    <s v="CUST-6291"/>
    <s v="Neha Gupta"/>
    <x v="0"/>
    <x v="2"/>
    <s v="Karnataka"/>
    <s v="Bengaluru"/>
    <x v="0"/>
    <x v="11"/>
    <s v="Smart Binders 414"/>
    <x v="3"/>
    <n v="5"/>
    <n v="4058.08"/>
    <n v="0.1"/>
    <s v="OK"/>
    <n v="18261.36"/>
    <n v="11399.94"/>
    <n v="6861.42"/>
    <x v="0"/>
    <x v="0"/>
    <n v="0.1"/>
    <n v="18261.36"/>
    <n v="6861.42"/>
    <n v="37.573433742065212"/>
    <x v="6"/>
    <x v="0"/>
    <s v="CLEAN"/>
  </r>
  <r>
    <x v="146"/>
    <d v="2024-11-03T00:00:00"/>
    <d v="2024-11-03T00:00:00"/>
    <n v="0"/>
    <s v="OK"/>
    <s v="CUST-8025"/>
    <s v="Priya Menon"/>
    <x v="0"/>
    <x v="0"/>
    <s v="Punjab"/>
    <s v="Ludhiana"/>
    <x v="1"/>
    <x v="9"/>
    <s v="Elite Bookcases 184"/>
    <x v="1"/>
    <n v="9"/>
    <n v="3456.38"/>
    <n v="0"/>
    <s v="OK"/>
    <n v="31107.42"/>
    <n v="20146.66"/>
    <n v="10960.76"/>
    <x v="1"/>
    <x v="1"/>
    <n v="0"/>
    <n v="31107.420000000002"/>
    <n v="10960.760000000002"/>
    <n v="35.235194689884281"/>
    <x v="3"/>
    <x v="0"/>
    <s v="CLEAN"/>
  </r>
  <r>
    <x v="147"/>
    <d v="2024-09-14T00:00:00"/>
    <d v="2024-09-22T00:00:00"/>
    <n v="8"/>
    <s v="OK"/>
    <s v="CUST-4634"/>
    <s v="Karan Malhotra"/>
    <x v="0"/>
    <x v="3"/>
    <s v="Madhya Pradesh"/>
    <s v="Indore"/>
    <x v="1"/>
    <x v="3"/>
    <s v="Elite Furnishings 138"/>
    <x v="0"/>
    <n v="2"/>
    <n v="2765.3"/>
    <n v="0"/>
    <s v="OK"/>
    <n v="5530.6"/>
    <n v="4453.1099999999997"/>
    <n v="1077.49"/>
    <x v="0"/>
    <x v="0"/>
    <n v="0"/>
    <n v="5530.6"/>
    <n v="1077.4900000000007"/>
    <n v="19.48233464723539"/>
    <x v="10"/>
    <x v="0"/>
    <s v="CLEAN"/>
  </r>
  <r>
    <x v="148"/>
    <d v="2024-06-02T00:00:00"/>
    <d v="2024-06-07T00:00:00"/>
    <n v="5"/>
    <s v="OK"/>
    <s v="CUST-9517"/>
    <s v="Aarav Sharma"/>
    <x v="2"/>
    <x v="2"/>
    <s v="Karnataka"/>
    <s v="Bengaluru"/>
    <x v="2"/>
    <x v="8"/>
    <s v="Classic Phones 989"/>
    <x v="1"/>
    <n v="9"/>
    <n v="2860.26"/>
    <n v="0.25"/>
    <s v="OK"/>
    <n v="19306.759999999998"/>
    <n v="14442.38"/>
    <n v="4864.38"/>
    <x v="0"/>
    <x v="0"/>
    <n v="0.25"/>
    <n v="19306.755000000005"/>
    <n v="4864.3750000000055"/>
    <n v="25.195197225012716"/>
    <x v="2"/>
    <x v="0"/>
    <s v="CLEAN"/>
  </r>
  <r>
    <x v="149"/>
    <d v="2024-08-21T00:00:00"/>
    <d v="2024-08-22T00:00:00"/>
    <n v="1"/>
    <s v="OK"/>
    <s v="CUST-9571"/>
    <s v="Isha Nair"/>
    <x v="0"/>
    <x v="2"/>
    <s v="Tamil Nadu"/>
    <s v="Chennai"/>
    <x v="2"/>
    <x v="8"/>
    <s v="Classic Phones 586"/>
    <x v="1"/>
    <n v="9"/>
    <n v="616.96"/>
    <n v="0.1"/>
    <s v="OK"/>
    <n v="4997.38"/>
    <n v="2971.39"/>
    <n v="2025.99"/>
    <x v="0"/>
    <x v="0"/>
    <n v="0.1"/>
    <n v="4997.3760000000002"/>
    <n v="2025.9860000000003"/>
    <n v="40.540995914656015"/>
    <x v="1"/>
    <x v="0"/>
    <s v="CLEAN"/>
  </r>
  <r>
    <x v="150"/>
    <d v="2024-08-23T00:00:00"/>
    <d v="2024-08-25T00:00:00"/>
    <n v="2"/>
    <s v="OK"/>
    <s v="CUST-6755"/>
    <s v="Vikram Iyer"/>
    <x v="0"/>
    <x v="3"/>
    <s v="Goa"/>
    <s v="Panaji"/>
    <x v="2"/>
    <x v="12"/>
    <s v="Elite Machines 216"/>
    <x v="1"/>
    <n v="4"/>
    <n v="491.16"/>
    <n v="0.05"/>
    <s v="OK"/>
    <n v="1866.41"/>
    <n v="1576.49"/>
    <n v="289.92"/>
    <x v="0"/>
    <x v="0"/>
    <n v="0.05"/>
    <n v="1866.4079999999999"/>
    <n v="289.91799999999989"/>
    <n v="15.533473924243783"/>
    <x v="1"/>
    <x v="0"/>
    <s v="CLEAN"/>
  </r>
  <r>
    <x v="151"/>
    <d v="2024-06-15T00:00:00"/>
    <d v="2024-06-21T00:00:00"/>
    <n v="6"/>
    <s v="OK"/>
    <s v="CUST-2203"/>
    <s v="Aditi Sen"/>
    <x v="2"/>
    <x v="3"/>
    <s v="Goa"/>
    <s v="Panaji"/>
    <x v="2"/>
    <x v="4"/>
    <s v="Basic Accessories 774"/>
    <x v="2"/>
    <n v="8"/>
    <n v="1706.4"/>
    <n v="0"/>
    <s v="OK"/>
    <n v="12968.64"/>
    <n v="10119.61"/>
    <n v="2849.03"/>
    <x v="0"/>
    <x v="0"/>
    <n v="0"/>
    <n v="13651.2"/>
    <n v="3531.59"/>
    <n v="25.870179910923579"/>
    <x v="2"/>
    <x v="0"/>
    <s v="CLEAN"/>
  </r>
  <r>
    <x v="152"/>
    <d v="2024-08-15T00:00:00"/>
    <d v="2024-08-21T00:00:00"/>
    <n v="6"/>
    <s v="OK"/>
    <s v="CUST-8521"/>
    <s v="Ananya Rao"/>
    <x v="1"/>
    <x v="3"/>
    <s v="Rajasthan"/>
    <s v="Udaipur"/>
    <x v="2"/>
    <x v="6"/>
    <s v="Classic Copiers 505"/>
    <x v="2"/>
    <n v="7"/>
    <n v="2333.81"/>
    <n v="0.2"/>
    <s v="OK"/>
    <n v="13069.34"/>
    <n v="8768.59"/>
    <n v="4300.75"/>
    <x v="0"/>
    <x v="0"/>
    <n v="0.2"/>
    <n v="13069.336000000001"/>
    <n v="4300.746000000001"/>
    <n v="32.907149988339121"/>
    <x v="1"/>
    <x v="0"/>
    <s v="CLEAN"/>
  </r>
  <r>
    <x v="153"/>
    <d v="2024-12-31T00:00:00"/>
    <d v="2025-01-04T00:00:00"/>
    <n v="4"/>
    <s v="OK"/>
    <s v="CUST-2810"/>
    <s v="Vikram Iyer"/>
    <x v="0"/>
    <x v="0"/>
    <s v="Delhi"/>
    <s v="New Delhi"/>
    <x v="1"/>
    <x v="10"/>
    <s v="Pro Chairs 364"/>
    <x v="1"/>
    <n v="3"/>
    <n v="1166.6099999999999"/>
    <n v="0.25"/>
    <s v="OK"/>
    <n v="2624.87"/>
    <n v="2253.88"/>
    <n v="370.99"/>
    <x v="0"/>
    <x v="0"/>
    <n v="0.25"/>
    <n v="2624.8724999999999"/>
    <n v="370.99249999999984"/>
    <n v="14.133734114704612"/>
    <x v="5"/>
    <x v="0"/>
    <s v="CLEAN"/>
  </r>
  <r>
    <x v="154"/>
    <d v="2024-12-29T00:00:00"/>
    <d v="2024-12-31T00:00:00"/>
    <n v="2"/>
    <s v="OK"/>
    <s v="CUST-5166"/>
    <s v="Isha Nair"/>
    <x v="1"/>
    <x v="1"/>
    <s v="Bihar"/>
    <s v="Patna"/>
    <x v="1"/>
    <x v="10"/>
    <s v="Basic Chairs 248"/>
    <x v="2"/>
    <n v="6"/>
    <n v="1844.78"/>
    <n v="0.2"/>
    <s v="OK"/>
    <n v="8854.94"/>
    <n v="7433.95"/>
    <n v="1420.99"/>
    <x v="0"/>
    <x v="0"/>
    <n v="0.2"/>
    <n v="8854.9440000000013"/>
    <n v="1420.9940000000015"/>
    <n v="16.047464557652781"/>
    <x v="5"/>
    <x v="0"/>
    <s v="CLEAN"/>
  </r>
  <r>
    <x v="155"/>
    <d v="2024-09-19T00:00:00"/>
    <d v="2024-09-23T00:00:00"/>
    <n v="4"/>
    <s v="OK"/>
    <s v="CUST-6405"/>
    <s v="Mira Das"/>
    <x v="1"/>
    <x v="2"/>
    <s v="Kerala"/>
    <s v="Kochi"/>
    <x v="0"/>
    <x v="0"/>
    <s v="Max Paper 334"/>
    <x v="3"/>
    <n v="7"/>
    <n v="1136.68"/>
    <n v="0"/>
    <s v="OK"/>
    <n v="7956.76"/>
    <n v="4799.54"/>
    <n v="3157.22"/>
    <x v="0"/>
    <x v="0"/>
    <n v="0"/>
    <n v="7956.76"/>
    <n v="3157.2200000000003"/>
    <n v="39.679718880549366"/>
    <x v="10"/>
    <x v="0"/>
    <s v="CLEAN"/>
  </r>
  <r>
    <x v="156"/>
    <d v="2024-04-07T00:00:00"/>
    <d v="2024-04-14T00:00:00"/>
    <n v="7"/>
    <s v="OK"/>
    <s v="CUST-5779"/>
    <s v="Vikram Iyer"/>
    <x v="0"/>
    <x v="3"/>
    <s v="Maharashtra"/>
    <s v="Mumbai"/>
    <x v="1"/>
    <x v="9"/>
    <s v="Prime Bookcases 952"/>
    <x v="1"/>
    <n v="5"/>
    <n v="2235.85"/>
    <n v="0.25"/>
    <s v="OK"/>
    <n v="8384.44"/>
    <n v="4765.96"/>
    <n v="3618.48"/>
    <x v="0"/>
    <x v="1"/>
    <n v="0.25"/>
    <n v="8384.4375"/>
    <n v="3618.4775"/>
    <n v="43.157069272685256"/>
    <x v="9"/>
    <x v="0"/>
    <s v="CLEAN"/>
  </r>
  <r>
    <x v="157"/>
    <d v="2024-03-15T00:00:00"/>
    <d v="2024-03-20T00:00:00"/>
    <n v="5"/>
    <s v="OK"/>
    <s v="CUST-8432"/>
    <s v="Rohan Mehta"/>
    <x v="0"/>
    <x v="1"/>
    <s v="Jharkhand"/>
    <s v="Ranchi"/>
    <x v="2"/>
    <x v="6"/>
    <s v="Prime Copiers 820"/>
    <x v="3"/>
    <n v="2"/>
    <n v="1881.4"/>
    <n v="0.25"/>
    <s v="OK"/>
    <n v="2822.1"/>
    <n v="1624.57"/>
    <n v="1197.53"/>
    <x v="0"/>
    <x v="1"/>
    <n v="0.25"/>
    <n v="2822.1000000000004"/>
    <n v="1197.5300000000004"/>
    <n v="42.434003047376081"/>
    <x v="11"/>
    <x v="0"/>
    <s v="CLEAN"/>
  </r>
  <r>
    <x v="158"/>
    <d v="2024-05-13T00:00:00"/>
    <d v="2024-05-18T00:00:00"/>
    <n v="5"/>
    <s v="OK"/>
    <s v="CUST-1457"/>
    <s v="Isha Nair"/>
    <x v="1"/>
    <x v="3"/>
    <s v="Gujarat"/>
    <s v="Ahmedabad"/>
    <x v="1"/>
    <x v="10"/>
    <s v="Elite Chairs 639"/>
    <x v="3"/>
    <n v="3"/>
    <n v="3128.59"/>
    <n v="0"/>
    <s v="OK"/>
    <n v="9385.77"/>
    <n v="6872.44"/>
    <n v="2783.66"/>
    <x v="0"/>
    <x v="0"/>
    <n v="0"/>
    <n v="9385.77"/>
    <n v="2513.3300000000008"/>
    <n v="26.778090662779942"/>
    <x v="4"/>
    <x v="0"/>
    <s v="CLEAN"/>
  </r>
  <r>
    <x v="159"/>
    <d v="2024-11-06T00:00:00"/>
    <d v="2024-11-11T00:00:00"/>
    <n v="5"/>
    <s v="OK"/>
    <s v="CUST-7853"/>
    <s v="Isha Nair"/>
    <x v="0"/>
    <x v="3"/>
    <s v="Gujarat"/>
    <s v="Ahmedabad"/>
    <x v="1"/>
    <x v="3"/>
    <s v="Pro Furnishings 281"/>
    <x v="3"/>
    <n v="4"/>
    <n v="1917.26"/>
    <n v="0.2"/>
    <s v="OK"/>
    <n v="6135.23"/>
    <n v="3439.79"/>
    <n v="2695.44"/>
    <x v="0"/>
    <x v="0"/>
    <n v="0.2"/>
    <n v="6135.232"/>
    <n v="2695.442"/>
    <n v="43.933823529411761"/>
    <x v="3"/>
    <x v="0"/>
    <s v="CLEAN"/>
  </r>
  <r>
    <x v="160"/>
    <d v="2024-02-19T00:00:00"/>
    <d v="2024-02-22T00:00:00"/>
    <n v="3"/>
    <s v="OK"/>
    <s v="CUST-6866"/>
    <s v="Aditi Sen"/>
    <x v="1"/>
    <x v="2"/>
    <s v="Kerala"/>
    <s v="Kochi"/>
    <x v="1"/>
    <x v="3"/>
    <s v="Classic Furnishings 746"/>
    <x v="1"/>
    <n v="9"/>
    <n v="4053.01"/>
    <n v="0"/>
    <s v="OK"/>
    <n v="36477.089999999997"/>
    <n v="24525.48"/>
    <n v="11951.61"/>
    <x v="0"/>
    <x v="0"/>
    <n v="0"/>
    <n v="36477.090000000004"/>
    <n v="11951.610000000004"/>
    <n v="32.764702447481426"/>
    <x v="7"/>
    <x v="0"/>
    <s v="CLEAN"/>
  </r>
  <r>
    <x v="161"/>
    <d v="2024-08-23T00:00:00"/>
    <d v="2024-08-29T00:00:00"/>
    <n v="6"/>
    <s v="OK"/>
    <s v="CUST-3160"/>
    <s v="Mira Das"/>
    <x v="2"/>
    <x v="0"/>
    <s v="Uttar Pradesh"/>
    <s v="Noida"/>
    <x v="0"/>
    <x v="5"/>
    <s v="Eco Labels 815"/>
    <x v="1"/>
    <n v="2"/>
    <n v="1936.91"/>
    <n v="0.05"/>
    <s v="OK"/>
    <n v="3680.13"/>
    <n v="2967.46"/>
    <n v="712.67"/>
    <x v="0"/>
    <x v="0"/>
    <n v="0.05"/>
    <n v="3680.1289999999999"/>
    <n v="712.66899999999987"/>
    <n v="19.365326595888348"/>
    <x v="1"/>
    <x v="0"/>
    <s v="CLEAN"/>
  </r>
  <r>
    <x v="162"/>
    <d v="2024-03-04T00:00:00"/>
    <d v="2024-04-04T00:00:00"/>
    <n v="31"/>
    <s v="OK"/>
    <s v="CUST-8444"/>
    <s v="Kabir Singh"/>
    <x v="0"/>
    <x v="3"/>
    <s v="Maharashtra"/>
    <s v="Mumbai"/>
    <x v="1"/>
    <x v="3"/>
    <s v="Prime Furnishings 879"/>
    <x v="2"/>
    <n v="7"/>
    <n v="3945.21"/>
    <n v="0"/>
    <s v="OK"/>
    <n v="27616.47"/>
    <n v="21225.26"/>
    <n v="6391.21"/>
    <x v="0"/>
    <x v="0"/>
    <n v="0"/>
    <n v="27616.47"/>
    <n v="6391.2100000000028"/>
    <n v="23.142747787823726"/>
    <x v="11"/>
    <x v="0"/>
    <s v="CLEAN"/>
  </r>
  <r>
    <x v="163"/>
    <d v="2024-06-06T00:00:00"/>
    <d v="2024-06-07T00:00:00"/>
    <n v="1"/>
    <s v="OK"/>
    <s v="CUST-4765"/>
    <s v="Rahul Verma"/>
    <x v="3"/>
    <x v="2"/>
    <s v="Tamil Nadu"/>
    <s v="Chennai"/>
    <x v="1"/>
    <x v="1"/>
    <s v="Pro Tables 142"/>
    <x v="1"/>
    <n v="7"/>
    <n v="861.91"/>
    <n v="0.05"/>
    <s v="OK"/>
    <n v="5731.7"/>
    <n v="4115.5600000000004"/>
    <n v="1616.14"/>
    <x v="0"/>
    <x v="0"/>
    <n v="0.05"/>
    <n v="5731.7014999999992"/>
    <n v="1616.1414999999988"/>
    <n v="28.19653989308409"/>
    <x v="2"/>
    <x v="0"/>
    <s v="CLEAN"/>
  </r>
  <r>
    <x v="164"/>
    <d v="2024-07-19T00:00:00"/>
    <d v="2024-07-26T00:00:00"/>
    <n v="7"/>
    <s v="OK"/>
    <s v="CUST-4718"/>
    <s v="Vikram Iyer"/>
    <x v="2"/>
    <x v="0"/>
    <s v="Punjab"/>
    <s v="Ludhiana"/>
    <x v="2"/>
    <x v="12"/>
    <s v="Elite Machines 523"/>
    <x v="1"/>
    <n v="2"/>
    <n v="1263.6500000000001"/>
    <n v="0.2"/>
    <s v="OK"/>
    <n v="2021.84"/>
    <n v="1355.22"/>
    <n v="666.62"/>
    <x v="0"/>
    <x v="0"/>
    <n v="0.2"/>
    <n v="2021.8400000000001"/>
    <n v="666.62000000000012"/>
    <n v="32.970957147944453"/>
    <x v="0"/>
    <x v="0"/>
    <s v="CLEAN"/>
  </r>
  <r>
    <x v="165"/>
    <d v="2024-03-22T00:00:00"/>
    <d v="2024-03-22T00:00:00"/>
    <n v="0"/>
    <s v="OK"/>
    <s v="CUST-7680"/>
    <s v="Priya Menon"/>
    <x v="1"/>
    <x v="2"/>
    <s v="Karnataka"/>
    <s v="Bengaluru"/>
    <x v="1"/>
    <x v="1"/>
    <s v="Smart Tables 829"/>
    <x v="4"/>
    <n v="3"/>
    <n v="1365.26"/>
    <n v="0"/>
    <s v="OK"/>
    <n v="4095.78"/>
    <n v="2807.77"/>
    <n v="1288.01"/>
    <x v="0"/>
    <x v="0"/>
    <n v="0"/>
    <n v="4095.7799999999997"/>
    <n v="1288.0099999999998"/>
    <n v="31.447245701673427"/>
    <x v="11"/>
    <x v="0"/>
    <s v="CLEAN"/>
  </r>
  <r>
    <x v="166"/>
    <d v="2024-09-30T00:00:00"/>
    <d v="2024-04-10T00:00:00"/>
    <n v="-173"/>
    <s v="INVALID"/>
    <s v="CUST-2700"/>
    <s v="Arjun Bose"/>
    <x v="1"/>
    <x v="2"/>
    <s v="Kerala"/>
    <s v="Kochi"/>
    <x v="0"/>
    <x v="0"/>
    <s v="Classic Paper 237"/>
    <x v="1"/>
    <n v="5"/>
    <n v="3512.25"/>
    <n v="0.05"/>
    <s v="OK"/>
    <n v="16683.189999999999"/>
    <n v="10301.16"/>
    <n v="6382.03"/>
    <x v="0"/>
    <x v="1"/>
    <n v="0.05"/>
    <n v="16683.1875"/>
    <n v="6382.0275000000001"/>
    <n v="38.254245479168773"/>
    <x v="10"/>
    <x v="0"/>
    <s v="INVALID"/>
  </r>
  <r>
    <x v="167"/>
    <d v="2024-01-27T00:00:00"/>
    <d v="2024-02-03T00:00:00"/>
    <n v="7"/>
    <s v="OK"/>
    <s v="CUST-2904"/>
    <s v="Aditi Sen"/>
    <x v="2"/>
    <x v="3"/>
    <s v="Rajasthan"/>
    <s v="Udaipur"/>
    <x v="1"/>
    <x v="10"/>
    <s v="Prime Chairs 891"/>
    <x v="1"/>
    <n v="3"/>
    <n v="359.61"/>
    <n v="0"/>
    <s v="OK"/>
    <n v="1078.83"/>
    <n v="926.35"/>
    <n v="152.47999999999999"/>
    <x v="0"/>
    <x v="0"/>
    <n v="0"/>
    <n v="1078.83"/>
    <n v="152.4799999999999"/>
    <n v="14.133830167867034"/>
    <x v="6"/>
    <x v="0"/>
    <s v="CLEAN"/>
  </r>
  <r>
    <x v="168"/>
    <d v="2024-09-23T00:00:00"/>
    <d v="2024-09-24T00:00:00"/>
    <n v="1"/>
    <s v="OK"/>
    <s v="CUST-9961"/>
    <s v="Aditi Sen"/>
    <x v="3"/>
    <x v="3"/>
    <s v="Gujarat"/>
    <s v="Ahmedabad"/>
    <x v="1"/>
    <x v="9"/>
    <s v="Max Bookcases 812"/>
    <x v="4"/>
    <n v="7"/>
    <n v="3878.01"/>
    <n v="0.1"/>
    <s v="OK"/>
    <n v="24431.46"/>
    <n v="18202.36"/>
    <n v="6229.1"/>
    <x v="0"/>
    <x v="0"/>
    <n v="0.1"/>
    <n v="24431.463"/>
    <n v="6229.1029999999992"/>
    <n v="25.496234097810678"/>
    <x v="10"/>
    <x v="0"/>
    <s v="CLEAN"/>
  </r>
  <r>
    <x v="169"/>
    <d v="2024-05-12T00:00:00"/>
    <d v="2024-05-13T00:00:00"/>
    <n v="1"/>
    <s v="OK"/>
    <s v="CUST-8520"/>
    <s v="Rahul Verma"/>
    <x v="2"/>
    <x v="3"/>
    <s v="Goa"/>
    <s v="Panaji"/>
    <x v="0"/>
    <x v="5"/>
    <s v="Smart Labels 261"/>
    <x v="0"/>
    <n v="3"/>
    <n v="2644.55"/>
    <n v="0"/>
    <s v="OK"/>
    <n v="7933.65"/>
    <n v="5698.42"/>
    <n v="2235.23"/>
    <x v="0"/>
    <x v="0"/>
    <n v="0"/>
    <n v="7933.6500000000005"/>
    <n v="2235.2300000000005"/>
    <n v="28.174043473054649"/>
    <x v="4"/>
    <x v="0"/>
    <s v="CLEAN"/>
  </r>
  <r>
    <x v="170"/>
    <d v="2024-04-12T00:00:00"/>
    <d v="2024-04-20T00:00:00"/>
    <n v="8"/>
    <s v="OK"/>
    <s v="CUST-9495"/>
    <s v="Diya Patel"/>
    <x v="0"/>
    <x v="3"/>
    <s v="Goa"/>
    <s v="Panaji"/>
    <x v="1"/>
    <x v="1"/>
    <s v="Smart Tables 100"/>
    <x v="2"/>
    <n v="9"/>
    <n v="1302.6099999999999"/>
    <n v="0.2"/>
    <s v="OK"/>
    <n v="9378.7900000000009"/>
    <n v="6774.48"/>
    <n v="2604.31"/>
    <x v="0"/>
    <x v="0"/>
    <n v="0.2"/>
    <n v="9378.7919999999995"/>
    <n v="2604.3119999999999"/>
    <n v="27.768096360384153"/>
    <x v="9"/>
    <x v="0"/>
    <s v="CLEAN"/>
  </r>
  <r>
    <x v="171"/>
    <d v="2024-01-22T00:00:00"/>
    <d v="2024-01-30T00:00:00"/>
    <n v="8"/>
    <s v="OK"/>
    <s v="CUST-4329"/>
    <s v="Isha Nair"/>
    <x v="2"/>
    <x v="2"/>
    <s v="Karnataka"/>
    <s v="Bengaluru"/>
    <x v="1"/>
    <x v="10"/>
    <s v="Basic Chairs 790"/>
    <x v="1"/>
    <n v="1"/>
    <n v="2111.39"/>
    <n v="0.25"/>
    <s v="OK"/>
    <n v="1583.54"/>
    <n v="1014.19"/>
    <n v="569.35"/>
    <x v="0"/>
    <x v="0"/>
    <n v="0.25"/>
    <n v="1583.5425"/>
    <n v="569.35249999999996"/>
    <n v="35.954355503562425"/>
    <x v="6"/>
    <x v="0"/>
    <s v="CLEAN"/>
  </r>
  <r>
    <x v="172"/>
    <d v="2024-08-29T00:00:00"/>
    <d v="2024-08-30T00:00:00"/>
    <n v="1"/>
    <s v="OK"/>
    <s v="CUST-4194"/>
    <s v="Arjun Bose"/>
    <x v="3"/>
    <x v="1"/>
    <s v="Assam"/>
    <s v="Guwahati"/>
    <x v="0"/>
    <x v="7"/>
    <s v="Max Storage 692"/>
    <x v="2"/>
    <n v="4"/>
    <n v="2484.08"/>
    <n v="0.05"/>
    <s v="OK"/>
    <n v="9439.5"/>
    <n v="5519.39"/>
    <n v="3920.11"/>
    <x v="0"/>
    <x v="0"/>
    <n v="0.05"/>
    <n v="9439.503999999999"/>
    <n v="3920.1139999999987"/>
    <n v="41.528813378330035"/>
    <x v="1"/>
    <x v="0"/>
    <s v="CLEAN"/>
  </r>
  <r>
    <x v="173"/>
    <d v="2024-01-25T00:00:00"/>
    <d v="2024-01-27T00:00:00"/>
    <n v="2"/>
    <s v="OK"/>
    <s v="CUST-7087"/>
    <s v="Aarav Sharma"/>
    <x v="2"/>
    <x v="2"/>
    <s v="Karnataka"/>
    <s v="Bengaluru"/>
    <x v="0"/>
    <x v="7"/>
    <s v="Basic Storage 684"/>
    <x v="1"/>
    <n v="7"/>
    <n v="1727.26"/>
    <n v="0.15"/>
    <s v="OK"/>
    <n v="10277.200000000001"/>
    <n v="7906.5"/>
    <n v="2370.6999999999998"/>
    <x v="0"/>
    <x v="1"/>
    <n v="0.15"/>
    <n v="10277.197"/>
    <n v="2370.6970000000001"/>
    <n v="23.067544584384244"/>
    <x v="6"/>
    <x v="0"/>
    <s v="CLEAN"/>
  </r>
  <r>
    <x v="174"/>
    <d v="2024-02-20T00:00:00"/>
    <d v="2024-02-27T00:00:00"/>
    <n v="7"/>
    <s v="OK"/>
    <s v="CUST-6169"/>
    <s v="Diya Patel"/>
    <x v="0"/>
    <x v="2"/>
    <s v="Kerala"/>
    <s v="Kochi"/>
    <x v="2"/>
    <x v="4"/>
    <s v="Prime Accessories 236"/>
    <x v="2"/>
    <n v="9"/>
    <n v="3779.31"/>
    <n v="0.2"/>
    <s v="OK"/>
    <n v="27211.03"/>
    <n v="17940.43"/>
    <n v="9270.6"/>
    <x v="0"/>
    <x v="0"/>
    <n v="0.2"/>
    <n v="27211.032000000003"/>
    <n v="9270.6020000000026"/>
    <n v="34.069277490100347"/>
    <x v="7"/>
    <x v="0"/>
    <s v="CLEAN"/>
  </r>
  <r>
    <x v="174"/>
    <d v="2024-02-20T00:00:00"/>
    <d v="2024-02-27T00:00:00"/>
    <n v="7"/>
    <s v="OK"/>
    <s v="CUST-6169"/>
    <s v="Diya Patel"/>
    <x v="0"/>
    <x v="2"/>
    <s v="Kerala"/>
    <s v="Kochi"/>
    <x v="2"/>
    <x v="4"/>
    <s v="Prime Accessories 236"/>
    <x v="2"/>
    <n v="9"/>
    <n v="3779.31"/>
    <n v="0.2"/>
    <s v="OK"/>
    <n v="27322.9"/>
    <n v="17940.43"/>
    <n v="9270.6"/>
    <x v="0"/>
    <x v="1"/>
    <n v="0.2"/>
    <n v="27211.032000000003"/>
    <n v="9270.6020000000026"/>
    <n v="34.069277490100347"/>
    <x v="7"/>
    <x v="0"/>
    <s v="CLEAN"/>
  </r>
  <r>
    <x v="175"/>
    <d v="2024-06-26T00:00:00"/>
    <d v="2024-06-29T00:00:00"/>
    <n v="3"/>
    <s v="OK"/>
    <s v="CUST-8904"/>
    <s v="Neha Gupta"/>
    <x v="2"/>
    <x v="0"/>
    <s v="Punjab"/>
    <s v="Ludhiana"/>
    <x v="2"/>
    <x v="8"/>
    <s v="Prime Phones 881"/>
    <x v="3"/>
    <n v="8"/>
    <n v="804.52"/>
    <n v="0"/>
    <s v="OK"/>
    <n v="6436.16"/>
    <n v="4263.83"/>
    <n v="2172.33"/>
    <x v="0"/>
    <x v="0"/>
    <n v="0"/>
    <n v="6436.16"/>
    <n v="2172.33"/>
    <n v="33.75195768905683"/>
    <x v="2"/>
    <x v="0"/>
    <s v="CLEAN"/>
  </r>
  <r>
    <x v="176"/>
    <d v="2024-06-30T00:00:00"/>
    <d v="2024-01-07T00:00:00"/>
    <n v="-175"/>
    <s v="INVALID"/>
    <s v="CUST-5431"/>
    <s v="Aditi Sen"/>
    <x v="0"/>
    <x v="0"/>
    <s v="Haryana"/>
    <s v="Gurugram"/>
    <x v="2"/>
    <x v="6"/>
    <s v="Max Copiers 402"/>
    <x v="1"/>
    <n v="8"/>
    <n v="3756.66"/>
    <n v="0.1"/>
    <s v="OK"/>
    <n v="27047.95"/>
    <n v="18431.330000000002"/>
    <n v="8616.6200000000008"/>
    <x v="0"/>
    <x v="0"/>
    <n v="0.1"/>
    <n v="27047.952000000001"/>
    <n v="8616.6219999999994"/>
    <n v="31.856837072174628"/>
    <x v="2"/>
    <x v="0"/>
    <s v="INVALID"/>
  </r>
  <r>
    <x v="177"/>
    <d v="2024-08-30T00:00:00"/>
    <d v="2024-02-09T00:00:00"/>
    <n v="-203"/>
    <s v="INVALID"/>
    <s v="CUST-2732"/>
    <s v="Neha Gupta"/>
    <x v="1"/>
    <x v="0"/>
    <s v="Haryana"/>
    <s v="Gurugram"/>
    <x v="0"/>
    <x v="0"/>
    <s v="Max Paper 576"/>
    <x v="0"/>
    <n v="1"/>
    <n v="4320.84"/>
    <n v="0.15"/>
    <s v="OK"/>
    <n v="3672.71"/>
    <n v="2714.23"/>
    <n v="763.38"/>
    <x v="0"/>
    <x v="0"/>
    <n v="0.15"/>
    <n v="3672.7139999999999"/>
    <n v="958.48399999999992"/>
    <n v="26.097430946161339"/>
    <x v="1"/>
    <x v="0"/>
    <s v="INVALID"/>
  </r>
  <r>
    <x v="178"/>
    <d v="2024-02-10T00:00:00"/>
    <d v="2024-02-13T00:00:00"/>
    <n v="3"/>
    <s v="OK"/>
    <s v="CUST-3989"/>
    <s v="Karan Malhotra"/>
    <x v="3"/>
    <x v="3"/>
    <s v="Goa"/>
    <s v="Panaji"/>
    <x v="2"/>
    <x v="12"/>
    <s v="Max Machines 412"/>
    <x v="1"/>
    <n v="2"/>
    <n v="4118.45"/>
    <n v="0.25"/>
    <s v="OK"/>
    <n v="6177.67"/>
    <n v="4520.75"/>
    <n v="1656.92"/>
    <x v="0"/>
    <x v="0"/>
    <n v="0.25"/>
    <n v="6177.6749999999993"/>
    <n v="1656.9249999999993"/>
    <n v="26.821174632851346"/>
    <x v="7"/>
    <x v="0"/>
    <s v="CLEAN"/>
  </r>
  <r>
    <x v="179"/>
    <d v="2024-08-29T00:00:00"/>
    <d v="2024-02-09T00:00:00"/>
    <n v="-202"/>
    <s v="INVALID"/>
    <s v="CUST-3522"/>
    <s v="Priya Menon"/>
    <x v="1"/>
    <x v="3"/>
    <s v="Maharashtra"/>
    <s v="Mumbai"/>
    <x v="1"/>
    <x v="9"/>
    <s v="Classic Bookcases 291"/>
    <x v="3"/>
    <n v="6"/>
    <n v="172.82"/>
    <n v="0.05"/>
    <s v="OK"/>
    <n v="985.07"/>
    <n v="844.48"/>
    <n v="140.59"/>
    <x v="0"/>
    <x v="0"/>
    <n v="0.05"/>
    <n v="985.07400000000007"/>
    <n v="140.59400000000005"/>
    <n v="14.272430294576857"/>
    <x v="1"/>
    <x v="0"/>
    <s v="INVALID"/>
  </r>
  <r>
    <x v="180"/>
    <d v="2024-06-16T00:00:00"/>
    <d v="2024-06-21T00:00:00"/>
    <n v="5"/>
    <s v="OK"/>
    <s v="CUST-4492"/>
    <s v="Neha Gupta"/>
    <x v="0"/>
    <x v="2"/>
    <s v="Kerala"/>
    <s v="Kochi"/>
    <x v="1"/>
    <x v="3"/>
    <s v="Max Furnishings 803"/>
    <x v="1"/>
    <n v="6"/>
    <n v="1156.78"/>
    <n v="0.05"/>
    <s v="OK"/>
    <n v="6593.65"/>
    <n v="4359.3900000000003"/>
    <n v="2234.2600000000002"/>
    <x v="0"/>
    <x v="1"/>
    <n v="0.05"/>
    <n v="6593.6459999999997"/>
    <n v="2234.2559999999994"/>
    <n v="33.884985636171542"/>
    <x v="2"/>
    <x v="0"/>
    <s v="CLEAN"/>
  </r>
  <r>
    <x v="181"/>
    <d v="2024-04-02T00:00:00"/>
    <d v="2024-04-08T00:00:00"/>
    <n v="6"/>
    <s v="OK"/>
    <s v="CUST-9039"/>
    <s v="Vikram Iyer"/>
    <x v="2"/>
    <x v="1"/>
    <s v="Odisha"/>
    <s v="Bhubaneswar"/>
    <x v="2"/>
    <x v="12"/>
    <s v="Basic Machines 610"/>
    <x v="0"/>
    <n v="6"/>
    <n v="3722.84"/>
    <n v="0.2"/>
    <s v="OK"/>
    <n v="17869.63"/>
    <n v="12163.8"/>
    <n v="5705.83"/>
    <x v="0"/>
    <x v="0"/>
    <n v="0.2"/>
    <n v="17869.632000000001"/>
    <n v="5705.8320000000022"/>
    <n v="31.93032738446993"/>
    <x v="9"/>
    <x v="0"/>
    <s v="CLEAN"/>
  </r>
  <r>
    <x v="182"/>
    <d v="2024-04-04T00:00:00"/>
    <d v="2024-04-07T00:00:00"/>
    <n v="3"/>
    <s v="OK"/>
    <s v="CUST-2207"/>
    <s v="Rohan Mehta"/>
    <x v="3"/>
    <x v="1"/>
    <s v="Odisha"/>
    <s v="Bhubaneswar"/>
    <x v="1"/>
    <x v="3"/>
    <s v="Basic Furnishings 563"/>
    <x v="2"/>
    <n v="1"/>
    <n v="3683.75"/>
    <n v="0.1"/>
    <s v="OK"/>
    <n v="3315.38"/>
    <n v="2347.6799999999998"/>
    <n v="967.7"/>
    <x v="0"/>
    <x v="0"/>
    <n v="0.1"/>
    <n v="3315.375"/>
    <n v="967.69500000000016"/>
    <n v="29.188100893564084"/>
    <x v="9"/>
    <x v="0"/>
    <s v="CLEAN"/>
  </r>
  <r>
    <x v="183"/>
    <d v="2024-05-09T00:00:00"/>
    <d v="2024-05-05T00:00:00"/>
    <n v="-4"/>
    <s v="INVALID"/>
    <s v="CUST-1351"/>
    <s v="Arjun Bose"/>
    <x v="0"/>
    <x v="1"/>
    <s v="Assam"/>
    <s v="Guwahati"/>
    <x v="1"/>
    <x v="9"/>
    <s v="Eco Bookcases 215"/>
    <x v="1"/>
    <n v="2"/>
    <n v="2111.23"/>
    <n v="0.2"/>
    <s v="OK"/>
    <n v="3377.97"/>
    <n v="2496.29"/>
    <n v="881.68"/>
    <x v="0"/>
    <x v="0"/>
    <n v="0.2"/>
    <n v="3377.9680000000003"/>
    <n v="881.67800000000034"/>
    <n v="26.10083932115403"/>
    <x v="4"/>
    <x v="0"/>
    <s v="INVALID"/>
  </r>
  <r>
    <x v="184"/>
    <d v="2024-01-15T00:00:00"/>
    <d v="2024-01-18T00:00:00"/>
    <n v="3"/>
    <s v="OK"/>
    <s v="CUST-1932"/>
    <s v="Mira Das"/>
    <x v="1"/>
    <x v="2"/>
    <s v="Andhra Pradesh"/>
    <s v="Vijayawada"/>
    <x v="1"/>
    <x v="10"/>
    <s v="Prime Chairs 631"/>
    <x v="2"/>
    <n v="2"/>
    <n v="201.21"/>
    <n v="0.15"/>
    <s v="OK"/>
    <n v="342.06"/>
    <n v="244.57"/>
    <n v="97.49"/>
    <x v="0"/>
    <x v="0"/>
    <n v="0.15"/>
    <n v="342.05700000000002"/>
    <n v="97.487000000000023"/>
    <n v="28.500220723446684"/>
    <x v="6"/>
    <x v="0"/>
    <s v="CLEAN"/>
  </r>
  <r>
    <x v="185"/>
    <d v="2024-06-06T00:00:00"/>
    <d v="2024-06-13T00:00:00"/>
    <n v="7"/>
    <s v="OK"/>
    <s v="CUST-5094"/>
    <s v="Aditi Sen"/>
    <x v="2"/>
    <x v="1"/>
    <s v="Assam"/>
    <s v="Guwahati"/>
    <x v="2"/>
    <x v="12"/>
    <s v="Basic Machines 808"/>
    <x v="0"/>
    <n v="6"/>
    <n v="3270.36"/>
    <n v="0"/>
    <s v="OK"/>
    <n v="19622.16"/>
    <n v="14271.27"/>
    <n v="5350.89"/>
    <x v="0"/>
    <x v="0"/>
    <n v="0"/>
    <n v="19622.16"/>
    <n v="5350.8899999999994"/>
    <n v="27.269627808559299"/>
    <x v="2"/>
    <x v="0"/>
    <s v="CLEAN"/>
  </r>
  <r>
    <x v="186"/>
    <d v="2024-10-05T00:00:00"/>
    <d v="2024-05-16T00:00:00"/>
    <n v="-142"/>
    <s v="INVALID"/>
    <s v="CUST-8796"/>
    <s v="Diya Patel"/>
    <x v="3"/>
    <x v="1"/>
    <s v="Jharkhand"/>
    <s v="Ranchi"/>
    <x v="2"/>
    <x v="4"/>
    <s v="Smart Accessories 149"/>
    <x v="0"/>
    <n v="6"/>
    <n v="2013.33"/>
    <n v="0.2"/>
    <s v="OK"/>
    <n v="9663.98"/>
    <n v="5628.93"/>
    <n v="4035.05"/>
    <x v="0"/>
    <x v="0"/>
    <n v="0.2"/>
    <n v="9663.9840000000004"/>
    <n v="4035.0540000000001"/>
    <n v="41.753525254180886"/>
    <x v="8"/>
    <x v="0"/>
    <s v="INVALID"/>
  </r>
  <r>
    <x v="187"/>
    <d v="2024-07-18T00:00:00"/>
    <d v="2024-07-22T00:00:00"/>
    <n v="4"/>
    <s v="OK"/>
    <s v="CUST-1800"/>
    <s v="Neha Gupta"/>
    <x v="1"/>
    <x v="2"/>
    <s v="Telangana"/>
    <s v="Hyderabad"/>
    <x v="0"/>
    <x v="2"/>
    <s v="Basic Art 556"/>
    <x v="3"/>
    <n v="4"/>
    <n v="808.77"/>
    <n v="0"/>
    <s v="OK"/>
    <n v="3235.08"/>
    <n v="1848.6"/>
    <n v="1386.48"/>
    <x v="0"/>
    <x v="0"/>
    <n v="0"/>
    <n v="3235.08"/>
    <n v="1386.48"/>
    <n v="42.857672762342816"/>
    <x v="0"/>
    <x v="0"/>
    <s v="CLEAN"/>
  </r>
  <r>
    <x v="188"/>
    <d v="2024-02-20T00:00:00"/>
    <d v="2024-02-20T00:00:00"/>
    <n v="0"/>
    <s v="OK"/>
    <s v="CUST-7688"/>
    <s v="Neha Gupta"/>
    <x v="2"/>
    <x v="0"/>
    <s v="Uttar Pradesh"/>
    <s v="Noida"/>
    <x v="2"/>
    <x v="4"/>
    <s v="Smart Accessories 265"/>
    <x v="1"/>
    <n v="5"/>
    <n v="2604.91"/>
    <n v="0.15"/>
    <s v="OK"/>
    <n v="11070.87"/>
    <n v="6623.61"/>
    <n v="4447.26"/>
    <x v="0"/>
    <x v="1"/>
    <n v="0.15"/>
    <n v="11070.867499999998"/>
    <n v="4447.2574999999988"/>
    <n v="40.170813172499805"/>
    <x v="7"/>
    <x v="0"/>
    <s v="CLEAN"/>
  </r>
  <r>
    <x v="189"/>
    <d v="2024-05-04T00:00:00"/>
    <d v="2024-05-04T00:00:00"/>
    <n v="0"/>
    <s v="OK"/>
    <s v="CUST-4957"/>
    <s v="Mira Das"/>
    <x v="1"/>
    <x v="3"/>
    <s v="Goa"/>
    <s v="Panaji"/>
    <x v="1"/>
    <x v="1"/>
    <s v="Elite Tables 418"/>
    <x v="3"/>
    <n v="7"/>
    <n v="2851.51"/>
    <n v="0"/>
    <s v="OK"/>
    <n v="19960.57"/>
    <n v="16603.599999999999"/>
    <n v="3356.97"/>
    <x v="0"/>
    <x v="0"/>
    <n v="0"/>
    <n v="19960.57"/>
    <n v="3356.9700000000012"/>
    <n v="16.81800670020947"/>
    <x v="4"/>
    <x v="0"/>
    <s v="CLEAN"/>
  </r>
  <r>
    <x v="190"/>
    <d v="2024-02-10T00:00:00"/>
    <d v="2024-02-11T00:00:00"/>
    <n v="1"/>
    <s v="OK"/>
    <s v="CUST-1263"/>
    <s v="Karan Malhotra"/>
    <x v="2"/>
    <x v="0"/>
    <s v="Rajasthan"/>
    <s v="Jaipur"/>
    <x v="2"/>
    <x v="8"/>
    <s v="Pro Phones 907"/>
    <x v="0"/>
    <n v="3"/>
    <n v="3183.72"/>
    <n v="0.1"/>
    <s v="OK"/>
    <n v="8596.0400000000009"/>
    <n v="5378.16"/>
    <n v="3217.88"/>
    <x v="0"/>
    <x v="0"/>
    <n v="0.1"/>
    <n v="8596.0439999999999"/>
    <n v="3217.884"/>
    <n v="37.434475672762964"/>
    <x v="7"/>
    <x v="0"/>
    <s v="CLEAN"/>
  </r>
  <r>
    <x v="191"/>
    <d v="2024-03-28T00:00:00"/>
    <d v="2024-04-04T00:00:00"/>
    <n v="7"/>
    <s v="OK"/>
    <s v="CUST-4745"/>
    <s v="Ananya Rao"/>
    <x v="3"/>
    <x v="3"/>
    <s v="Goa"/>
    <s v="Panaji"/>
    <x v="0"/>
    <x v="0"/>
    <s v="Basic Paper 233"/>
    <x v="2"/>
    <n v="3"/>
    <n v="1150.92"/>
    <n v="0"/>
    <s v="OK"/>
    <n v="3452.76"/>
    <n v="2077.96"/>
    <n v="1374.8"/>
    <x v="0"/>
    <x v="0"/>
    <n v="0"/>
    <n v="3452.76"/>
    <n v="1374.8000000000002"/>
    <n v="39.817421425178701"/>
    <x v="11"/>
    <x v="0"/>
    <s v="CLEAN"/>
  </r>
  <r>
    <x v="192"/>
    <d v="2024-09-23T00:00:00"/>
    <d v="2024-09-25T00:00:00"/>
    <n v="2"/>
    <s v="OK"/>
    <s v="CUST-6594"/>
    <s v="Aarav Sharma"/>
    <x v="3"/>
    <x v="0"/>
    <s v="Delhi"/>
    <s v="New Delhi"/>
    <x v="0"/>
    <x v="11"/>
    <s v="Pro Binders 404"/>
    <x v="2"/>
    <n v="2"/>
    <n v="1275.1400000000001"/>
    <n v="0.2"/>
    <s v="OK"/>
    <n v="2040.22"/>
    <n v="1395.71"/>
    <n v="644.51"/>
    <x v="0"/>
    <x v="0"/>
    <n v="0.2"/>
    <n v="2040.2240000000002"/>
    <n v="644.51400000000012"/>
    <n v="31.590354784572678"/>
    <x v="10"/>
    <x v="0"/>
    <s v="CLEAN"/>
  </r>
  <r>
    <x v="193"/>
    <d v="2024-01-29T00:00:00"/>
    <d v="2024-02-06T00:00:00"/>
    <n v="8"/>
    <s v="OK"/>
    <s v="CUST-1748"/>
    <s v="Aarav Sharma"/>
    <x v="1"/>
    <x v="3"/>
    <s v="Madhya Pradesh"/>
    <s v="Indore"/>
    <x v="0"/>
    <x v="5"/>
    <s v="Eco Labels 914"/>
    <x v="3"/>
    <n v="2"/>
    <n v="1258.9000000000001"/>
    <n v="0"/>
    <s v="OK"/>
    <n v="2517.8000000000002"/>
    <n v="1478.54"/>
    <n v="1039.26"/>
    <x v="0"/>
    <x v="0"/>
    <n v="0"/>
    <n v="2517.8000000000002"/>
    <n v="1039.2600000000002"/>
    <n v="41.276511239971406"/>
    <x v="6"/>
    <x v="0"/>
    <s v="CLEAN"/>
  </r>
  <r>
    <x v="194"/>
    <d v="2024-04-01T00:00:00"/>
    <d v="2024-01-08T00:00:00"/>
    <n v="-84"/>
    <s v="INVALID"/>
    <s v="CUST-2725"/>
    <s v="Mira Das"/>
    <x v="1"/>
    <x v="1"/>
    <s v="Bihar"/>
    <s v="Patna"/>
    <x v="2"/>
    <x v="4"/>
    <s v="Max Accessories 486"/>
    <x v="1"/>
    <n v="9"/>
    <n v="1591.96"/>
    <n v="0.2"/>
    <s v="OK"/>
    <n v="11462.11"/>
    <n v="7105.48"/>
    <n v="4356.63"/>
    <x v="0"/>
    <x v="0"/>
    <n v="0.2"/>
    <n v="11462.112000000001"/>
    <n v="4356.6320000000014"/>
    <n v="38.008981241851423"/>
    <x v="9"/>
    <x v="0"/>
    <s v="INVALID"/>
  </r>
  <r>
    <x v="195"/>
    <d v="2024-01-19T00:00:00"/>
    <d v="2024-01-25T00:00:00"/>
    <n v="6"/>
    <s v="OK"/>
    <s v="CUST-3448"/>
    <s v="Aditi Sen"/>
    <x v="2"/>
    <x v="3"/>
    <s v="Goa"/>
    <s v="Panaji"/>
    <x v="2"/>
    <x v="6"/>
    <s v="Pro Copiers 971"/>
    <x v="2"/>
    <n v="3"/>
    <n v="1041.6600000000001"/>
    <n v="0.1"/>
    <s v="OK"/>
    <n v="2812.48"/>
    <n v="2282.12"/>
    <n v="530.36"/>
    <x v="0"/>
    <x v="0"/>
    <n v="0.1"/>
    <n v="2812.4820000000004"/>
    <n v="530.36200000000053"/>
    <n v="18.857436243147525"/>
    <x v="6"/>
    <x v="0"/>
    <s v="CLEAN"/>
  </r>
  <r>
    <x v="196"/>
    <d v="2024-07-28T00:00:00"/>
    <d v="2024-07-31T00:00:00"/>
    <n v="3"/>
    <s v="OK"/>
    <s v="CUST-4970"/>
    <s v="Aditi Sen"/>
    <x v="0"/>
    <x v="0"/>
    <s v="Rajasthan"/>
    <s v="Jaipur"/>
    <x v="1"/>
    <x v="1"/>
    <s v="Pro Tables 833"/>
    <x v="1"/>
    <n v="2"/>
    <n v="4424.78"/>
    <n v="0.2"/>
    <s v="OK"/>
    <n v="7079.65"/>
    <n v="4465.91"/>
    <n v="2613.7399999999998"/>
    <x v="0"/>
    <x v="0"/>
    <n v="0.2"/>
    <n v="7079.6480000000001"/>
    <n v="2613.7380000000003"/>
    <n v="36.919038912669109"/>
    <x v="0"/>
    <x v="0"/>
    <s v="CLEAN"/>
  </r>
  <r>
    <x v="197"/>
    <d v="2024-11-02T00:00:00"/>
    <d v="2024-02-15T00:00:00"/>
    <n v="-261"/>
    <s v="INVALID"/>
    <s v="CUST-6147"/>
    <s v="Kabir Singh"/>
    <x v="0"/>
    <x v="2"/>
    <s v="Telangana"/>
    <s v="Hyderabad"/>
    <x v="0"/>
    <x v="11"/>
    <s v="Prime Binders 497"/>
    <x v="3"/>
    <n v="3"/>
    <n v="3019.14"/>
    <n v="0.25"/>
    <s v="OK"/>
    <n v="6793.07"/>
    <n v="4985.22"/>
    <n v="1807.85"/>
    <x v="0"/>
    <x v="0"/>
    <n v="0.25"/>
    <n v="6793.0650000000005"/>
    <n v="1807.8450000000003"/>
    <n v="26.613097327936654"/>
    <x v="3"/>
    <x v="0"/>
    <s v="INVALID"/>
  </r>
  <r>
    <x v="198"/>
    <d v="2024-02-03T00:00:00"/>
    <d v="2024-03-07T00:00:00"/>
    <n v="33"/>
    <s v="OK"/>
    <s v="CUST-7208"/>
    <s v="Rohan Mehta"/>
    <x v="2"/>
    <x v="1"/>
    <s v="Odisha"/>
    <s v="Bhubaneswar"/>
    <x v="0"/>
    <x v="7"/>
    <s v="Pro Storage 756"/>
    <x v="3"/>
    <n v="7"/>
    <n v="263.45999999999998"/>
    <n v="0"/>
    <s v="OK"/>
    <n v="1844.22"/>
    <n v="1094.21"/>
    <n v="750.01"/>
    <x v="0"/>
    <x v="0"/>
    <n v="0"/>
    <n v="1844.2199999999998"/>
    <n v="750.00999999999976"/>
    <n v="40.668141544934976"/>
    <x v="7"/>
    <x v="0"/>
    <s v="CLEAN"/>
  </r>
  <r>
    <x v="199"/>
    <d v="2024-11-13T00:00:00"/>
    <d v="2024-11-13T00:00:00"/>
    <n v="0"/>
    <s v="OK"/>
    <s v="CUST-2794"/>
    <s v="Priya Menon"/>
    <x v="0"/>
    <x v="3"/>
    <s v="Goa"/>
    <s v="Panaji"/>
    <x v="2"/>
    <x v="6"/>
    <s v="Max Copiers 829"/>
    <x v="3"/>
    <n v="6"/>
    <n v="191.45"/>
    <n v="0.2"/>
    <s v="OK"/>
    <n v="918.96"/>
    <n v="554.17999999999995"/>
    <n v="364.78"/>
    <x v="0"/>
    <x v="0"/>
    <n v="0.2"/>
    <n v="918.95999999999992"/>
    <n v="364.78"/>
    <n v="39.694872464525119"/>
    <x v="3"/>
    <x v="0"/>
    <s v="CLEAN"/>
  </r>
  <r>
    <x v="200"/>
    <d v="2024-03-06T00:00:00"/>
    <d v="2024-06-10T00:00:00"/>
    <n v="96"/>
    <s v="OK"/>
    <s v="CUST-6249"/>
    <s v="Diya Patel"/>
    <x v="2"/>
    <x v="0"/>
    <s v="Punjab"/>
    <s v="Ludhiana"/>
    <x v="1"/>
    <x v="3"/>
    <s v="Prime Furnishings 827"/>
    <x v="3"/>
    <n v="3"/>
    <n v="1633.57"/>
    <n v="0"/>
    <s v="OK"/>
    <n v="4900.71"/>
    <n v="2713.9"/>
    <n v="2186.81"/>
    <x v="0"/>
    <x v="0"/>
    <n v="0"/>
    <n v="4900.71"/>
    <n v="2186.81"/>
    <n v="44.622309828575858"/>
    <x v="11"/>
    <x v="0"/>
    <s v="CLEAN"/>
  </r>
  <r>
    <x v="201"/>
    <d v="2024-05-07T00:00:00"/>
    <d v="2024-05-14T00:00:00"/>
    <n v="7"/>
    <s v="OK"/>
    <s v="CUST-3004"/>
    <s v="Sneha Kapoor"/>
    <x v="1"/>
    <x v="0"/>
    <s v="Rajasthan"/>
    <s v="Jaipur"/>
    <x v="0"/>
    <x v="7"/>
    <s v="Classic Storage 545"/>
    <x v="2"/>
    <n v="3"/>
    <n v="383.58"/>
    <n v="0.1"/>
    <s v="OK"/>
    <n v="1035.67"/>
    <n v="595.41999999999996"/>
    <n v="440.25"/>
    <x v="0"/>
    <x v="0"/>
    <n v="0.1"/>
    <n v="1035.6659999999999"/>
    <n v="440.24599999999998"/>
    <n v="42.508492120046427"/>
    <x v="4"/>
    <x v="0"/>
    <s v="CLEAN"/>
  </r>
  <r>
    <x v="202"/>
    <d v="2024-02-23T00:00:00"/>
    <d v="2024-02-20T00:00:00"/>
    <n v="-3"/>
    <s v="INVALID"/>
    <s v="CUST-7520"/>
    <s v="Arjun Bose"/>
    <x v="2"/>
    <x v="1"/>
    <s v="Odisha"/>
    <s v="Bhubaneswar"/>
    <x v="1"/>
    <x v="10"/>
    <s v="Max Chairs 594"/>
    <x v="0"/>
    <n v="1"/>
    <n v="2202.5500000000002"/>
    <n v="0"/>
    <s v="OK"/>
    <n v="1651.91"/>
    <n v="1034.57"/>
    <n v="617.34"/>
    <x v="0"/>
    <x v="0"/>
    <n v="0"/>
    <n v="2202.5500000000002"/>
    <n v="1167.9800000000002"/>
    <n v="53.028535107035033"/>
    <x v="7"/>
    <x v="0"/>
    <s v="INVALID"/>
  </r>
  <r>
    <x v="203"/>
    <d v="2024-07-22T00:00:00"/>
    <d v="2024-07-22T00:00:00"/>
    <n v="0"/>
    <s v="OK"/>
    <s v="CUST-3583"/>
    <s v="Priya Menon"/>
    <x v="0"/>
    <x v="2"/>
    <s v="Karnataka"/>
    <s v="Bengaluru"/>
    <x v="2"/>
    <x v="4"/>
    <s v="Basic Accessories 518"/>
    <x v="0"/>
    <n v="3"/>
    <n v="1286.22"/>
    <n v="0.25"/>
    <s v="OK"/>
    <n v="2893.99"/>
    <n v="1856.03"/>
    <n v="1037.96"/>
    <x v="0"/>
    <x v="0"/>
    <n v="0.25"/>
    <n v="2893.9949999999999"/>
    <n v="1037.9649999999999"/>
    <n v="35.866164247001116"/>
    <x v="0"/>
    <x v="0"/>
    <s v="CLEAN"/>
  </r>
  <r>
    <x v="204"/>
    <d v="2024-12-25T00:00:00"/>
    <d v="2024-12-25T00:00:00"/>
    <n v="0"/>
    <s v="OK"/>
    <s v="CUST-9432"/>
    <s v="Mira Das"/>
    <x v="2"/>
    <x v="1"/>
    <s v="Bihar"/>
    <s v="Patna"/>
    <x v="2"/>
    <x v="6"/>
    <s v="Pro Copiers 984"/>
    <x v="3"/>
    <n v="1"/>
    <n v="829.66"/>
    <n v="0.15"/>
    <s v="OK"/>
    <n v="705.21"/>
    <n v="438.32"/>
    <n v="266.89"/>
    <x v="0"/>
    <x v="0"/>
    <n v="0.15"/>
    <n v="705.2109999999999"/>
    <n v="266.89099999999991"/>
    <n v="37.845552607659258"/>
    <x v="5"/>
    <x v="0"/>
    <s v="CLEAN"/>
  </r>
  <r>
    <x v="205"/>
    <d v="2024-12-28T00:00:00"/>
    <d v="2024-12-31T00:00:00"/>
    <n v="3"/>
    <s v="OK"/>
    <s v="CUST-1801"/>
    <s v="Mira Das"/>
    <x v="1"/>
    <x v="2"/>
    <s v="Andhra Pradesh"/>
    <s v="Vijayawada"/>
    <x v="1"/>
    <x v="3"/>
    <s v="Max Furnishings 297"/>
    <x v="2"/>
    <n v="6"/>
    <n v="3641.22"/>
    <n v="0.25"/>
    <s v="OK"/>
    <n v="16385.490000000002"/>
    <n v="13679.24"/>
    <n v="2706.25"/>
    <x v="0"/>
    <x v="0"/>
    <n v="0.25"/>
    <n v="16385.489999999998"/>
    <n v="2706.2499999999982"/>
    <n v="16.516137143289573"/>
    <x v="5"/>
    <x v="0"/>
    <s v="CLEAN"/>
  </r>
  <r>
    <x v="206"/>
    <d v="2024-10-14T00:00:00"/>
    <d v="2024-10-20T00:00:00"/>
    <n v="6"/>
    <s v="OK"/>
    <s v="CUST-2183"/>
    <s v="Aditi Sen"/>
    <x v="1"/>
    <x v="0"/>
    <s v="Rajasthan"/>
    <s v="Jaipur"/>
    <x v="1"/>
    <x v="1"/>
    <s v="Eco Tables 487"/>
    <x v="1"/>
    <n v="7"/>
    <n v="1547.6"/>
    <n v="0.2"/>
    <s v="OK"/>
    <n v="8666.56"/>
    <n v="5967.44"/>
    <n v="2699.12"/>
    <x v="0"/>
    <x v="0"/>
    <n v="0.2"/>
    <n v="8666.56"/>
    <n v="2699.12"/>
    <n v="31.144075619392243"/>
    <x v="8"/>
    <x v="0"/>
    <s v="CLEAN"/>
  </r>
  <r>
    <x v="207"/>
    <d v="2024-02-07T00:00:00"/>
    <d v="2024-02-12T00:00:00"/>
    <n v="5"/>
    <s v="OK"/>
    <s v="CUST-1636"/>
    <s v="Arjun Bose"/>
    <x v="3"/>
    <x v="1"/>
    <s v="West Bengal"/>
    <s v="Kolkata"/>
    <x v="2"/>
    <x v="4"/>
    <s v="Prime Accessories 960"/>
    <x v="0"/>
    <n v="1"/>
    <n v="452.19"/>
    <n v="0.2"/>
    <s v="OK"/>
    <n v="361.75"/>
    <n v="262.52999999999997"/>
    <n v="99.22"/>
    <x v="0"/>
    <x v="0"/>
    <n v="0.2"/>
    <n v="361.75200000000001"/>
    <n v="99.222000000000037"/>
    <n v="27.428182843495001"/>
    <x v="7"/>
    <x v="0"/>
    <s v="CLEAN"/>
  </r>
  <r>
    <x v="208"/>
    <d v="2024-09-16T00:00:00"/>
    <d v="2024-09-19T00:00:00"/>
    <n v="3"/>
    <s v="OK"/>
    <s v="CUST-1350"/>
    <s v="Aditi Sen"/>
    <x v="0"/>
    <x v="3"/>
    <s v="Rajasthan"/>
    <s v="Udaipur"/>
    <x v="0"/>
    <x v="11"/>
    <s v="Smart Binders 191"/>
    <x v="2"/>
    <n v="7"/>
    <n v="406.42"/>
    <n v="0.15"/>
    <s v="OK"/>
    <n v="2418.1999999999998"/>
    <n v="1613.82"/>
    <n v="804.38"/>
    <x v="0"/>
    <x v="0"/>
    <n v="0.15"/>
    <n v="2418.1990000000001"/>
    <n v="804.37900000000013"/>
    <n v="33.263556886757463"/>
    <x v="10"/>
    <x v="0"/>
    <s v="CLEAN"/>
  </r>
  <r>
    <x v="209"/>
    <d v="2024-05-17T00:00:00"/>
    <d v="2024-05-22T00:00:00"/>
    <n v="5"/>
    <s v="OK"/>
    <s v="CUST-7661"/>
    <s v="Sneha Kapoor"/>
    <x v="0"/>
    <x v="2"/>
    <s v="Kerala"/>
    <s v="Kochi"/>
    <x v="2"/>
    <x v="8"/>
    <s v="Prime Phones 533"/>
    <x v="1"/>
    <n v="9"/>
    <n v="3795.99"/>
    <s v="85%"/>
    <s v="INVALID"/>
    <n v="34163.910000000003"/>
    <n v="28577.15"/>
    <n v="5586.76"/>
    <x v="0"/>
    <x v="0"/>
    <n v="0"/>
    <n v="34163.909999999996"/>
    <n v="5586.7599999999948"/>
    <n v="16.352812075666971"/>
    <x v="4"/>
    <x v="0"/>
    <s v="INVALID"/>
  </r>
  <r>
    <x v="210"/>
    <d v="2024-08-11T00:00:00"/>
    <d v="2024-08-17T00:00:00"/>
    <n v="6"/>
    <s v="OK"/>
    <s v="CUST-3710"/>
    <s v="Neha Gupta"/>
    <x v="0"/>
    <x v="1"/>
    <s v="Jharkhand"/>
    <s v="Ranchi"/>
    <x v="0"/>
    <x v="2"/>
    <s v="Elite Art 325"/>
    <x v="0"/>
    <n v="6"/>
    <n v="3497.54"/>
    <n v="0.15"/>
    <s v="OK"/>
    <n v="17837.45"/>
    <n v="13627.02"/>
    <n v="4210.43"/>
    <x v="0"/>
    <x v="0"/>
    <n v="0.15"/>
    <n v="17837.453999999998"/>
    <n v="4210.4339999999975"/>
    <n v="23.604456106796395"/>
    <x v="1"/>
    <x v="0"/>
    <s v="CLEAN"/>
  </r>
  <r>
    <x v="211"/>
    <d v="2024-04-01T00:00:00"/>
    <d v="2024-04-09T00:00:00"/>
    <n v="8"/>
    <s v="OK"/>
    <s v="CUST-1534"/>
    <s v="Priya Menon"/>
    <x v="1"/>
    <x v="1"/>
    <s v="Odisha"/>
    <s v="Bhubaneswar"/>
    <x v="2"/>
    <x v="6"/>
    <s v="Prime Copiers 557"/>
    <x v="0"/>
    <n v="6"/>
    <n v="826.93"/>
    <n v="0.1"/>
    <s v="OK"/>
    <n v="4465.42"/>
    <n v="3377.1"/>
    <n v="1088.32"/>
    <x v="0"/>
    <x v="0"/>
    <n v="0.1"/>
    <n v="4465.4220000000005"/>
    <n v="1088.3220000000006"/>
    <n v="24.372209390288319"/>
    <x v="9"/>
    <x v="0"/>
    <s v="CLEAN"/>
  </r>
  <r>
    <x v="212"/>
    <d v="2024-09-28T00:00:00"/>
    <d v="2024-10-05T00:00:00"/>
    <n v="7"/>
    <s v="OK"/>
    <s v="CUST-7422"/>
    <s v="Aarav Sharma"/>
    <x v="0"/>
    <x v="2"/>
    <s v="Tamil Nadu"/>
    <s v="Chennai"/>
    <x v="2"/>
    <x v="8"/>
    <s v="Smart Phones 674"/>
    <x v="3"/>
    <n v="7"/>
    <n v="1681.6"/>
    <n v="0.1"/>
    <s v="OK"/>
    <n v="10594.08"/>
    <n v="7160.31"/>
    <n v="3433.77"/>
    <x v="0"/>
    <x v="0"/>
    <n v="0.1"/>
    <n v="10594.08"/>
    <n v="3433.7699999999995"/>
    <n v="32.412158488514336"/>
    <x v="10"/>
    <x v="0"/>
    <s v="CLEAN"/>
  </r>
  <r>
    <x v="213"/>
    <d v="2024-03-31T00:00:00"/>
    <d v="2024-07-04T00:00:00"/>
    <n v="95"/>
    <s v="OK"/>
    <s v="CUST-3333"/>
    <s v="Isha Nair"/>
    <x v="1"/>
    <x v="0"/>
    <s v="Haryana"/>
    <s v="Gurugram"/>
    <x v="2"/>
    <x v="12"/>
    <s v="Smart Machines 853"/>
    <x v="0"/>
    <n v="4"/>
    <n v="1831"/>
    <n v="0"/>
    <s v="OK"/>
    <n v="7324"/>
    <n v="4179.63"/>
    <n v="3144.37"/>
    <x v="0"/>
    <x v="0"/>
    <n v="0"/>
    <n v="7324"/>
    <n v="3144.37"/>
    <n v="42.932413981430912"/>
    <x v="11"/>
    <x v="0"/>
    <s v="CLEAN"/>
  </r>
  <r>
    <x v="214"/>
    <d v="2024-10-18T00:00:00"/>
    <d v="2024-10-21T00:00:00"/>
    <n v="3"/>
    <s v="OK"/>
    <s v="CUST-9759"/>
    <s v="Aarav Sharma"/>
    <x v="0"/>
    <x v="2"/>
    <s v="Karnataka"/>
    <s v="Bengaluru"/>
    <x v="0"/>
    <x v="7"/>
    <s v="Pro Storage 373"/>
    <x v="0"/>
    <n v="2"/>
    <n v="4238.51"/>
    <n v="0"/>
    <s v="OK"/>
    <n v="8477.02"/>
    <n v="6884.96"/>
    <n v="1592.06"/>
    <x v="0"/>
    <x v="0"/>
    <n v="0"/>
    <n v="8477.02"/>
    <n v="1592.0600000000004"/>
    <n v="18.780892341884297"/>
    <x v="8"/>
    <x v="0"/>
    <s v="CLEAN"/>
  </r>
  <r>
    <x v="215"/>
    <d v="2024-10-23T00:00:00"/>
    <d v="2024-10-26T00:00:00"/>
    <n v="3"/>
    <s v="OK"/>
    <s v="CUST-7232"/>
    <s v="Sneha Kapoor"/>
    <x v="0"/>
    <x v="3"/>
    <s v="Madhya Pradesh"/>
    <s v="Indore"/>
    <x v="1"/>
    <x v="9"/>
    <s v="Smart Bookcases 920"/>
    <x v="3"/>
    <n v="9"/>
    <n v="544.27"/>
    <n v="0.25"/>
    <s v="OK"/>
    <n v="3673.82"/>
    <n v="2088.15"/>
    <n v="1585.67"/>
    <x v="0"/>
    <x v="0"/>
    <n v="0.25"/>
    <n v="3673.8225000000002"/>
    <n v="1585.6725000000001"/>
    <n v="43.161380278987352"/>
    <x v="8"/>
    <x v="0"/>
    <s v="CLEAN"/>
  </r>
  <r>
    <x v="216"/>
    <d v="2024-11-18T00:00:00"/>
    <d v="2024-11-22T00:00:00"/>
    <n v="4"/>
    <s v="OK"/>
    <s v="CUST-7729"/>
    <s v="Karan Malhotra"/>
    <x v="3"/>
    <x v="2"/>
    <s v="Kerala"/>
    <s v="Kochi"/>
    <x v="2"/>
    <x v="4"/>
    <s v="Smart Accessories 388"/>
    <x v="3"/>
    <n v="6"/>
    <n v="3872.94"/>
    <n v="0.1"/>
    <s v="OK"/>
    <n v="20913.88"/>
    <n v="11684.68"/>
    <n v="9229.2000000000007"/>
    <x v="0"/>
    <x v="0"/>
    <n v="0.1"/>
    <n v="20913.876"/>
    <n v="9229.1959999999999"/>
    <n v="44.12953390371063"/>
    <x v="3"/>
    <x v="0"/>
    <s v="CLEAN"/>
  </r>
  <r>
    <x v="217"/>
    <d v="2024-07-16T00:00:00"/>
    <d v="2024-07-23T00:00:00"/>
    <n v="7"/>
    <s v="OK"/>
    <s v="CUST-2155"/>
    <s v="Aarav Sharma"/>
    <x v="3"/>
    <x v="2"/>
    <s v="Karnataka"/>
    <s v="Bengaluru"/>
    <x v="2"/>
    <x v="12"/>
    <s v="Prime Machines 393"/>
    <x v="1"/>
    <n v="1"/>
    <n v="1695.91"/>
    <n v="0.05"/>
    <s v="OK"/>
    <n v="1611.11"/>
    <n v="895.15"/>
    <n v="715.96"/>
    <x v="0"/>
    <x v="0"/>
    <n v="0.05"/>
    <n v="1611.1144999999999"/>
    <n v="715.96449999999993"/>
    <n v="44.43908238675774"/>
    <x v="0"/>
    <x v="0"/>
    <s v="CLEAN"/>
  </r>
  <r>
    <x v="218"/>
    <d v="2024-02-04T00:00:00"/>
    <d v="2024-04-03T00:00:00"/>
    <n v="59"/>
    <s v="OK"/>
    <s v="CUST-4653"/>
    <s v="Kabir Singh"/>
    <x v="3"/>
    <x v="3"/>
    <s v="Goa"/>
    <s v="Panaji"/>
    <x v="0"/>
    <x v="0"/>
    <s v="Basic Paper 315"/>
    <x v="0"/>
    <n v="2"/>
    <n v="2902.63"/>
    <n v="0"/>
    <s v="OK"/>
    <n v="5805.26"/>
    <n v="4654.3599999999997"/>
    <n v="1150.9000000000001"/>
    <x v="0"/>
    <x v="1"/>
    <n v="0"/>
    <n v="5805.26"/>
    <n v="1150.9000000000005"/>
    <n v="19.825124111581573"/>
    <x v="7"/>
    <x v="0"/>
    <s v="CLEAN"/>
  </r>
  <r>
    <x v="219"/>
    <d v="2024-11-30T00:00:00"/>
    <d v="2024-12-01T00:00:00"/>
    <n v="1"/>
    <s v="OK"/>
    <s v="CUST-3311"/>
    <s v="Ananya Rao"/>
    <x v="2"/>
    <x v="3"/>
    <s v="Gujarat"/>
    <s v="Ahmedabad"/>
    <x v="1"/>
    <x v="10"/>
    <s v="Basic Chairs 333"/>
    <x v="2"/>
    <n v="9"/>
    <n v="4207.3599999999997"/>
    <n v="0.1"/>
    <s v="OK"/>
    <n v="34079.620000000003"/>
    <n v="21871.39"/>
    <n v="12208.23"/>
    <x v="0"/>
    <x v="0"/>
    <n v="0.1"/>
    <n v="34079.616000000002"/>
    <n v="12208.226000000002"/>
    <n v="35.822663025311094"/>
    <x v="3"/>
    <x v="0"/>
    <s v="CLEAN"/>
  </r>
  <r>
    <x v="220"/>
    <d v="2024-10-17T00:00:00"/>
    <d v="2024-10-17T00:00:00"/>
    <n v="0"/>
    <s v="OK"/>
    <s v="CUST-2924"/>
    <s v="Priya Menon"/>
    <x v="3"/>
    <x v="1"/>
    <s v="West Bengal"/>
    <s v="Kolkata"/>
    <x v="1"/>
    <x v="10"/>
    <s v="Prime Chairs 215"/>
    <x v="3"/>
    <n v="5"/>
    <n v="2524.4"/>
    <n v="0.1"/>
    <s v="OK"/>
    <n v="11359.8"/>
    <n v="7062.44"/>
    <n v="4297.3599999999997"/>
    <x v="0"/>
    <x v="0"/>
    <n v="0.1"/>
    <n v="11359.800000000001"/>
    <n v="4297.3600000000015"/>
    <n v="37.829539252451639"/>
    <x v="8"/>
    <x v="0"/>
    <s v="CLEAN"/>
  </r>
  <r>
    <x v="221"/>
    <d v="2024-10-07T00:00:00"/>
    <d v="2024-09-10T00:00:00"/>
    <n v="-27"/>
    <s v="INVALID"/>
    <s v="CUST-2390"/>
    <s v="Diya Patel"/>
    <x v="0"/>
    <x v="2"/>
    <s v="Tamil Nadu"/>
    <s v="Chennai"/>
    <x v="0"/>
    <x v="11"/>
    <s v="Eco Binders 855"/>
    <x v="3"/>
    <n v="9"/>
    <n v="3457.09"/>
    <n v="0.05"/>
    <s v="OK"/>
    <n v="29558.12"/>
    <n v="21302.13"/>
    <n v="8255.99"/>
    <x v="1"/>
    <x v="1"/>
    <n v="0.05"/>
    <n v="29558.119500000001"/>
    <n v="8255.9894999999997"/>
    <n v="27.931376013281223"/>
    <x v="8"/>
    <x v="0"/>
    <s v="INVALID"/>
  </r>
  <r>
    <x v="222"/>
    <d v="2024-02-06T00:00:00"/>
    <d v="2024-02-08T00:00:00"/>
    <n v="2"/>
    <s v="OK"/>
    <s v="CUST-3362"/>
    <s v="Karan Malhotra"/>
    <x v="0"/>
    <x v="1"/>
    <s v="Jharkhand"/>
    <s v="Ranchi"/>
    <x v="1"/>
    <x v="9"/>
    <s v="Classic Bookcases 947"/>
    <x v="0"/>
    <n v="9"/>
    <n v="1822.25"/>
    <n v="0"/>
    <s v="OK"/>
    <n v="16400.25"/>
    <n v="12146.96"/>
    <n v="4253.29"/>
    <x v="0"/>
    <x v="0"/>
    <n v="0"/>
    <n v="16400.25"/>
    <n v="4253.2900000000009"/>
    <n v="25.934299782015525"/>
    <x v="7"/>
    <x v="0"/>
    <s v="CLEAN"/>
  </r>
  <r>
    <x v="223"/>
    <d v="2024-08-01T00:00:00"/>
    <d v="2024-08-08T00:00:00"/>
    <n v="7"/>
    <s v="OK"/>
    <s v="CUST-6357"/>
    <s v="Diya Patel"/>
    <x v="1"/>
    <x v="3"/>
    <s v="Maharashtra"/>
    <s v="Mumbai"/>
    <x v="0"/>
    <x v="7"/>
    <s v="Pro Storage 364"/>
    <x v="4"/>
    <n v="1"/>
    <n v="442.97"/>
    <n v="0.1"/>
    <s v="OK"/>
    <n v="398.67"/>
    <n v="311.66000000000003"/>
    <n v="87.01"/>
    <x v="0"/>
    <x v="0"/>
    <n v="0.1"/>
    <n v="398.67300000000006"/>
    <n v="87.013000000000034"/>
    <n v="21.825656615822997"/>
    <x v="1"/>
    <x v="0"/>
    <s v="CLEAN"/>
  </r>
  <r>
    <x v="224"/>
    <d v="2024-08-25T00:00:00"/>
    <d v="2024-09-01T00:00:00"/>
    <n v="7"/>
    <s v="OK"/>
    <s v="CUST-4487"/>
    <s v="Isha Nair"/>
    <x v="3"/>
    <x v="0"/>
    <s v="Rajasthan"/>
    <s v="Jaipur"/>
    <x v="1"/>
    <x v="1"/>
    <s v="Smart Tables 659"/>
    <x v="1"/>
    <n v="6"/>
    <n v="481.3"/>
    <n v="0.25"/>
    <s v="OK"/>
    <n v="2165.85"/>
    <n v="2124.48"/>
    <n v="430.45"/>
    <x v="0"/>
    <x v="0"/>
    <n v="0.25"/>
    <n v="2165.8500000000004"/>
    <n v="41.370000000000346"/>
    <n v="1.9101045778793699"/>
    <x v="1"/>
    <x v="0"/>
    <s v="CLEAN"/>
  </r>
  <r>
    <x v="225"/>
    <d v="2024-05-19T00:00:00"/>
    <d v="2024-05-21T00:00:00"/>
    <n v="2"/>
    <s v="OK"/>
    <s v="CUST-1729"/>
    <s v="Diya Patel"/>
    <x v="1"/>
    <x v="3"/>
    <s v="Maharashtra"/>
    <s v="Mumbai"/>
    <x v="2"/>
    <x v="6"/>
    <s v="Eco Copiers 243"/>
    <x v="2"/>
    <n v="3"/>
    <n v="4000.98"/>
    <n v="0.2"/>
    <s v="OK"/>
    <n v="9602.35"/>
    <n v="7387.57"/>
    <n v="2214.7800000000002"/>
    <x v="0"/>
    <x v="0"/>
    <n v="0.2"/>
    <n v="9602.3520000000008"/>
    <n v="2214.7820000000011"/>
    <n v="23.064994909580495"/>
    <x v="4"/>
    <x v="0"/>
    <s v="CLEAN"/>
  </r>
  <r>
    <x v="226"/>
    <d v="2024-09-25T00:00:00"/>
    <d v="2024-01-10T00:00:00"/>
    <n v="-259"/>
    <s v="INVALID"/>
    <s v="CUST-5381"/>
    <s v="Diya Patel"/>
    <x v="1"/>
    <x v="1"/>
    <s v="Jharkhand"/>
    <s v="Ranchi"/>
    <x v="1"/>
    <x v="1"/>
    <s v="Elite Tables 888"/>
    <x v="0"/>
    <n v="9"/>
    <n v="3908.6"/>
    <n v="0.15"/>
    <s v="OK"/>
    <n v="29900.79"/>
    <n v="24650.67"/>
    <n v="5250.12"/>
    <x v="0"/>
    <x v="0"/>
    <n v="0.15"/>
    <n v="29900.79"/>
    <n v="5250.1200000000026"/>
    <n v="17.558465846554565"/>
    <x v="10"/>
    <x v="0"/>
    <s v="INVALID"/>
  </r>
  <r>
    <x v="227"/>
    <d v="2024-02-26T00:00:00"/>
    <d v="2024-02-23T00:00:00"/>
    <n v="-3"/>
    <s v="INVALID"/>
    <s v="CUST-7563"/>
    <s v="Kabir Singh"/>
    <x v="0"/>
    <x v="3"/>
    <s v="Gujarat"/>
    <s v="Ahmedabad"/>
    <x v="1"/>
    <x v="3"/>
    <s v="Basic Furnishings 350"/>
    <x v="3"/>
    <n v="7"/>
    <n v="3852.07"/>
    <n v="0.2"/>
    <s v="OK"/>
    <n v="21571.59"/>
    <n v="17118.07"/>
    <n v="4453.5200000000004"/>
    <x v="0"/>
    <x v="0"/>
    <n v="0.2"/>
    <n v="21571.592000000004"/>
    <n v="4453.5220000000045"/>
    <n v="20.645309813017061"/>
    <x v="7"/>
    <x v="0"/>
    <s v="INVALID"/>
  </r>
  <r>
    <x v="228"/>
    <d v="2024-07-14T00:00:00"/>
    <d v="2024-07-20T00:00:00"/>
    <n v="6"/>
    <s v="OK"/>
    <s v="CUST-9094"/>
    <s v="Mira Das"/>
    <x v="0"/>
    <x v="1"/>
    <s v="Bihar"/>
    <s v="Patna"/>
    <x v="2"/>
    <x v="6"/>
    <s v="Max Copiers 440"/>
    <x v="1"/>
    <n v="1"/>
    <n v="492.67"/>
    <n v="0.15"/>
    <s v="OK"/>
    <n v="418.77"/>
    <n v="313.72000000000003"/>
    <n v="105.05"/>
    <x v="0"/>
    <x v="0"/>
    <n v="0.15"/>
    <n v="418.76949999999999"/>
    <n v="105.04949999999997"/>
    <n v="25.085279610859907"/>
    <x v="0"/>
    <x v="0"/>
    <s v="CLEAN"/>
  </r>
  <r>
    <x v="229"/>
    <d v="2024-05-27T00:00:00"/>
    <d v="2024-05-30T00:00:00"/>
    <n v="3"/>
    <s v="OK"/>
    <s v="CUST-7168"/>
    <s v="Kabir Singh"/>
    <x v="1"/>
    <x v="1"/>
    <s v="Jharkhand"/>
    <s v="Ranchi"/>
    <x v="0"/>
    <x v="7"/>
    <s v="Classic Storage 755"/>
    <x v="1"/>
    <n v="7"/>
    <n v="2900.86"/>
    <n v="0.15"/>
    <s v="OK"/>
    <n v="17260.12"/>
    <n v="13513.51"/>
    <n v="3746.61"/>
    <x v="0"/>
    <x v="0"/>
    <n v="0.15"/>
    <n v="17260.116999999998"/>
    <n v="3746.6069999999982"/>
    <n v="21.706730029697933"/>
    <x v="4"/>
    <x v="0"/>
    <s v="CLEAN"/>
  </r>
  <r>
    <x v="230"/>
    <d v="2024-05-16T00:00:00"/>
    <d v="2024-05-23T00:00:00"/>
    <n v="7"/>
    <s v="OK"/>
    <s v="CUST-9146"/>
    <s v="Neha Gupta"/>
    <x v="1"/>
    <x v="0"/>
    <s v="Uttar Pradesh"/>
    <s v="Noida"/>
    <x v="2"/>
    <x v="6"/>
    <s v="Max Copiers 607"/>
    <x v="3"/>
    <n v="9"/>
    <n v="3722.09"/>
    <n v="0.1"/>
    <s v="OK"/>
    <n v="30148.93"/>
    <n v="25155.07"/>
    <n v="4993.8599999999997"/>
    <x v="0"/>
    <x v="0"/>
    <n v="0.1"/>
    <n v="30148.929"/>
    <n v="4993.8590000000004"/>
    <n v="16.563968159532301"/>
    <x v="4"/>
    <x v="0"/>
    <s v="CLEAN"/>
  </r>
  <r>
    <x v="231"/>
    <d v="2024-02-08T00:00:00"/>
    <d v="2024-08-10T00:00:00"/>
    <n v="184"/>
    <s v="OK"/>
    <s v="CUST-8687"/>
    <s v="Mira Das"/>
    <x v="3"/>
    <x v="1"/>
    <s v="Odisha"/>
    <s v="Bhubaneswar"/>
    <x v="2"/>
    <x v="4"/>
    <s v="Max Accessories 591"/>
    <x v="3"/>
    <n v="6"/>
    <n v="2126.44"/>
    <n v="0.2"/>
    <s v="OK"/>
    <n v="10206.91"/>
    <n v="6764.53"/>
    <n v="3442.38"/>
    <x v="0"/>
    <x v="0"/>
    <n v="0.2"/>
    <n v="10206.912"/>
    <n v="3442.3820000000005"/>
    <n v="33.725988820125039"/>
    <x v="7"/>
    <x v="0"/>
    <s v="CLEAN"/>
  </r>
  <r>
    <x v="232"/>
    <d v="2024-02-27T00:00:00"/>
    <d v="2024-02-27T00:00:00"/>
    <n v="0"/>
    <s v="OK"/>
    <s v="CUST-8172"/>
    <s v="Sneha Kapoor"/>
    <x v="0"/>
    <x v="1"/>
    <s v="Jharkhand"/>
    <s v="Ranchi"/>
    <x v="1"/>
    <x v="10"/>
    <s v="Elite Chairs 314"/>
    <x v="0"/>
    <n v="3"/>
    <n v="3148.09"/>
    <n v="0.15"/>
    <s v="OK"/>
    <n v="8027.63"/>
    <n v="5496.09"/>
    <n v="2531.54"/>
    <x v="0"/>
    <x v="0"/>
    <n v="0.15"/>
    <n v="8027.6295"/>
    <n v="2531.5394999999999"/>
    <n v="31.535330572991686"/>
    <x v="7"/>
    <x v="0"/>
    <s v="CLEAN"/>
  </r>
  <r>
    <x v="233"/>
    <d v="2024-10-12T00:00:00"/>
    <d v="2024-10-17T00:00:00"/>
    <n v="5"/>
    <s v="OK"/>
    <s v="CUST-2126"/>
    <s v="Arjun Bose"/>
    <x v="0"/>
    <x v="4"/>
    <s v="Jharkhand"/>
    <s v="Ranchi"/>
    <x v="1"/>
    <x v="3"/>
    <s v="Prime Furnishings 892"/>
    <x v="3"/>
    <n v="4"/>
    <n v="1071.22"/>
    <n v="0.05"/>
    <s v="OK"/>
    <n v="4070.64"/>
    <n v="2831.62"/>
    <n v="1239.02"/>
    <x v="0"/>
    <x v="0"/>
    <n v="0.05"/>
    <n v="4070.636"/>
    <n v="1239.0160000000001"/>
    <n v="30.43789717380773"/>
    <x v="8"/>
    <x v="0"/>
    <s v="CLEAN"/>
  </r>
  <r>
    <x v="234"/>
    <d v="2024-06-23T00:00:00"/>
    <d v="2024-06-29T00:00:00"/>
    <n v="6"/>
    <s v="OK"/>
    <s v="CUST-1992"/>
    <s v="Neha Gupta"/>
    <x v="0"/>
    <x v="0"/>
    <s v="Haryana"/>
    <s v="Gurugram"/>
    <x v="1"/>
    <x v="1"/>
    <s v="Classic Tables 769"/>
    <x v="2"/>
    <n v="1"/>
    <n v="4426.66"/>
    <n v="0"/>
    <s v="OK"/>
    <n v="4426.66"/>
    <n v="3035.2"/>
    <n v="1816.23"/>
    <x v="0"/>
    <x v="1"/>
    <n v="0"/>
    <n v="4426.66"/>
    <n v="1391.46"/>
    <n v="31.433631677156143"/>
    <x v="2"/>
    <x v="0"/>
    <s v="CLEAN"/>
  </r>
  <r>
    <x v="235"/>
    <d v="2024-11-10T00:00:00"/>
    <d v="2024-11-14T00:00:00"/>
    <n v="4"/>
    <s v="OK"/>
    <s v="CUST-9100"/>
    <s v="Sneha Kapoor"/>
    <x v="2"/>
    <x v="2"/>
    <s v="Andhra Pradesh"/>
    <s v="Vijayawada"/>
    <x v="1"/>
    <x v="1"/>
    <s v="Basic Tables 759"/>
    <x v="2"/>
    <n v="2"/>
    <n v="921.34"/>
    <n v="0.2"/>
    <s v="OK"/>
    <n v="1474.14"/>
    <n v="968.46"/>
    <n v="505.68"/>
    <x v="0"/>
    <x v="0"/>
    <n v="0.2"/>
    <n v="1474.1440000000002"/>
    <n v="505.6840000000002"/>
    <n v="34.303568715132315"/>
    <x v="3"/>
    <x v="0"/>
    <s v="CLEAN"/>
  </r>
  <r>
    <x v="236"/>
    <d v="2024-02-06T00:00:00"/>
    <d v="2024-10-02T00:00:00"/>
    <n v="239"/>
    <s v="OK"/>
    <s v="CUST-3128"/>
    <s v="Arjun Bose"/>
    <x v="3"/>
    <x v="0"/>
    <s v="Uttar Pradesh"/>
    <s v="Noida"/>
    <x v="1"/>
    <x v="3"/>
    <s v="Pro Furnishings 108"/>
    <x v="1"/>
    <n v="1"/>
    <n v="1374.06"/>
    <n v="0.05"/>
    <s v="OK"/>
    <n v="1305.3599999999999"/>
    <n v="731.89"/>
    <n v="573.47"/>
    <x v="0"/>
    <x v="0"/>
    <n v="0.05"/>
    <n v="1305.357"/>
    <n v="573.46699999999998"/>
    <n v="43.931813289391329"/>
    <x v="7"/>
    <x v="0"/>
    <s v="CLEAN"/>
  </r>
  <r>
    <x v="237"/>
    <d v="2024-01-21T00:00:00"/>
    <d v="2024-01-24T00:00:00"/>
    <n v="3"/>
    <s v="OK"/>
    <s v="CUST-4604"/>
    <s v="Kabir Singh"/>
    <x v="2"/>
    <x v="0"/>
    <s v="Punjab"/>
    <s v="Ludhiana"/>
    <x v="2"/>
    <x v="12"/>
    <s v="Classic Machines 522"/>
    <x v="1"/>
    <n v="1"/>
    <n v="3806.3"/>
    <n v="0.25"/>
    <s v="OK"/>
    <n v="2854.73"/>
    <n v="1968.12"/>
    <n v="886.61"/>
    <x v="0"/>
    <x v="0"/>
    <n v="0.25"/>
    <n v="2854.7250000000004"/>
    <n v="886.60500000000047"/>
    <n v="31.057457373302171"/>
    <x v="6"/>
    <x v="0"/>
    <s v="CLEAN"/>
  </r>
  <r>
    <x v="238"/>
    <d v="2024-01-02T00:00:00"/>
    <d v="2024-09-01T00:00:00"/>
    <n v="243"/>
    <s v="OK"/>
    <s v="CUST-8633"/>
    <s v="Diya Patel"/>
    <x v="2"/>
    <x v="0"/>
    <s v="Delhi"/>
    <s v="New Delhi"/>
    <x v="2"/>
    <x v="8"/>
    <s v="Eco Phones 368"/>
    <x v="3"/>
    <n v="3"/>
    <n v="739.56"/>
    <n v="0.2"/>
    <s v="OK"/>
    <n v="1774.94"/>
    <n v="1007.4"/>
    <n v="767.54"/>
    <x v="0"/>
    <x v="0"/>
    <n v="0.2"/>
    <n v="1774.944"/>
    <n v="767.54399999999998"/>
    <n v="43.24327978798204"/>
    <x v="6"/>
    <x v="0"/>
    <s v="CLEAN"/>
  </r>
  <r>
    <x v="239"/>
    <d v="2024-02-20T00:00:00"/>
    <d v="2024-02-25T00:00:00"/>
    <n v="5"/>
    <s v="OK"/>
    <s v="CUST-9139"/>
    <s v="Diya Patel"/>
    <x v="3"/>
    <x v="0"/>
    <s v="Punjab"/>
    <s v="Ludhiana"/>
    <x v="2"/>
    <x v="12"/>
    <s v="Smart Machines 566"/>
    <x v="3"/>
    <n v="4"/>
    <n v="1355.8"/>
    <n v="0"/>
    <s v="OK"/>
    <n v="5423.2"/>
    <n v="4072.44"/>
    <n v="1350.76"/>
    <x v="0"/>
    <x v="0"/>
    <n v="0"/>
    <n v="5423.2"/>
    <n v="1350.7599999999998"/>
    <n v="24.907065938929044"/>
    <x v="7"/>
    <x v="0"/>
    <s v="CLEAN"/>
  </r>
  <r>
    <x v="240"/>
    <d v="2024-02-21T00:00:00"/>
    <d v="2024-02-23T00:00:00"/>
    <n v="2"/>
    <s v="OK"/>
    <s v="CUST-4900"/>
    <s v="Neha Gupta"/>
    <x v="1"/>
    <x v="3"/>
    <s v="Gujarat"/>
    <s v="Ahmedabad"/>
    <x v="2"/>
    <x v="6"/>
    <s v="Elite Copiers 682"/>
    <x v="2"/>
    <n v="6"/>
    <n v="2633.65"/>
    <n v="0.05"/>
    <s v="OK"/>
    <n v="15011.81"/>
    <n v="9660.36"/>
    <n v="5351.45"/>
    <x v="0"/>
    <x v="0"/>
    <n v="0.05"/>
    <n v="15011.805"/>
    <n v="5351.4449999999997"/>
    <n v="35.648244831317747"/>
    <x v="7"/>
    <x v="0"/>
    <s v="CLEAN"/>
  </r>
  <r>
    <x v="241"/>
    <d v="2024-06-19T00:00:00"/>
    <d v="2024-06-24T00:00:00"/>
    <n v="5"/>
    <s v="OK"/>
    <s v="CUST-9617"/>
    <s v="Aarav Sharma"/>
    <x v="1"/>
    <x v="2"/>
    <s v="Tamil Nadu"/>
    <s v="Chennai"/>
    <x v="0"/>
    <x v="7"/>
    <s v="Pro Storage 482"/>
    <x v="1"/>
    <n v="1"/>
    <n v="3202.41"/>
    <n v="0"/>
    <s v="OK"/>
    <n v="3202.41"/>
    <n v="2608.44"/>
    <n v="593.97"/>
    <x v="0"/>
    <x v="0"/>
    <n v="0"/>
    <n v="3202.41"/>
    <n v="593.9699999999998"/>
    <n v="18.547593843386696"/>
    <x v="2"/>
    <x v="0"/>
    <s v="CLEAN"/>
  </r>
  <r>
    <x v="242"/>
    <d v="2024-10-15T00:00:00"/>
    <d v="2024-10-20T00:00:00"/>
    <n v="5"/>
    <s v="OK"/>
    <s v="CUST-2088"/>
    <s v="Ananya Rao"/>
    <x v="0"/>
    <x v="1"/>
    <s v="Odisha"/>
    <s v="Bhubaneswar"/>
    <x v="0"/>
    <x v="2"/>
    <s v="Basic Art 174"/>
    <x v="2"/>
    <n v="5"/>
    <n v="671.24"/>
    <n v="0"/>
    <s v="OK"/>
    <n v="3356.2"/>
    <n v="2205.7199999999998"/>
    <n v="1150.48"/>
    <x v="1"/>
    <x v="1"/>
    <n v="0"/>
    <n v="3356.2"/>
    <n v="1150.48"/>
    <n v="34.279244383528997"/>
    <x v="8"/>
    <x v="0"/>
    <s v="CLEAN"/>
  </r>
  <r>
    <x v="243"/>
    <d v="2024-08-04T00:00:00"/>
    <d v="2024-10-08T00:00:00"/>
    <n v="65"/>
    <s v="OK"/>
    <s v="CUST-4894"/>
    <s v="Vikram Iyer"/>
    <x v="0"/>
    <x v="1"/>
    <s v="Bihar"/>
    <s v="Patna"/>
    <x v="0"/>
    <x v="2"/>
    <s v="Pro Art 172"/>
    <x v="1"/>
    <n v="1"/>
    <n v="984.93"/>
    <n v="0.15"/>
    <s v="OK"/>
    <n v="837.19"/>
    <n v="583.79"/>
    <n v="253.4"/>
    <x v="1"/>
    <x v="1"/>
    <n v="0.15"/>
    <n v="837.19049999999993"/>
    <n v="253.40049999999997"/>
    <n v="30.2679617124179"/>
    <x v="1"/>
    <x v="0"/>
    <s v="CLEAN"/>
  </r>
  <r>
    <x v="244"/>
    <d v="2024-12-06T00:00:00"/>
    <d v="2024-12-12T00:00:00"/>
    <n v="6"/>
    <s v="OK"/>
    <s v="CUST-7846"/>
    <s v="Rohan Mehta"/>
    <x v="2"/>
    <x v="0"/>
    <s v="Uttar Pradesh"/>
    <s v="Noida"/>
    <x v="2"/>
    <x v="8"/>
    <s v="Max Phones 318"/>
    <x v="2"/>
    <n v="3"/>
    <n v="524.75"/>
    <n v="0"/>
    <s v="OK"/>
    <n v="1574.25"/>
    <n v="1326.12"/>
    <n v="248.13"/>
    <x v="0"/>
    <x v="0"/>
    <n v="0"/>
    <n v="1574.25"/>
    <n v="248.13000000000011"/>
    <n v="15.761791329204389"/>
    <x v="5"/>
    <x v="0"/>
    <s v="CLEAN"/>
  </r>
  <r>
    <x v="245"/>
    <d v="2024-04-03T00:00:00"/>
    <d v="2024-03-09T00:00:00"/>
    <n v="-25"/>
    <s v="INVALID"/>
    <s v="CUST-3559"/>
    <s v="Mira Das"/>
    <x v="0"/>
    <x v="1"/>
    <s v="West Bengal"/>
    <s v="Kolkata"/>
    <x v="2"/>
    <x v="4"/>
    <s v="Classic Accessories 131"/>
    <x v="1"/>
    <n v="8"/>
    <n v="4401.41"/>
    <n v="0.15"/>
    <s v="OK"/>
    <n v="29929.59"/>
    <n v="22436.03"/>
    <n v="7493.56"/>
    <x v="0"/>
    <x v="0"/>
    <n v="0.15"/>
    <n v="29929.588"/>
    <n v="7493.5580000000009"/>
    <n v="25.037290857461858"/>
    <x v="9"/>
    <x v="0"/>
    <s v="INVALID"/>
  </r>
  <r>
    <x v="246"/>
    <d v="2024-09-19T00:00:00"/>
    <d v="2024-09-21T00:00:00"/>
    <n v="2"/>
    <s v="OK"/>
    <s v="CUST-6850"/>
    <s v="Karan Malhotra"/>
    <x v="1"/>
    <x v="1"/>
    <s v="West Bengal"/>
    <s v="Kolkata"/>
    <x v="1"/>
    <x v="10"/>
    <s v="Basic Chairs 932"/>
    <x v="2"/>
    <n v="3"/>
    <n v="3981.76"/>
    <n v="0"/>
    <s v="OK"/>
    <n v="11945.28"/>
    <n v="9700.31"/>
    <n v="2244.9699999999998"/>
    <x v="0"/>
    <x v="0"/>
    <n v="0"/>
    <n v="11945.28"/>
    <n v="2244.9700000000012"/>
    <n v="18.793782983739192"/>
    <x v="10"/>
    <x v="0"/>
    <s v="CLEAN"/>
  </r>
  <r>
    <x v="247"/>
    <d v="2024-04-10T00:00:00"/>
    <d v="2024-04-16T00:00:00"/>
    <n v="6"/>
    <s v="OK"/>
    <s v="CUST-2593"/>
    <s v="Aditi Sen"/>
    <x v="0"/>
    <x v="2"/>
    <s v="Kerala"/>
    <s v="Kochi"/>
    <x v="1"/>
    <x v="10"/>
    <s v="Elite Chairs 700"/>
    <x v="0"/>
    <n v="9"/>
    <n v="2723.26"/>
    <n v="0.25"/>
    <s v="OK"/>
    <n v="18382.009999999998"/>
    <n v="13108.2"/>
    <n v="5273.81"/>
    <x v="0"/>
    <x v="0"/>
    <n v="0.25"/>
    <n v="18382.005000000005"/>
    <n v="5273.8050000000039"/>
    <n v="28.690042245119628"/>
    <x v="9"/>
    <x v="0"/>
    <s v="CLEAN"/>
  </r>
  <r>
    <x v="248"/>
    <d v="2024-08-17T00:00:00"/>
    <d v="2024-08-24T00:00:00"/>
    <n v="7"/>
    <s v="OK"/>
    <s v="CUST-8498"/>
    <s v="Ananya Rao"/>
    <x v="2"/>
    <x v="1"/>
    <s v="West Bengal"/>
    <s v="Kolkata"/>
    <x v="2"/>
    <x v="6"/>
    <s v="Eco Copiers 268"/>
    <x v="1"/>
    <n v="3"/>
    <n v="1490.69"/>
    <n v="0.25"/>
    <s v="OK"/>
    <n v="3354.05"/>
    <n v="2672.67"/>
    <n v="681.38"/>
    <x v="0"/>
    <x v="0"/>
    <n v="0.25"/>
    <n v="3354.0524999999998"/>
    <n v="681.38249999999971"/>
    <n v="20.315200790685289"/>
    <x v="1"/>
    <x v="0"/>
    <s v="CLEAN"/>
  </r>
  <r>
    <x v="249"/>
    <d v="2024-08-19T00:00:00"/>
    <d v="2024-08-21T00:00:00"/>
    <n v="2"/>
    <s v="OK"/>
    <s v="CUST-2612"/>
    <s v="Arjun Bose"/>
    <x v="0"/>
    <x v="0"/>
    <s v="Punjab"/>
    <s v="Ludhiana"/>
    <x v="2"/>
    <x v="8"/>
    <s v="Pro Phones 588"/>
    <x v="2"/>
    <n v="3"/>
    <n v="1103.54"/>
    <n v="0.25"/>
    <s v="OK"/>
    <n v="2482.9699999999998"/>
    <n v="1621.72"/>
    <n v="861.25"/>
    <x v="0"/>
    <x v="0"/>
    <n v="0.25"/>
    <n v="2482.9650000000001"/>
    <n v="861.24500000000012"/>
    <n v="34.686151435884113"/>
    <x v="1"/>
    <x v="0"/>
    <s v="CLEAN"/>
  </r>
  <r>
    <x v="250"/>
    <d v="2024-01-26T00:00:00"/>
    <d v="2024-01-31T00:00:00"/>
    <n v="5"/>
    <s v="OK"/>
    <s v="CUST-8289"/>
    <s v="Ananya Rao"/>
    <x v="3"/>
    <x v="1"/>
    <s v="West Bengal"/>
    <s v="Kolkata"/>
    <x v="0"/>
    <x v="0"/>
    <s v="Basic Paper 452"/>
    <x v="0"/>
    <n v="5"/>
    <n v="1615.03"/>
    <n v="0.2"/>
    <s v="OK"/>
    <n v="6460.12"/>
    <n v="3604.03"/>
    <n v="2856.09"/>
    <x v="0"/>
    <x v="0"/>
    <n v="0.2"/>
    <n v="6460.12"/>
    <n v="2856.0899999999997"/>
    <n v="44.211098245853016"/>
    <x v="6"/>
    <x v="0"/>
    <s v="CLEAN"/>
  </r>
  <r>
    <x v="251"/>
    <d v="2024-10-23T00:00:00"/>
    <d v="2024-10-30T00:00:00"/>
    <n v="7"/>
    <s v="OK"/>
    <s v="CUST-5668"/>
    <s v="Aarav Sharma"/>
    <x v="0"/>
    <x v="1"/>
    <s v="Jharkhand"/>
    <s v="Ranchi"/>
    <x v="2"/>
    <x v="6"/>
    <s v="Max Copiers 477"/>
    <x v="0"/>
    <n v="9"/>
    <n v="3423.82"/>
    <n v="0.15"/>
    <s v="OK"/>
    <n v="26192.22"/>
    <n v="20795.55"/>
    <n v="5396.67"/>
    <x v="0"/>
    <x v="0"/>
    <n v="0.15"/>
    <n v="26192.223000000002"/>
    <n v="5396.6730000000025"/>
    <n v="20.60410450842604"/>
    <x v="8"/>
    <x v="0"/>
    <s v="CLEAN"/>
  </r>
  <r>
    <x v="252"/>
    <d v="2024-06-21T00:00:00"/>
    <d v="2024-06-23T00:00:00"/>
    <n v="2"/>
    <s v="OK"/>
    <s v="CUST-7690"/>
    <s v="Karan Malhotra"/>
    <x v="3"/>
    <x v="3"/>
    <s v="Goa"/>
    <s v="Panaji"/>
    <x v="1"/>
    <x v="3"/>
    <s v="Elite Furnishings 706"/>
    <x v="0"/>
    <n v="9"/>
    <n v="2153.75"/>
    <n v="0"/>
    <s v="OK"/>
    <n v="19383.75"/>
    <n v="11667.43"/>
    <n v="7716.32"/>
    <x v="0"/>
    <x v="0"/>
    <n v="0"/>
    <n v="19383.75"/>
    <n v="7716.32"/>
    <n v="39.808189849745276"/>
    <x v="2"/>
    <x v="0"/>
    <s v="CLEAN"/>
  </r>
  <r>
    <x v="253"/>
    <d v="2024-05-20T00:00:00"/>
    <d v="2024-05-20T00:00:00"/>
    <n v="0"/>
    <s v="OK"/>
    <s v="CUST-2779"/>
    <s v="Karan Malhotra"/>
    <x v="3"/>
    <x v="3"/>
    <s v="Madhya Pradesh"/>
    <s v="Indore"/>
    <x v="1"/>
    <x v="10"/>
    <s v="Pro Chairs 712"/>
    <x v="3"/>
    <n v="1"/>
    <n v="3032.95"/>
    <n v="0.1"/>
    <s v="OK"/>
    <n v="2729.65"/>
    <n v="1715.36"/>
    <n v="1014.29"/>
    <x v="0"/>
    <x v="0"/>
    <n v="0.1"/>
    <n v="2729.6549999999997"/>
    <n v="1014.2949999999998"/>
    <n v="37.158358840219734"/>
    <x v="4"/>
    <x v="0"/>
    <s v="CLEAN"/>
  </r>
  <r>
    <x v="254"/>
    <d v="2024-10-05T00:00:00"/>
    <d v="2024-10-10T00:00:00"/>
    <n v="5"/>
    <s v="OK"/>
    <s v="CUST-9311"/>
    <s v="Diya Patel"/>
    <x v="3"/>
    <x v="3"/>
    <s v="Gujarat"/>
    <s v="Ahmedabad"/>
    <x v="2"/>
    <x v="12"/>
    <s v="Basic Machines 413"/>
    <x v="1"/>
    <n v="9"/>
    <n v="3361.3"/>
    <n v="0.25"/>
    <s v="OK"/>
    <n v="22688.78"/>
    <n v="14672.41"/>
    <n v="8016.37"/>
    <x v="0"/>
    <x v="0"/>
    <n v="0.25"/>
    <n v="22688.775000000001"/>
    <n v="8016.3650000000016"/>
    <n v="35.331854628555313"/>
    <x v="8"/>
    <x v="0"/>
    <s v="CLEAN"/>
  </r>
  <r>
    <x v="255"/>
    <d v="2024-10-04T00:00:00"/>
    <d v="2024-10-07T00:00:00"/>
    <n v="3"/>
    <s v="OK"/>
    <s v="CUST-4462"/>
    <s v="Rahul Verma"/>
    <x v="2"/>
    <x v="2"/>
    <s v="Kerala"/>
    <s v="Kochi"/>
    <x v="0"/>
    <x v="2"/>
    <s v="Basic Art 771"/>
    <x v="0"/>
    <n v="2"/>
    <n v="3144.38"/>
    <n v="0.1"/>
    <s v="OK"/>
    <n v="5904.57"/>
    <n v="4337.79"/>
    <n v="1322.09"/>
    <x v="0"/>
    <x v="0"/>
    <n v="0.1"/>
    <n v="5659.884"/>
    <n v="1322.0940000000001"/>
    <n v="23.359029973052454"/>
    <x v="8"/>
    <x v="0"/>
    <s v="CLEAN"/>
  </r>
  <r>
    <x v="256"/>
    <d v="2024-08-16T00:00:00"/>
    <d v="2024-08-19T00:00:00"/>
    <n v="3"/>
    <s v="OK"/>
    <s v="CUST-4660"/>
    <s v="Kabir Singh"/>
    <x v="0"/>
    <x v="2"/>
    <s v="Telangana"/>
    <s v="Hyderabad"/>
    <x v="0"/>
    <x v="0"/>
    <s v="Prime Paper 664"/>
    <x v="3"/>
    <n v="6"/>
    <n v="3925.55"/>
    <n v="0.2"/>
    <s v="OK"/>
    <n v="18842.64"/>
    <n v="11840.58"/>
    <n v="7002.06"/>
    <x v="0"/>
    <x v="0"/>
    <n v="0.2"/>
    <n v="18842.640000000003"/>
    <n v="7002.0600000000031"/>
    <n v="37.160716332743192"/>
    <x v="1"/>
    <x v="0"/>
    <s v="CLEAN"/>
  </r>
  <r>
    <x v="257"/>
    <d v="2024-09-29T00:00:00"/>
    <d v="2024-09-30T00:00:00"/>
    <n v="1"/>
    <s v="OK"/>
    <s v="CUST-9002"/>
    <s v="Mira Das"/>
    <x v="3"/>
    <x v="2"/>
    <s v="Telangana"/>
    <s v="Hyderabad"/>
    <x v="2"/>
    <x v="8"/>
    <s v="Pro Phones 226"/>
    <x v="3"/>
    <n v="9"/>
    <n v="2741.91"/>
    <n v="0"/>
    <s v="OK"/>
    <n v="24677.19"/>
    <n v="20350.849999999999"/>
    <n v="4326.34"/>
    <x v="0"/>
    <x v="0"/>
    <n v="0"/>
    <n v="24677.19"/>
    <n v="4326.34"/>
    <n v="17.531736798233513"/>
    <x v="10"/>
    <x v="0"/>
    <s v="CLEAN"/>
  </r>
  <r>
    <x v="258"/>
    <d v="2024-08-18T00:00:00"/>
    <d v="2024-08-21T00:00:00"/>
    <n v="3"/>
    <s v="OK"/>
    <s v="CUST-6947"/>
    <s v="Vikram Iyer"/>
    <x v="0"/>
    <x v="0"/>
    <s v="Uttar Pradesh"/>
    <s v="Noida"/>
    <x v="2"/>
    <x v="12"/>
    <s v="Classic Machines 337"/>
    <x v="3"/>
    <n v="9"/>
    <n v="734.34"/>
    <n v="0"/>
    <s v="OK"/>
    <n v="6609.06"/>
    <n v="4946.78"/>
    <n v="1662.28"/>
    <x v="0"/>
    <x v="0"/>
    <n v="0"/>
    <n v="6609.06"/>
    <n v="1662.2800000000007"/>
    <n v="25.151534408826681"/>
    <x v="1"/>
    <x v="0"/>
    <s v="CLEAN"/>
  </r>
  <r>
    <x v="259"/>
    <d v="2024-11-28T00:00:00"/>
    <d v="2024-06-12T00:00:00"/>
    <n v="-169"/>
    <s v="INVALID"/>
    <s v="CUST-7236"/>
    <s v="Aditi Sen"/>
    <x v="0"/>
    <x v="3"/>
    <s v="Maharashtra"/>
    <s v="Mumbai"/>
    <x v="1"/>
    <x v="10"/>
    <s v="Max Chairs 748"/>
    <x v="1"/>
    <n v="5"/>
    <n v="1092.8399999999999"/>
    <n v="0"/>
    <s v="OK"/>
    <n v="5464.2"/>
    <n v="3318.09"/>
    <n v="2146.11"/>
    <x v="0"/>
    <x v="0"/>
    <n v="0"/>
    <n v="5464.2"/>
    <n v="2146.1099999999997"/>
    <n v="39.275831777753375"/>
    <x v="3"/>
    <x v="0"/>
    <s v="INVALID"/>
  </r>
  <r>
    <x v="260"/>
    <d v="2024-08-08T00:00:00"/>
    <d v="2024-08-14T00:00:00"/>
    <n v="6"/>
    <s v="OK"/>
    <s v="CUST-6262"/>
    <s v="Vikram Iyer"/>
    <x v="3"/>
    <x v="0"/>
    <s v="Punjab"/>
    <s v="Ludhiana"/>
    <x v="0"/>
    <x v="7"/>
    <s v="Pro Storage 509"/>
    <x v="0"/>
    <n v="8"/>
    <n v="1359.19"/>
    <n v="0.05"/>
    <s v="OK"/>
    <n v="10329.84"/>
    <n v="7512.22"/>
    <n v="2817.62"/>
    <x v="0"/>
    <x v="0"/>
    <n v="0.05"/>
    <n v="10329.843999999999"/>
    <n v="2817.6239999999989"/>
    <n v="27.27653970379416"/>
    <x v="1"/>
    <x v="0"/>
    <s v="CLEAN"/>
  </r>
  <r>
    <x v="261"/>
    <d v="2024-01-30T00:00:00"/>
    <d v="2024-02-01T00:00:00"/>
    <n v="2"/>
    <s v="OK"/>
    <s v="CUST-5070"/>
    <s v="Neha Gupta"/>
    <x v="3"/>
    <x v="1"/>
    <s v="Assam"/>
    <s v="Guwahati"/>
    <x v="1"/>
    <x v="10"/>
    <s v="Prime Chairs 765"/>
    <x v="2"/>
    <n v="2"/>
    <n v="4451.03"/>
    <n v="0.05"/>
    <s v="OK"/>
    <n v="8456.9599999999991"/>
    <n v="5462.85"/>
    <n v="2994.11"/>
    <x v="0"/>
    <x v="0"/>
    <n v="0.05"/>
    <n v="8456.9569999999985"/>
    <n v="2994.1069999999982"/>
    <n v="35.4040702820175"/>
    <x v="6"/>
    <x v="0"/>
    <s v="CLEAN"/>
  </r>
  <r>
    <x v="262"/>
    <d v="2024-12-15T00:00:00"/>
    <d v="2024-12-21T00:00:00"/>
    <n v="6"/>
    <s v="OK"/>
    <s v="CUST-7946"/>
    <s v="Diya Patel"/>
    <x v="2"/>
    <x v="3"/>
    <s v="Rajasthan"/>
    <s v="Udaipur"/>
    <x v="1"/>
    <x v="10"/>
    <s v="Elite Chairs 358"/>
    <x v="1"/>
    <n v="3"/>
    <n v="527.66999999999996"/>
    <n v="0.2"/>
    <s v="OK"/>
    <n v="1266.4100000000001"/>
    <n v="983.92"/>
    <n v="282.49"/>
    <x v="0"/>
    <x v="0"/>
    <n v="0.2"/>
    <n v="1266.4079999999999"/>
    <n v="282.48799999999994"/>
    <n v="22.306239379410108"/>
    <x v="5"/>
    <x v="0"/>
    <s v="CLEAN"/>
  </r>
  <r>
    <x v="263"/>
    <d v="2024-04-09T00:00:00"/>
    <d v="2024-04-10T00:00:00"/>
    <n v="1"/>
    <s v="OK"/>
    <s v="CUST-6075"/>
    <s v="Priya Menon"/>
    <x v="2"/>
    <x v="1"/>
    <s v="Assam"/>
    <s v="Guwahati"/>
    <x v="0"/>
    <x v="0"/>
    <s v="Elite Paper 239"/>
    <x v="3"/>
    <n v="4"/>
    <n v="3047.05"/>
    <n v="0.1"/>
    <s v="OK"/>
    <n v="10969.38"/>
    <n v="9254.4599999999991"/>
    <n v="1714.92"/>
    <x v="0"/>
    <x v="0"/>
    <n v="0.1"/>
    <n v="10969.380000000001"/>
    <n v="1714.9200000000019"/>
    <n v="15.633700354988173"/>
    <x v="9"/>
    <x v="0"/>
    <s v="CLEAN"/>
  </r>
  <r>
    <x v="264"/>
    <d v="2024-04-10T00:00:00"/>
    <d v="2024-04-15T00:00:00"/>
    <n v="5"/>
    <s v="OK"/>
    <s v="CUST-6381"/>
    <s v="Aarav Sharma"/>
    <x v="3"/>
    <x v="3"/>
    <s v="Rajasthan"/>
    <s v="Udaipur"/>
    <x v="1"/>
    <x v="10"/>
    <s v="Eco Chairs 452"/>
    <x v="3"/>
    <n v="8"/>
    <n v="4362.4799999999996"/>
    <n v="0.1"/>
    <s v="OK"/>
    <n v="31409.86"/>
    <n v="22523.54"/>
    <n v="8886.32"/>
    <x v="0"/>
    <x v="0"/>
    <n v="0.1"/>
    <n v="31409.855999999996"/>
    <n v="8886.3159999999953"/>
    <n v="28.29148914277097"/>
    <x v="9"/>
    <x v="0"/>
    <s v="CLEAN"/>
  </r>
  <r>
    <x v="265"/>
    <d v="2024-05-20T00:00:00"/>
    <d v="2024-05-25T00:00:00"/>
    <n v="5"/>
    <s v="OK"/>
    <s v="CUST-7931"/>
    <s v="Mira Das"/>
    <x v="2"/>
    <x v="2"/>
    <s v="Andhra Pradesh"/>
    <s v="Vijayawada"/>
    <x v="1"/>
    <x v="10"/>
    <s v="Max Chairs 305"/>
    <x v="1"/>
    <n v="7"/>
    <n v="3122.85"/>
    <n v="0.25"/>
    <s v="OK"/>
    <n v="16394.96"/>
    <n v="10404.17"/>
    <n v="5990.79"/>
    <x v="0"/>
    <x v="0"/>
    <n v="0.25"/>
    <n v="16394.962500000001"/>
    <n v="5990.7925000000014"/>
    <n v="36.540446493854446"/>
    <x v="4"/>
    <x v="0"/>
    <s v="CLEAN"/>
  </r>
  <r>
    <x v="266"/>
    <d v="2024-10-02T00:00:00"/>
    <d v="2024-10-09T00:00:00"/>
    <n v="7"/>
    <s v="OK"/>
    <s v="CUST-7221"/>
    <s v="Ananya Rao"/>
    <x v="0"/>
    <x v="2"/>
    <s v="Tamil Nadu"/>
    <s v="Chennai"/>
    <x v="0"/>
    <x v="0"/>
    <s v="Smart Paper 872"/>
    <x v="3"/>
    <n v="8"/>
    <n v="1910.31"/>
    <n v="0.15"/>
    <s v="OK"/>
    <n v="12990.11"/>
    <n v="10200.799999999999"/>
    <n v="2789.31"/>
    <x v="0"/>
    <x v="0"/>
    <n v="0.15"/>
    <n v="12990.108"/>
    <n v="2789.3080000000009"/>
    <n v="21.47255434673831"/>
    <x v="8"/>
    <x v="0"/>
    <s v="CLEAN"/>
  </r>
  <r>
    <x v="267"/>
    <d v="2024-05-26T00:00:00"/>
    <d v="2024-05-26T00:00:00"/>
    <n v="0"/>
    <s v="OK"/>
    <s v="CUST-2594"/>
    <s v="Rahul Verma"/>
    <x v="1"/>
    <x v="3"/>
    <s v="Goa"/>
    <s v="Panaji"/>
    <x v="2"/>
    <x v="6"/>
    <s v="Max Copiers 994"/>
    <x v="2"/>
    <n v="2"/>
    <n v="3192.47"/>
    <n v="0.2"/>
    <s v="OK"/>
    <n v="5107.95"/>
    <n v="3133.08"/>
    <n v="1974.87"/>
    <x v="0"/>
    <x v="0"/>
    <n v="0.2"/>
    <n v="5107.9520000000002"/>
    <n v="1974.8720000000003"/>
    <n v="38.6626969086632"/>
    <x v="4"/>
    <x v="0"/>
    <s v="CLEAN"/>
  </r>
  <r>
    <x v="268"/>
    <d v="2024-12-27T00:00:00"/>
    <d v="2024-12-31T00:00:00"/>
    <n v="4"/>
    <s v="OK"/>
    <s v="CUST-6829"/>
    <s v="Isha Nair"/>
    <x v="1"/>
    <x v="1"/>
    <s v="Odisha"/>
    <s v="Bhubaneswar"/>
    <x v="1"/>
    <x v="10"/>
    <s v="Elite Chairs 744"/>
    <x v="0"/>
    <n v="1"/>
    <n v="1594.7"/>
    <n v="0.05"/>
    <s v="OK"/>
    <n v="1514.96"/>
    <n v="1046.17"/>
    <n v="468.79"/>
    <x v="0"/>
    <x v="0"/>
    <n v="0.05"/>
    <n v="1514.9649999999999"/>
    <n v="468.79499999999985"/>
    <n v="30.944279240774531"/>
    <x v="5"/>
    <x v="0"/>
    <s v="CLEAN"/>
  </r>
  <r>
    <x v="269"/>
    <d v="2024-01-04T00:00:00"/>
    <d v="2024-09-01T00:00:00"/>
    <n v="241"/>
    <s v="OK"/>
    <s v="CUST-2314"/>
    <s v="Kabir Singh"/>
    <x v="0"/>
    <x v="1"/>
    <s v="Bihar"/>
    <s v="Patna"/>
    <x v="1"/>
    <x v="10"/>
    <s v="Basic Chairs 480"/>
    <x v="0"/>
    <n v="6"/>
    <n v="2423.61"/>
    <n v="0.1"/>
    <s v="OK"/>
    <n v="13087.49"/>
    <n v="7608.89"/>
    <n v="5133.22"/>
    <x v="0"/>
    <x v="0"/>
    <n v="0.1"/>
    <n v="13087.494000000001"/>
    <n v="5478.6040000000003"/>
    <n v="41.861367806548756"/>
    <x v="6"/>
    <x v="0"/>
    <s v="CLEAN"/>
  </r>
  <r>
    <x v="270"/>
    <d v="2024-09-18T00:00:00"/>
    <d v="2024-09-24T00:00:00"/>
    <n v="6"/>
    <s v="OK"/>
    <s v="CUST-6360"/>
    <s v="Vikram Iyer"/>
    <x v="1"/>
    <x v="1"/>
    <s v="Jharkhand"/>
    <s v="Ranchi"/>
    <x v="2"/>
    <x v="12"/>
    <s v="Elite Machines 955"/>
    <x v="2"/>
    <n v="3"/>
    <n v="729.14"/>
    <n v="0.25"/>
    <s v="OK"/>
    <n v="1640.57"/>
    <n v="1136.98"/>
    <n v="503.59"/>
    <x v="0"/>
    <x v="0"/>
    <n v="0.25"/>
    <n v="1640.5650000000001"/>
    <n v="503.58500000000004"/>
    <n v="30.695827352162215"/>
    <x v="10"/>
    <x v="0"/>
    <s v="CLEAN"/>
  </r>
  <r>
    <x v="271"/>
    <d v="2024-07-05T00:00:00"/>
    <d v="2024-05-14T00:00:00"/>
    <n v="-52"/>
    <s v="INVALID"/>
    <s v="CUST-4446"/>
    <s v="Neha Gupta"/>
    <x v="1"/>
    <x v="0"/>
    <s v="Haryana"/>
    <s v="Gurugram"/>
    <x v="2"/>
    <x v="12"/>
    <s v="Pro Machines 589"/>
    <x v="1"/>
    <n v="4"/>
    <n v="2751.1"/>
    <n v="-0.05"/>
    <s v="INVALID"/>
    <n v="9903.9599999999991"/>
    <n v="7696.28"/>
    <n v="2207.6799999999998"/>
    <x v="0"/>
    <x v="0"/>
    <n v="0"/>
    <n v="11004.4"/>
    <n v="3308.12"/>
    <n v="30.061793464432405"/>
    <x v="0"/>
    <x v="0"/>
    <s v="INVALID"/>
  </r>
  <r>
    <x v="272"/>
    <d v="2024-05-17T00:00:00"/>
    <d v="2024-05-22T00:00:00"/>
    <n v="5"/>
    <s v="OK"/>
    <s v="CUST-4537"/>
    <s v="Sneha Kapoor"/>
    <x v="0"/>
    <x v="2"/>
    <s v="Andhra Pradesh"/>
    <s v="Vijayawada"/>
    <x v="2"/>
    <x v="12"/>
    <s v="Max Machines 595"/>
    <x v="0"/>
    <n v="7"/>
    <n v="232.5"/>
    <n v="0"/>
    <s v="OK"/>
    <n v="1627.5"/>
    <n v="939.9"/>
    <n v="687.6"/>
    <x v="0"/>
    <x v="0"/>
    <n v="0"/>
    <n v="1627.5"/>
    <n v="687.6"/>
    <n v="42.248847926267281"/>
    <x v="4"/>
    <x v="0"/>
    <s v="CLEAN"/>
  </r>
  <r>
    <x v="273"/>
    <d v="2024-01-14T00:00:00"/>
    <d v="2024-01-18T00:00:00"/>
    <n v="4"/>
    <s v="OK"/>
    <s v="CUST-3181"/>
    <s v="Mira Das"/>
    <x v="3"/>
    <x v="3"/>
    <s v="Rajasthan"/>
    <s v="Udaipur"/>
    <x v="2"/>
    <x v="12"/>
    <s v="Elite Machines 367"/>
    <x v="1"/>
    <n v="6"/>
    <n v="1784.8"/>
    <n v="0.1"/>
    <s v="OK"/>
    <n v="9637.92"/>
    <n v="7329.29"/>
    <n v="2308.63"/>
    <x v="0"/>
    <x v="0"/>
    <n v="0.1"/>
    <n v="9637.92"/>
    <n v="2308.63"/>
    <n v="23.953612397695771"/>
    <x v="6"/>
    <x v="0"/>
    <s v="CLEAN"/>
  </r>
  <r>
    <x v="274"/>
    <d v="2024-05-02T00:00:00"/>
    <d v="2024-05-08T00:00:00"/>
    <n v="6"/>
    <s v="OK"/>
    <s v="CUST-1015"/>
    <s v="Rahul Verma"/>
    <x v="3"/>
    <x v="1"/>
    <s v="Jharkhand"/>
    <s v="Ranchi"/>
    <x v="2"/>
    <x v="6"/>
    <s v="Basic Copiers 787"/>
    <x v="0"/>
    <n v="2"/>
    <n v="3185.01"/>
    <n v="-0.24"/>
    <s v="INVALID"/>
    <n v="4777.5200000000004"/>
    <n v="3152.98"/>
    <n v="1624.54"/>
    <x v="0"/>
    <x v="0"/>
    <n v="0"/>
    <n v="6370.02"/>
    <n v="3217.0400000000004"/>
    <n v="50.502824166957097"/>
    <x v="4"/>
    <x v="0"/>
    <s v="INVALID"/>
  </r>
  <r>
    <x v="275"/>
    <d v="2024-12-07T00:00:00"/>
    <d v="2024-12-10T00:00:00"/>
    <n v="3"/>
    <s v="OK"/>
    <s v="CUST-2709"/>
    <s v="Mira Das"/>
    <x v="3"/>
    <x v="2"/>
    <s v="Telangana"/>
    <s v="Hyderabad"/>
    <x v="2"/>
    <x v="4"/>
    <s v="Max Accessories 903"/>
    <x v="3"/>
    <n v="1"/>
    <n v="1908.83"/>
    <n v="0.2"/>
    <s v="OK"/>
    <n v="1527.06"/>
    <n v="1055.8900000000001"/>
    <n v="471.17"/>
    <x v="0"/>
    <x v="0"/>
    <n v="0.2"/>
    <n v="1527.0640000000001"/>
    <n v="471.17399999999998"/>
    <n v="30.854895407134208"/>
    <x v="5"/>
    <x v="0"/>
    <s v="CLEAN"/>
  </r>
  <r>
    <x v="276"/>
    <d v="2024-06-21T00:00:00"/>
    <d v="2024-06-26T00:00:00"/>
    <n v="5"/>
    <s v="OK"/>
    <s v="CUST-7758"/>
    <s v="Rohan Mehta"/>
    <x v="1"/>
    <x v="0"/>
    <s v="Punjab"/>
    <s v="Ludhiana"/>
    <x v="2"/>
    <x v="6"/>
    <s v="Classic Copiers 908"/>
    <x v="1"/>
    <n v="1"/>
    <n v="279.83"/>
    <n v="0.05"/>
    <s v="OK"/>
    <n v="265.83999999999997"/>
    <n v="223.49"/>
    <n v="42.35"/>
    <x v="0"/>
    <x v="0"/>
    <n v="0.05"/>
    <n v="265.83849999999995"/>
    <n v="42.348499999999945"/>
    <n v="15.930160605028975"/>
    <x v="2"/>
    <x v="0"/>
    <s v="CLEAN"/>
  </r>
  <r>
    <x v="277"/>
    <d v="2024-11-21T00:00:00"/>
    <d v="2024-11-23T00:00:00"/>
    <n v="2"/>
    <s v="OK"/>
    <s v="CUST-4190"/>
    <s v="Mira Das"/>
    <x v="2"/>
    <x v="3"/>
    <s v="Gujarat"/>
    <s v="Ahmedabad"/>
    <x v="0"/>
    <x v="0"/>
    <s v="Pro Paper 187"/>
    <x v="0"/>
    <n v="5"/>
    <n v="600.46"/>
    <n v="0.2"/>
    <s v="OK"/>
    <n v="2401.84"/>
    <n v="1873.11"/>
    <n v="528.73"/>
    <x v="0"/>
    <x v="0"/>
    <n v="0.2"/>
    <n v="2401.84"/>
    <n v="528.73000000000025"/>
    <n v="22.013539619624964"/>
    <x v="3"/>
    <x v="0"/>
    <s v="CLEAN"/>
  </r>
  <r>
    <x v="278"/>
    <d v="2024-03-24T00:00:00"/>
    <d v="2024-04-01T00:00:00"/>
    <n v="8"/>
    <s v="OK"/>
    <s v="CUST-7568"/>
    <s v="Ananya Rao"/>
    <x v="3"/>
    <x v="3"/>
    <s v="Maharashtra"/>
    <s v="Mumbai"/>
    <x v="1"/>
    <x v="1"/>
    <s v="Classic Tables 606"/>
    <x v="0"/>
    <n v="4"/>
    <n v="1700.72"/>
    <n v="0.25"/>
    <s v="OK"/>
    <n v="5102.16"/>
    <n v="3226.45"/>
    <n v="1875.71"/>
    <x v="0"/>
    <x v="0"/>
    <n v="0.25"/>
    <n v="5102.16"/>
    <n v="1875.71"/>
    <n v="36.763057214983455"/>
    <x v="11"/>
    <x v="0"/>
    <s v="CLEAN"/>
  </r>
  <r>
    <x v="279"/>
    <d v="2024-03-22T00:00:00"/>
    <d v="2024-03-27T00:00:00"/>
    <n v="5"/>
    <s v="OK"/>
    <s v="CUST-3293"/>
    <s v="Aditi Sen"/>
    <x v="3"/>
    <x v="3"/>
    <s v="Goa"/>
    <s v="Panaji"/>
    <x v="2"/>
    <x v="6"/>
    <s v="Classic Copiers 583"/>
    <x v="0"/>
    <n v="9"/>
    <n v="3649.51"/>
    <n v="0.05"/>
    <s v="OK"/>
    <n v="31203.31"/>
    <n v="17738.13"/>
    <n v="13465.18"/>
    <x v="0"/>
    <x v="0"/>
    <n v="0.05"/>
    <n v="31203.310500000003"/>
    <n v="13465.180500000002"/>
    <n v="43.153051020019177"/>
    <x v="11"/>
    <x v="0"/>
    <s v="CLEAN"/>
  </r>
  <r>
    <x v="280"/>
    <d v="2024-09-04T00:00:00"/>
    <d v="2024-09-05T00:00:00"/>
    <n v="1"/>
    <s v="OK"/>
    <s v="CUST-8180"/>
    <s v="Aditi Sen"/>
    <x v="2"/>
    <x v="3"/>
    <s v="Madhya Pradesh"/>
    <s v="Indore"/>
    <x v="1"/>
    <x v="10"/>
    <s v="Classic Chairs 460"/>
    <x v="3"/>
    <n v="5"/>
    <n v="2528.5300000000002"/>
    <n v="0.05"/>
    <s v="OK"/>
    <n v="12010.52"/>
    <n v="7864.61"/>
    <n v="4145.91"/>
    <x v="0"/>
    <x v="1"/>
    <n v="0.05"/>
    <n v="12010.5175"/>
    <n v="4145.9075000000003"/>
    <n v="34.51897472361204"/>
    <x v="10"/>
    <x v="0"/>
    <s v="CLEAN"/>
  </r>
  <r>
    <x v="281"/>
    <d v="2024-05-18T00:00:00"/>
    <d v="2024-05-21T00:00:00"/>
    <n v="3"/>
    <s v="OK"/>
    <s v="CUST-4081"/>
    <s v="Vikram Iyer"/>
    <x v="2"/>
    <x v="1"/>
    <s v="Jharkhand"/>
    <s v="Ranchi"/>
    <x v="2"/>
    <x v="4"/>
    <s v="Basic Accessories 944"/>
    <x v="0"/>
    <n v="1"/>
    <n v="1033.71"/>
    <n v="0"/>
    <s v="OK"/>
    <n v="1033.71"/>
    <n v="630.82000000000005"/>
    <n v="402.89"/>
    <x v="1"/>
    <x v="1"/>
    <n v="0"/>
    <n v="1033.71"/>
    <n v="402.89"/>
    <n v="38.97514776871656"/>
    <x v="4"/>
    <x v="0"/>
    <s v="CLEAN"/>
  </r>
  <r>
    <x v="282"/>
    <d v="2024-06-22T00:00:00"/>
    <d v="2024-06-27T00:00:00"/>
    <n v="5"/>
    <s v="OK"/>
    <s v="CUST-4655"/>
    <s v="Isha Nair"/>
    <x v="3"/>
    <x v="2"/>
    <s v="Karnataka"/>
    <s v="Bengaluru"/>
    <x v="1"/>
    <x v="10"/>
    <s v="Smart Chairs 610"/>
    <x v="1"/>
    <n v="7"/>
    <n v="2623.48"/>
    <n v="0"/>
    <s v="OK"/>
    <n v="18364.36"/>
    <n v="15445.81"/>
    <n v="2918.55"/>
    <x v="0"/>
    <x v="0"/>
    <n v="0"/>
    <n v="18364.36"/>
    <n v="2918.5500000000011"/>
    <n v="15.892467801763857"/>
    <x v="2"/>
    <x v="0"/>
    <s v="CLEAN"/>
  </r>
  <r>
    <x v="283"/>
    <d v="2024-11-24T00:00:00"/>
    <d v="2024-12-01T00:00:00"/>
    <n v="7"/>
    <s v="OK"/>
    <s v="CUST-1674"/>
    <s v="Kabir Singh"/>
    <x v="2"/>
    <x v="2"/>
    <s v="Karnataka"/>
    <s v="Bengaluru"/>
    <x v="1"/>
    <x v="1"/>
    <s v="Prime Tables 123"/>
    <x v="0"/>
    <n v="9"/>
    <n v="2763.61"/>
    <n v="0.15"/>
    <s v="OK"/>
    <n v="21141.62"/>
    <n v="11676.33"/>
    <n v="9465.2900000000009"/>
    <x v="0"/>
    <x v="0"/>
    <n v="0.15"/>
    <n v="21141.6165"/>
    <n v="9465.2865000000002"/>
    <n v="44.770874071999181"/>
    <x v="3"/>
    <x v="0"/>
    <s v="CLEAN"/>
  </r>
  <r>
    <x v="284"/>
    <d v="2024-05-29T00:00:00"/>
    <d v="2024-06-05T00:00:00"/>
    <n v="7"/>
    <s v="OK"/>
    <s v="CUST-1136"/>
    <s v="Kabir Singh"/>
    <x v="2"/>
    <x v="2"/>
    <s v="Tamil Nadu"/>
    <s v="Chennai"/>
    <x v="2"/>
    <x v="4"/>
    <s v="Eco Accessories 658"/>
    <x v="2"/>
    <n v="4"/>
    <n v="3700.24"/>
    <n v="0"/>
    <s v="OK"/>
    <n v="14800.96"/>
    <n v="12048.39"/>
    <n v="2752.57"/>
    <x v="0"/>
    <x v="0"/>
    <n v="0"/>
    <n v="14800.96"/>
    <n v="2752.5699999999997"/>
    <n v="18.597239638509933"/>
    <x v="4"/>
    <x v="0"/>
    <s v="CLEAN"/>
  </r>
  <r>
    <x v="285"/>
    <d v="2024-03-25T00:00:00"/>
    <d v="2024-04-02T00:00:00"/>
    <n v="8"/>
    <s v="OK"/>
    <s v="CUST-3127"/>
    <s v="Sneha Kapoor"/>
    <x v="3"/>
    <x v="2"/>
    <s v="Tamil Nadu"/>
    <s v="Chennai"/>
    <x v="2"/>
    <x v="6"/>
    <s v="Pro Copiers 502"/>
    <x v="3"/>
    <n v="2"/>
    <n v="2349.13"/>
    <n v="0"/>
    <s v="OK"/>
    <n v="4698.26"/>
    <n v="2654.92"/>
    <n v="2043.34"/>
    <x v="0"/>
    <x v="0"/>
    <n v="0"/>
    <n v="4698.26"/>
    <n v="2043.3400000000001"/>
    <n v="43.491420227914162"/>
    <x v="11"/>
    <x v="0"/>
    <s v="CLEAN"/>
  </r>
  <r>
    <x v="286"/>
    <d v="2024-12-15T00:00:00"/>
    <d v="2024-12-16T00:00:00"/>
    <n v="1"/>
    <s v="OK"/>
    <s v="CUST-7309"/>
    <s v="Rohan Mehta"/>
    <x v="0"/>
    <x v="1"/>
    <s v="Odisha"/>
    <s v="Bhubaneswar"/>
    <x v="2"/>
    <x v="6"/>
    <s v="Smart Copiers 456"/>
    <x v="0"/>
    <n v="6"/>
    <n v="1538.1"/>
    <n v="0.05"/>
    <s v="OK"/>
    <n v="8767.17"/>
    <n v="5098.2"/>
    <n v="3668.97"/>
    <x v="0"/>
    <x v="0"/>
    <n v="0.05"/>
    <n v="8767.1699999999983"/>
    <n v="3668.9699999999984"/>
    <n v="41.848966085977565"/>
    <x v="5"/>
    <x v="0"/>
    <s v="CLEAN"/>
  </r>
  <r>
    <x v="287"/>
    <d v="2024-07-01T00:00:00"/>
    <d v="2024-01-07T00:00:00"/>
    <n v="-176"/>
    <s v="INVALID"/>
    <s v="CUST-6257"/>
    <s v="Aarav Sharma"/>
    <x v="0"/>
    <x v="3"/>
    <s v="Madhya Pradesh"/>
    <s v="Indore"/>
    <x v="2"/>
    <x v="12"/>
    <s v="Prime Machines 102"/>
    <x v="3"/>
    <n v="4"/>
    <n v="257.39"/>
    <n v="0"/>
    <s v="OK"/>
    <n v="1029.56"/>
    <n v="626.33000000000004"/>
    <n v="403.23"/>
    <x v="0"/>
    <x v="0"/>
    <n v="0"/>
    <n v="1029.56"/>
    <n v="403.2299999999999"/>
    <n v="39.165274486188267"/>
    <x v="0"/>
    <x v="0"/>
    <s v="INVALID"/>
  </r>
  <r>
    <x v="288"/>
    <d v="2024-09-14T00:00:00"/>
    <d v="2024-09-14T00:00:00"/>
    <n v="0"/>
    <s v="OK"/>
    <s v="CUST-5357"/>
    <s v="Mira Das"/>
    <x v="2"/>
    <x v="0"/>
    <s v="Rajasthan"/>
    <s v="Jaipur"/>
    <x v="2"/>
    <x v="12"/>
    <s v="Classic Machines 648"/>
    <x v="3"/>
    <n v="8"/>
    <n v="4081.66"/>
    <n v="0.15"/>
    <s v="OK"/>
    <n v="28208.1"/>
    <n v="23751.91"/>
    <n v="4003.38"/>
    <x v="0"/>
    <x v="1"/>
    <n v="0.15"/>
    <n v="27755.287999999997"/>
    <n v="4003.377999999997"/>
    <n v="14.423838801456492"/>
    <x v="10"/>
    <x v="0"/>
    <s v="CLEAN"/>
  </r>
  <r>
    <x v="289"/>
    <d v="2024-06-11T00:00:00"/>
    <d v="2024-06-11T00:00:00"/>
    <n v="0"/>
    <s v="OK"/>
    <s v="CUST-9802"/>
    <s v="Arjun Bose"/>
    <x v="1"/>
    <x v="2"/>
    <s v="Karnataka"/>
    <s v="Bengaluru"/>
    <x v="1"/>
    <x v="9"/>
    <s v="Max Bookcases 565"/>
    <x v="3"/>
    <n v="9"/>
    <n v="1400.11"/>
    <n v="0.25"/>
    <s v="OK"/>
    <n v="9450.74"/>
    <n v="7798.56"/>
    <n v="1652.18"/>
    <x v="0"/>
    <x v="0"/>
    <n v="0.25"/>
    <n v="9450.7425000000003"/>
    <n v="1652.1824999999999"/>
    <n v="17.482039109625511"/>
    <x v="2"/>
    <x v="0"/>
    <s v="CLEAN"/>
  </r>
  <r>
    <x v="290"/>
    <d v="2024-09-18T00:00:00"/>
    <d v="2024-09-21T00:00:00"/>
    <n v="3"/>
    <s v="OK"/>
    <s v="CUST-5646"/>
    <s v="Neha Gupta"/>
    <x v="2"/>
    <x v="1"/>
    <s v="West Bengal"/>
    <s v="Kolkata"/>
    <x v="2"/>
    <x v="12"/>
    <s v="Basic Machines 220"/>
    <x v="3"/>
    <n v="3"/>
    <n v="3055.9"/>
    <n v="0.15"/>
    <s v="OK"/>
    <n v="7792.55"/>
    <n v="4691.7299999999996"/>
    <n v="3100.82"/>
    <x v="0"/>
    <x v="0"/>
    <n v="0.15"/>
    <n v="7792.5450000000001"/>
    <n v="3100.8150000000005"/>
    <n v="39.792070498149201"/>
    <x v="10"/>
    <x v="0"/>
    <s v="CLEAN"/>
  </r>
  <r>
    <x v="291"/>
    <d v="2024-04-30T00:00:00"/>
    <d v="2024-05-04T00:00:00"/>
    <n v="4"/>
    <s v="OK"/>
    <s v="CUST-7171"/>
    <s v="Rohan Mehta"/>
    <x v="1"/>
    <x v="3"/>
    <s v="Gujarat"/>
    <s v="Ahmedabad"/>
    <x v="0"/>
    <x v="2"/>
    <s v="Pro Art 151"/>
    <x v="1"/>
    <n v="7"/>
    <n v="1224.94"/>
    <n v="0"/>
    <s v="OK"/>
    <n v="8574.58"/>
    <n v="6685.81"/>
    <n v="1888.77"/>
    <x v="0"/>
    <x v="1"/>
    <n v="0"/>
    <n v="8574.58"/>
    <n v="1888.7699999999995"/>
    <n v="22.027551203674111"/>
    <x v="9"/>
    <x v="0"/>
    <s v="CLEAN"/>
  </r>
  <r>
    <x v="292"/>
    <d v="2024-10-19T00:00:00"/>
    <d v="2024-10-20T00:00:00"/>
    <n v="1"/>
    <s v="OK"/>
    <s v="CUST-8734"/>
    <s v="Aditi Sen"/>
    <x v="2"/>
    <x v="0"/>
    <s v="Rajasthan"/>
    <s v="Jaipur"/>
    <x v="1"/>
    <x v="1"/>
    <s v="Classic Tables 997"/>
    <x v="2"/>
    <n v="1"/>
    <n v="1150.03"/>
    <n v="0.1"/>
    <s v="OK"/>
    <n v="1035.03"/>
    <n v="854.35"/>
    <n v="180.68"/>
    <x v="0"/>
    <x v="0"/>
    <n v="0.1"/>
    <n v="1035.027"/>
    <n v="180.67700000000002"/>
    <n v="17.456259595160319"/>
    <x v="8"/>
    <x v="0"/>
    <s v="CLEAN"/>
  </r>
  <r>
    <x v="293"/>
    <d v="2024-03-13T00:00:00"/>
    <d v="2024-03-20T00:00:00"/>
    <n v="7"/>
    <s v="OK"/>
    <s v="CUST-4916"/>
    <s v="Priya Menon"/>
    <x v="3"/>
    <x v="2"/>
    <s v="Tamil Nadu"/>
    <s v="Chennai"/>
    <x v="1"/>
    <x v="9"/>
    <s v="Max Bookcases 738"/>
    <x v="4"/>
    <n v="1"/>
    <n v="2825.63"/>
    <n v="0.15"/>
    <s v="OK"/>
    <n v="2401.79"/>
    <n v="1820.34"/>
    <n v="581.45000000000005"/>
    <x v="0"/>
    <x v="0"/>
    <n v="0.15"/>
    <n v="2401.7855"/>
    <n v="581.44550000000004"/>
    <n v="24.208885431276027"/>
    <x v="11"/>
    <x v="0"/>
    <s v="CLEAN"/>
  </r>
  <r>
    <x v="294"/>
    <d v="2024-09-08T00:00:00"/>
    <d v="2024-09-14T00:00:00"/>
    <n v="6"/>
    <s v="OK"/>
    <s v="CUST-3289"/>
    <s v="Rohan Mehta"/>
    <x v="0"/>
    <x v="0"/>
    <s v="Rajasthan"/>
    <s v="Jaipur"/>
    <x v="0"/>
    <x v="11"/>
    <s v="Max Binders 411"/>
    <x v="3"/>
    <n v="5"/>
    <n v="3371.75"/>
    <n v="0.05"/>
    <s v="OK"/>
    <n v="16015.81"/>
    <n v="11352.38"/>
    <n v="4663.43"/>
    <x v="0"/>
    <x v="0"/>
    <n v="0.05"/>
    <n v="16015.8125"/>
    <n v="4663.4325000000008"/>
    <n v="29.117676671102394"/>
    <x v="10"/>
    <x v="0"/>
    <s v="CLEAN"/>
  </r>
  <r>
    <x v="295"/>
    <d v="2024-06-24T00:00:00"/>
    <d v="2024-06-28T00:00:00"/>
    <n v="4"/>
    <s v="OK"/>
    <s v="CUST-4928"/>
    <s v="Isha Nair"/>
    <x v="1"/>
    <x v="1"/>
    <s v="Odisha"/>
    <s v="Bhubaneswar"/>
    <x v="0"/>
    <x v="0"/>
    <s v="Max Paper 343"/>
    <x v="1"/>
    <n v="1"/>
    <n v="2112.75"/>
    <n v="0.1"/>
    <s v="OK"/>
    <n v="1901.48"/>
    <n v="1354.28"/>
    <n v="547.20000000000005"/>
    <x v="0"/>
    <x v="0"/>
    <n v="0.1"/>
    <n v="1901.4750000000001"/>
    <n v="547.19500000000016"/>
    <n v="28.777396494826391"/>
    <x v="2"/>
    <x v="0"/>
    <s v="CLEAN"/>
  </r>
  <r>
    <x v="296"/>
    <d v="2024-07-12T00:00:00"/>
    <d v="2024-07-19T00:00:00"/>
    <n v="7"/>
    <s v="OK"/>
    <s v="CUST-7199"/>
    <s v="Vikram Iyer"/>
    <x v="2"/>
    <x v="0"/>
    <s v="Punjab"/>
    <s v="Ludhiana"/>
    <x v="0"/>
    <x v="2"/>
    <s v="Smart Art 279"/>
    <x v="0"/>
    <n v="5"/>
    <n v="1559.16"/>
    <n v="0.05"/>
    <s v="OK"/>
    <n v="7406.01"/>
    <n v="5941.74"/>
    <n v="1464.27"/>
    <x v="0"/>
    <x v="0"/>
    <n v="0.05"/>
    <n v="7406.01"/>
    <n v="1464.2700000000004"/>
    <n v="19.771374869869206"/>
    <x v="0"/>
    <x v="0"/>
    <s v="CLEAN"/>
  </r>
  <r>
    <x v="297"/>
    <d v="2024-02-10T00:00:00"/>
    <d v="2024-02-18T00:00:00"/>
    <n v="8"/>
    <s v="OK"/>
    <s v="CUST-5127"/>
    <s v="Isha Nair"/>
    <x v="3"/>
    <x v="3"/>
    <s v="Madhya Pradesh"/>
    <s v="Indore"/>
    <x v="1"/>
    <x v="10"/>
    <s v="Smart Chairs 259"/>
    <x v="2"/>
    <n v="7"/>
    <n v="1382.86"/>
    <n v="0"/>
    <s v="OK"/>
    <n v="9680.02"/>
    <n v="6876.66"/>
    <n v="2803.36"/>
    <x v="0"/>
    <x v="0"/>
    <n v="0"/>
    <n v="9680.0199999999986"/>
    <n v="2803.3599999999988"/>
    <n v="28.960270743242255"/>
    <x v="7"/>
    <x v="0"/>
    <s v="CLEAN"/>
  </r>
  <r>
    <x v="298"/>
    <d v="2024-09-06T00:00:00"/>
    <d v="2024-09-09T00:00:00"/>
    <n v="3"/>
    <s v="OK"/>
    <s v="CUST-3918"/>
    <s v="Mira Das"/>
    <x v="0"/>
    <x v="3"/>
    <s v="Maharashtra"/>
    <s v="Mumbai"/>
    <x v="0"/>
    <x v="2"/>
    <s v="Smart Art 866"/>
    <x v="1"/>
    <n v="3"/>
    <n v="1972.27"/>
    <n v="0.2"/>
    <s v="OK"/>
    <n v="4733.45"/>
    <n v="3672.32"/>
    <n v="1061.1300000000001"/>
    <x v="0"/>
    <x v="0"/>
    <n v="0.2"/>
    <n v="4733.4479999999994"/>
    <n v="1061.1279999999992"/>
    <n v="22.417654107534283"/>
    <x v="10"/>
    <x v="0"/>
    <s v="CLEAN"/>
  </r>
  <r>
    <x v="299"/>
    <d v="2024-07-16T00:00:00"/>
    <d v="2024-07-16T00:00:00"/>
    <n v="0"/>
    <s v="OK"/>
    <s v="CUST-1991"/>
    <s v="Aditi Sen"/>
    <x v="3"/>
    <x v="3"/>
    <s v="Madhya Pradesh"/>
    <s v="Indore"/>
    <x v="2"/>
    <x v="6"/>
    <s v="Smart Copiers 196"/>
    <x v="1"/>
    <n v="4"/>
    <n v="4479.92"/>
    <n v="0.15"/>
    <s v="OK"/>
    <n v="15231.73"/>
    <n v="12451.46"/>
    <n v="2780.27"/>
    <x v="0"/>
    <x v="0"/>
    <n v="0.15"/>
    <n v="15231.727999999999"/>
    <n v="2780.268"/>
    <n v="18.253135822803561"/>
    <x v="0"/>
    <x v="0"/>
    <s v="CLEAN"/>
  </r>
  <r>
    <x v="300"/>
    <d v="2024-02-10T00:00:00"/>
    <d v="2024-02-16T00:00:00"/>
    <n v="6"/>
    <s v="OK"/>
    <s v="CUST-5891"/>
    <s v="Karan Malhotra"/>
    <x v="0"/>
    <x v="3"/>
    <s v="Goa"/>
    <s v="Panaji"/>
    <x v="1"/>
    <x v="3"/>
    <s v="Elite Furnishings 921"/>
    <x v="0"/>
    <n v="3"/>
    <n v="253.43"/>
    <n v="0"/>
    <s v="OK"/>
    <n v="760.29"/>
    <n v="497.77"/>
    <n v="262.52"/>
    <x v="0"/>
    <x v="0"/>
    <n v="0"/>
    <n v="760.29"/>
    <n v="262.52"/>
    <n v="34.528929750489944"/>
    <x v="7"/>
    <x v="0"/>
    <s v="CLEAN"/>
  </r>
  <r>
    <x v="301"/>
    <d v="2024-01-17T00:00:00"/>
    <d v="2024-01-23T00:00:00"/>
    <n v="6"/>
    <s v="OK"/>
    <s v="CUST-6655"/>
    <s v="Kabir Singh"/>
    <x v="3"/>
    <x v="3"/>
    <s v="Gujarat"/>
    <s v="Ahmedabad"/>
    <x v="2"/>
    <x v="8"/>
    <s v="Pro Phones 857"/>
    <x v="3"/>
    <n v="5"/>
    <n v="2018"/>
    <n v="0.2"/>
    <s v="OK"/>
    <n v="8072"/>
    <n v="5379.22"/>
    <n v="2692.78"/>
    <x v="1"/>
    <x v="1"/>
    <n v="0.2"/>
    <n v="8072"/>
    <n v="2692.7799999999997"/>
    <n v="33.359514370664023"/>
    <x v="6"/>
    <x v="0"/>
    <s v="CLEAN"/>
  </r>
  <r>
    <x v="302"/>
    <d v="2024-10-13T00:00:00"/>
    <d v="2024-10-13T00:00:00"/>
    <n v="0"/>
    <s v="OK"/>
    <s v="CUST-6492"/>
    <s v="Aarav Sharma"/>
    <x v="1"/>
    <x v="1"/>
    <s v="Assam"/>
    <s v="Guwahati"/>
    <x v="2"/>
    <x v="4"/>
    <s v="Max Accessories 567"/>
    <x v="0"/>
    <n v="8"/>
    <n v="3730.66"/>
    <n v="0.05"/>
    <s v="OK"/>
    <n v="28353.02"/>
    <n v="19257.849999999999"/>
    <n v="9095.17"/>
    <x v="0"/>
    <x v="0"/>
    <n v="0.05"/>
    <n v="28353.015999999996"/>
    <n v="9095.1659999999974"/>
    <n v="32.078301652282768"/>
    <x v="8"/>
    <x v="0"/>
    <s v="CLEAN"/>
  </r>
  <r>
    <x v="303"/>
    <d v="2024-01-04T00:00:00"/>
    <d v="2024-07-01T00:00:00"/>
    <n v="179"/>
    <s v="OK"/>
    <s v="CUST-1154"/>
    <s v="Sneha Kapoor"/>
    <x v="1"/>
    <x v="2"/>
    <s v="Karnataka"/>
    <s v="Bengaluru"/>
    <x v="2"/>
    <x v="12"/>
    <s v="Max Machines 200"/>
    <x v="2"/>
    <n v="1"/>
    <n v="2363.02"/>
    <n v="0.15"/>
    <s v="OK"/>
    <n v="2008.57"/>
    <n v="1194.83"/>
    <n v="813.74"/>
    <x v="0"/>
    <x v="0"/>
    <n v="0.15"/>
    <n v="2008.567"/>
    <n v="813.73700000000008"/>
    <n v="40.513311231340552"/>
    <x v="6"/>
    <x v="0"/>
    <s v="CLEAN"/>
  </r>
  <r>
    <x v="304"/>
    <d v="2024-03-17T00:00:00"/>
    <d v="2024-03-19T00:00:00"/>
    <n v="2"/>
    <s v="OK"/>
    <s v="CUST-6849"/>
    <s v="Ananya Rao"/>
    <x v="2"/>
    <x v="1"/>
    <s v="Odisha"/>
    <s v="Bhubaneswar"/>
    <x v="0"/>
    <x v="11"/>
    <s v="Eco Binders 178"/>
    <x v="2"/>
    <n v="4"/>
    <n v="4376.68"/>
    <n v="0.1"/>
    <s v="OK"/>
    <n v="15756.05"/>
    <n v="10245.44"/>
    <n v="5510.61"/>
    <x v="0"/>
    <x v="0"/>
    <n v="0.1"/>
    <n v="15756.048000000001"/>
    <n v="5510.6080000000002"/>
    <n v="34.974557071671782"/>
    <x v="11"/>
    <x v="0"/>
    <s v="CLEAN"/>
  </r>
  <r>
    <x v="305"/>
    <d v="2024-11-28T00:00:00"/>
    <d v="2024-12-06T00:00:00"/>
    <n v="8"/>
    <s v="OK"/>
    <s v="CUST-4973"/>
    <s v="Arjun Bose"/>
    <x v="1"/>
    <x v="0"/>
    <s v="Punjab"/>
    <s v="Ludhiana"/>
    <x v="2"/>
    <x v="8"/>
    <s v="Max Phones 678"/>
    <x v="3"/>
    <n v="6"/>
    <n v="2464.63"/>
    <n v="0"/>
    <s v="OK"/>
    <n v="14787.78"/>
    <n v="8596.65"/>
    <n v="6191.13"/>
    <x v="0"/>
    <x v="0"/>
    <n v="0"/>
    <n v="14787.78"/>
    <n v="6191.130000000001"/>
    <n v="41.866527632950998"/>
    <x v="3"/>
    <x v="0"/>
    <s v="CLEAN"/>
  </r>
  <r>
    <x v="306"/>
    <d v="2024-06-21T00:00:00"/>
    <d v="2024-06-28T00:00:00"/>
    <n v="7"/>
    <s v="OK"/>
    <s v="CUST-2394"/>
    <s v="Aarav Sharma"/>
    <x v="3"/>
    <x v="0"/>
    <s v="Rajasthan"/>
    <s v="Jaipur"/>
    <x v="1"/>
    <x v="3"/>
    <s v="Classic Furnishings 582"/>
    <x v="2"/>
    <n v="9"/>
    <n v="2797.96"/>
    <n v="0"/>
    <s v="OK"/>
    <n v="25181.64"/>
    <n v="15337.9"/>
    <n v="9843.74"/>
    <x v="0"/>
    <x v="0"/>
    <n v="0"/>
    <n v="25181.64"/>
    <n v="9843.74"/>
    <n v="39.090940860086953"/>
    <x v="2"/>
    <x v="0"/>
    <s v="CLEAN"/>
  </r>
  <r>
    <x v="307"/>
    <d v="2024-08-24T00:00:00"/>
    <d v="2024-08-24T00:00:00"/>
    <n v="0"/>
    <s v="OK"/>
    <s v="CUST-5406"/>
    <s v="Ananya Rao"/>
    <x v="1"/>
    <x v="0"/>
    <s v="Rajasthan"/>
    <s v="Jaipur"/>
    <x v="2"/>
    <x v="4"/>
    <s v="Classic Accessories 981"/>
    <x v="2"/>
    <n v="4"/>
    <n v="2761.86"/>
    <n v="0.2"/>
    <s v="OK"/>
    <n v="8837.9500000000007"/>
    <n v="6157.27"/>
    <n v="2680.68"/>
    <x v="0"/>
    <x v="0"/>
    <n v="0.2"/>
    <n v="8837.9520000000011"/>
    <n v="2680.6820000000007"/>
    <n v="30.331484036120589"/>
    <x v="1"/>
    <x v="0"/>
    <s v="CLEAN"/>
  </r>
  <r>
    <x v="308"/>
    <d v="2024-08-11T00:00:00"/>
    <d v="2024-08-19T00:00:00"/>
    <n v="8"/>
    <s v="OK"/>
    <s v="CUST-1963"/>
    <s v="Mira Das"/>
    <x v="0"/>
    <x v="3"/>
    <s v="Maharashtra"/>
    <s v="Mumbai"/>
    <x v="1"/>
    <x v="1"/>
    <s v="Classic Tables 534"/>
    <x v="3"/>
    <n v="6"/>
    <n v="1515.79"/>
    <n v="0.2"/>
    <s v="OK"/>
    <n v="7275.79"/>
    <n v="6152.87"/>
    <n v="1122.92"/>
    <x v="0"/>
    <x v="0"/>
    <n v="0.2"/>
    <n v="7275.7920000000004"/>
    <n v="1122.9220000000005"/>
    <n v="15.433673749881805"/>
    <x v="1"/>
    <x v="0"/>
    <s v="CLEAN"/>
  </r>
  <r>
    <x v="309"/>
    <d v="2024-12-06T00:00:00"/>
    <d v="2024-09-12T00:00:00"/>
    <n v="-85"/>
    <s v="INVALID"/>
    <s v="CUST-9017"/>
    <s v="Aditi Sen"/>
    <x v="0"/>
    <x v="3"/>
    <s v="Maharashtra"/>
    <s v="Mumbai"/>
    <x v="1"/>
    <x v="10"/>
    <s v="Pro Chairs 383"/>
    <x v="0"/>
    <n v="9"/>
    <n v="290.75"/>
    <n v="0.1"/>
    <s v="OK"/>
    <n v="2355.08"/>
    <n v="1350.03"/>
    <n v="1005.05"/>
    <x v="0"/>
    <x v="0"/>
    <n v="0.1"/>
    <n v="2355.0750000000003"/>
    <n v="1005.0450000000003"/>
    <n v="42.675710964618965"/>
    <x v="5"/>
    <x v="0"/>
    <s v="INVALID"/>
  </r>
  <r>
    <x v="310"/>
    <d v="2024-02-10T00:00:00"/>
    <d v="2024-02-10T00:00:00"/>
    <n v="0"/>
    <s v="OK"/>
    <s v="CUST-7967"/>
    <s v="Isha Nair"/>
    <x v="3"/>
    <x v="3"/>
    <s v="Maharashtra"/>
    <s v="Mumbai"/>
    <x v="1"/>
    <x v="10"/>
    <s v="Max Chairs 845"/>
    <x v="1"/>
    <n v="6"/>
    <n v="601.52"/>
    <n v="0"/>
    <s v="OK"/>
    <n v="3609.12"/>
    <n v="2645.5"/>
    <n v="963.62"/>
    <x v="0"/>
    <x v="0"/>
    <n v="0"/>
    <n v="3609.12"/>
    <n v="963.61999999999989"/>
    <n v="26.699583277918158"/>
    <x v="7"/>
    <x v="0"/>
    <s v="CLEAN"/>
  </r>
  <r>
    <x v="311"/>
    <d v="2024-12-03T00:00:00"/>
    <d v="2024-12-10T00:00:00"/>
    <n v="7"/>
    <s v="OK"/>
    <s v="CUST-5846"/>
    <s v="Neha Gupta"/>
    <x v="2"/>
    <x v="0"/>
    <s v="Rajasthan"/>
    <s v="Jaipur"/>
    <x v="2"/>
    <x v="8"/>
    <s v="Basic Phones 859"/>
    <x v="3"/>
    <n v="5"/>
    <n v="2393.86"/>
    <n v="0.05"/>
    <s v="OK"/>
    <n v="11370.84"/>
    <n v="7469.58"/>
    <n v="3901.26"/>
    <x v="0"/>
    <x v="0"/>
    <n v="0.05"/>
    <n v="11370.835000000001"/>
    <n v="3901.255000000001"/>
    <n v="34.309309738466879"/>
    <x v="5"/>
    <x v="0"/>
    <s v="CLEAN"/>
  </r>
  <r>
    <x v="312"/>
    <d v="2024-04-02T00:00:00"/>
    <d v="2024-04-02T00:00:00"/>
    <n v="0"/>
    <s v="OK"/>
    <s v="CUST-7932"/>
    <s v="Sneha Kapoor"/>
    <x v="1"/>
    <x v="3"/>
    <s v="Maharashtra"/>
    <s v="Mumbai"/>
    <x v="1"/>
    <x v="10"/>
    <s v="Eco Chairs 883"/>
    <x v="2"/>
    <n v="4"/>
    <n v="2583"/>
    <n v="0.1"/>
    <s v="OK"/>
    <n v="9298.7999999999993"/>
    <n v="6548.5"/>
    <n v="2750.3"/>
    <x v="0"/>
    <x v="0"/>
    <n v="0.1"/>
    <n v="9298.8000000000011"/>
    <n v="2750.3000000000011"/>
    <n v="29.576934658235484"/>
    <x v="9"/>
    <x v="0"/>
    <s v="CLEAN"/>
  </r>
  <r>
    <x v="313"/>
    <d v="2024-10-15T00:00:00"/>
    <d v="2024-10-22T00:00:00"/>
    <n v="7"/>
    <s v="OK"/>
    <s v="CUST-6368"/>
    <s v="Karan Malhotra"/>
    <x v="2"/>
    <x v="1"/>
    <s v="Odisha"/>
    <s v="Bhubaneswar"/>
    <x v="0"/>
    <x v="0"/>
    <s v="Prime Paper 768"/>
    <x v="3"/>
    <n v="4"/>
    <n v="2260.9499999999998"/>
    <n v="0"/>
    <s v="OK"/>
    <n v="9043.7999999999993"/>
    <n v="5913.38"/>
    <n v="3130.42"/>
    <x v="0"/>
    <x v="0"/>
    <n v="0"/>
    <n v="9043.7999999999993"/>
    <n v="3130.4199999999992"/>
    <n v="34.6139896945974"/>
    <x v="8"/>
    <x v="0"/>
    <s v="CLEAN"/>
  </r>
  <r>
    <x v="314"/>
    <d v="2024-10-24T00:00:00"/>
    <d v="2024-10-28T00:00:00"/>
    <n v="4"/>
    <s v="OK"/>
    <s v="CUST-1493"/>
    <s v="Mira Das"/>
    <x v="1"/>
    <x v="1"/>
    <s v="Assam"/>
    <s v="Guwahati"/>
    <x v="2"/>
    <x v="6"/>
    <s v="Max Copiers 866"/>
    <x v="3"/>
    <n v="3"/>
    <n v="723.59"/>
    <n v="0.2"/>
    <s v="OK"/>
    <n v="1736.62"/>
    <n v="1059.52"/>
    <n v="677.1"/>
    <x v="0"/>
    <x v="0"/>
    <n v="0.2"/>
    <n v="1736.616"/>
    <n v="677.096"/>
    <n v="38.989390861307278"/>
    <x v="8"/>
    <x v="0"/>
    <s v="CLEAN"/>
  </r>
  <r>
    <x v="315"/>
    <d v="2024-05-01T00:00:00"/>
    <d v="2024-05-07T00:00:00"/>
    <n v="6"/>
    <s v="OK"/>
    <s v="CUST-8416"/>
    <s v="Isha Nair"/>
    <x v="3"/>
    <x v="1"/>
    <s v="Odisha"/>
    <s v="Bhubaneswar"/>
    <x v="0"/>
    <x v="0"/>
    <s v="Classic Paper 388"/>
    <x v="1"/>
    <n v="8"/>
    <n v="1473.83"/>
    <n v="0.15"/>
    <s v="OK"/>
    <n v="10022.040000000001"/>
    <n v="5576.98"/>
    <n v="4445.0600000000004"/>
    <x v="0"/>
    <x v="0"/>
    <n v="0.15"/>
    <n v="10022.044"/>
    <n v="4445.0640000000003"/>
    <n v="44.352868536597931"/>
    <x v="4"/>
    <x v="0"/>
    <s v="CLEAN"/>
  </r>
  <r>
    <x v="316"/>
    <d v="2024-05-30T00:00:00"/>
    <d v="2024-05-30T00:00:00"/>
    <n v="0"/>
    <s v="OK"/>
    <s v="CUST-3103"/>
    <s v="Diya Patel"/>
    <x v="3"/>
    <x v="0"/>
    <s v="Haryana"/>
    <s v="Gurugram"/>
    <x v="2"/>
    <x v="8"/>
    <s v="Pro Phones 765"/>
    <x v="0"/>
    <n v="1"/>
    <n v="3848.04"/>
    <n v="0.25"/>
    <s v="OK"/>
    <n v="2886.03"/>
    <n v="2064.83"/>
    <n v="821.2"/>
    <x v="0"/>
    <x v="0"/>
    <n v="0.25"/>
    <n v="2886.0299999999997"/>
    <n v="821.19999999999982"/>
    <n v="28.454312671732445"/>
    <x v="4"/>
    <x v="0"/>
    <s v="CLEAN"/>
  </r>
  <r>
    <x v="317"/>
    <d v="2024-03-21T00:00:00"/>
    <d v="2024-03-25T00:00:00"/>
    <n v="4"/>
    <s v="OK"/>
    <s v="CUST-4457"/>
    <s v="Aditi Sen"/>
    <x v="3"/>
    <x v="1"/>
    <s v="Assam"/>
    <s v="Guwahati"/>
    <x v="2"/>
    <x v="12"/>
    <s v="Classic Machines 543"/>
    <x v="3"/>
    <n v="1"/>
    <n v="1716.7"/>
    <n v="0.15"/>
    <s v="OK"/>
    <n v="1459.19"/>
    <n v="1055.79"/>
    <n v="403.4"/>
    <x v="0"/>
    <x v="0"/>
    <n v="0.15"/>
    <n v="1459.1949999999999"/>
    <n v="403.40499999999997"/>
    <n v="27.645722470266136"/>
    <x v="11"/>
    <x v="0"/>
    <s v="CLEAN"/>
  </r>
  <r>
    <x v="318"/>
    <d v="2024-03-24T00:00:00"/>
    <d v="2024-03-27T00:00:00"/>
    <n v="3"/>
    <s v="OK"/>
    <s v="CUST-6345"/>
    <s v="Aditi Sen"/>
    <x v="2"/>
    <x v="3"/>
    <s v="Gujarat"/>
    <s v="Ahmedabad"/>
    <x v="0"/>
    <x v="7"/>
    <s v="Basic Storage 273"/>
    <x v="2"/>
    <n v="5"/>
    <n v="2465.2199999999998"/>
    <n v="0.05"/>
    <s v="OK"/>
    <n v="11709.79"/>
    <n v="8372.2900000000009"/>
    <n v="3337.5"/>
    <x v="0"/>
    <x v="0"/>
    <n v="0.05"/>
    <n v="11709.794999999998"/>
    <n v="3337.5049999999974"/>
    <n v="28.501822619439523"/>
    <x v="11"/>
    <x v="0"/>
    <s v="CLEAN"/>
  </r>
  <r>
    <x v="319"/>
    <d v="2024-10-27T00:00:00"/>
    <d v="2024-11-01T00:00:00"/>
    <n v="5"/>
    <s v="OK"/>
    <s v="CUST-1557"/>
    <s v="Rohan Mehta"/>
    <x v="0"/>
    <x v="0"/>
    <s v="Rajasthan"/>
    <s v="Jaipur"/>
    <x v="2"/>
    <x v="4"/>
    <s v="Smart Accessories 362"/>
    <x v="1"/>
    <n v="7"/>
    <n v="2177.1"/>
    <n v="0.2"/>
    <s v="OK"/>
    <n v="12191.76"/>
    <n v="10457.49"/>
    <n v="1734.27"/>
    <x v="0"/>
    <x v="1"/>
    <n v="0.2"/>
    <n v="12191.76"/>
    <n v="1734.2700000000004"/>
    <n v="14.224935530226976"/>
    <x v="8"/>
    <x v="0"/>
    <s v="CLEAN"/>
  </r>
  <r>
    <x v="320"/>
    <d v="2024-05-02T00:00:00"/>
    <d v="2024-05-10T00:00:00"/>
    <n v="8"/>
    <s v="OK"/>
    <s v="CUST-6076"/>
    <s v="Aarav Sharma"/>
    <x v="1"/>
    <x v="2"/>
    <s v="Karnataka"/>
    <s v="Bengaluru"/>
    <x v="1"/>
    <x v="10"/>
    <s v="Prime Chairs 721"/>
    <x v="3"/>
    <n v="1"/>
    <n v="4166.91"/>
    <n v="0"/>
    <s v="OK"/>
    <n v="4166.91"/>
    <n v="3412.63"/>
    <n v="754.28"/>
    <x v="0"/>
    <x v="0"/>
    <n v="0"/>
    <n v="4166.91"/>
    <n v="754.27999999999975"/>
    <n v="18.101662862888801"/>
    <x v="4"/>
    <x v="0"/>
    <s v="CLEAN"/>
  </r>
  <r>
    <x v="321"/>
    <d v="2024-07-19T00:00:00"/>
    <d v="2024-07-26T00:00:00"/>
    <n v="7"/>
    <s v="OK"/>
    <s v="CUST-2098"/>
    <s v="Arjun Bose"/>
    <x v="3"/>
    <x v="2"/>
    <s v="Karnataka"/>
    <s v="Bengaluru"/>
    <x v="1"/>
    <x v="1"/>
    <s v="Prime Tables 797"/>
    <x v="0"/>
    <n v="5"/>
    <n v="3986.01"/>
    <n v="0.25"/>
    <s v="OK"/>
    <n v="14947.54"/>
    <n v="9438.4599999999991"/>
    <n v="5509.08"/>
    <x v="0"/>
    <x v="0"/>
    <n v="0.25"/>
    <n v="14947.537500000002"/>
    <n v="5509.0775000000031"/>
    <n v="36.856087499362367"/>
    <x v="0"/>
    <x v="0"/>
    <s v="CLEAN"/>
  </r>
  <r>
    <x v="322"/>
    <d v="2024-08-28T00:00:00"/>
    <d v="2024-09-02T00:00:00"/>
    <n v="5"/>
    <s v="OK"/>
    <s v="CUST-7193"/>
    <s v="Aditi Sen"/>
    <x v="3"/>
    <x v="1"/>
    <s v="Assam"/>
    <s v="Guwahati"/>
    <x v="0"/>
    <x v="2"/>
    <s v="Max Art 926"/>
    <x v="0"/>
    <n v="4"/>
    <n v="3365.53"/>
    <n v="0"/>
    <s v="OK"/>
    <n v="13462.12"/>
    <n v="7600.63"/>
    <n v="5861.49"/>
    <x v="1"/>
    <x v="1"/>
    <n v="0"/>
    <n v="13462.12"/>
    <n v="5861.4900000000007"/>
    <n v="43.540616188237813"/>
    <x v="1"/>
    <x v="0"/>
    <s v="CLEAN"/>
  </r>
  <r>
    <x v="323"/>
    <d v="2024-05-03T00:00:00"/>
    <d v="2024-05-06T00:00:00"/>
    <n v="3"/>
    <s v="OK"/>
    <s v="CUST-2043"/>
    <s v="Ananya Rao"/>
    <x v="3"/>
    <x v="0"/>
    <s v="Uttar Pradesh"/>
    <s v="Noida"/>
    <x v="0"/>
    <x v="11"/>
    <s v="Classic Binders 234"/>
    <x v="3"/>
    <n v="1"/>
    <n v="1244.58"/>
    <n v="0.25"/>
    <s v="OK"/>
    <n v="933.43"/>
    <n v="583.09"/>
    <n v="350.34"/>
    <x v="0"/>
    <x v="0"/>
    <n v="0.25"/>
    <n v="933.43499999999995"/>
    <n v="350.34499999999991"/>
    <n v="37.532875883162717"/>
    <x v="4"/>
    <x v="0"/>
    <s v="CLEAN"/>
  </r>
  <r>
    <x v="324"/>
    <d v="2024-05-11T00:00:00"/>
    <d v="2024-05-13T00:00:00"/>
    <n v="2"/>
    <s v="OK"/>
    <s v="CUST-1293"/>
    <s v="Priya Menon"/>
    <x v="3"/>
    <x v="3"/>
    <s v="Goa"/>
    <s v="Panaji"/>
    <x v="1"/>
    <x v="9"/>
    <s v="Classic Bookcases 922"/>
    <x v="1"/>
    <n v="3"/>
    <n v="3612.75"/>
    <n v="0.25"/>
    <s v="OK"/>
    <n v="8128.69"/>
    <n v="5071.66"/>
    <n v="3057.03"/>
    <x v="0"/>
    <x v="0"/>
    <n v="0.25"/>
    <n v="8128.6875"/>
    <n v="3057.0275000000001"/>
    <n v="37.607885651896453"/>
    <x v="4"/>
    <x v="0"/>
    <s v="CLEAN"/>
  </r>
  <r>
    <x v="325"/>
    <d v="2024-02-15T00:00:00"/>
    <d v="2024-02-17T00:00:00"/>
    <n v="2"/>
    <s v="OK"/>
    <s v="CUST-8384"/>
    <s v="Neha Gupta"/>
    <x v="0"/>
    <x v="0"/>
    <s v="Uttar Pradesh"/>
    <s v="Noida"/>
    <x v="2"/>
    <x v="6"/>
    <s v="Eco Copiers 396"/>
    <x v="2"/>
    <n v="4"/>
    <n v="863"/>
    <n v="0"/>
    <s v="OK"/>
    <n v="3106.8"/>
    <n v="2376.62"/>
    <n v="730.18"/>
    <x v="0"/>
    <x v="0"/>
    <n v="0"/>
    <n v="3452"/>
    <n v="1075.3800000000001"/>
    <n v="31.152375434530711"/>
    <x v="7"/>
    <x v="0"/>
    <s v="CLEAN"/>
  </r>
  <r>
    <x v="326"/>
    <d v="2024-07-12T00:00:00"/>
    <d v="2024-07-14T00:00:00"/>
    <n v="2"/>
    <s v="OK"/>
    <s v="CUST-7861"/>
    <s v="Ananya Rao"/>
    <x v="0"/>
    <x v="0"/>
    <s v="Haryana"/>
    <s v="Gurugram"/>
    <x v="2"/>
    <x v="12"/>
    <s v="Basic Machines 401"/>
    <x v="0"/>
    <n v="4"/>
    <n v="2131.41"/>
    <n v="0"/>
    <s v="OK"/>
    <n v="6394.23"/>
    <n v="3520.69"/>
    <n v="2873.54"/>
    <x v="0"/>
    <x v="0"/>
    <n v="0"/>
    <n v="8525.64"/>
    <n v="5004.9499999999989"/>
    <n v="58.70468375394691"/>
    <x v="0"/>
    <x v="0"/>
    <s v="CLEAN"/>
  </r>
  <r>
    <x v="327"/>
    <d v="2024-04-14T00:00:00"/>
    <d v="2024-04-22T00:00:00"/>
    <n v="8"/>
    <s v="OK"/>
    <s v="CUST-4461"/>
    <s v="Arjun Bose"/>
    <x v="0"/>
    <x v="0"/>
    <s v="Haryana"/>
    <s v="Gurugram"/>
    <x v="2"/>
    <x v="4"/>
    <s v="Elite Accessories 312"/>
    <x v="3"/>
    <n v="8"/>
    <n v="3956.12"/>
    <n v="0.25"/>
    <s v="OK"/>
    <n v="23736.720000000001"/>
    <n v="13890.9"/>
    <n v="9845.82"/>
    <x v="0"/>
    <x v="0"/>
    <n v="0.25"/>
    <n v="23736.720000000001"/>
    <n v="9845.8200000000015"/>
    <n v="41.479277676106896"/>
    <x v="9"/>
    <x v="0"/>
    <s v="CLEAN"/>
  </r>
  <r>
    <x v="328"/>
    <d v="2024-07-24T00:00:00"/>
    <d v="2024-07-24T00:00:00"/>
    <n v="0"/>
    <s v="OK"/>
    <s v="CUST-4714"/>
    <s v="Karan Malhotra"/>
    <x v="1"/>
    <x v="0"/>
    <s v="Haryana"/>
    <s v="Gurugram"/>
    <x v="2"/>
    <x v="6"/>
    <s v="Pro Copiers 298"/>
    <x v="0"/>
    <n v="4"/>
    <n v="1676.88"/>
    <n v="0"/>
    <s v="OK"/>
    <n v="6707.52"/>
    <n v="5672.57"/>
    <n v="1034.95"/>
    <x v="0"/>
    <x v="0"/>
    <n v="0"/>
    <n v="6707.52"/>
    <n v="1034.9500000000007"/>
    <n v="15.429696817899918"/>
    <x v="0"/>
    <x v="0"/>
    <s v="CLEAN"/>
  </r>
  <r>
    <x v="329"/>
    <d v="2024-01-15T00:00:00"/>
    <d v="2024-01-20T00:00:00"/>
    <n v="5"/>
    <s v="OK"/>
    <s v="CUST-7547"/>
    <s v="Priya Menon"/>
    <x v="1"/>
    <x v="2"/>
    <s v="Andhra Pradesh"/>
    <s v="Vijayawada"/>
    <x v="1"/>
    <x v="10"/>
    <s v="Prime Chairs 331"/>
    <x v="3"/>
    <n v="4"/>
    <n v="3153.54"/>
    <n v="0.05"/>
    <s v="OK"/>
    <n v="11983.45"/>
    <n v="8572.9"/>
    <n v="3410.55"/>
    <x v="0"/>
    <x v="0"/>
    <n v="0.05"/>
    <n v="11983.451999999999"/>
    <n v="3410.5519999999997"/>
    <n v="28.46051371507976"/>
    <x v="6"/>
    <x v="0"/>
    <s v="CLEAN"/>
  </r>
  <r>
    <x v="330"/>
    <d v="2024-08-04T00:00:00"/>
    <d v="2024-08-10T00:00:00"/>
    <n v="6"/>
    <s v="OK"/>
    <s v="CUST-3288"/>
    <s v="Diya Patel"/>
    <x v="1"/>
    <x v="3"/>
    <s v="Rajasthan"/>
    <s v="Udaipur"/>
    <x v="1"/>
    <x v="10"/>
    <s v="Classic Chairs 798"/>
    <x v="1"/>
    <n v="4"/>
    <n v="426.43"/>
    <n v="0.2"/>
    <s v="OK"/>
    <n v="1364.58"/>
    <n v="978.16"/>
    <n v="386.42"/>
    <x v="0"/>
    <x v="0"/>
    <n v="0.2"/>
    <n v="1364.576"/>
    <n v="386.41600000000005"/>
    <n v="28.317660577351507"/>
    <x v="1"/>
    <x v="0"/>
    <s v="CLEAN"/>
  </r>
  <r>
    <x v="331"/>
    <d v="2024-02-02T00:00:00"/>
    <d v="2024-02-10T00:00:00"/>
    <n v="8"/>
    <s v="OK"/>
    <s v="CUST-8597"/>
    <s v="Karan Malhotra"/>
    <x v="3"/>
    <x v="3"/>
    <s v="Rajasthan"/>
    <s v="Udaipur"/>
    <x v="0"/>
    <x v="5"/>
    <s v="Classic Labels 204"/>
    <x v="2"/>
    <n v="3"/>
    <n v="383.4"/>
    <n v="0.25"/>
    <s v="OK"/>
    <n v="862.65"/>
    <n v="603.73"/>
    <n v="258.92"/>
    <x v="1"/>
    <x v="1"/>
    <n v="0.25"/>
    <n v="862.64999999999986"/>
    <n v="258.91999999999985"/>
    <n v="30.014490233582553"/>
    <x v="7"/>
    <x v="0"/>
    <s v="CLEAN"/>
  </r>
  <r>
    <x v="332"/>
    <d v="2024-06-07T00:00:00"/>
    <d v="2024-06-07T00:00:00"/>
    <n v="0"/>
    <s v="OK"/>
    <s v="CUST-7746"/>
    <s v="Aarav Sharma"/>
    <x v="1"/>
    <x v="1"/>
    <s v="Bihar"/>
    <s v="Patna"/>
    <x v="0"/>
    <x v="2"/>
    <s v="Basic Art 709"/>
    <x v="0"/>
    <n v="1"/>
    <n v="2581.9299999999998"/>
    <n v="0.05"/>
    <s v="OK"/>
    <n v="2452.83"/>
    <n v="1906.7"/>
    <n v="546.13"/>
    <x v="0"/>
    <x v="0"/>
    <n v="0.05"/>
    <n v="2452.8334999999997"/>
    <n v="546.13349999999969"/>
    <n v="22.265412634000626"/>
    <x v="2"/>
    <x v="0"/>
    <s v="CLEAN"/>
  </r>
  <r>
    <x v="333"/>
    <d v="2024-09-12T00:00:00"/>
    <d v="2024-09-18T00:00:00"/>
    <n v="6"/>
    <s v="OK"/>
    <s v="CUST-7548"/>
    <s v="Ananya Rao"/>
    <x v="3"/>
    <x v="1"/>
    <s v="Bihar"/>
    <s v="Patna"/>
    <x v="0"/>
    <x v="0"/>
    <s v="Prime Paper 878"/>
    <x v="0"/>
    <n v="2"/>
    <n v="3718.77"/>
    <n v="0.05"/>
    <s v="OK"/>
    <n v="7065.66"/>
    <n v="4915.2700000000004"/>
    <n v="2150.39"/>
    <x v="0"/>
    <x v="0"/>
    <n v="0.05"/>
    <n v="7065.6629999999996"/>
    <n v="2150.3929999999991"/>
    <n v="30.434412170521004"/>
    <x v="10"/>
    <x v="0"/>
    <s v="CLEAN"/>
  </r>
  <r>
    <x v="334"/>
    <d v="2024-05-31T00:00:00"/>
    <d v="2024-06-02T00:00:00"/>
    <n v="2"/>
    <s v="OK"/>
    <s v="CUST-1951"/>
    <s v="Rahul Verma"/>
    <x v="2"/>
    <x v="2"/>
    <s v="Andhra Pradesh"/>
    <s v="Vijayawada"/>
    <x v="0"/>
    <x v="2"/>
    <s v="Classic Art 781"/>
    <x v="3"/>
    <n v="8"/>
    <n v="667.59"/>
    <n v="0.2"/>
    <s v="OK"/>
    <n v="4272.58"/>
    <n v="3328.92"/>
    <n v="943.66"/>
    <x v="0"/>
    <x v="0"/>
    <n v="0.2"/>
    <n v="4272.576"/>
    <n v="943.65599999999995"/>
    <n v="22.086347908147214"/>
    <x v="4"/>
    <x v="0"/>
    <s v="CLEAN"/>
  </r>
  <r>
    <x v="335"/>
    <d v="2024-10-02T00:00:00"/>
    <d v="2024-10-06T00:00:00"/>
    <n v="4"/>
    <s v="OK"/>
    <s v="CUST-6300"/>
    <s v="Rahul Verma"/>
    <x v="3"/>
    <x v="2"/>
    <s v="Karnataka"/>
    <s v="Bengaluru"/>
    <x v="1"/>
    <x v="9"/>
    <s v="Eco Bookcases 144"/>
    <x v="1"/>
    <n v="8"/>
    <n v="1558.77"/>
    <n v="0.25"/>
    <s v="OK"/>
    <n v="9352.6200000000008"/>
    <n v="5269.41"/>
    <n v="4083.21"/>
    <x v="0"/>
    <x v="0"/>
    <n v="0.25"/>
    <n v="9352.619999999999"/>
    <n v="4083.2099999999991"/>
    <n v="43.658461479243243"/>
    <x v="8"/>
    <x v="0"/>
    <s v="CLEAN"/>
  </r>
  <r>
    <x v="336"/>
    <d v="2024-05-28T00:00:00"/>
    <d v="2024-06-03T00:00:00"/>
    <n v="6"/>
    <s v="OK"/>
    <s v="CUST-5421"/>
    <s v="Vikram Iyer"/>
    <x v="2"/>
    <x v="0"/>
    <s v="Rajasthan"/>
    <s v="Jaipur"/>
    <x v="2"/>
    <x v="6"/>
    <s v="Basic Copiers 238"/>
    <x v="0"/>
    <n v="5"/>
    <n v="4302.32"/>
    <n v="0"/>
    <s v="OK"/>
    <n v="21511.599999999999"/>
    <n v="15408.47"/>
    <n v="6103.13"/>
    <x v="0"/>
    <x v="0"/>
    <n v="0"/>
    <n v="21511.599999999999"/>
    <n v="6103.1299999999992"/>
    <n v="28.371343833094702"/>
    <x v="4"/>
    <x v="0"/>
    <s v="CLEAN"/>
  </r>
  <r>
    <x v="337"/>
    <d v="2024-03-23T00:00:00"/>
    <d v="2024-03-30T00:00:00"/>
    <n v="7"/>
    <s v="OK"/>
    <s v="CUST-3126"/>
    <s v="Rohan Mehta"/>
    <x v="1"/>
    <x v="2"/>
    <s v="Andhra Pradesh"/>
    <s v="Vijayawada"/>
    <x v="2"/>
    <x v="12"/>
    <s v="Elite Machines 459"/>
    <x v="2"/>
    <n v="6"/>
    <n v="1894.44"/>
    <n v="0.15"/>
    <s v="OK"/>
    <n v="9661.64"/>
    <n v="6303.77"/>
    <n v="3357.87"/>
    <x v="0"/>
    <x v="0"/>
    <n v="0.15"/>
    <n v="9661.6439999999984"/>
    <n v="3357.873999999998"/>
    <n v="34.754685641491221"/>
    <x v="11"/>
    <x v="0"/>
    <s v="CLEAN"/>
  </r>
  <r>
    <x v="338"/>
    <d v="2024-10-10T00:00:00"/>
    <d v="2024-10-17T00:00:00"/>
    <n v="7"/>
    <s v="OK"/>
    <s v="CUST-8527"/>
    <s v="Isha Nair"/>
    <x v="3"/>
    <x v="0"/>
    <s v="Haryana"/>
    <s v="Gurugram"/>
    <x v="2"/>
    <x v="4"/>
    <s v="Smart Accessories 487"/>
    <x v="4"/>
    <n v="5"/>
    <n v="967.41"/>
    <n v="0.05"/>
    <s v="OK"/>
    <n v="4595.2"/>
    <n v="3887.41"/>
    <n v="707.79"/>
    <x v="0"/>
    <x v="1"/>
    <n v="0.05"/>
    <n v="4595.1975000000002"/>
    <n v="707.78750000000036"/>
    <n v="15.402765604742786"/>
    <x v="8"/>
    <x v="0"/>
    <s v="CLEAN"/>
  </r>
  <r>
    <x v="339"/>
    <d v="2024-03-01T00:00:00"/>
    <d v="2024-03-07T00:00:00"/>
    <n v="6"/>
    <s v="OK"/>
    <s v="CUST-5015"/>
    <s v="Vikram Iyer"/>
    <x v="1"/>
    <x v="3"/>
    <s v="Maharashtra"/>
    <s v="Mumbai"/>
    <x v="0"/>
    <x v="7"/>
    <s v="Elite Storage 825"/>
    <x v="0"/>
    <n v="6"/>
    <n v="4163.72"/>
    <n v="0.15"/>
    <s v="OK"/>
    <n v="21234.97"/>
    <n v="16736.09"/>
    <n v="4498.88"/>
    <x v="0"/>
    <x v="0"/>
    <n v="0.15"/>
    <n v="21234.971999999998"/>
    <n v="4498.8819999999978"/>
    <n v="21.186192286950028"/>
    <x v="11"/>
    <x v="0"/>
    <s v="CLEAN"/>
  </r>
  <r>
    <x v="340"/>
    <d v="2024-12-09T00:00:00"/>
    <d v="2024-12-13T00:00:00"/>
    <n v="4"/>
    <s v="OK"/>
    <s v="CUST-7180"/>
    <s v="Rohan Mehta"/>
    <x v="0"/>
    <x v="4"/>
    <s v="Jharkhand"/>
    <s v="Ranchi"/>
    <x v="0"/>
    <x v="5"/>
    <s v="Basic Labels 359"/>
    <x v="2"/>
    <n v="1"/>
    <n v="4306.6499999999996"/>
    <n v="0"/>
    <s v="OK"/>
    <n v="4306.6499999999996"/>
    <n v="2568.8200000000002"/>
    <n v="1737.83"/>
    <x v="0"/>
    <x v="0"/>
    <n v="0"/>
    <n v="4306.6499999999996"/>
    <n v="1737.8299999999995"/>
    <n v="40.352245945224233"/>
    <x v="5"/>
    <x v="0"/>
    <s v="CLEAN"/>
  </r>
  <r>
    <x v="341"/>
    <d v="2024-04-03T00:00:00"/>
    <d v="2024-08-04T00:00:00"/>
    <n v="123"/>
    <s v="OK"/>
    <s v="CUST-4653"/>
    <s v="Kabir Singh"/>
    <x v="3"/>
    <x v="3"/>
    <s v="Gujarat"/>
    <s v="Ahmedabad"/>
    <x v="2"/>
    <x v="6"/>
    <s v="Pro Copiers 867"/>
    <x v="2"/>
    <n v="1"/>
    <n v="3151.85"/>
    <n v="0.25"/>
    <s v="OK"/>
    <n v="2363.89"/>
    <n v="1471.51"/>
    <n v="892.38"/>
    <x v="0"/>
    <x v="0"/>
    <n v="0.25"/>
    <n v="2363.8874999999998"/>
    <n v="892.37749999999983"/>
    <n v="37.750421710001"/>
    <x v="9"/>
    <x v="0"/>
    <s v="CLEAN"/>
  </r>
  <r>
    <x v="342"/>
    <d v="2024-12-12T00:00:00"/>
    <d v="2024-12-19T00:00:00"/>
    <n v="7"/>
    <s v="OK"/>
    <s v="CUST-3303"/>
    <s v="Rohan Mehta"/>
    <x v="3"/>
    <x v="0"/>
    <s v="Haryana"/>
    <s v="Gurugram"/>
    <x v="2"/>
    <x v="4"/>
    <s v="Eco Accessories 122"/>
    <x v="2"/>
    <n v="2"/>
    <n v="1610.75"/>
    <n v="0.2"/>
    <s v="OK"/>
    <n v="2577.1999999999998"/>
    <n v="1475.87"/>
    <n v="1101.33"/>
    <x v="0"/>
    <x v="0"/>
    <n v="0.2"/>
    <n v="2577.2000000000003"/>
    <n v="1101.3300000000004"/>
    <n v="42.733586838429318"/>
    <x v="5"/>
    <x v="0"/>
    <s v="CLEAN"/>
  </r>
  <r>
    <x v="343"/>
    <d v="2024-06-15T00:00:00"/>
    <d v="2024-06-20T00:00:00"/>
    <n v="5"/>
    <s v="OK"/>
    <s v="CUST-5754"/>
    <s v="Sneha Kapoor"/>
    <x v="1"/>
    <x v="1"/>
    <s v="Jharkhand"/>
    <s v="Ranchi"/>
    <x v="1"/>
    <x v="1"/>
    <s v="Basic Tables 127"/>
    <x v="2"/>
    <n v="8"/>
    <n v="2228.4699999999998"/>
    <n v="0"/>
    <s v="OK"/>
    <n v="17827.759999999998"/>
    <n v="14122.13"/>
    <n v="3705.63"/>
    <x v="0"/>
    <x v="0"/>
    <n v="0"/>
    <n v="17827.759999999998"/>
    <n v="3705.6299999999992"/>
    <n v="20.785729671029895"/>
    <x v="2"/>
    <x v="0"/>
    <s v="CLEAN"/>
  </r>
  <r>
    <x v="344"/>
    <d v="2024-11-27T00:00:00"/>
    <d v="2024-11-30T00:00:00"/>
    <n v="3"/>
    <s v="OK"/>
    <s v="CUST-3072"/>
    <s v="Rahul Verma"/>
    <x v="1"/>
    <x v="1"/>
    <s v="Jharkhand"/>
    <s v="Ranchi"/>
    <x v="1"/>
    <x v="3"/>
    <s v="Basic Furnishings 306"/>
    <x v="2"/>
    <n v="1"/>
    <n v="874.3"/>
    <n v="0.1"/>
    <s v="OK"/>
    <n v="786.87"/>
    <n v="498.5"/>
    <n v="288.37"/>
    <x v="0"/>
    <x v="0"/>
    <n v="0.1"/>
    <n v="786.87"/>
    <n v="288.37"/>
    <n v="36.647730883119195"/>
    <x v="3"/>
    <x v="0"/>
    <s v="CLEAN"/>
  </r>
  <r>
    <x v="345"/>
    <d v="2024-09-29T00:00:00"/>
    <d v="2024-05-10T00:00:00"/>
    <n v="-142"/>
    <s v="INVALID"/>
    <s v="CUST-3943"/>
    <s v="Priya Menon"/>
    <x v="1"/>
    <x v="3"/>
    <s v="Maharashtra"/>
    <s v="Mumbai"/>
    <x v="0"/>
    <x v="5"/>
    <s v="Pro Labels 611"/>
    <x v="2"/>
    <n v="8"/>
    <n v="1981.04"/>
    <n v="-0.14000000000000001"/>
    <s v="INVALID"/>
    <n v="12678.66"/>
    <n v="10088.65"/>
    <n v="2590.0100000000002"/>
    <x v="0"/>
    <x v="0"/>
    <n v="0"/>
    <n v="15848.32"/>
    <n v="5759.67"/>
    <n v="36.342464059281994"/>
    <x v="10"/>
    <x v="0"/>
    <s v="INVALID"/>
  </r>
  <r>
    <x v="346"/>
    <d v="2024-07-03T00:00:00"/>
    <d v="2024-06-07T00:00:00"/>
    <n v="-26"/>
    <s v="INVALID"/>
    <s v="CUST-4466"/>
    <s v="Aarav Sharma"/>
    <x v="2"/>
    <x v="2"/>
    <s v="Karnataka"/>
    <s v="Bengaluru"/>
    <x v="2"/>
    <x v="4"/>
    <s v="Classic Accessories 471"/>
    <x v="2"/>
    <n v="7"/>
    <n v="1942.49"/>
    <n v="0.2"/>
    <s v="OK"/>
    <n v="10877.94"/>
    <n v="9110.14"/>
    <n v="1767.8"/>
    <x v="0"/>
    <x v="0"/>
    <n v="0.2"/>
    <n v="10877.944000000001"/>
    <n v="1767.8040000000019"/>
    <n v="16.251269541376583"/>
    <x v="0"/>
    <x v="0"/>
    <s v="INVALID"/>
  </r>
  <r>
    <x v="347"/>
    <d v="2024-10-12T00:00:00"/>
    <d v="2024-10-08T00:00:00"/>
    <n v="-4"/>
    <s v="INVALID"/>
    <s v="CUST-3188"/>
    <s v="Mira Das"/>
    <x v="2"/>
    <x v="1"/>
    <s v="Assam"/>
    <s v="Guwahati"/>
    <x v="1"/>
    <x v="3"/>
    <s v="Smart Furnishings 175"/>
    <x v="0"/>
    <n v="4"/>
    <n v="3202.04"/>
    <n v="0.2"/>
    <s v="OK"/>
    <n v="10246.530000000001"/>
    <n v="8634.42"/>
    <n v="1612.11"/>
    <x v="1"/>
    <x v="1"/>
    <n v="0.2"/>
    <n v="10246.528"/>
    <n v="1612.1080000000002"/>
    <n v="15.733212264681267"/>
    <x v="8"/>
    <x v="0"/>
    <s v="INVALID"/>
  </r>
  <r>
    <x v="348"/>
    <d v="2024-02-26T00:00:00"/>
    <d v="2024-02-28T00:00:00"/>
    <n v="2"/>
    <s v="OK"/>
    <s v="CUST-9036"/>
    <s v="Aditi Sen"/>
    <x v="1"/>
    <x v="3"/>
    <s v="Goa"/>
    <s v="Panaji"/>
    <x v="1"/>
    <x v="3"/>
    <s v="Pro Furnishings 192"/>
    <x v="0"/>
    <n v="7"/>
    <n v="1035.1400000000001"/>
    <n v="0.1"/>
    <s v="OK"/>
    <n v="6521.38"/>
    <n v="4511.1000000000004"/>
    <n v="2010.28"/>
    <x v="0"/>
    <x v="0"/>
    <n v="0.1"/>
    <n v="6521.3820000000005"/>
    <n v="2010.2820000000002"/>
    <n v="30.826012032418891"/>
    <x v="7"/>
    <x v="0"/>
    <s v="CLEAN"/>
  </r>
  <r>
    <x v="349"/>
    <d v="2024-06-04T00:00:00"/>
    <d v="2024-06-04T00:00:00"/>
    <n v="0"/>
    <s v="OK"/>
    <s v="CUST-2689"/>
    <s v="Rahul Verma"/>
    <x v="3"/>
    <x v="1"/>
    <s v="West Bengal"/>
    <s v="Kolkata"/>
    <x v="1"/>
    <x v="9"/>
    <s v="Basic Bookcases 499"/>
    <x v="2"/>
    <n v="6"/>
    <n v="3949.4"/>
    <n v="0"/>
    <s v="OK"/>
    <n v="23696.400000000001"/>
    <n v="18109.77"/>
    <n v="5586.63"/>
    <x v="0"/>
    <x v="0"/>
    <n v="0"/>
    <n v="23696.400000000001"/>
    <n v="5586.630000000001"/>
    <n v="23.575859624246721"/>
    <x v="2"/>
    <x v="0"/>
    <s v="CLEAN"/>
  </r>
  <r>
    <x v="350"/>
    <d v="2024-10-18T00:00:00"/>
    <d v="2024-10-22T00:00:00"/>
    <n v="4"/>
    <s v="OK"/>
    <s v="CUST-2879"/>
    <s v="Aarav Sharma"/>
    <x v="3"/>
    <x v="2"/>
    <s v="Telangana"/>
    <s v="Hyderabad"/>
    <x v="0"/>
    <x v="2"/>
    <s v="Basic Art 143"/>
    <x v="2"/>
    <n v="6"/>
    <n v="674.61"/>
    <n v="0"/>
    <s v="OK"/>
    <n v="4047.66"/>
    <n v="3078.93"/>
    <n v="1279.79"/>
    <x v="0"/>
    <x v="0"/>
    <n v="0"/>
    <n v="4047.66"/>
    <n v="968.73"/>
    <n v="23.933087265234729"/>
    <x v="8"/>
    <x v="0"/>
    <s v="CLEAN"/>
  </r>
  <r>
    <x v="351"/>
    <d v="2024-12-15T00:00:00"/>
    <d v="2024-12-18T00:00:00"/>
    <n v="3"/>
    <s v="OK"/>
    <s v="CUST-9776"/>
    <s v="Isha Nair"/>
    <x v="1"/>
    <x v="0"/>
    <s v="Rajasthan"/>
    <s v="Jaipur"/>
    <x v="0"/>
    <x v="5"/>
    <s v="Smart Labels 814"/>
    <x v="0"/>
    <n v="2"/>
    <n v="537.11"/>
    <n v="0"/>
    <s v="OK"/>
    <n v="1074.22"/>
    <n v="850.86"/>
    <n v="223.36"/>
    <x v="0"/>
    <x v="0"/>
    <n v="0"/>
    <n v="1074.22"/>
    <n v="223.36"/>
    <n v="20.792761259332355"/>
    <x v="5"/>
    <x v="0"/>
    <s v="CLEAN"/>
  </r>
  <r>
    <x v="352"/>
    <d v="2024-09-20T00:00:00"/>
    <d v="2024-09-22T00:00:00"/>
    <n v="2"/>
    <s v="OK"/>
    <s v="CUST-8206"/>
    <s v="Rohan Mehta"/>
    <x v="3"/>
    <x v="1"/>
    <s v="Odisha"/>
    <s v="Bhubaneswar"/>
    <x v="2"/>
    <x v="8"/>
    <s v="Basic Phones 398"/>
    <x v="3"/>
    <n v="8"/>
    <n v="531.42999999999995"/>
    <n v="0.1"/>
    <s v="OK"/>
    <n v="3826.3"/>
    <n v="2194.12"/>
    <n v="1632.18"/>
    <x v="0"/>
    <x v="0"/>
    <n v="0.1"/>
    <n v="3826.2959999999998"/>
    <n v="1632.1759999999999"/>
    <n v="42.656814841298221"/>
    <x v="10"/>
    <x v="0"/>
    <s v="CLEAN"/>
  </r>
  <r>
    <x v="353"/>
    <d v="2024-03-31T00:00:00"/>
    <d v="2024-03-30T00:00:00"/>
    <n v="-1"/>
    <s v="INVALID"/>
    <s v="CUST-1798"/>
    <s v="Kabir Singh"/>
    <x v="0"/>
    <x v="0"/>
    <s v="Haryana"/>
    <s v="Gurugram"/>
    <x v="2"/>
    <x v="12"/>
    <s v="Smart Machines 581"/>
    <x v="2"/>
    <n v="4"/>
    <n v="2192.08"/>
    <n v="0.15"/>
    <s v="OK"/>
    <n v="7453.07"/>
    <n v="5133.78"/>
    <n v="2319.29"/>
    <x v="0"/>
    <x v="1"/>
    <n v="0.15"/>
    <n v="7453.0719999999992"/>
    <n v="2319.2919999999995"/>
    <n v="31.118604516365867"/>
    <x v="11"/>
    <x v="0"/>
    <s v="INVALID"/>
  </r>
  <r>
    <x v="354"/>
    <d v="2024-02-23T00:00:00"/>
    <d v="2024-02-27T00:00:00"/>
    <n v="4"/>
    <s v="OK"/>
    <s v="CUST-2367"/>
    <s v="Karan Malhotra"/>
    <x v="0"/>
    <x v="1"/>
    <s v="Odisha"/>
    <s v="Bhubaneswar"/>
    <x v="1"/>
    <x v="1"/>
    <s v="Eco Tables 792"/>
    <x v="2"/>
    <n v="9"/>
    <n v="3616.23"/>
    <n v="0.25"/>
    <s v="OK"/>
    <n v="24409.55"/>
    <n v="17157.580000000002"/>
    <n v="7251.97"/>
    <x v="1"/>
    <x v="1"/>
    <n v="0.25"/>
    <n v="24409.552499999998"/>
    <n v="7251.9724999999962"/>
    <n v="29.709567596538268"/>
    <x v="7"/>
    <x v="0"/>
    <s v="CLEAN"/>
  </r>
  <r>
    <x v="355"/>
    <d v="2024-04-14T00:00:00"/>
    <d v="2024-04-22T00:00:00"/>
    <n v="8"/>
    <s v="OK"/>
    <s v="CUST-6522"/>
    <s v="Priya Menon"/>
    <x v="1"/>
    <x v="3"/>
    <s v="Gujarat"/>
    <s v="Ahmedabad"/>
    <x v="1"/>
    <x v="9"/>
    <s v="Prime Bookcases 177"/>
    <x v="3"/>
    <n v="2"/>
    <n v="3977.52"/>
    <n v="0"/>
    <s v="OK"/>
    <n v="7955.04"/>
    <n v="5580.68"/>
    <n v="2374.36"/>
    <x v="1"/>
    <x v="1"/>
    <n v="0"/>
    <n v="7955.04"/>
    <n v="2374.3599999999997"/>
    <n v="29.847241497214338"/>
    <x v="9"/>
    <x v="0"/>
    <s v="CLEAN"/>
  </r>
  <r>
    <x v="356"/>
    <d v="2024-03-06T00:00:00"/>
    <d v="2024-12-03T00:00:00"/>
    <n v="272"/>
    <s v="OK"/>
    <s v="CUST-3360"/>
    <s v="Isha Nair"/>
    <x v="3"/>
    <x v="3"/>
    <s v="Gujarat"/>
    <s v="Ahmedabad"/>
    <x v="1"/>
    <x v="9"/>
    <s v="Prime Bookcases 755"/>
    <x v="3"/>
    <n v="3"/>
    <n v="679.63"/>
    <n v="0.2"/>
    <s v="OK"/>
    <n v="1631.11"/>
    <n v="898.73"/>
    <n v="396.58"/>
    <x v="0"/>
    <x v="0"/>
    <n v="0.2"/>
    <n v="1631.1120000000001"/>
    <n v="732.38200000000006"/>
    <n v="44.900779345624336"/>
    <x v="11"/>
    <x v="0"/>
    <s v="CLEAN"/>
  </r>
  <r>
    <x v="357"/>
    <d v="2024-06-30T00:00:00"/>
    <d v="2024-07-03T00:00:00"/>
    <n v="3"/>
    <s v="OK"/>
    <s v="CUST-2623"/>
    <s v="Priya Menon"/>
    <x v="3"/>
    <x v="1"/>
    <s v="West Bengal"/>
    <s v="Kolkata"/>
    <x v="0"/>
    <x v="0"/>
    <s v="Prime Paper 317"/>
    <x v="2"/>
    <n v="6"/>
    <n v="1211.01"/>
    <n v="0"/>
    <s v="OK"/>
    <n v="7266.06"/>
    <n v="6216.89"/>
    <n v="1049.17"/>
    <x v="0"/>
    <x v="0"/>
    <n v="0"/>
    <n v="7266.0599999999995"/>
    <n v="1049.1699999999992"/>
    <n v="14.439324750965438"/>
    <x v="2"/>
    <x v="0"/>
    <s v="CLEAN"/>
  </r>
  <r>
    <x v="358"/>
    <d v="2024-03-26T00:00:00"/>
    <d v="2024-04-01T00:00:00"/>
    <n v="6"/>
    <s v="OK"/>
    <s v="CUST-3175"/>
    <s v="Karan Malhotra"/>
    <x v="1"/>
    <x v="3"/>
    <s v="Gujarat"/>
    <s v="Ahmedabad"/>
    <x v="2"/>
    <x v="4"/>
    <s v="Classic Accessories 933"/>
    <x v="2"/>
    <n v="2"/>
    <n v="1161.3"/>
    <n v="0.2"/>
    <s v="OK"/>
    <n v="1858.08"/>
    <n v="1590.75"/>
    <n v="267.33"/>
    <x v="0"/>
    <x v="0"/>
    <n v="0.2"/>
    <n v="1858.08"/>
    <n v="267.32999999999993"/>
    <n v="14.387432188065096"/>
    <x v="11"/>
    <x v="0"/>
    <s v="CLEAN"/>
  </r>
  <r>
    <x v="359"/>
    <d v="2024-07-25T00:00:00"/>
    <d v="2024-08-02T00:00:00"/>
    <n v="8"/>
    <s v="OK"/>
    <s v="CUST-2752"/>
    <s v="Rahul Verma"/>
    <x v="0"/>
    <x v="0"/>
    <s v="Rajasthan"/>
    <s v="Jaipur"/>
    <x v="0"/>
    <x v="5"/>
    <s v="Classic Labels 215"/>
    <x v="0"/>
    <n v="2"/>
    <n v="2073.5300000000002"/>
    <n v="0.25"/>
    <s v="OK"/>
    <n v="3110.3"/>
    <n v="2101.0300000000002"/>
    <n v="1009.27"/>
    <x v="0"/>
    <x v="0"/>
    <n v="0.25"/>
    <n v="3110.2950000000001"/>
    <n v="1009.2649999999999"/>
    <n v="32.449172827657826"/>
    <x v="0"/>
    <x v="0"/>
    <s v="CLEAN"/>
  </r>
  <r>
    <x v="360"/>
    <d v="2024-06-04T00:00:00"/>
    <d v="2024-04-06T00:00:00"/>
    <n v="-59"/>
    <s v="INVALID"/>
    <s v="CUST-8575"/>
    <s v="Sneha Kapoor"/>
    <x v="3"/>
    <x v="2"/>
    <s v="Kerala"/>
    <s v="Kochi"/>
    <x v="0"/>
    <x v="7"/>
    <s v="Max Storage 223"/>
    <x v="2"/>
    <n v="6"/>
    <n v="2708.97"/>
    <n v="0.25"/>
    <s v="OK"/>
    <n v="12190.36"/>
    <n v="10176.99"/>
    <n v="2013.37"/>
    <x v="0"/>
    <x v="0"/>
    <n v="0.25"/>
    <n v="12190.365"/>
    <n v="2013.375"/>
    <n v="16.516117441930575"/>
    <x v="2"/>
    <x v="0"/>
    <s v="INVALID"/>
  </r>
  <r>
    <x v="361"/>
    <d v="2024-05-02T00:00:00"/>
    <d v="2024-05-09T00:00:00"/>
    <n v="7"/>
    <s v="OK"/>
    <s v="CUST-9576"/>
    <s v="Arjun Bose"/>
    <x v="0"/>
    <x v="1"/>
    <s v="Odisha"/>
    <s v="Bhubaneswar"/>
    <x v="2"/>
    <x v="4"/>
    <s v="Basic Accessories 602"/>
    <x v="0"/>
    <n v="4"/>
    <n v="2904.86"/>
    <n v="0"/>
    <s v="OK"/>
    <n v="11619.44"/>
    <n v="7184.32"/>
    <n v="4494.6400000000003"/>
    <x v="0"/>
    <x v="0"/>
    <n v="0"/>
    <n v="11619.44"/>
    <n v="4435.1200000000008"/>
    <n v="38.169825740311069"/>
    <x v="4"/>
    <x v="0"/>
    <s v="CLEAN"/>
  </r>
  <r>
    <x v="362"/>
    <d v="2024-10-27T00:00:00"/>
    <d v="2024-11-01T00:00:00"/>
    <n v="5"/>
    <s v="OK"/>
    <s v="CUST-2395"/>
    <s v="Aditi Sen"/>
    <x v="2"/>
    <x v="2"/>
    <s v="Tamil Nadu"/>
    <s v="Chennai"/>
    <x v="2"/>
    <x v="8"/>
    <s v="Elite Phones 394"/>
    <x v="3"/>
    <n v="6"/>
    <n v="4399.2"/>
    <n v="0.05"/>
    <s v="OK"/>
    <n v="25075.439999999999"/>
    <n v="16282.74"/>
    <n v="8792.7000000000007"/>
    <x v="0"/>
    <x v="0"/>
    <n v="0.05"/>
    <n v="25075.439999999995"/>
    <n v="8792.6999999999953"/>
    <n v="35.06498789253547"/>
    <x v="8"/>
    <x v="0"/>
    <s v="CLEAN"/>
  </r>
  <r>
    <x v="363"/>
    <d v="2024-02-02T00:00:00"/>
    <d v="2024-02-04T00:00:00"/>
    <n v="2"/>
    <s v="OK"/>
    <s v="CUST-8941"/>
    <s v="Vikram Iyer"/>
    <x v="3"/>
    <x v="0"/>
    <s v="Uttar Pradesh"/>
    <s v="Noida"/>
    <x v="0"/>
    <x v="7"/>
    <s v="Classic Storage 194"/>
    <x v="0"/>
    <n v="1"/>
    <n v="4397.32"/>
    <n v="0.05"/>
    <s v="OK"/>
    <n v="4177.45"/>
    <n v="2299.5"/>
    <n v="1877.95"/>
    <x v="0"/>
    <x v="0"/>
    <n v="0.05"/>
    <n v="4177.4539999999997"/>
    <n v="1877.9539999999997"/>
    <n v="44.954510570313879"/>
    <x v="7"/>
    <x v="0"/>
    <s v="CLEAN"/>
  </r>
  <r>
    <x v="364"/>
    <d v="2024-11-01T00:00:00"/>
    <d v="2024-11-02T00:00:00"/>
    <n v="1"/>
    <s v="OK"/>
    <s v="CUST-6262"/>
    <s v="Karan Malhotra"/>
    <x v="2"/>
    <x v="1"/>
    <s v="West Bengal"/>
    <s v="Kolkata"/>
    <x v="1"/>
    <x v="3"/>
    <s v="Prime Furnishings 178"/>
    <x v="3"/>
    <n v="5"/>
    <n v="2212.02"/>
    <n v="0.2"/>
    <s v="OK"/>
    <n v="8848.08"/>
    <n v="5691.56"/>
    <n v="3156.52"/>
    <x v="0"/>
    <x v="0"/>
    <n v="0.2"/>
    <n v="8848.08"/>
    <n v="3156.5199999999995"/>
    <n v="35.674632236598221"/>
    <x v="3"/>
    <x v="0"/>
    <s v="CLEAN"/>
  </r>
  <r>
    <x v="365"/>
    <d v="2024-08-10T00:00:00"/>
    <d v="2024-08-11T00:00:00"/>
    <n v="1"/>
    <s v="OK"/>
    <s v="CUST-6928"/>
    <s v="Mira Das"/>
    <x v="2"/>
    <x v="3"/>
    <s v="Maharashtra"/>
    <s v="Mumbai"/>
    <x v="2"/>
    <x v="6"/>
    <s v="Elite Copiers 752"/>
    <x v="2"/>
    <n v="7"/>
    <n v="3852.62"/>
    <n v="0.2"/>
    <s v="OK"/>
    <n v="21574.67"/>
    <n v="14672.83"/>
    <n v="6901.84"/>
    <x v="0"/>
    <x v="0"/>
    <n v="0.2"/>
    <n v="21574.672000000002"/>
    <n v="6901.8420000000024"/>
    <n v="31.990484026825538"/>
    <x v="1"/>
    <x v="0"/>
    <s v="CLEAN"/>
  </r>
  <r>
    <x v="366"/>
    <d v="2024-11-18T00:00:00"/>
    <d v="2024-11-20T00:00:00"/>
    <n v="2"/>
    <s v="OK"/>
    <s v="CUST-9044"/>
    <s v="Priya Menon"/>
    <x v="0"/>
    <x v="3"/>
    <s v="Rajasthan"/>
    <s v="Udaipur"/>
    <x v="1"/>
    <x v="10"/>
    <s v="Pro Chairs 316"/>
    <x v="2"/>
    <n v="6"/>
    <n v="3790.22"/>
    <n v="0"/>
    <s v="OK"/>
    <n v="22741.32"/>
    <n v="16388.57"/>
    <n v="6352.75"/>
    <x v="0"/>
    <x v="0"/>
    <n v="0"/>
    <n v="22741.32"/>
    <n v="6352.75"/>
    <n v="27.934834037777929"/>
    <x v="3"/>
    <x v="0"/>
    <s v="CLEAN"/>
  </r>
  <r>
    <x v="367"/>
    <d v="2024-01-22T00:00:00"/>
    <d v="2024-01-22T00:00:00"/>
    <n v="0"/>
    <s v="OK"/>
    <s v="CUST-8534"/>
    <s v="Karan Malhotra"/>
    <x v="2"/>
    <x v="1"/>
    <s v="West Bengal"/>
    <s v="Kolkata"/>
    <x v="0"/>
    <x v="0"/>
    <s v="Basic Paper 904"/>
    <x v="2"/>
    <n v="8"/>
    <n v="1557.21"/>
    <n v="0.05"/>
    <s v="OK"/>
    <n v="11834.8"/>
    <n v="9322.36"/>
    <n v="2512.44"/>
    <x v="0"/>
    <x v="0"/>
    <n v="0.05"/>
    <n v="11834.796"/>
    <n v="2512.4359999999997"/>
    <n v="21.229229468763126"/>
    <x v="6"/>
    <x v="0"/>
    <s v="CLEAN"/>
  </r>
  <r>
    <x v="368"/>
    <d v="2024-08-03T00:00:00"/>
    <d v="2024-03-15T00:00:00"/>
    <n v="-141"/>
    <s v="INVALID"/>
    <s v="CUST-5287"/>
    <s v="Aarav Sharma"/>
    <x v="1"/>
    <x v="4"/>
    <s v="Punjab"/>
    <s v="Ludhiana"/>
    <x v="1"/>
    <x v="10"/>
    <s v="Basic Chairs 327"/>
    <x v="2"/>
    <n v="5"/>
    <n v="3234.77"/>
    <n v="0"/>
    <s v="OK"/>
    <n v="16173.85"/>
    <n v="13636.34"/>
    <n v="2537.5100000000002"/>
    <x v="0"/>
    <x v="0"/>
    <n v="0"/>
    <n v="16173.85"/>
    <n v="2537.5100000000002"/>
    <n v="15.688967067210344"/>
    <x v="1"/>
    <x v="0"/>
    <s v="INVALID"/>
  </r>
  <r>
    <x v="369"/>
    <d v="2024-12-01T00:00:00"/>
    <d v="2024-05-12T00:00:00"/>
    <n v="-203"/>
    <s v="INVALID"/>
    <s v="CUST-3445"/>
    <s v="Ananya Rao"/>
    <x v="1"/>
    <x v="2"/>
    <s v="Andhra Pradesh"/>
    <s v="Vijayawada"/>
    <x v="2"/>
    <x v="6"/>
    <s v="Eco Copiers 987"/>
    <x v="0"/>
    <n v="9"/>
    <n v="3726.75"/>
    <n v="0.25"/>
    <s v="OK"/>
    <n v="25155.56"/>
    <n v="17592.689999999999"/>
    <n v="7562.87"/>
    <x v="0"/>
    <x v="0"/>
    <n v="0.25"/>
    <n v="25155.5625"/>
    <n v="7562.8725000000013"/>
    <n v="30.064414182747857"/>
    <x v="5"/>
    <x v="0"/>
    <s v="INVALID"/>
  </r>
  <r>
    <x v="370"/>
    <d v="2024-01-05T00:00:00"/>
    <d v="2024-01-05T00:00:00"/>
    <n v="0"/>
    <s v="OK"/>
    <s v="CUST-3446"/>
    <s v="Diya Patel"/>
    <x v="0"/>
    <x v="0"/>
    <s v="Rajasthan"/>
    <s v="Jaipur"/>
    <x v="1"/>
    <x v="1"/>
    <s v="Pro Tables 866"/>
    <x v="3"/>
    <n v="1"/>
    <n v="2167.08"/>
    <n v="0.25"/>
    <s v="OK"/>
    <n v="1625.31"/>
    <n v="1157.8900000000001"/>
    <n v="467.42"/>
    <x v="0"/>
    <x v="0"/>
    <n v="0.25"/>
    <n v="1625.31"/>
    <n v="467.41999999999985"/>
    <n v="28.758821394072509"/>
    <x v="6"/>
    <x v="0"/>
    <s v="CLEAN"/>
  </r>
  <r>
    <x v="371"/>
    <d v="2024-06-12T00:00:00"/>
    <d v="2024-06-18T00:00:00"/>
    <n v="6"/>
    <s v="OK"/>
    <s v="CUST-2795"/>
    <s v="Aarav Sharma"/>
    <x v="1"/>
    <x v="2"/>
    <s v="Andhra Pradesh"/>
    <s v="Vijayawada"/>
    <x v="0"/>
    <x v="2"/>
    <s v="Prime Art 596"/>
    <x v="3"/>
    <n v="4"/>
    <n v="4176.13"/>
    <n v="0"/>
    <s v="OK"/>
    <n v="16704.52"/>
    <n v="10158.280000000001"/>
    <n v="6546.24"/>
    <x v="0"/>
    <x v="0"/>
    <n v="0"/>
    <n v="16704.52"/>
    <n v="6546.24"/>
    <n v="39.188435225914894"/>
    <x v="2"/>
    <x v="0"/>
    <s v="CLEAN"/>
  </r>
  <r>
    <x v="372"/>
    <d v="2024-05-15T00:00:00"/>
    <d v="2024-05-21T00:00:00"/>
    <n v="6"/>
    <s v="OK"/>
    <s v="CUST-3992"/>
    <s v="Karan Malhotra"/>
    <x v="0"/>
    <x v="3"/>
    <s v="Goa"/>
    <s v="Panaji"/>
    <x v="0"/>
    <x v="7"/>
    <s v="Smart Storage 288"/>
    <x v="3"/>
    <n v="6"/>
    <n v="2909.56"/>
    <n v="0.2"/>
    <s v="OK"/>
    <n v="13965.89"/>
    <n v="11646.12"/>
    <n v="2319.77"/>
    <x v="0"/>
    <x v="0"/>
    <n v="0.2"/>
    <n v="13965.888000000001"/>
    <n v="2319.768"/>
    <n v="16.61024347323994"/>
    <x v="4"/>
    <x v="0"/>
    <s v="CLEAN"/>
  </r>
  <r>
    <x v="373"/>
    <d v="2024-06-06T00:00:00"/>
    <d v="2024-06-08T00:00:00"/>
    <n v="2"/>
    <s v="OK"/>
    <s v="CUST-9297"/>
    <s v="Aarav Sharma"/>
    <x v="2"/>
    <x v="2"/>
    <s v="Karnataka"/>
    <s v="Bengaluru"/>
    <x v="1"/>
    <x v="1"/>
    <s v="Max Tables 291"/>
    <x v="0"/>
    <n v="3"/>
    <n v="395.49"/>
    <n v="0.05"/>
    <s v="OK"/>
    <n v="1127.1500000000001"/>
    <n v="845.62"/>
    <n v="281.52999999999997"/>
    <x v="0"/>
    <x v="1"/>
    <n v="0.05"/>
    <n v="1127.1465000000001"/>
    <n v="281.52650000000006"/>
    <n v="24.976921810962466"/>
    <x v="2"/>
    <x v="0"/>
    <s v="CLEAN"/>
  </r>
  <r>
    <x v="374"/>
    <d v="2024-02-22T00:00:00"/>
    <d v="2024-02-29T00:00:00"/>
    <n v="7"/>
    <s v="OK"/>
    <s v="CUST-7996"/>
    <s v="Isha Nair"/>
    <x v="3"/>
    <x v="2"/>
    <s v="Telangana"/>
    <s v="Hyderabad"/>
    <x v="1"/>
    <x v="1"/>
    <s v="Classic Tables 638"/>
    <x v="2"/>
    <n v="6"/>
    <n v="4254.05"/>
    <n v="0"/>
    <s v="OK"/>
    <n v="25524.3"/>
    <n v="16711.93"/>
    <n v="8812.3700000000008"/>
    <x v="0"/>
    <x v="0"/>
    <n v="0"/>
    <n v="25524.300000000003"/>
    <n v="8812.3700000000026"/>
    <n v="34.525413037771855"/>
    <x v="7"/>
    <x v="0"/>
    <s v="CLEAN"/>
  </r>
  <r>
    <x v="375"/>
    <d v="2024-11-05T00:00:00"/>
    <d v="2024-11-10T00:00:00"/>
    <n v="5"/>
    <s v="OK"/>
    <s v="CUST-4117"/>
    <s v="Arjun Bose"/>
    <x v="0"/>
    <x v="2"/>
    <s v="Kerala"/>
    <s v="Kochi"/>
    <x v="1"/>
    <x v="10"/>
    <s v="Basic Chairs 212"/>
    <x v="1"/>
    <n v="4"/>
    <n v="711.18"/>
    <n v="0.15"/>
    <s v="OK"/>
    <n v="2418.0100000000002"/>
    <n v="1441.89"/>
    <n v="976.12"/>
    <x v="1"/>
    <x v="1"/>
    <n v="0.15"/>
    <n v="2418.0119999999997"/>
    <n v="976.12199999999962"/>
    <n v="40.368782288921636"/>
    <x v="3"/>
    <x v="0"/>
    <s v="CLEAN"/>
  </r>
  <r>
    <x v="376"/>
    <d v="2024-06-02T00:00:00"/>
    <d v="2024-06-08T00:00:00"/>
    <n v="6"/>
    <s v="OK"/>
    <s v="CUST-6046"/>
    <s v="Vikram Iyer"/>
    <x v="0"/>
    <x v="0"/>
    <s v="Delhi"/>
    <s v="New Delhi"/>
    <x v="1"/>
    <x v="1"/>
    <s v="Classic Tables 535"/>
    <x v="2"/>
    <n v="4"/>
    <n v="1536.7"/>
    <n v="0.2"/>
    <s v="OK"/>
    <n v="4917.4399999999996"/>
    <n v="3846.77"/>
    <n v="1070.67"/>
    <x v="0"/>
    <x v="0"/>
    <n v="0.2"/>
    <n v="4917.4400000000005"/>
    <n v="1070.6700000000005"/>
    <n v="21.772914361944434"/>
    <x v="2"/>
    <x v="0"/>
    <s v="CLEAN"/>
  </r>
  <r>
    <x v="377"/>
    <d v="2025-04-10T00:00:00"/>
    <d v="2025-04-16T00:00:00"/>
    <n v="6"/>
    <s v="OK"/>
    <s v="CUST-3656"/>
    <s v="Neha Gupta"/>
    <x v="0"/>
    <x v="1"/>
    <s v="Odisha"/>
    <s v="Bhubaneswar"/>
    <x v="2"/>
    <x v="6"/>
    <s v="Eco Copiers 790"/>
    <x v="3"/>
    <n v="4"/>
    <n v="1719.87"/>
    <n v="0.15"/>
    <s v="OK"/>
    <n v="5847.56"/>
    <n v="4727.25"/>
    <n v="1120.31"/>
    <x v="0"/>
    <x v="0"/>
    <n v="0.15"/>
    <n v="5847.5579999999991"/>
    <n v="1120.3079999999991"/>
    <n v="19.158561573908276"/>
    <x v="9"/>
    <x v="1"/>
    <s v="CLEAN"/>
  </r>
  <r>
    <x v="378"/>
    <d v="2025-02-23T00:00:00"/>
    <d v="2025-02-26T00:00:00"/>
    <n v="3"/>
    <s v="OK"/>
    <s v="CUST-4683"/>
    <s v="Isha Nair"/>
    <x v="1"/>
    <x v="2"/>
    <s v="Andhra Pradesh"/>
    <s v="Vijayawada"/>
    <x v="0"/>
    <x v="2"/>
    <s v="Eco Art 848"/>
    <x v="2"/>
    <n v="1"/>
    <n v="2980.71"/>
    <n v="0"/>
    <s v="OK"/>
    <n v="2980.71"/>
    <n v="2357.2199999999998"/>
    <n v="623.49"/>
    <x v="0"/>
    <x v="0"/>
    <n v="0"/>
    <n v="2980.71"/>
    <n v="623.49000000000024"/>
    <n v="20.917499521925993"/>
    <x v="7"/>
    <x v="1"/>
    <s v="CLEAN"/>
  </r>
  <r>
    <x v="379"/>
    <d v="2025-07-09T00:00:00"/>
    <d v="2025-09-12T00:00:00"/>
    <n v="65"/>
    <s v="OK"/>
    <s v="CUST-2483"/>
    <s v="Mira Das"/>
    <x v="3"/>
    <x v="2"/>
    <s v="Telangana"/>
    <s v="Hyderabad"/>
    <x v="0"/>
    <x v="0"/>
    <s v="Pro Paper 622"/>
    <x v="0"/>
    <n v="9"/>
    <n v="852.04"/>
    <n v="0.2"/>
    <s v="OK"/>
    <n v="6134.69"/>
    <n v="3800.19"/>
    <n v="2334.5"/>
    <x v="0"/>
    <x v="0"/>
    <n v="0.2"/>
    <n v="6134.6880000000001"/>
    <n v="2334.498"/>
    <n v="38.054062407085738"/>
    <x v="0"/>
    <x v="1"/>
    <s v="CLEAN"/>
  </r>
  <r>
    <x v="380"/>
    <d v="2025-10-12T00:00:00"/>
    <d v="2025-10-16T00:00:00"/>
    <n v="4"/>
    <s v="OK"/>
    <s v="CUST-7482"/>
    <s v="Priya Menon"/>
    <x v="1"/>
    <x v="3"/>
    <s v="Maharashtra"/>
    <s v="Mumbai"/>
    <x v="0"/>
    <x v="2"/>
    <s v="Smart Art 795"/>
    <x v="0"/>
    <n v="7"/>
    <n v="3964.72"/>
    <n v="0.05"/>
    <s v="OK"/>
    <n v="26365.39"/>
    <n v="22306.240000000002"/>
    <n v="4059.15"/>
    <x v="0"/>
    <x v="0"/>
    <n v="0.05"/>
    <n v="26365.387999999995"/>
    <n v="4059.1479999999938"/>
    <n v="15.395745361304733"/>
    <x v="8"/>
    <x v="1"/>
    <s v="CLEAN"/>
  </r>
  <r>
    <x v="381"/>
    <d v="2025-01-21T00:00:00"/>
    <d v="2025-01-23T00:00:00"/>
    <n v="2"/>
    <s v="OK"/>
    <s v="CUST-3190"/>
    <s v="Aditi Sen"/>
    <x v="3"/>
    <x v="1"/>
    <s v="Bihar"/>
    <s v="Patna"/>
    <x v="2"/>
    <x v="6"/>
    <s v="Elite Copiers 233"/>
    <x v="2"/>
    <n v="5"/>
    <n v="4373.0600000000004"/>
    <n v="0.25"/>
    <s v="OK"/>
    <n v="16398.98"/>
    <n v="9556.52"/>
    <n v="6842.46"/>
    <x v="0"/>
    <x v="0"/>
    <n v="0.25"/>
    <n v="16398.975000000002"/>
    <n v="6842.4550000000017"/>
    <n v="41.724894391265309"/>
    <x v="6"/>
    <x v="1"/>
    <s v="CLEAN"/>
  </r>
  <r>
    <x v="382"/>
    <d v="2025-01-24T00:00:00"/>
    <d v="2025-01-30T00:00:00"/>
    <n v="6"/>
    <s v="OK"/>
    <s v="CUST-3036"/>
    <s v="Sneha Kapoor"/>
    <x v="0"/>
    <x v="3"/>
    <s v="Madhya Pradesh"/>
    <s v="Indore"/>
    <x v="1"/>
    <x v="3"/>
    <s v="Eco Furnishings 897"/>
    <x v="0"/>
    <n v="4"/>
    <n v="697.69"/>
    <n v="-0.23"/>
    <s v="INVALID"/>
    <n v="2790.76"/>
    <n v="2037.71"/>
    <n v="753.05"/>
    <x v="0"/>
    <x v="0"/>
    <n v="0"/>
    <n v="2790.76"/>
    <n v="753.05000000000018"/>
    <n v="26.98368903094498"/>
    <x v="6"/>
    <x v="1"/>
    <s v="INVALID"/>
  </r>
  <r>
    <x v="383"/>
    <d v="2025-08-29T00:00:00"/>
    <d v="2025-08-31T00:00:00"/>
    <n v="2"/>
    <s v="OK"/>
    <s v="CUST-7098"/>
    <s v="Rahul Verma"/>
    <x v="3"/>
    <x v="1"/>
    <s v="Bihar"/>
    <s v="Patna"/>
    <x v="1"/>
    <x v="9"/>
    <s v="Pro Bookcases 394"/>
    <x v="2"/>
    <n v="4"/>
    <n v="1958.01"/>
    <n v="0.2"/>
    <s v="OK"/>
    <n v="6265.63"/>
    <n v="4321.8599999999997"/>
    <n v="1943.77"/>
    <x v="0"/>
    <x v="0"/>
    <n v="0.2"/>
    <n v="6265.6320000000005"/>
    <n v="1943.7720000000008"/>
    <n v="31.022760353624353"/>
    <x v="1"/>
    <x v="1"/>
    <s v="CLEAN"/>
  </r>
  <r>
    <x v="384"/>
    <d v="2025-08-13T00:00:00"/>
    <d v="2025-08-13T00:00:00"/>
    <n v="0"/>
    <s v="OK"/>
    <s v="CUST-5936"/>
    <s v="Rohan Mehta"/>
    <x v="3"/>
    <x v="2"/>
    <s v="Kerala"/>
    <s v="Kochi"/>
    <x v="2"/>
    <x v="8"/>
    <s v="Pro Phones 442"/>
    <x v="3"/>
    <n v="1"/>
    <n v="256.01"/>
    <n v="0.15"/>
    <s v="OK"/>
    <n v="217.61"/>
    <n v="119.77"/>
    <n v="97.84"/>
    <x v="0"/>
    <x v="0"/>
    <n v="0.15"/>
    <n v="217.60849999999999"/>
    <n v="97.838499999999996"/>
    <n v="44.96078967503567"/>
    <x v="1"/>
    <x v="1"/>
    <s v="CLEAN"/>
  </r>
  <r>
    <x v="385"/>
    <d v="2025-01-31T00:00:00"/>
    <d v="2025-02-05T00:00:00"/>
    <n v="5"/>
    <s v="OK"/>
    <s v="CUST-2392"/>
    <s v="Priya Menon"/>
    <x v="3"/>
    <x v="1"/>
    <s v="West Bengal"/>
    <s v="Kolkata"/>
    <x v="1"/>
    <x v="10"/>
    <s v="Elite Chairs 862"/>
    <x v="4"/>
    <n v="2"/>
    <n v="4159.6899999999996"/>
    <n v="0.2"/>
    <s v="OK"/>
    <n v="6655.5"/>
    <n v="4340.21"/>
    <n v="2607.3200000000002"/>
    <x v="0"/>
    <x v="0"/>
    <n v="0.2"/>
    <n v="6655.5039999999999"/>
    <n v="2315.2939999999999"/>
    <n v="34.787658455317583"/>
    <x v="6"/>
    <x v="1"/>
    <s v="CLEAN"/>
  </r>
  <r>
    <x v="386"/>
    <d v="2025-07-29T00:00:00"/>
    <d v="2025-07-29T00:00:00"/>
    <n v="0"/>
    <s v="OK"/>
    <s v="CUST-4646"/>
    <s v="Diya Patel"/>
    <x v="0"/>
    <x v="3"/>
    <s v="Maharashtra"/>
    <s v="Mumbai"/>
    <x v="2"/>
    <x v="6"/>
    <s v="Pro Copiers 830"/>
    <x v="3"/>
    <n v="4"/>
    <n v="1327.54"/>
    <n v="0.2"/>
    <s v="OK"/>
    <n v="4248.13"/>
    <n v="3321.09"/>
    <n v="927.04"/>
    <x v="0"/>
    <x v="0"/>
    <n v="0.2"/>
    <n v="4248.1279999999997"/>
    <n v="927.03799999999956"/>
    <n v="21.822270892025845"/>
    <x v="0"/>
    <x v="1"/>
    <s v="CLEAN"/>
  </r>
  <r>
    <x v="387"/>
    <d v="2025-10-10T00:00:00"/>
    <d v="2025-10-15T00:00:00"/>
    <n v="5"/>
    <s v="OK"/>
    <s v="CUST-6708"/>
    <s v="Arjun Bose"/>
    <x v="2"/>
    <x v="1"/>
    <s v="Jharkhand"/>
    <s v="Ranchi"/>
    <x v="2"/>
    <x v="8"/>
    <s v="Eco Phones 702"/>
    <x v="3"/>
    <n v="8"/>
    <n v="979.87"/>
    <n v="0.05"/>
    <s v="OK"/>
    <n v="7447.01"/>
    <n v="4496.22"/>
    <n v="2950.79"/>
    <x v="0"/>
    <x v="0"/>
    <n v="0.05"/>
    <n v="7447.0119999999997"/>
    <n v="2950.7919999999995"/>
    <n v="39.623838393170303"/>
    <x v="8"/>
    <x v="1"/>
    <s v="CLEAN"/>
  </r>
  <r>
    <x v="388"/>
    <d v="2025-01-30T00:00:00"/>
    <d v="2025-02-05T00:00:00"/>
    <n v="6"/>
    <s v="OK"/>
    <s v="CUST-8183"/>
    <s v="Neha Gupta"/>
    <x v="2"/>
    <x v="3"/>
    <s v="Maharashtra"/>
    <s v="Mumbai"/>
    <x v="1"/>
    <x v="10"/>
    <s v="Basic Chairs 837"/>
    <x v="0"/>
    <n v="7"/>
    <n v="4063.66"/>
    <n v="0"/>
    <s v="OK"/>
    <n v="28445.62"/>
    <n v="20938.59"/>
    <n v="7507.03"/>
    <x v="0"/>
    <x v="0"/>
    <n v="0"/>
    <n v="28445.62"/>
    <n v="7507.0299999999988"/>
    <n v="26.390811660986817"/>
    <x v="6"/>
    <x v="1"/>
    <s v="CLEAN"/>
  </r>
  <r>
    <x v="389"/>
    <d v="2025-05-11T00:00:00"/>
    <d v="2025-05-19T00:00:00"/>
    <n v="8"/>
    <s v="OK"/>
    <s v="CUST-8787"/>
    <s v="Sneha Kapoor"/>
    <x v="0"/>
    <x v="1"/>
    <s v="West Bengal"/>
    <s v="Kolkata"/>
    <x v="2"/>
    <x v="6"/>
    <s v="Pro Copiers 963"/>
    <x v="3"/>
    <n v="1"/>
    <n v="2382.8000000000002"/>
    <n v="0.15"/>
    <s v="OK"/>
    <n v="2025.38"/>
    <n v="1140.6500000000001"/>
    <n v="884.73"/>
    <x v="0"/>
    <x v="0"/>
    <n v="0.15"/>
    <n v="2025.38"/>
    <n v="884.73"/>
    <n v="43.682173221815162"/>
    <x v="4"/>
    <x v="1"/>
    <s v="CLEAN"/>
  </r>
  <r>
    <x v="390"/>
    <d v="2025-03-31T00:00:00"/>
    <d v="2025-03-31T00:00:00"/>
    <n v="0"/>
    <s v="OK"/>
    <s v="CUST-7195"/>
    <s v="Kabir Singh"/>
    <x v="3"/>
    <x v="3"/>
    <s v="Gujarat"/>
    <s v="Ahmedabad"/>
    <x v="0"/>
    <x v="7"/>
    <s v="Elite Storage 924"/>
    <x v="2"/>
    <n v="5"/>
    <n v="1207.47"/>
    <n v="0.15"/>
    <s v="OK"/>
    <n v="5131.75"/>
    <n v="2838.68"/>
    <n v="2293.0700000000002"/>
    <x v="0"/>
    <x v="0"/>
    <n v="0.15"/>
    <n v="5131.7475000000004"/>
    <n v="2293.0675000000006"/>
    <n v="44.683950252813496"/>
    <x v="11"/>
    <x v="1"/>
    <s v="CLEAN"/>
  </r>
  <r>
    <x v="391"/>
    <d v="2025-01-07T00:00:00"/>
    <d v="2025-03-07T00:00:00"/>
    <n v="59"/>
    <s v="OK"/>
    <s v="CUST-9821"/>
    <s v="Mira Das"/>
    <x v="1"/>
    <x v="2"/>
    <s v="Andhra Pradesh"/>
    <s v="Vijayawada"/>
    <x v="2"/>
    <x v="12"/>
    <s v="Classic Machines 310"/>
    <x v="1"/>
    <n v="3"/>
    <n v="1516.24"/>
    <n v="0.25"/>
    <s v="OK"/>
    <n v="3411.54"/>
    <n v="2803.13"/>
    <n v="608.41"/>
    <x v="0"/>
    <x v="0"/>
    <n v="0.25"/>
    <n v="3411.54"/>
    <n v="608.40999999999985"/>
    <n v="17.83388147288321"/>
    <x v="6"/>
    <x v="1"/>
    <s v="CLEAN"/>
  </r>
  <r>
    <x v="392"/>
    <d v="2025-08-28T00:00:00"/>
    <d v="2025-09-01T00:00:00"/>
    <n v="4"/>
    <s v="OK"/>
    <s v="CUST-1504"/>
    <s v="Karan Malhotra"/>
    <x v="1"/>
    <x v="2"/>
    <s v="Tamil Nadu"/>
    <s v="Chennai"/>
    <x v="2"/>
    <x v="4"/>
    <s v="Elite Accessories 187"/>
    <x v="1"/>
    <n v="7"/>
    <n v="1057.46"/>
    <n v="0.05"/>
    <s v="OK"/>
    <n v="7032.11"/>
    <n v="4610.34"/>
    <n v="2421.77"/>
    <x v="0"/>
    <x v="0"/>
    <n v="0.05"/>
    <n v="7032.1089999999995"/>
    <n v="2421.7689999999993"/>
    <n v="34.438729547565309"/>
    <x v="1"/>
    <x v="1"/>
    <s v="CLEAN"/>
  </r>
  <r>
    <x v="393"/>
    <d v="2025-02-03T00:00:00"/>
    <d v="2025-07-02T00:00:00"/>
    <n v="149"/>
    <s v="OK"/>
    <s v="CUST-8282"/>
    <s v="Kabir Singh"/>
    <x v="0"/>
    <x v="0"/>
    <s v="Haryana"/>
    <s v="Gurugram"/>
    <x v="0"/>
    <x v="0"/>
    <s v="Eco Paper 922"/>
    <x v="2"/>
    <n v="7"/>
    <n v="3609.34"/>
    <n v="0.05"/>
    <s v="OK"/>
    <n v="24002.11"/>
    <n v="18707.57"/>
    <n v="5294.54"/>
    <x v="0"/>
    <x v="0"/>
    <n v="0.05"/>
    <n v="24002.111000000001"/>
    <n v="5294.5410000000011"/>
    <n v="22.058647258151591"/>
    <x v="7"/>
    <x v="1"/>
    <s v="CLEAN"/>
  </r>
  <r>
    <x v="394"/>
    <d v="2025-08-22T00:00:00"/>
    <d v="2025-08-27T00:00:00"/>
    <n v="5"/>
    <s v="OK"/>
    <s v="CUST-5582"/>
    <s v="Karan Malhotra"/>
    <x v="2"/>
    <x v="2"/>
    <s v="Andhra Pradesh"/>
    <s v="Vijayawada"/>
    <x v="2"/>
    <x v="8"/>
    <s v="Max Phones 661"/>
    <x v="2"/>
    <n v="2"/>
    <n v="905.87"/>
    <n v="0.15"/>
    <s v="OK"/>
    <n v="1539.98"/>
    <n v="1070.2"/>
    <n v="469.78"/>
    <x v="0"/>
    <x v="0"/>
    <n v="0.15"/>
    <n v="1539.979"/>
    <n v="469.779"/>
    <n v="30.505545854846073"/>
    <x v="1"/>
    <x v="1"/>
    <s v="CLEAN"/>
  </r>
  <r>
    <x v="395"/>
    <d v="2025-04-16T00:00:00"/>
    <d v="2025-04-23T00:00:00"/>
    <n v="7"/>
    <s v="OK"/>
    <s v="CUST-3308"/>
    <s v="Mira Das"/>
    <x v="1"/>
    <x v="3"/>
    <s v="Goa"/>
    <s v="Panaji"/>
    <x v="2"/>
    <x v="12"/>
    <s v="Elite Machines 836"/>
    <x v="3"/>
    <n v="6"/>
    <n v="2027.32"/>
    <n v="0.1"/>
    <s v="OK"/>
    <n v="10947.53"/>
    <n v="6447.36"/>
    <n v="4500.17"/>
    <x v="0"/>
    <x v="0"/>
    <n v="0.1"/>
    <n v="10947.528"/>
    <n v="4500.1680000000006"/>
    <n v="41.106704636882412"/>
    <x v="9"/>
    <x v="1"/>
    <s v="CLEAN"/>
  </r>
  <r>
    <x v="396"/>
    <d v="2025-03-29T00:00:00"/>
    <d v="2025-04-03T00:00:00"/>
    <n v="5"/>
    <s v="OK"/>
    <s v="CUST-2342"/>
    <s v="Sneha Kapoor"/>
    <x v="2"/>
    <x v="1"/>
    <s v="West Bengal"/>
    <s v="Kolkata"/>
    <x v="1"/>
    <x v="9"/>
    <s v="Smart Bookcases 167"/>
    <x v="2"/>
    <n v="5"/>
    <n v="1425.74"/>
    <n v="0"/>
    <s v="OK"/>
    <n v="7128.7"/>
    <n v="4382.1499999999996"/>
    <n v="2746.55"/>
    <x v="0"/>
    <x v="0"/>
    <n v="0"/>
    <n v="7128.7"/>
    <n v="2746.55"/>
    <n v="38.528062620113069"/>
    <x v="11"/>
    <x v="1"/>
    <s v="CLEAN"/>
  </r>
  <r>
    <x v="397"/>
    <d v="2025-02-27T00:00:00"/>
    <d v="2025-03-01T00:00:00"/>
    <n v="2"/>
    <s v="OK"/>
    <s v="CUST-6201"/>
    <s v="Vikram Iyer"/>
    <x v="1"/>
    <x v="1"/>
    <s v="West Bengal"/>
    <s v="Kolkata"/>
    <x v="1"/>
    <x v="10"/>
    <s v="Max Chairs 244"/>
    <x v="3"/>
    <n v="6"/>
    <n v="551.64"/>
    <n v="0"/>
    <s v="OK"/>
    <n v="3309.84"/>
    <n v="2671.08"/>
    <n v="638.76"/>
    <x v="0"/>
    <x v="0"/>
    <n v="0"/>
    <n v="3309.84"/>
    <n v="638.76000000000022"/>
    <n v="19.298818069755644"/>
    <x v="7"/>
    <x v="1"/>
    <s v="CLEAN"/>
  </r>
  <r>
    <x v="398"/>
    <d v="2025-08-22T00:00:00"/>
    <d v="2025-08-27T00:00:00"/>
    <n v="5"/>
    <s v="OK"/>
    <s v="CUST-5808"/>
    <s v="Priya Menon"/>
    <x v="1"/>
    <x v="1"/>
    <s v="Odisha"/>
    <s v="Bhubaneswar"/>
    <x v="0"/>
    <x v="5"/>
    <s v="Eco Labels 653"/>
    <x v="2"/>
    <n v="3"/>
    <n v="3294.82"/>
    <n v="0.2"/>
    <s v="OK"/>
    <n v="7907.57"/>
    <n v="5391.18"/>
    <n v="2516.39"/>
    <x v="0"/>
    <x v="0"/>
    <n v="0.2"/>
    <n v="7907.5680000000011"/>
    <n v="2516.3880000000008"/>
    <n v="31.822527482533197"/>
    <x v="1"/>
    <x v="1"/>
    <s v="CLEAN"/>
  </r>
  <r>
    <x v="399"/>
    <d v="2025-07-16T00:00:00"/>
    <d v="2025-07-21T00:00:00"/>
    <n v="5"/>
    <s v="OK"/>
    <s v="CUST-8043"/>
    <s v="Sneha Kapoor"/>
    <x v="2"/>
    <x v="1"/>
    <s v="West Bengal"/>
    <s v="Kolkata"/>
    <x v="1"/>
    <x v="1"/>
    <s v="Smart Tables 561"/>
    <x v="2"/>
    <n v="5"/>
    <n v="2129.5100000000002"/>
    <n v="0.15"/>
    <s v="OK"/>
    <n v="9050.42"/>
    <n v="6778.85"/>
    <n v="2271.5700000000002"/>
    <x v="0"/>
    <x v="0"/>
    <n v="0.15"/>
    <n v="9050.4175000000014"/>
    <n v="2271.567500000001"/>
    <n v="25.099035486484471"/>
    <x v="0"/>
    <x v="1"/>
    <s v="CLEAN"/>
  </r>
  <r>
    <x v="400"/>
    <d v="2025-09-27T00:00:00"/>
    <d v="2025-10-03T00:00:00"/>
    <n v="6"/>
    <s v="OK"/>
    <s v="CUST-9978"/>
    <s v="Diya Patel"/>
    <x v="3"/>
    <x v="2"/>
    <s v="Tamil Nadu"/>
    <s v="Chennai"/>
    <x v="1"/>
    <x v="10"/>
    <s v="Prime Chairs 838"/>
    <x v="1"/>
    <n v="9"/>
    <n v="4131.5200000000004"/>
    <n v="0.1"/>
    <s v="OK"/>
    <n v="33465.31"/>
    <n v="24781.26"/>
    <n v="8684.0499999999993"/>
    <x v="0"/>
    <x v="0"/>
    <n v="0.1"/>
    <n v="33465.312000000005"/>
    <n v="8684.052000000007"/>
    <n v="25.949412932411942"/>
    <x v="10"/>
    <x v="1"/>
    <s v="CLEAN"/>
  </r>
  <r>
    <x v="401"/>
    <d v="2025-03-16T00:00:00"/>
    <d v="2025-03-17T00:00:00"/>
    <n v="1"/>
    <s v="OK"/>
    <s v="CUST-7907"/>
    <s v="Karan Malhotra"/>
    <x v="3"/>
    <x v="3"/>
    <s v="Goa"/>
    <s v="Panaji"/>
    <x v="0"/>
    <x v="5"/>
    <s v="Eco Labels 662"/>
    <x v="1"/>
    <n v="3"/>
    <n v="1841.91"/>
    <n v="0"/>
    <s v="OK"/>
    <n v="5525.73"/>
    <n v="3093.42"/>
    <n v="2432.31"/>
    <x v="0"/>
    <x v="0"/>
    <n v="0"/>
    <n v="5525.7300000000005"/>
    <n v="2432.3100000000004"/>
    <n v="44.017894468242211"/>
    <x v="11"/>
    <x v="1"/>
    <s v="CLEAN"/>
  </r>
  <r>
    <x v="402"/>
    <d v="2025-08-24T00:00:00"/>
    <d v="2025-08-29T00:00:00"/>
    <n v="5"/>
    <s v="OK"/>
    <s v="CUST-5909"/>
    <s v="Aarav Sharma"/>
    <x v="1"/>
    <x v="1"/>
    <s v="Bihar"/>
    <s v="Patna"/>
    <x v="2"/>
    <x v="6"/>
    <s v="Smart Copiers 556"/>
    <x v="2"/>
    <n v="3"/>
    <n v="3703.96"/>
    <n v="0.15"/>
    <s v="OK"/>
    <n v="9445.1"/>
    <n v="5586.28"/>
    <n v="3858.82"/>
    <x v="0"/>
    <x v="0"/>
    <n v="0.15"/>
    <n v="9445.098"/>
    <n v="3858.8180000000002"/>
    <n v="40.855245758170007"/>
    <x v="1"/>
    <x v="1"/>
    <s v="CLEAN"/>
  </r>
  <r>
    <x v="402"/>
    <d v="2025-08-24T00:00:00"/>
    <d v="2025-08-29T00:00:00"/>
    <n v="5"/>
    <s v="OK"/>
    <s v="CUST-5909"/>
    <s v="Aarav Sharma"/>
    <x v="1"/>
    <x v="1"/>
    <s v="Bihar"/>
    <s v="Patna"/>
    <x v="2"/>
    <x v="6"/>
    <s v="Smart Copiers 556"/>
    <x v="2"/>
    <n v="3"/>
    <n v="3703.96"/>
    <n v="0.15"/>
    <s v="OK"/>
    <n v="9549.44"/>
    <n v="5586.28"/>
    <n v="3858.82"/>
    <x v="0"/>
    <x v="1"/>
    <n v="0.15"/>
    <n v="9445.098"/>
    <n v="3858.8180000000002"/>
    <n v="40.855245758170007"/>
    <x v="1"/>
    <x v="1"/>
    <s v="CLEAN"/>
  </r>
  <r>
    <x v="403"/>
    <d v="2025-02-03T00:00:00"/>
    <d v="2025-03-08T00:00:00"/>
    <n v="33"/>
    <s v="OK"/>
    <s v="CUST-6409"/>
    <s v="Sneha Kapoor"/>
    <x v="2"/>
    <x v="3"/>
    <s v="Madhya Pradesh"/>
    <s v="Indore"/>
    <x v="2"/>
    <x v="6"/>
    <s v="Prime Copiers 575"/>
    <x v="0"/>
    <n v="9"/>
    <n v="269.68"/>
    <n v="0"/>
    <s v="OK"/>
    <n v="2427.12"/>
    <n v="1538.35"/>
    <n v="804.53"/>
    <x v="0"/>
    <x v="0"/>
    <n v="0"/>
    <n v="2427.12"/>
    <n v="888.77"/>
    <n v="36.618296581957217"/>
    <x v="7"/>
    <x v="1"/>
    <s v="CLEAN"/>
  </r>
  <r>
    <x v="404"/>
    <d v="2025-01-23T00:00:00"/>
    <d v="2025-01-26T00:00:00"/>
    <n v="3"/>
    <s v="OK"/>
    <s v="CUST-3014"/>
    <s v="Aarav Sharma"/>
    <x v="0"/>
    <x v="3"/>
    <s v="Madhya Pradesh"/>
    <s v="Indore"/>
    <x v="0"/>
    <x v="0"/>
    <s v="Elite Paper 669"/>
    <x v="3"/>
    <n v="9"/>
    <n v="4458.26"/>
    <n v="0.1"/>
    <s v="OK"/>
    <n v="36111.910000000003"/>
    <n v="29194.5"/>
    <n v="6917.41"/>
    <x v="0"/>
    <x v="0"/>
    <n v="0.1"/>
    <n v="36111.906000000003"/>
    <n v="6917.4060000000027"/>
    <n v="19.15547188232048"/>
    <x v="6"/>
    <x v="1"/>
    <s v="CLEAN"/>
  </r>
  <r>
    <x v="405"/>
    <d v="2025-05-09T00:00:00"/>
    <d v="2025-09-10T00:00:00"/>
    <n v="124"/>
    <s v="OK"/>
    <s v="CUST-2687"/>
    <s v="Sneha Kapoor"/>
    <x v="2"/>
    <x v="3"/>
    <s v="Goa"/>
    <s v="Panaji"/>
    <x v="1"/>
    <x v="9"/>
    <s v="Classic Bookcases 988"/>
    <x v="1"/>
    <n v="6"/>
    <n v="1754.13"/>
    <n v="0"/>
    <s v="OK"/>
    <n v="10524.78"/>
    <n v="8841.0499999999993"/>
    <n v="1683.73"/>
    <x v="0"/>
    <x v="0"/>
    <n v="0"/>
    <n v="10524.78"/>
    <n v="1683.7300000000014"/>
    <n v="15.997769074507984"/>
    <x v="4"/>
    <x v="1"/>
    <s v="CLEAN"/>
  </r>
  <r>
    <x v="406"/>
    <d v="2025-08-08T00:00:00"/>
    <d v="2025-08-11T00:00:00"/>
    <n v="3"/>
    <s v="OK"/>
    <s v="CUST-8111"/>
    <s v="Diya Patel"/>
    <x v="1"/>
    <x v="3"/>
    <s v="Gujarat"/>
    <s v="Ahmedabad"/>
    <x v="0"/>
    <x v="7"/>
    <s v="Basic Storage 656"/>
    <x v="1"/>
    <n v="5"/>
    <n v="3602.36"/>
    <n v="0.2"/>
    <s v="OK"/>
    <n v="14409.44"/>
    <n v="8809.9699999999993"/>
    <n v="5599.47"/>
    <x v="1"/>
    <x v="1"/>
    <n v="0.2"/>
    <n v="14409.44"/>
    <n v="5599.4700000000012"/>
    <n v="38.859733619071953"/>
    <x v="1"/>
    <x v="1"/>
    <s v="CLEAN"/>
  </r>
  <r>
    <x v="407"/>
    <d v="2025-11-01T00:00:00"/>
    <d v="2025-11-01T00:00:00"/>
    <n v="0"/>
    <s v="OK"/>
    <s v="CUST-3865"/>
    <s v="Aditi Sen"/>
    <x v="1"/>
    <x v="3"/>
    <s v="Rajasthan"/>
    <s v="Udaipur"/>
    <x v="2"/>
    <x v="4"/>
    <s v="Smart Accessories 542"/>
    <x v="1"/>
    <n v="3"/>
    <n v="2165.29"/>
    <n v="0"/>
    <s v="OK"/>
    <n v="6495.87"/>
    <n v="4700.8900000000003"/>
    <n v="1794.98"/>
    <x v="0"/>
    <x v="0"/>
    <n v="0"/>
    <n v="6495.87"/>
    <n v="1794.9799999999996"/>
    <n v="27.632634273777022"/>
    <x v="3"/>
    <x v="1"/>
    <s v="CLEAN"/>
  </r>
  <r>
    <x v="408"/>
    <d v="2025-09-12T00:00:00"/>
    <d v="2025-09-18T00:00:00"/>
    <n v="6"/>
    <s v="OK"/>
    <s v="CUST-6015"/>
    <s v="Aarav Sharma"/>
    <x v="3"/>
    <x v="2"/>
    <s v="Kerala"/>
    <s v="Kochi"/>
    <x v="0"/>
    <x v="7"/>
    <s v="Eco Storage 936"/>
    <x v="3"/>
    <n v="6"/>
    <n v="1673.8"/>
    <n v="0.05"/>
    <s v="OK"/>
    <n v="9540.66"/>
    <n v="5561.49"/>
    <n v="3979.17"/>
    <x v="0"/>
    <x v="0"/>
    <n v="0.05"/>
    <n v="9540.659999999998"/>
    <n v="3979.1699999999983"/>
    <n v="41.707491934520242"/>
    <x v="10"/>
    <x v="1"/>
    <s v="CLEAN"/>
  </r>
  <r>
    <x v="409"/>
    <d v="2025-05-02T00:00:00"/>
    <d v="2025-05-10T00:00:00"/>
    <n v="8"/>
    <s v="OK"/>
    <s v="CUST-6263"/>
    <s v="Kabir Singh"/>
    <x v="2"/>
    <x v="3"/>
    <s v="Maharashtra"/>
    <s v="Mumbai"/>
    <x v="1"/>
    <x v="1"/>
    <s v="Prime Tables 377"/>
    <x v="2"/>
    <n v="4"/>
    <n v="2440.34"/>
    <n v="0.2"/>
    <s v="OK"/>
    <n v="7809.09"/>
    <n v="6657.75"/>
    <n v="1151.3399999999999"/>
    <x v="0"/>
    <x v="0"/>
    <n v="0.2"/>
    <n v="7809.0880000000006"/>
    <n v="1151.3380000000006"/>
    <n v="14.743565445798543"/>
    <x v="4"/>
    <x v="1"/>
    <s v="CLEAN"/>
  </r>
  <r>
    <x v="410"/>
    <d v="2025-08-23T00:00:00"/>
    <d v="2025-08-27T00:00:00"/>
    <n v="4"/>
    <s v="OK"/>
    <s v="CUST-3740"/>
    <s v="Sneha Kapoor"/>
    <x v="0"/>
    <x v="0"/>
    <s v="Delhi"/>
    <s v="New Delhi"/>
    <x v="0"/>
    <x v="11"/>
    <s v="Classic Binders 660"/>
    <x v="0"/>
    <n v="1"/>
    <n v="2788.62"/>
    <n v="0.25"/>
    <s v="OK"/>
    <n v="2091.4699999999998"/>
    <n v="1317.22"/>
    <n v="774.25"/>
    <x v="0"/>
    <x v="0"/>
    <n v="0.25"/>
    <n v="2091.4650000000001"/>
    <n v="774.24500000000012"/>
    <n v="37.019266399389906"/>
    <x v="1"/>
    <x v="1"/>
    <s v="CLEAN"/>
  </r>
  <r>
    <x v="411"/>
    <d v="2025-09-24T00:00:00"/>
    <d v="2025-09-26T00:00:00"/>
    <n v="2"/>
    <s v="OK"/>
    <s v="CUST-1715"/>
    <s v="Priya Menon"/>
    <x v="2"/>
    <x v="0"/>
    <s v="Delhi"/>
    <s v="New Delhi"/>
    <x v="2"/>
    <x v="6"/>
    <s v="Prime Copiers 651"/>
    <x v="3"/>
    <n v="3"/>
    <n v="1593.86"/>
    <n v="0.1"/>
    <s v="OK"/>
    <n v="4303.42"/>
    <n v="2568.5700000000002"/>
    <n v="1734.85"/>
    <x v="0"/>
    <x v="0"/>
    <n v="0.1"/>
    <n v="4303.4220000000005"/>
    <n v="1734.8520000000003"/>
    <n v="40.313313451481179"/>
    <x v="10"/>
    <x v="1"/>
    <s v="CLEAN"/>
  </r>
  <r>
    <x v="412"/>
    <d v="2025-01-30T00:00:00"/>
    <d v="2025-01-26T00:00:00"/>
    <n v="-4"/>
    <s v="INVALID"/>
    <s v="CUST-6802"/>
    <s v="Priya Menon"/>
    <x v="2"/>
    <x v="3"/>
    <s v="Madhya Pradesh"/>
    <s v="Indore"/>
    <x v="0"/>
    <x v="7"/>
    <s v="Basic Storage 321"/>
    <x v="0"/>
    <n v="2"/>
    <n v="3039.3"/>
    <n v="0.05"/>
    <s v="OK"/>
    <n v="5774.67"/>
    <n v="3518.36"/>
    <n v="2256.31"/>
    <x v="0"/>
    <x v="0"/>
    <n v="0.05"/>
    <n v="5774.67"/>
    <n v="2256.31"/>
    <n v="39.072535746631409"/>
    <x v="6"/>
    <x v="1"/>
    <s v="INVALID"/>
  </r>
  <r>
    <x v="413"/>
    <d v="2025-09-29T00:00:00"/>
    <d v="2025-10-04T00:00:00"/>
    <n v="5"/>
    <s v="OK"/>
    <s v="CUST-7637"/>
    <s v="Ananya Rao"/>
    <x v="3"/>
    <x v="1"/>
    <s v="Jharkhand"/>
    <s v="Ranchi"/>
    <x v="0"/>
    <x v="0"/>
    <s v="Pro Paper 934"/>
    <x v="1"/>
    <n v="9"/>
    <n v="373.91"/>
    <n v="0.2"/>
    <s v="OK"/>
    <n v="2692.15"/>
    <n v="2044.49"/>
    <n v="647.66"/>
    <x v="0"/>
    <x v="0"/>
    <n v="0.2"/>
    <n v="2692.152"/>
    <n v="647.66200000000003"/>
    <n v="24.057408348414207"/>
    <x v="10"/>
    <x v="1"/>
    <s v="CLEAN"/>
  </r>
  <r>
    <x v="414"/>
    <d v="2025-08-24T00:00:00"/>
    <d v="2025-08-24T00:00:00"/>
    <n v="0"/>
    <s v="OK"/>
    <s v="CUST-1148"/>
    <s v="Diya Patel"/>
    <x v="1"/>
    <x v="2"/>
    <s v="Kerala"/>
    <s v="Kochi"/>
    <x v="1"/>
    <x v="9"/>
    <s v="Prime Bookcases 954"/>
    <x v="3"/>
    <n v="1"/>
    <n v="3424.78"/>
    <n v="0"/>
    <s v="OK"/>
    <n v="3424.78"/>
    <n v="1951.45"/>
    <n v="1473.33"/>
    <x v="0"/>
    <x v="0"/>
    <n v="0"/>
    <n v="3424.78"/>
    <n v="1473.3300000000002"/>
    <n v="43.019697615613268"/>
    <x v="1"/>
    <x v="1"/>
    <s v="CLEAN"/>
  </r>
  <r>
    <x v="415"/>
    <d v="2025-09-02T00:00:00"/>
    <d v="2025-02-15T00:00:00"/>
    <n v="-199"/>
    <s v="INVALID"/>
    <s v="CUST-3350"/>
    <s v="Mira Das"/>
    <x v="3"/>
    <x v="1"/>
    <s v="Jharkhand"/>
    <s v="Ranchi"/>
    <x v="0"/>
    <x v="11"/>
    <s v="Max Binders 362"/>
    <x v="3"/>
    <n v="9"/>
    <n v="4330.33"/>
    <n v="0.2"/>
    <s v="OK"/>
    <n v="31178.38"/>
    <n v="21421.09"/>
    <n v="9757.2900000000009"/>
    <x v="0"/>
    <x v="0"/>
    <n v="0.2"/>
    <n v="31178.376000000004"/>
    <n v="9757.2860000000037"/>
    <n v="31.29504243582155"/>
    <x v="10"/>
    <x v="1"/>
    <s v="INVALID"/>
  </r>
  <r>
    <x v="416"/>
    <d v="2025-01-09T00:00:00"/>
    <d v="2025-01-09T00:00:00"/>
    <n v="0"/>
    <s v="OK"/>
    <s v="CUST-7932"/>
    <s v="Sneha Kapoor"/>
    <x v="1"/>
    <x v="0"/>
    <s v="Rajasthan"/>
    <s v="Jaipur"/>
    <x v="1"/>
    <x v="10"/>
    <s v="Prime Chairs 261"/>
    <x v="1"/>
    <n v="8"/>
    <n v="2667.07"/>
    <n v="0.1"/>
    <s v="OK"/>
    <n v="19202.900000000001"/>
    <n v="15526.62"/>
    <n v="3676.28"/>
    <x v="0"/>
    <x v="0"/>
    <n v="0.1"/>
    <n v="19202.904000000002"/>
    <n v="3676.2840000000015"/>
    <n v="19.14441690694283"/>
    <x v="6"/>
    <x v="1"/>
    <s v="CLEAN"/>
  </r>
  <r>
    <x v="417"/>
    <d v="2025-03-02T00:00:00"/>
    <d v="2025-07-03T00:00:00"/>
    <n v="123"/>
    <s v="OK"/>
    <s v="CUST-4225"/>
    <s v="Neha Gupta"/>
    <x v="3"/>
    <x v="2"/>
    <s v="Karnataka"/>
    <s v="Bengaluru"/>
    <x v="0"/>
    <x v="5"/>
    <s v="Basic Labels 509"/>
    <x v="3"/>
    <n v="8"/>
    <n v="1287.6300000000001"/>
    <n v="0"/>
    <s v="OK"/>
    <n v="10301.040000000001"/>
    <n v="6564.06"/>
    <n v="3736.98"/>
    <x v="0"/>
    <x v="0"/>
    <n v="0"/>
    <n v="10301.040000000001"/>
    <n v="3736.9800000000005"/>
    <n v="36.277696232613408"/>
    <x v="11"/>
    <x v="1"/>
    <s v="CLEAN"/>
  </r>
  <r>
    <x v="418"/>
    <d v="2025-11-04T00:00:00"/>
    <d v="2025-04-13T00:00:00"/>
    <n v="-205"/>
    <s v="INVALID"/>
    <s v="CUST-6161"/>
    <s v="Mira Das"/>
    <x v="1"/>
    <x v="3"/>
    <s v="Goa"/>
    <s v="Panaji"/>
    <x v="0"/>
    <x v="0"/>
    <s v="Smart Paper 899"/>
    <x v="3"/>
    <n v="4"/>
    <n v="4182.1499999999996"/>
    <n v="0.1"/>
    <s v="OK"/>
    <n v="15055.74"/>
    <n v="9808.83"/>
    <n v="5246.91"/>
    <x v="0"/>
    <x v="0"/>
    <n v="0.1"/>
    <n v="15055.74"/>
    <n v="5246.91"/>
    <n v="34.849897779850075"/>
    <x v="3"/>
    <x v="1"/>
    <s v="INVALID"/>
  </r>
  <r>
    <x v="419"/>
    <d v="2025-07-30T00:00:00"/>
    <d v="2025-08-01T00:00:00"/>
    <n v="2"/>
    <s v="OK"/>
    <s v="CUST-1460"/>
    <s v="Sneha Kapoor"/>
    <x v="1"/>
    <x v="2"/>
    <s v="Tamil Nadu"/>
    <s v="Chennai"/>
    <x v="0"/>
    <x v="7"/>
    <s v="Classic Storage 423"/>
    <x v="1"/>
    <n v="9"/>
    <n v="3165.43"/>
    <n v="0.1"/>
    <s v="OK"/>
    <n v="25639.98"/>
    <n v="21635.08"/>
    <n v="4004.9"/>
    <x v="0"/>
    <x v="0"/>
    <n v="0.1"/>
    <n v="25639.983"/>
    <n v="4004.9029999999984"/>
    <n v="15.619756846172631"/>
    <x v="0"/>
    <x v="1"/>
    <s v="CLEAN"/>
  </r>
  <r>
    <x v="420"/>
    <d v="2025-02-09T00:00:00"/>
    <d v="2025-02-13T00:00:00"/>
    <n v="4"/>
    <s v="OK"/>
    <s v="CUST-2822"/>
    <s v="Mira Das"/>
    <x v="3"/>
    <x v="3"/>
    <s v="Madhya Pradesh"/>
    <s v="Indore"/>
    <x v="2"/>
    <x v="8"/>
    <s v="Smart Phones 336"/>
    <x v="4"/>
    <n v="8"/>
    <n v="1696.07"/>
    <n v="0.25"/>
    <s v="OK"/>
    <n v="10176.42"/>
    <n v="7604.47"/>
    <n v="2571.9499999999998"/>
    <x v="0"/>
    <x v="0"/>
    <n v="0.25"/>
    <n v="10176.42"/>
    <n v="2571.9499999999998"/>
    <n v="25.273622747488801"/>
    <x v="7"/>
    <x v="1"/>
    <s v="CLEAN"/>
  </r>
  <r>
    <x v="421"/>
    <d v="2025-03-27T00:00:00"/>
    <d v="2025-03-27T00:00:00"/>
    <n v="0"/>
    <s v="OK"/>
    <s v="CUST-4058"/>
    <s v="Vikram Iyer"/>
    <x v="1"/>
    <x v="1"/>
    <s v="Bihar"/>
    <s v="Patna"/>
    <x v="2"/>
    <x v="12"/>
    <s v="Eco Machines 657"/>
    <x v="0"/>
    <n v="7"/>
    <n v="2305.37"/>
    <n v="0.25"/>
    <s v="OK"/>
    <n v="12103.19"/>
    <n v="6717.87"/>
    <n v="5385.32"/>
    <x v="0"/>
    <x v="0"/>
    <n v="0.25"/>
    <n v="12103.192500000001"/>
    <n v="5385.3225000000011"/>
    <n v="44.495057812225994"/>
    <x v="11"/>
    <x v="1"/>
    <s v="CLEAN"/>
  </r>
  <r>
    <x v="422"/>
    <d v="2025-09-21T00:00:00"/>
    <d v="2025-09-26T00:00:00"/>
    <n v="5"/>
    <s v="OK"/>
    <s v="CUST-2548"/>
    <s v="Rohan Mehta"/>
    <x v="3"/>
    <x v="3"/>
    <s v="Gujarat"/>
    <s v="Ahmedabad"/>
    <x v="1"/>
    <x v="1"/>
    <s v="Elite Tables 389"/>
    <x v="4"/>
    <n v="6"/>
    <n v="2903.58"/>
    <n v="0.1"/>
    <s v="OK"/>
    <n v="15679.33"/>
    <n v="12477.82"/>
    <n v="3201.51"/>
    <x v="1"/>
    <x v="1"/>
    <n v="0.1"/>
    <n v="15679.332"/>
    <n v="3201.5120000000006"/>
    <n v="20.41867599971734"/>
    <x v="10"/>
    <x v="1"/>
    <s v="CLEAN"/>
  </r>
  <r>
    <x v="423"/>
    <d v="2025-09-09T00:00:00"/>
    <d v="2025-09-14T00:00:00"/>
    <n v="5"/>
    <s v="OK"/>
    <s v="CUST-3833"/>
    <s v="Rahul Verma"/>
    <x v="1"/>
    <x v="1"/>
    <s v="West Bengal"/>
    <s v="Kolkata"/>
    <x v="1"/>
    <x v="9"/>
    <s v="Pro Bookcases 595"/>
    <x v="0"/>
    <n v="1"/>
    <n v="3154.42"/>
    <n v="0.25"/>
    <s v="OK"/>
    <n v="2365.8200000000002"/>
    <n v="1547.99"/>
    <n v="817.83"/>
    <x v="0"/>
    <x v="0"/>
    <n v="0.25"/>
    <n v="2365.8150000000001"/>
    <n v="817.82500000000005"/>
    <n v="34.568425679945392"/>
    <x v="10"/>
    <x v="1"/>
    <s v="CLEAN"/>
  </r>
  <r>
    <x v="424"/>
    <d v="2025-02-20T00:00:00"/>
    <d v="2025-02-26T00:00:00"/>
    <n v="6"/>
    <s v="OK"/>
    <s v="CUST-7215"/>
    <s v="Karan Malhotra"/>
    <x v="1"/>
    <x v="3"/>
    <s v="Gujarat"/>
    <s v="Ahmedabad"/>
    <x v="0"/>
    <x v="5"/>
    <s v="Basic Labels 671"/>
    <x v="2"/>
    <n v="1"/>
    <n v="2557.85"/>
    <n v="0.2"/>
    <s v="OK"/>
    <n v="2046.28"/>
    <n v="1449.54"/>
    <n v="596.74"/>
    <x v="0"/>
    <x v="0"/>
    <n v="0.2"/>
    <n v="2046.28"/>
    <n v="596.74"/>
    <n v="29.162186992982384"/>
    <x v="7"/>
    <x v="1"/>
    <s v="CLEAN"/>
  </r>
  <r>
    <x v="425"/>
    <d v="2025-08-18T00:00:00"/>
    <d v="2025-08-18T00:00:00"/>
    <n v="0"/>
    <s v="OK"/>
    <s v="CUST-7770"/>
    <s v="Arjun Bose"/>
    <x v="3"/>
    <x v="2"/>
    <s v="Karnataka"/>
    <s v="Bengaluru"/>
    <x v="0"/>
    <x v="7"/>
    <s v="Elite Storage 628"/>
    <x v="2"/>
    <n v="9"/>
    <n v="3030.93"/>
    <n v="0.15"/>
    <s v="OK"/>
    <n v="23186.61"/>
    <n v="17906.54"/>
    <n v="5280.07"/>
    <x v="0"/>
    <x v="1"/>
    <n v="0.15"/>
    <n v="23186.6145"/>
    <n v="5280.0744999999988"/>
    <n v="22.772080417345961"/>
    <x v="1"/>
    <x v="1"/>
    <s v="CLEAN"/>
  </r>
  <r>
    <x v="426"/>
    <d v="2025-09-13T00:00:00"/>
    <d v="2025-09-13T00:00:00"/>
    <n v="0"/>
    <s v="OK"/>
    <s v="CUST-2261"/>
    <s v="Diya Patel"/>
    <x v="0"/>
    <x v="1"/>
    <s v="Assam"/>
    <s v="Guwahati"/>
    <x v="0"/>
    <x v="2"/>
    <s v="Pro Art 734"/>
    <x v="3"/>
    <n v="8"/>
    <n v="733.9"/>
    <n v="0.05"/>
    <s v="OK"/>
    <n v="5577.64"/>
    <n v="3541.29"/>
    <n v="2036.35"/>
    <x v="1"/>
    <x v="1"/>
    <n v="0.05"/>
    <n v="5577.6399999999994"/>
    <n v="2036.3499999999995"/>
    <n v="36.509168752375551"/>
    <x v="10"/>
    <x v="1"/>
    <s v="CLEAN"/>
  </r>
  <r>
    <x v="427"/>
    <d v="2025-07-09T00:00:00"/>
    <d v="2025-09-15T00:00:00"/>
    <n v="68"/>
    <s v="OK"/>
    <s v="CUST-3734"/>
    <s v="Rohan Mehta"/>
    <x v="2"/>
    <x v="1"/>
    <s v="Bihar"/>
    <s v="Patna"/>
    <x v="2"/>
    <x v="6"/>
    <s v="Eco Copiers 102"/>
    <x v="3"/>
    <n v="3"/>
    <n v="1711.32"/>
    <n v="0"/>
    <s v="OK"/>
    <n v="5133.96"/>
    <n v="3930"/>
    <n v="1203.96"/>
    <x v="0"/>
    <x v="0"/>
    <n v="0"/>
    <n v="5133.96"/>
    <n v="1203.96"/>
    <n v="23.450903396208776"/>
    <x v="0"/>
    <x v="1"/>
    <s v="CLEAN"/>
  </r>
  <r>
    <x v="427"/>
    <d v="2025-07-09T00:00:00"/>
    <d v="2025-09-15T00:00:00"/>
    <n v="68"/>
    <s v="OK"/>
    <s v="CUST-3734"/>
    <s v="Rohan Mehta"/>
    <x v="2"/>
    <x v="1"/>
    <s v="Bihar"/>
    <s v="Patna"/>
    <x v="2"/>
    <x v="6"/>
    <s v="Eco Copiers 102"/>
    <x v="3"/>
    <n v="3"/>
    <n v="1711.32"/>
    <n v="0"/>
    <s v="OK"/>
    <n v="5206.53"/>
    <n v="3930"/>
    <n v="1203.96"/>
    <x v="0"/>
    <x v="1"/>
    <n v="0"/>
    <n v="5133.96"/>
    <n v="1203.96"/>
    <n v="23.450903396208776"/>
    <x v="0"/>
    <x v="1"/>
    <s v="CLEAN"/>
  </r>
  <r>
    <x v="428"/>
    <d v="2025-02-23T00:00:00"/>
    <d v="2025-02-25T00:00:00"/>
    <n v="2"/>
    <s v="OK"/>
    <s v="CUST-3436"/>
    <s v="Karan Malhotra"/>
    <x v="2"/>
    <x v="1"/>
    <s v="Bihar"/>
    <s v="Patna"/>
    <x v="0"/>
    <x v="5"/>
    <s v="Basic Labels 876"/>
    <x v="1"/>
    <n v="5"/>
    <n v="4246.2700000000004"/>
    <n v="0.25"/>
    <s v="OK"/>
    <n v="15923.51"/>
    <n v="11291.8"/>
    <n v="4631.71"/>
    <x v="0"/>
    <x v="0"/>
    <n v="0.25"/>
    <n v="15923.512500000001"/>
    <n v="4631.7125000000015"/>
    <n v="29.08725383297185"/>
    <x v="7"/>
    <x v="1"/>
    <s v="CLEAN"/>
  </r>
  <r>
    <x v="429"/>
    <d v="2025-09-28T00:00:00"/>
    <d v="2025-04-10T00:00:00"/>
    <n v="-171"/>
    <s v="INVALID"/>
    <s v="CUST-5475"/>
    <s v="Karan Malhotra"/>
    <x v="1"/>
    <x v="2"/>
    <s v="Karnataka"/>
    <s v="Bengaluru"/>
    <x v="1"/>
    <x v="9"/>
    <s v="Pro Bookcases 319"/>
    <x v="2"/>
    <n v="6"/>
    <n v="1620.53"/>
    <n v="0.15"/>
    <s v="OK"/>
    <n v="8264.7000000000007"/>
    <n v="4768.75"/>
    <n v="3495.95"/>
    <x v="1"/>
    <x v="1"/>
    <n v="0.15"/>
    <n v="8264.7029999999995"/>
    <n v="3495.9529999999995"/>
    <n v="42.299801940856192"/>
    <x v="10"/>
    <x v="1"/>
    <s v="INVALID"/>
  </r>
  <r>
    <x v="430"/>
    <d v="2025-03-18T00:00:00"/>
    <d v="2025-03-26T00:00:00"/>
    <n v="8"/>
    <s v="OK"/>
    <s v="CUST-3027"/>
    <s v="Vikram Iyer"/>
    <x v="2"/>
    <x v="1"/>
    <s v="Jharkhand"/>
    <s v="Ranchi"/>
    <x v="1"/>
    <x v="9"/>
    <s v="Pro Bookcases 612"/>
    <x v="3"/>
    <n v="8"/>
    <n v="3563.09"/>
    <n v="0.15"/>
    <s v="OK"/>
    <n v="24229.01"/>
    <n v="13910.64"/>
    <n v="10318.370000000001"/>
    <x v="0"/>
    <x v="0"/>
    <n v="0.15"/>
    <n v="24229.011999999999"/>
    <n v="10318.371999999999"/>
    <n v="42.586845885420338"/>
    <x v="11"/>
    <x v="1"/>
    <s v="CLEAN"/>
  </r>
  <r>
    <x v="431"/>
    <d v="2025-09-09T00:00:00"/>
    <d v="2025-10-09T00:00:00"/>
    <n v="30"/>
    <s v="OK"/>
    <s v="CUST-5119"/>
    <s v="Priya Menon"/>
    <x v="3"/>
    <x v="2"/>
    <s v="Tamil Nadu"/>
    <s v="Chennai"/>
    <x v="0"/>
    <x v="2"/>
    <s v="Pro Art 587"/>
    <x v="0"/>
    <n v="4"/>
    <n v="2551.4499999999998"/>
    <n v="0"/>
    <s v="OK"/>
    <n v="10205.799999999999"/>
    <n v="5986.31"/>
    <n v="4219.49"/>
    <x v="0"/>
    <x v="0"/>
    <n v="0"/>
    <n v="10205.799999999999"/>
    <n v="4219.4899999999989"/>
    <n v="41.344039663720622"/>
    <x v="10"/>
    <x v="1"/>
    <s v="CLEAN"/>
  </r>
  <r>
    <x v="432"/>
    <d v="2025-06-24T00:00:00"/>
    <d v="2025-06-27T00:00:00"/>
    <n v="3"/>
    <s v="OK"/>
    <s v="CUST-3366"/>
    <s v="Vikram Iyer"/>
    <x v="3"/>
    <x v="2"/>
    <s v="Telangana"/>
    <s v="Hyderabad"/>
    <x v="2"/>
    <x v="6"/>
    <s v="Elite Copiers 788"/>
    <x v="3"/>
    <n v="7"/>
    <n v="2304.86"/>
    <n v="0.2"/>
    <s v="OK"/>
    <n v="12907.22"/>
    <n v="8327.89"/>
    <n v="4579.33"/>
    <x v="0"/>
    <x v="1"/>
    <n v="0.2"/>
    <n v="12907.216"/>
    <n v="4579.3260000000009"/>
    <n v="35.478805034331188"/>
    <x v="2"/>
    <x v="1"/>
    <s v="CLEAN"/>
  </r>
  <r>
    <x v="433"/>
    <d v="2025-05-01T00:00:00"/>
    <d v="2025-05-02T00:00:00"/>
    <n v="1"/>
    <s v="OK"/>
    <s v="CUST-3109"/>
    <s v="Mira Das"/>
    <x v="0"/>
    <x v="3"/>
    <s v="Madhya Pradesh"/>
    <s v="Indore"/>
    <x v="1"/>
    <x v="10"/>
    <s v="Pro Chairs 844"/>
    <x v="1"/>
    <n v="3"/>
    <n v="2905.74"/>
    <n v="0"/>
    <s v="OK"/>
    <n v="8717.2199999999993"/>
    <n v="6215.96"/>
    <n v="2501.2600000000002"/>
    <x v="0"/>
    <x v="1"/>
    <n v="0"/>
    <n v="8717.2199999999993"/>
    <n v="2501.2599999999993"/>
    <n v="28.693321953558581"/>
    <x v="4"/>
    <x v="1"/>
    <s v="CLEAN"/>
  </r>
  <r>
    <x v="434"/>
    <d v="2025-05-21T00:00:00"/>
    <d v="2025-05-28T00:00:00"/>
    <n v="7"/>
    <s v="OK"/>
    <s v="CUST-3422"/>
    <s v="Priya Menon"/>
    <x v="2"/>
    <x v="1"/>
    <s v="West Bengal"/>
    <s v="Kolkata"/>
    <x v="1"/>
    <x v="9"/>
    <s v="Elite Bookcases 883"/>
    <x v="1"/>
    <n v="2"/>
    <n v="3559.57"/>
    <n v="0.1"/>
    <s v="OK"/>
    <n v="6553.95"/>
    <n v="4923.09"/>
    <n v="1484.14"/>
    <x v="0"/>
    <x v="0"/>
    <n v="0.1"/>
    <n v="6407.2260000000006"/>
    <n v="1484.1360000000004"/>
    <n v="23.163471992403579"/>
    <x v="4"/>
    <x v="1"/>
    <s v="CLEAN"/>
  </r>
  <r>
    <x v="435"/>
    <d v="2025-05-06T00:00:00"/>
    <d v="2025-05-07T00:00:00"/>
    <n v="1"/>
    <s v="OK"/>
    <s v="CUST-3375"/>
    <s v="Arjun Bose"/>
    <x v="0"/>
    <x v="3"/>
    <s v="Rajasthan"/>
    <s v="Udaipur"/>
    <x v="1"/>
    <x v="9"/>
    <s v="Basic Bookcases 754"/>
    <x v="2"/>
    <n v="9"/>
    <n v="3318.24"/>
    <n v="0"/>
    <s v="OK"/>
    <n v="25384.54"/>
    <n v="16872.39"/>
    <n v="8512.15"/>
    <x v="0"/>
    <x v="0"/>
    <n v="0"/>
    <n v="29864.159999999996"/>
    <n v="12991.769999999997"/>
    <n v="43.502881045373449"/>
    <x v="4"/>
    <x v="1"/>
    <s v="CLEAN"/>
  </r>
  <r>
    <x v="436"/>
    <d v="2025-04-20T00:00:00"/>
    <d v="2025-04-21T00:00:00"/>
    <n v="1"/>
    <s v="OK"/>
    <s v="CUST-5138"/>
    <s v="Aditi Sen"/>
    <x v="0"/>
    <x v="2"/>
    <s v="Tamil Nadu"/>
    <s v="Chennai"/>
    <x v="0"/>
    <x v="7"/>
    <s v="Eco Storage 158"/>
    <x v="2"/>
    <n v="3"/>
    <n v="540.09"/>
    <n v="0.1"/>
    <s v="OK"/>
    <n v="1458.24"/>
    <n v="943.32"/>
    <n v="514.91999999999996"/>
    <x v="0"/>
    <x v="0"/>
    <n v="0.1"/>
    <n v="1458.2429999999999"/>
    <n v="514.92299999999989"/>
    <n v="35.311192990468662"/>
    <x v="9"/>
    <x v="1"/>
    <s v="CLEAN"/>
  </r>
  <r>
    <x v="437"/>
    <d v="2025-01-28T00:00:00"/>
    <d v="2025-01-31T00:00:00"/>
    <n v="3"/>
    <s v="OK"/>
    <s v="CUST-3637"/>
    <s v="Priya Menon"/>
    <x v="0"/>
    <x v="3"/>
    <s v="Maharashtra"/>
    <s v="Mumbai"/>
    <x v="1"/>
    <x v="3"/>
    <s v="Prime Furnishings 433"/>
    <x v="2"/>
    <n v="9"/>
    <n v="858.39"/>
    <n v="0.05"/>
    <s v="OK"/>
    <n v="7339.23"/>
    <n v="5434.12"/>
    <n v="1905.11"/>
    <x v="1"/>
    <x v="1"/>
    <n v="0.05"/>
    <n v="7339.2344999999996"/>
    <n v="1905.1144999999997"/>
    <n v="25.957945614082771"/>
    <x v="6"/>
    <x v="1"/>
    <s v="CLEAN"/>
  </r>
  <r>
    <x v="438"/>
    <d v="2025-07-22T00:00:00"/>
    <d v="2025-07-24T00:00:00"/>
    <n v="2"/>
    <s v="OK"/>
    <s v="CUST-4328"/>
    <s v="Neha Gupta"/>
    <x v="3"/>
    <x v="2"/>
    <s v="Andhra Pradesh"/>
    <s v="Vijayawada"/>
    <x v="1"/>
    <x v="3"/>
    <s v="Smart Furnishings 685"/>
    <x v="1"/>
    <n v="5"/>
    <n v="1922.83"/>
    <n v="0"/>
    <s v="OK"/>
    <n v="9614.15"/>
    <n v="7576.84"/>
    <n v="2037.31"/>
    <x v="0"/>
    <x v="0"/>
    <n v="0"/>
    <n v="9614.15"/>
    <n v="2037.3099999999995"/>
    <n v="21.190744891644083"/>
    <x v="0"/>
    <x v="1"/>
    <s v="CLEAN"/>
  </r>
  <r>
    <x v="439"/>
    <d v="2025-03-31T00:00:00"/>
    <d v="2025-07-04T00:00:00"/>
    <n v="95"/>
    <s v="OK"/>
    <s v="CUST-6106"/>
    <s v="Rahul Verma"/>
    <x v="1"/>
    <x v="1"/>
    <s v="Bihar"/>
    <s v="Patna"/>
    <x v="0"/>
    <x v="7"/>
    <s v="Basic Storage 961"/>
    <x v="0"/>
    <n v="5"/>
    <n v="4096.4399999999996"/>
    <n v="0.15"/>
    <s v="OK"/>
    <n v="17409.87"/>
    <n v="14076.25"/>
    <n v="3333.62"/>
    <x v="0"/>
    <x v="0"/>
    <n v="0.15"/>
    <n v="17409.869999999995"/>
    <n v="3333.6199999999953"/>
    <n v="19.147874165631311"/>
    <x v="11"/>
    <x v="1"/>
    <s v="CLEAN"/>
  </r>
  <r>
    <x v="440"/>
    <d v="2025-03-28T00:00:00"/>
    <d v="2025-03-28T00:00:00"/>
    <n v="0"/>
    <s v="OK"/>
    <s v="CUST-9378"/>
    <s v="Sneha Kapoor"/>
    <x v="2"/>
    <x v="3"/>
    <s v="Goa"/>
    <s v="Panaji"/>
    <x v="2"/>
    <x v="4"/>
    <s v="Prime Accessories 733"/>
    <x v="3"/>
    <n v="8"/>
    <n v="1740.94"/>
    <n v="0.05"/>
    <s v="OK"/>
    <n v="13231.14"/>
    <n v="11290.06"/>
    <n v="1941.08"/>
    <x v="0"/>
    <x v="0"/>
    <n v="0.05"/>
    <n v="13231.144"/>
    <n v="1941.0840000000007"/>
    <n v="14.670568168557462"/>
    <x v="11"/>
    <x v="1"/>
    <s v="CLEAN"/>
  </r>
  <r>
    <x v="441"/>
    <d v="2025-07-20T00:00:00"/>
    <d v="2025-07-23T00:00:00"/>
    <n v="3"/>
    <s v="OK"/>
    <s v="CUST-1986"/>
    <s v="Mira Das"/>
    <x v="3"/>
    <x v="1"/>
    <s v="West Bengal"/>
    <s v="Kolkata"/>
    <x v="1"/>
    <x v="1"/>
    <s v="Elite Tables 318"/>
    <x v="0"/>
    <n v="4"/>
    <n v="477.69"/>
    <n v="0.15"/>
    <s v="OK"/>
    <n v="1624.15"/>
    <n v="1217.99"/>
    <n v="406.16"/>
    <x v="0"/>
    <x v="0"/>
    <n v="0.15"/>
    <n v="1624.146"/>
    <n v="406.15599999999995"/>
    <n v="25.007357712914967"/>
    <x v="0"/>
    <x v="1"/>
    <s v="CLEAN"/>
  </r>
  <r>
    <x v="442"/>
    <d v="2025-04-21T00:00:00"/>
    <d v="2025-04-26T00:00:00"/>
    <n v="5"/>
    <s v="OK"/>
    <s v="CUST-3338"/>
    <s v="Ananya Rao"/>
    <x v="0"/>
    <x v="3"/>
    <s v="Maharashtra"/>
    <s v="Mumbai"/>
    <x v="0"/>
    <x v="5"/>
    <s v="Smart Labels 354"/>
    <x v="1"/>
    <n v="6"/>
    <n v="873.59"/>
    <n v="0.2"/>
    <s v="OK"/>
    <n v="4193.2299999999996"/>
    <n v="3329.99"/>
    <n v="863.24"/>
    <x v="0"/>
    <x v="0"/>
    <n v="0.2"/>
    <n v="4193.232"/>
    <n v="863.24200000000019"/>
    <n v="20.586554714835721"/>
    <x v="9"/>
    <x v="1"/>
    <s v="CLEAN"/>
  </r>
  <r>
    <x v="443"/>
    <d v="2025-05-18T00:00:00"/>
    <d v="2025-05-20T00:00:00"/>
    <n v="2"/>
    <s v="OK"/>
    <s v="CUST-2343"/>
    <s v="Diya Patel"/>
    <x v="1"/>
    <x v="0"/>
    <s v="Uttar Pradesh"/>
    <s v="Noida"/>
    <x v="1"/>
    <x v="3"/>
    <s v="Pro Furnishings 981"/>
    <x v="2"/>
    <n v="2"/>
    <n v="215.13"/>
    <n v="0"/>
    <s v="OK"/>
    <n v="430.26"/>
    <n v="286.38"/>
    <n v="143.88"/>
    <x v="0"/>
    <x v="0"/>
    <n v="0"/>
    <n v="430.26"/>
    <n v="143.88"/>
    <n v="33.440245432994004"/>
    <x v="4"/>
    <x v="1"/>
    <s v="CLEAN"/>
  </r>
  <r>
    <x v="444"/>
    <d v="2025-06-29T00:00:00"/>
    <d v="2025-05-07T00:00:00"/>
    <n v="-53"/>
    <s v="INVALID"/>
    <s v="CUST-3662"/>
    <s v="Diya Patel"/>
    <x v="0"/>
    <x v="0"/>
    <s v="Punjab"/>
    <s v="Ludhiana"/>
    <x v="1"/>
    <x v="10"/>
    <s v="Max Chairs 151"/>
    <x v="1"/>
    <n v="1"/>
    <n v="999.83"/>
    <n v="0"/>
    <s v="OK"/>
    <n v="999.83"/>
    <n v="634.91"/>
    <n v="364.92"/>
    <x v="0"/>
    <x v="0"/>
    <n v="0"/>
    <n v="999.83"/>
    <n v="364.92000000000007"/>
    <n v="36.498204694798119"/>
    <x v="2"/>
    <x v="1"/>
    <s v="INVALID"/>
  </r>
  <r>
    <x v="445"/>
    <d v="2025-08-13T00:00:00"/>
    <d v="2025-08-14T00:00:00"/>
    <n v="1"/>
    <s v="OK"/>
    <s v="CUST-4947"/>
    <s v="Rohan Mehta"/>
    <x v="1"/>
    <x v="2"/>
    <s v="Andhra Pradesh"/>
    <s v="Vijayawada"/>
    <x v="0"/>
    <x v="0"/>
    <s v="Prime Paper 903"/>
    <x v="2"/>
    <n v="9"/>
    <n v="864.98"/>
    <n v="0.1"/>
    <s v="OK"/>
    <n v="7006.34"/>
    <n v="4640.88"/>
    <n v="2365.46"/>
    <x v="0"/>
    <x v="0"/>
    <n v="0.1"/>
    <n v="7006.3379999999997"/>
    <n v="2365.4579999999996"/>
    <n v="33.761688345609357"/>
    <x v="1"/>
    <x v="1"/>
    <s v="CLEAN"/>
  </r>
  <r>
    <x v="446"/>
    <d v="2025-02-26T00:00:00"/>
    <d v="2025-02-27T00:00:00"/>
    <n v="1"/>
    <s v="OK"/>
    <s v="CUST-8270"/>
    <s v="Priya Menon"/>
    <x v="2"/>
    <x v="3"/>
    <s v="Gujarat"/>
    <s v="Ahmedabad"/>
    <x v="1"/>
    <x v="9"/>
    <s v="Classic Bookcases 139"/>
    <x v="3"/>
    <n v="5"/>
    <n v="258.27999999999997"/>
    <n v="0"/>
    <s v="OK"/>
    <n v="1291.4000000000001"/>
    <n v="756.93"/>
    <n v="534.47"/>
    <x v="0"/>
    <x v="0"/>
    <n v="0"/>
    <n v="1291.3999999999999"/>
    <n v="534.46999999999991"/>
    <n v="41.386866966083318"/>
    <x v="7"/>
    <x v="1"/>
    <s v="CLEAN"/>
  </r>
  <r>
    <x v="447"/>
    <d v="2025-12-01T00:00:00"/>
    <d v="2025-01-15T00:00:00"/>
    <n v="-320"/>
    <s v="INVALID"/>
    <s v="CUST-2495"/>
    <s v="Mira Das"/>
    <x v="2"/>
    <x v="2"/>
    <s v="Karnataka"/>
    <s v="Bengaluru"/>
    <x v="1"/>
    <x v="10"/>
    <s v="Classic Chairs 231"/>
    <x v="1"/>
    <n v="4"/>
    <n v="1531.53"/>
    <n v="0.2"/>
    <s v="OK"/>
    <n v="4900.8999999999996"/>
    <n v="3552.69"/>
    <n v="1348.21"/>
    <x v="0"/>
    <x v="0"/>
    <n v="0.2"/>
    <n v="4900.8959999999997"/>
    <n v="1348.2059999999997"/>
    <n v="27.509377877024932"/>
    <x v="5"/>
    <x v="1"/>
    <s v="INVALID"/>
  </r>
  <r>
    <x v="448"/>
    <d v="2025-04-29T00:00:00"/>
    <d v="2025-05-02T00:00:00"/>
    <n v="3"/>
    <s v="OK"/>
    <s v="CUST-4583"/>
    <s v="Vikram Iyer"/>
    <x v="1"/>
    <x v="3"/>
    <s v="Goa"/>
    <s v="Panaji"/>
    <x v="0"/>
    <x v="7"/>
    <s v="Prime Storage 818"/>
    <x v="2"/>
    <n v="6"/>
    <n v="4308.09"/>
    <n v="0"/>
    <s v="OK"/>
    <n v="25848.54"/>
    <n v="17729.09"/>
    <n v="8119.45"/>
    <x v="0"/>
    <x v="0"/>
    <n v="0"/>
    <n v="25848.54"/>
    <n v="8119.4500000000007"/>
    <n v="31.411638723115505"/>
    <x v="9"/>
    <x v="1"/>
    <s v="CLEAN"/>
  </r>
  <r>
    <x v="449"/>
    <d v="2025-02-19T00:00:00"/>
    <d v="2025-02-26T00:00:00"/>
    <n v="7"/>
    <s v="OK"/>
    <s v="CUST-5319"/>
    <s v="Mira Das"/>
    <x v="2"/>
    <x v="3"/>
    <s v="Maharashtra"/>
    <s v="Mumbai"/>
    <x v="1"/>
    <x v="3"/>
    <s v="Elite Furnishings 449"/>
    <x v="2"/>
    <n v="3"/>
    <n v="490.3"/>
    <n v="0.2"/>
    <s v="OK"/>
    <n v="1176.72"/>
    <n v="654.33000000000004"/>
    <n v="522.39"/>
    <x v="1"/>
    <x v="1"/>
    <n v="0.2"/>
    <n v="1176.72"/>
    <n v="522.39"/>
    <n v="44.393738527432177"/>
    <x v="7"/>
    <x v="1"/>
    <s v="CLEAN"/>
  </r>
  <r>
    <x v="450"/>
    <d v="2025-10-02T00:00:00"/>
    <d v="2025-10-08T00:00:00"/>
    <n v="6"/>
    <s v="OK"/>
    <s v="CUST-9871"/>
    <s v="Isha Nair"/>
    <x v="1"/>
    <x v="0"/>
    <s v="Punjab"/>
    <s v="Ludhiana"/>
    <x v="1"/>
    <x v="3"/>
    <s v="Classic Furnishings 109"/>
    <x v="3"/>
    <n v="4"/>
    <n v="3944.64"/>
    <n v="0.25"/>
    <s v="OK"/>
    <n v="12116.89"/>
    <n v="6682.92"/>
    <n v="5151"/>
    <x v="0"/>
    <x v="1"/>
    <n v="0.25"/>
    <n v="11833.92"/>
    <n v="5151"/>
    <n v="43.527419485681833"/>
    <x v="8"/>
    <x v="1"/>
    <s v="CLEAN"/>
  </r>
  <r>
    <x v="451"/>
    <d v="2025-10-04T00:00:00"/>
    <d v="2025-04-15T00:00:00"/>
    <n v="-172"/>
    <s v="INVALID"/>
    <s v="CUST-2545"/>
    <s v="Diya Patel"/>
    <x v="3"/>
    <x v="4"/>
    <s v="Kerala"/>
    <s v="Kochi"/>
    <x v="2"/>
    <x v="6"/>
    <s v="Max Copiers 363"/>
    <x v="1"/>
    <n v="1"/>
    <n v="2208.27"/>
    <n v="0.1"/>
    <s v="OK"/>
    <n v="1987.44"/>
    <n v="1110.23"/>
    <n v="877.21"/>
    <x v="0"/>
    <x v="0"/>
    <n v="0.1"/>
    <n v="1987.443"/>
    <n v="877.21299999999997"/>
    <n v="44.137768982556985"/>
    <x v="8"/>
    <x v="1"/>
    <s v="INVALID"/>
  </r>
  <r>
    <x v="452"/>
    <d v="2025-06-04T00:00:00"/>
    <d v="2025-06-10T00:00:00"/>
    <n v="6"/>
    <s v="OK"/>
    <s v="CUST-5341"/>
    <s v="Rahul Verma"/>
    <x v="0"/>
    <x v="2"/>
    <s v="Andhra Pradesh"/>
    <s v="Vijayawada"/>
    <x v="2"/>
    <x v="8"/>
    <s v="Classic Phones 530"/>
    <x v="3"/>
    <n v="4"/>
    <n v="223.37"/>
    <n v="0.25"/>
    <s v="OK"/>
    <n v="670.11"/>
    <n v="559.57000000000005"/>
    <n v="110.54"/>
    <x v="0"/>
    <x v="0"/>
    <n v="0.25"/>
    <n v="670.11"/>
    <n v="110.53999999999996"/>
    <n v="16.495799197146731"/>
    <x v="2"/>
    <x v="1"/>
    <s v="CLEAN"/>
  </r>
  <r>
    <x v="453"/>
    <d v="2025-07-06T00:00:00"/>
    <d v="2025-06-07T00:00:00"/>
    <n v="-29"/>
    <s v="INVALID"/>
    <s v="CUST-6949"/>
    <s v="Sneha Kapoor"/>
    <x v="2"/>
    <x v="0"/>
    <s v="Haryana"/>
    <s v="Gurugram"/>
    <x v="0"/>
    <x v="7"/>
    <s v="Basic Storage 737"/>
    <x v="3"/>
    <n v="1"/>
    <n v="1617.2"/>
    <n v="0.25"/>
    <s v="OK"/>
    <n v="1212.9000000000001"/>
    <n v="690.52"/>
    <n v="522.38"/>
    <x v="1"/>
    <x v="1"/>
    <n v="0.25"/>
    <n v="1212.9000000000001"/>
    <n v="522.38000000000011"/>
    <n v="43.068678374144618"/>
    <x v="0"/>
    <x v="1"/>
    <s v="INVALID"/>
  </r>
  <r>
    <x v="454"/>
    <d v="2025-02-07T00:00:00"/>
    <d v="2025-02-07T00:00:00"/>
    <n v="0"/>
    <s v="OK"/>
    <s v="CUST-3430"/>
    <s v="Arjun Bose"/>
    <x v="0"/>
    <x v="0"/>
    <s v="Uttar Pradesh"/>
    <s v="Noida"/>
    <x v="0"/>
    <x v="2"/>
    <s v="Classic Art 126"/>
    <x v="0"/>
    <n v="3"/>
    <n v="1999.24"/>
    <n v="0.05"/>
    <s v="OK"/>
    <n v="5697.83"/>
    <n v="4251.5"/>
    <n v="1446.33"/>
    <x v="0"/>
    <x v="0"/>
    <n v="0.05"/>
    <n v="5697.8339999999998"/>
    <n v="1446.3339999999998"/>
    <n v="25.38392659386005"/>
    <x v="7"/>
    <x v="1"/>
    <s v="CLEAN"/>
  </r>
  <r>
    <x v="455"/>
    <d v="2025-07-29T00:00:00"/>
    <d v="2025-08-02T00:00:00"/>
    <n v="4"/>
    <s v="OK"/>
    <s v="CUST-6310"/>
    <s v="Sneha Kapoor"/>
    <x v="1"/>
    <x v="4"/>
    <s v="Madhya Pradesh"/>
    <s v="Indore"/>
    <x v="2"/>
    <x v="4"/>
    <s v="Prime Accessories 243"/>
    <x v="2"/>
    <n v="1"/>
    <n v="4499.46"/>
    <n v="0.1"/>
    <s v="OK"/>
    <n v="4049.51"/>
    <n v="2509.1999999999998"/>
    <n v="1540.31"/>
    <x v="0"/>
    <x v="0"/>
    <n v="0.1"/>
    <n v="4049.5140000000001"/>
    <n v="1540.3140000000003"/>
    <n v="38.037008885510716"/>
    <x v="0"/>
    <x v="1"/>
    <s v="CLEAN"/>
  </r>
  <r>
    <x v="456"/>
    <d v="2025-08-01T00:00:00"/>
    <d v="2025-08-02T00:00:00"/>
    <n v="1"/>
    <s v="OK"/>
    <s v="CUST-2305"/>
    <s v="Mira Das"/>
    <x v="2"/>
    <x v="0"/>
    <s v="Rajasthan"/>
    <s v="Jaipur"/>
    <x v="1"/>
    <x v="3"/>
    <s v="Classic Furnishings 378"/>
    <x v="2"/>
    <n v="4"/>
    <n v="2790.29"/>
    <n v="0.2"/>
    <s v="OK"/>
    <n v="8928.93"/>
    <n v="5634.38"/>
    <n v="3294.55"/>
    <x v="0"/>
    <x v="0"/>
    <n v="0.2"/>
    <n v="8928.9279999999999"/>
    <n v="3294.5479999999998"/>
    <n v="36.897464062875187"/>
    <x v="1"/>
    <x v="1"/>
    <s v="CLEAN"/>
  </r>
  <r>
    <x v="457"/>
    <d v="2025-04-06T00:00:00"/>
    <d v="2025-04-10T00:00:00"/>
    <n v="4"/>
    <s v="OK"/>
    <s v="CUST-6268"/>
    <s v="Ananya Rao"/>
    <x v="2"/>
    <x v="3"/>
    <s v="Gujarat"/>
    <s v="Ahmedabad"/>
    <x v="1"/>
    <x v="1"/>
    <s v="Prime Tables 263"/>
    <x v="0"/>
    <n v="6"/>
    <n v="1022.16"/>
    <n v="0"/>
    <s v="OK"/>
    <n v="6132.96"/>
    <n v="4881.1000000000004"/>
    <n v="1251.8599999999999"/>
    <x v="0"/>
    <x v="0"/>
    <n v="0"/>
    <n v="6132.96"/>
    <n v="1251.8599999999997"/>
    <n v="20.412003339333694"/>
    <x v="9"/>
    <x v="1"/>
    <s v="CLEAN"/>
  </r>
  <r>
    <x v="458"/>
    <d v="2025-06-25T00:00:00"/>
    <d v="2025-06-28T00:00:00"/>
    <n v="3"/>
    <s v="OK"/>
    <s v="CUST-2103"/>
    <s v="Arjun Bose"/>
    <x v="2"/>
    <x v="0"/>
    <s v="Haryana"/>
    <s v="Gurugram"/>
    <x v="0"/>
    <x v="7"/>
    <s v="Basic Storage 269"/>
    <x v="2"/>
    <n v="2"/>
    <n v="1455.92"/>
    <n v="0.2"/>
    <s v="OK"/>
    <n v="2329.4699999999998"/>
    <n v="1603.62"/>
    <n v="725.85"/>
    <x v="1"/>
    <x v="1"/>
    <n v="0.2"/>
    <n v="2329.4720000000002"/>
    <n v="725.85200000000032"/>
    <n v="31.159507390515973"/>
    <x v="2"/>
    <x v="1"/>
    <s v="CLEAN"/>
  </r>
  <r>
    <x v="459"/>
    <d v="2025-01-01T00:00:00"/>
    <d v="2025-03-01T00:00:00"/>
    <n v="59"/>
    <s v="OK"/>
    <s v="CUST-6853"/>
    <s v="Ananya Rao"/>
    <x v="0"/>
    <x v="3"/>
    <s v="Madhya Pradesh"/>
    <s v="Indore"/>
    <x v="2"/>
    <x v="4"/>
    <s v="Elite Accessories 978"/>
    <x v="1"/>
    <n v="7"/>
    <n v="1000.55"/>
    <n v="0.2"/>
    <s v="OK"/>
    <n v="5603.08"/>
    <n v="3132.52"/>
    <n v="2470.56"/>
    <x v="0"/>
    <x v="1"/>
    <n v="0.2"/>
    <n v="5603.08"/>
    <n v="2470.56"/>
    <n v="44.092891766671187"/>
    <x v="6"/>
    <x v="1"/>
    <s v="CLEAN"/>
  </r>
  <r>
    <x v="460"/>
    <d v="2025-02-04T00:00:00"/>
    <d v="2025-02-10T00:00:00"/>
    <n v="6"/>
    <s v="OK"/>
    <s v="CUST-1549"/>
    <s v="Isha Nair"/>
    <x v="2"/>
    <x v="3"/>
    <s v="Maharashtra"/>
    <s v="Mumbai"/>
    <x v="2"/>
    <x v="8"/>
    <s v="Eco Phones 132"/>
    <x v="2"/>
    <n v="7"/>
    <n v="1830"/>
    <n v="0"/>
    <s v="OK"/>
    <n v="12810"/>
    <n v="9334.1200000000008"/>
    <n v="3475.88"/>
    <x v="0"/>
    <x v="0"/>
    <n v="0"/>
    <n v="12810"/>
    <n v="3475.8799999999992"/>
    <n v="27.134113973458231"/>
    <x v="7"/>
    <x v="1"/>
    <s v="CLEAN"/>
  </r>
  <r>
    <x v="461"/>
    <d v="2025-05-26T00:00:00"/>
    <d v="2025-06-01T00:00:00"/>
    <n v="6"/>
    <s v="OK"/>
    <s v="CUST-6153"/>
    <s v="Arjun Bose"/>
    <x v="1"/>
    <x v="0"/>
    <s v="Delhi"/>
    <s v="New Delhi"/>
    <x v="2"/>
    <x v="8"/>
    <s v="Eco Phones 245"/>
    <x v="1"/>
    <n v="4"/>
    <n v="3349.86"/>
    <n v="0"/>
    <s v="OK"/>
    <n v="13399.44"/>
    <n v="8581.35"/>
    <n v="4818.09"/>
    <x v="1"/>
    <x v="1"/>
    <n v="0"/>
    <n v="13399.44"/>
    <n v="4818.09"/>
    <n v="35.957398219627088"/>
    <x v="4"/>
    <x v="1"/>
    <s v="CLEAN"/>
  </r>
  <r>
    <x v="462"/>
    <d v="2025-08-06T00:00:00"/>
    <d v="2025-10-08T00:00:00"/>
    <n v="63"/>
    <s v="OK"/>
    <s v="CUST-8265"/>
    <s v="Rohan Mehta"/>
    <x v="1"/>
    <x v="0"/>
    <s v="Delhi"/>
    <s v="New Delhi"/>
    <x v="0"/>
    <x v="11"/>
    <s v="Smart Binders 905"/>
    <x v="0"/>
    <n v="9"/>
    <n v="4042.45"/>
    <n v="0.1"/>
    <s v="OK"/>
    <n v="32743.84"/>
    <n v="22452.05"/>
    <n v="10291.790000000001"/>
    <x v="1"/>
    <x v="1"/>
    <n v="0.1"/>
    <n v="32743.844999999998"/>
    <n v="10291.794999999998"/>
    <n v="31.4312353970647"/>
    <x v="1"/>
    <x v="1"/>
    <s v="CLEAN"/>
  </r>
  <r>
    <x v="463"/>
    <d v="2025-05-03T00:00:00"/>
    <d v="2025-05-10T00:00:00"/>
    <n v="7"/>
    <s v="OK"/>
    <s v="CUST-7114"/>
    <s v="Neha Gupta"/>
    <x v="3"/>
    <x v="3"/>
    <s v="Maharashtra"/>
    <s v="Mumbai"/>
    <x v="0"/>
    <x v="7"/>
    <s v="Classic Storage 926"/>
    <x v="0"/>
    <n v="3"/>
    <n v="4339.24"/>
    <n v="0"/>
    <s v="OK"/>
    <n v="13017.72"/>
    <n v="10170.57"/>
    <n v="2847.15"/>
    <x v="0"/>
    <x v="0"/>
    <n v="0"/>
    <n v="13017.72"/>
    <n v="2847.1499999999996"/>
    <n v="21.871341525244052"/>
    <x v="4"/>
    <x v="1"/>
    <s v="CLEAN"/>
  </r>
  <r>
    <x v="464"/>
    <d v="2025-05-28T00:00:00"/>
    <d v="2025-04-06T00:00:00"/>
    <n v="-52"/>
    <s v="INVALID"/>
    <s v="CUST-4431"/>
    <s v="Diya Patel"/>
    <x v="2"/>
    <x v="1"/>
    <s v="Jharkhand"/>
    <s v="Ranchi"/>
    <x v="1"/>
    <x v="3"/>
    <s v="Basic Furnishings 372"/>
    <x v="2"/>
    <n v="4"/>
    <n v="261.8"/>
    <n v="0.25"/>
    <s v="OK"/>
    <n v="785.4"/>
    <n v="557.22"/>
    <n v="228.18"/>
    <x v="0"/>
    <x v="0"/>
    <n v="0.25"/>
    <n v="785.40000000000009"/>
    <n v="228.18000000000006"/>
    <n v="29.052711993888469"/>
    <x v="4"/>
    <x v="1"/>
    <s v="INVALID"/>
  </r>
  <r>
    <x v="465"/>
    <d v="2025-08-17T00:00:00"/>
    <d v="2025-08-17T00:00:00"/>
    <n v="0"/>
    <s v="OK"/>
    <s v="CUST-1488"/>
    <s v="Aarav Sharma"/>
    <x v="3"/>
    <x v="0"/>
    <s v="Punjab"/>
    <s v="Ludhiana"/>
    <x v="2"/>
    <x v="4"/>
    <s v="Prime Accessories 367"/>
    <x v="2"/>
    <n v="7"/>
    <n v="632.20000000000005"/>
    <n v="0.25"/>
    <s v="OK"/>
    <n v="3319.05"/>
    <n v="2124.6"/>
    <n v="1194.45"/>
    <x v="0"/>
    <x v="0"/>
    <n v="0.25"/>
    <n v="3319.05"/>
    <n v="1194.4500000000003"/>
    <n v="35.987707325891449"/>
    <x v="1"/>
    <x v="1"/>
    <s v="CLEAN"/>
  </r>
  <r>
    <x v="466"/>
    <d v="2025-02-10T00:00:00"/>
    <d v="2025-02-12T00:00:00"/>
    <n v="2"/>
    <s v="OK"/>
    <s v="CUST-1586"/>
    <s v="Rahul Verma"/>
    <x v="1"/>
    <x v="3"/>
    <s v="Rajasthan"/>
    <s v="Udaipur"/>
    <x v="1"/>
    <x v="1"/>
    <s v="Max Tables 526"/>
    <x v="1"/>
    <n v="1"/>
    <n v="1925.86"/>
    <n v="0"/>
    <s v="OK"/>
    <n v="1925.86"/>
    <n v="1321.89"/>
    <n v="603.97"/>
    <x v="0"/>
    <x v="0"/>
    <n v="0"/>
    <n v="1925.86"/>
    <n v="603.9699999999998"/>
    <n v="31.36105428224273"/>
    <x v="7"/>
    <x v="1"/>
    <s v="CLEAN"/>
  </r>
  <r>
    <x v="467"/>
    <d v="2025-02-13T00:00:00"/>
    <d v="2025-02-13T00:00:00"/>
    <n v="0"/>
    <s v="OK"/>
    <s v="CUST-8249"/>
    <s v="Isha Nair"/>
    <x v="0"/>
    <x v="1"/>
    <s v="Bihar"/>
    <s v="Patna"/>
    <x v="0"/>
    <x v="0"/>
    <s v="Basic Paper 657"/>
    <x v="0"/>
    <n v="9"/>
    <n v="2521.63"/>
    <n v="0"/>
    <s v="OK"/>
    <n v="22694.67"/>
    <n v="15405.36"/>
    <n v="7289.31"/>
    <x v="0"/>
    <x v="1"/>
    <n v="0"/>
    <n v="22694.670000000002"/>
    <n v="7289.3100000000013"/>
    <n v="32.119039404406415"/>
    <x v="7"/>
    <x v="1"/>
    <s v="CLEAN"/>
  </r>
  <r>
    <x v="468"/>
    <d v="2025-07-03T00:00:00"/>
    <d v="2025-03-14T00:00:00"/>
    <n v="-111"/>
    <s v="INVALID"/>
    <s v="CUST-8242"/>
    <s v="Priya Menon"/>
    <x v="1"/>
    <x v="0"/>
    <s v="Delhi"/>
    <s v="New Delhi"/>
    <x v="2"/>
    <x v="4"/>
    <s v="Pro Accessories 207"/>
    <x v="1"/>
    <n v="1"/>
    <n v="3979.64"/>
    <n v="0.05"/>
    <s v="OK"/>
    <n v="3780.66"/>
    <n v="2148.31"/>
    <n v="1632.35"/>
    <x v="0"/>
    <x v="1"/>
    <n v="0.05"/>
    <n v="3780.6579999999999"/>
    <n v="1632.348"/>
    <n v="43.176293650470363"/>
    <x v="0"/>
    <x v="1"/>
    <s v="INVALID"/>
  </r>
  <r>
    <x v="469"/>
    <d v="2025-07-25T00:00:00"/>
    <d v="2025-07-27T00:00:00"/>
    <n v="2"/>
    <s v="OK"/>
    <s v="CUST-2052"/>
    <s v="Kabir Singh"/>
    <x v="0"/>
    <x v="1"/>
    <s v="Jharkhand"/>
    <s v="Ranchi"/>
    <x v="0"/>
    <x v="11"/>
    <s v="Basic Binders 637"/>
    <x v="0"/>
    <n v="6"/>
    <n v="3438.38"/>
    <n v="0.2"/>
    <s v="OK"/>
    <n v="16504.22"/>
    <n v="11262.71"/>
    <n v="5241.51"/>
    <x v="0"/>
    <x v="0"/>
    <n v="0.2"/>
    <n v="16504.223999999998"/>
    <n v="5241.5139999999992"/>
    <n v="31.75862130809664"/>
    <x v="0"/>
    <x v="1"/>
    <s v="CLEAN"/>
  </r>
  <r>
    <x v="470"/>
    <d v="2025-03-13T00:00:00"/>
    <d v="2025-03-20T00:00:00"/>
    <n v="7"/>
    <s v="OK"/>
    <s v="CUST-6568"/>
    <s v="Vikram Iyer"/>
    <x v="0"/>
    <x v="3"/>
    <s v="Maharashtra"/>
    <s v="Mumbai"/>
    <x v="1"/>
    <x v="3"/>
    <s v="Classic Furnishings 819"/>
    <x v="2"/>
    <n v="1"/>
    <n v="1814.01"/>
    <n v="0"/>
    <s v="OK"/>
    <n v="1814.01"/>
    <n v="1033.47"/>
    <n v="780.54"/>
    <x v="0"/>
    <x v="0"/>
    <n v="0"/>
    <n v="1814.01"/>
    <n v="780.54"/>
    <n v="43.028428729720339"/>
    <x v="11"/>
    <x v="1"/>
    <s v="CLEAN"/>
  </r>
  <r>
    <x v="471"/>
    <d v="2025-08-15T00:00:00"/>
    <d v="2025-08-20T00:00:00"/>
    <n v="5"/>
    <s v="OK"/>
    <s v="CUST-5610"/>
    <s v="Neha Gupta"/>
    <x v="3"/>
    <x v="0"/>
    <s v="Rajasthan"/>
    <s v="Jaipur"/>
    <x v="0"/>
    <x v="7"/>
    <s v="Basic Storage 771"/>
    <x v="3"/>
    <n v="9"/>
    <n v="4081.77"/>
    <n v="0"/>
    <s v="OK"/>
    <n v="36735.93"/>
    <n v="30820.84"/>
    <n v="5915.09"/>
    <x v="0"/>
    <x v="0"/>
    <n v="0"/>
    <n v="36735.93"/>
    <n v="5915.09"/>
    <n v="16.101647624001895"/>
    <x v="1"/>
    <x v="1"/>
    <s v="CLEAN"/>
  </r>
  <r>
    <x v="472"/>
    <d v="2025-06-19T00:00:00"/>
    <d v="2025-06-27T00:00:00"/>
    <n v="8"/>
    <s v="OK"/>
    <s v="CUST-9114"/>
    <s v="Karan Malhotra"/>
    <x v="3"/>
    <x v="2"/>
    <s v="Tamil Nadu"/>
    <s v="Chennai"/>
    <x v="1"/>
    <x v="9"/>
    <s v="Basic Bookcases 823"/>
    <x v="2"/>
    <n v="2"/>
    <n v="4346.6899999999996"/>
    <n v="0.05"/>
    <s v="OK"/>
    <n v="8258.7099999999991"/>
    <n v="7018.97"/>
    <n v="1239.74"/>
    <x v="0"/>
    <x v="0"/>
    <n v="0.05"/>
    <n v="8258.7109999999993"/>
    <n v="1239.7409999999991"/>
    <n v="15.011313508851432"/>
    <x v="2"/>
    <x v="1"/>
    <s v="CLEAN"/>
  </r>
  <r>
    <x v="473"/>
    <d v="2025-08-22T00:00:00"/>
    <d v="2025-08-26T00:00:00"/>
    <n v="4"/>
    <s v="OK"/>
    <s v="CUST-8557"/>
    <s v="Diya Patel"/>
    <x v="3"/>
    <x v="1"/>
    <s v="Jharkhand"/>
    <s v="Ranchi"/>
    <x v="1"/>
    <x v="1"/>
    <s v="Classic Tables 178"/>
    <x v="3"/>
    <n v="1"/>
    <n v="1842.63"/>
    <n v="0.1"/>
    <s v="OK"/>
    <n v="1658.37"/>
    <n v="971.12"/>
    <n v="687.25"/>
    <x v="0"/>
    <x v="0"/>
    <n v="0.1"/>
    <n v="1658.3670000000002"/>
    <n v="687.24700000000018"/>
    <n v="41.441188832146331"/>
    <x v="1"/>
    <x v="1"/>
    <s v="CLEAN"/>
  </r>
  <r>
    <x v="474"/>
    <d v="2025-07-16T00:00:00"/>
    <d v="2025-07-22T00:00:00"/>
    <n v="6"/>
    <s v="OK"/>
    <s v="CUST-4755"/>
    <s v="Priya Menon"/>
    <x v="0"/>
    <x v="1"/>
    <s v="Odisha"/>
    <s v="Bhubaneswar"/>
    <x v="2"/>
    <x v="8"/>
    <s v="Basic Phones 326"/>
    <x v="0"/>
    <n v="6"/>
    <n v="4159.33"/>
    <n v="0.25"/>
    <s v="OK"/>
    <n v="18716.990000000002"/>
    <n v="12282.43"/>
    <n v="6434.56"/>
    <x v="0"/>
    <x v="1"/>
    <n v="0.25"/>
    <n v="18716.985000000001"/>
    <n v="6434.5550000000003"/>
    <n v="34.378159730319815"/>
    <x v="0"/>
    <x v="1"/>
    <s v="CLEAN"/>
  </r>
  <r>
    <x v="475"/>
    <d v="2025-06-25T00:00:00"/>
    <d v="2025-06-28T00:00:00"/>
    <n v="3"/>
    <s v="OK"/>
    <s v="CUST-6778"/>
    <s v="Aditi Sen"/>
    <x v="1"/>
    <x v="1"/>
    <s v="Assam"/>
    <s v="Guwahati"/>
    <x v="0"/>
    <x v="11"/>
    <s v="Max Binders 587"/>
    <x v="3"/>
    <n v="3"/>
    <n v="3476.05"/>
    <n v="0.1"/>
    <s v="OK"/>
    <n v="9385.34"/>
    <n v="5828.54"/>
    <n v="3556.8"/>
    <x v="0"/>
    <x v="0"/>
    <n v="0.1"/>
    <n v="9385.3350000000009"/>
    <n v="3556.795000000001"/>
    <n v="37.897368607513748"/>
    <x v="2"/>
    <x v="1"/>
    <s v="CLEAN"/>
  </r>
  <r>
    <x v="476"/>
    <d v="2025-05-24T00:00:00"/>
    <d v="2025-05-26T00:00:00"/>
    <n v="2"/>
    <s v="OK"/>
    <s v="CUST-7629"/>
    <s v="Aditi Sen"/>
    <x v="3"/>
    <x v="0"/>
    <s v="Haryana"/>
    <s v="Gurugram"/>
    <x v="1"/>
    <x v="3"/>
    <s v="Basic Furnishings 617"/>
    <x v="1"/>
    <n v="6"/>
    <n v="3495.41"/>
    <n v="0.15"/>
    <s v="OK"/>
    <n v="17826.59"/>
    <n v="10855.35"/>
    <n v="6971.24"/>
    <x v="0"/>
    <x v="0"/>
    <n v="0.15"/>
    <n v="17826.591"/>
    <n v="6971.241"/>
    <n v="39.105855965394618"/>
    <x v="4"/>
    <x v="1"/>
    <s v="CLEAN"/>
  </r>
  <r>
    <x v="477"/>
    <d v="2025-05-28T00:00:00"/>
    <d v="2025-01-06T00:00:00"/>
    <n v="-142"/>
    <s v="INVALID"/>
    <s v="CUST-5599"/>
    <s v="Isha Nair"/>
    <x v="3"/>
    <x v="1"/>
    <s v="Bihar"/>
    <s v="Patna"/>
    <x v="2"/>
    <x v="8"/>
    <s v="Elite Phones 202"/>
    <x v="1"/>
    <n v="4"/>
    <n v="1654.11"/>
    <n v="0.05"/>
    <s v="OK"/>
    <n v="6285.62"/>
    <n v="3705.38"/>
    <n v="2580.2399999999998"/>
    <x v="0"/>
    <x v="0"/>
    <n v="0.05"/>
    <n v="6285.6179999999995"/>
    <n v="2580.2379999999994"/>
    <n v="41.049869718458865"/>
    <x v="4"/>
    <x v="1"/>
    <s v="INVALID"/>
  </r>
  <r>
    <x v="478"/>
    <d v="2025-04-06T00:00:00"/>
    <d v="2025-06-12T00:00:00"/>
    <n v="67"/>
    <s v="OK"/>
    <s v="CUST-1623"/>
    <s v="Neha Gupta"/>
    <x v="0"/>
    <x v="3"/>
    <s v="Goa"/>
    <s v="Panaji"/>
    <x v="0"/>
    <x v="7"/>
    <s v="Elite Storage 535"/>
    <x v="1"/>
    <n v="2"/>
    <n v="2703.28"/>
    <n v="0.25"/>
    <s v="OK"/>
    <n v="4054.92"/>
    <n v="2424.83"/>
    <n v="1630.09"/>
    <x v="0"/>
    <x v="0"/>
    <n v="0.25"/>
    <n v="4054.92"/>
    <n v="1630.0900000000001"/>
    <n v="40.200299882611745"/>
    <x v="9"/>
    <x v="1"/>
    <s v="CLEAN"/>
  </r>
  <r>
    <x v="479"/>
    <d v="2025-02-20T00:00:00"/>
    <d v="2025-02-23T00:00:00"/>
    <n v="3"/>
    <s v="OK"/>
    <s v="CUST-2589"/>
    <s v="Aarav Sharma"/>
    <x v="0"/>
    <x v="0"/>
    <s v="Rajasthan"/>
    <s v="Jaipur"/>
    <x v="2"/>
    <x v="8"/>
    <s v="Pro Phones 530"/>
    <x v="0"/>
    <n v="4"/>
    <n v="3673.11"/>
    <n v="0"/>
    <s v="OK"/>
    <n v="14692.44"/>
    <n v="10082.19"/>
    <n v="4610.25"/>
    <x v="0"/>
    <x v="0"/>
    <n v="0"/>
    <n v="14692.44"/>
    <n v="4610.25"/>
    <n v="31.378382351740076"/>
    <x v="7"/>
    <x v="1"/>
    <s v="CLEAN"/>
  </r>
  <r>
    <x v="480"/>
    <d v="2025-06-13T00:00:00"/>
    <d v="2025-06-19T00:00:00"/>
    <n v="6"/>
    <s v="OK"/>
    <s v="CUST-6727"/>
    <s v="Rohan Mehta"/>
    <x v="0"/>
    <x v="0"/>
    <s v="Rajasthan"/>
    <s v="Jaipur"/>
    <x v="1"/>
    <x v="1"/>
    <s v="Classic Tables 224"/>
    <x v="2"/>
    <n v="4"/>
    <n v="731.57"/>
    <n v="0.2"/>
    <s v="OK"/>
    <n v="2341.02"/>
    <n v="1565.49"/>
    <n v="775.53"/>
    <x v="0"/>
    <x v="0"/>
    <n v="0.2"/>
    <n v="2341.0240000000003"/>
    <n v="775.53400000000033"/>
    <n v="33.127981601213833"/>
    <x v="2"/>
    <x v="1"/>
    <s v="CLEAN"/>
  </r>
  <r>
    <x v="481"/>
    <d v="2025-08-29T00:00:00"/>
    <d v="2025-09-04T00:00:00"/>
    <n v="6"/>
    <s v="OK"/>
    <s v="CUST-7992"/>
    <s v="Neha Gupta"/>
    <x v="2"/>
    <x v="2"/>
    <s v="Kerala"/>
    <s v="Kochi"/>
    <x v="1"/>
    <x v="1"/>
    <s v="Pro Tables 778"/>
    <x v="2"/>
    <n v="9"/>
    <n v="2996.97"/>
    <n v="0.15"/>
    <s v="OK"/>
    <n v="22926.82"/>
    <n v="14621.59"/>
    <n v="8305.23"/>
    <x v="0"/>
    <x v="0"/>
    <n v="0.15"/>
    <n v="22926.820499999998"/>
    <n v="8305.2304999999978"/>
    <n v="36.224955396671767"/>
    <x v="1"/>
    <x v="1"/>
    <s v="CLEAN"/>
  </r>
  <r>
    <x v="482"/>
    <d v="2025-07-31T00:00:00"/>
    <d v="2025-02-08T00:00:00"/>
    <n v="-173"/>
    <s v="INVALID"/>
    <s v="CUST-7212"/>
    <s v="Rohan Mehta"/>
    <x v="3"/>
    <x v="2"/>
    <s v="Andhra Pradesh"/>
    <s v="Vijayawada"/>
    <x v="0"/>
    <x v="5"/>
    <s v="Basic Labels 102"/>
    <x v="1"/>
    <n v="1"/>
    <n v="1947.88"/>
    <n v="0.15"/>
    <s v="OK"/>
    <n v="1655.7"/>
    <n v="1354.8"/>
    <n v="300.89999999999998"/>
    <x v="0"/>
    <x v="1"/>
    <n v="0.15"/>
    <n v="1655.6980000000001"/>
    <n v="300.89800000000014"/>
    <n v="18.17348332848141"/>
    <x v="0"/>
    <x v="1"/>
    <s v="INVALID"/>
  </r>
  <r>
    <x v="483"/>
    <d v="2025-09-16T00:00:00"/>
    <d v="2025-09-22T00:00:00"/>
    <n v="6"/>
    <s v="OK"/>
    <s v="CUST-7980"/>
    <s v="Sneha Kapoor"/>
    <x v="3"/>
    <x v="1"/>
    <s v="West Bengal"/>
    <s v="Kolkata"/>
    <x v="2"/>
    <x v="6"/>
    <s v="Prime Copiers 170"/>
    <x v="0"/>
    <n v="5"/>
    <n v="3671.2"/>
    <n v="0.15"/>
    <s v="OK"/>
    <n v="15602.6"/>
    <n v="11908.52"/>
    <n v="3694.08"/>
    <x v="0"/>
    <x v="0"/>
    <n v="0.15"/>
    <n v="15602.6"/>
    <n v="3694.08"/>
    <n v="23.676053991001499"/>
    <x v="10"/>
    <x v="1"/>
    <s v="CLEAN"/>
  </r>
  <r>
    <x v="484"/>
    <d v="2025-07-22T00:00:00"/>
    <d v="2025-07-22T00:00:00"/>
    <n v="0"/>
    <s v="OK"/>
    <s v="CUST-1966"/>
    <s v="Sneha Kapoor"/>
    <x v="2"/>
    <x v="1"/>
    <s v="Jharkhand"/>
    <s v="Ranchi"/>
    <x v="1"/>
    <x v="3"/>
    <s v="Smart Furnishings 533"/>
    <x v="1"/>
    <n v="5"/>
    <n v="3187.05"/>
    <n v="0.05"/>
    <s v="OK"/>
    <n v="15138.49"/>
    <n v="11235.72"/>
    <n v="3902.77"/>
    <x v="0"/>
    <x v="0"/>
    <n v="0.05"/>
    <n v="15138.487499999999"/>
    <n v="3902.7674999999999"/>
    <n v="25.780432160082047"/>
    <x v="0"/>
    <x v="1"/>
    <s v="CLEAN"/>
  </r>
  <r>
    <x v="485"/>
    <d v="2025-05-29T00:00:00"/>
    <d v="2025-06-04T00:00:00"/>
    <n v="6"/>
    <s v="OK"/>
    <s v="CUST-7239"/>
    <s v="Diya Patel"/>
    <x v="0"/>
    <x v="3"/>
    <s v="Maharashtra"/>
    <s v="Mumbai"/>
    <x v="0"/>
    <x v="7"/>
    <s v="Smart Storage 439"/>
    <x v="2"/>
    <n v="6"/>
    <n v="3100.68"/>
    <n v="0"/>
    <s v="OK"/>
    <n v="18604.080000000002"/>
    <n v="15834.3"/>
    <n v="2769.78"/>
    <x v="0"/>
    <x v="0"/>
    <n v="0"/>
    <n v="18604.079999999998"/>
    <n v="2769.7799999999988"/>
    <n v="14.88802456235406"/>
    <x v="4"/>
    <x v="1"/>
    <s v="CLEAN"/>
  </r>
  <r>
    <x v="486"/>
    <d v="2025-05-12T00:00:00"/>
    <d v="2025-05-18T00:00:00"/>
    <n v="6"/>
    <s v="OK"/>
    <s v="CUST-9718"/>
    <s v="Neha Gupta"/>
    <x v="1"/>
    <x v="3"/>
    <s v="Maharashtra"/>
    <s v="Mumbai"/>
    <x v="0"/>
    <x v="7"/>
    <s v="Prime Storage 232"/>
    <x v="3"/>
    <n v="4"/>
    <n v="4053.03"/>
    <n v="0.05"/>
    <s v="OK"/>
    <n v="15401.51"/>
    <n v="8650.42"/>
    <n v="6751.09"/>
    <x v="0"/>
    <x v="0"/>
    <n v="0.05"/>
    <n v="15401.513999999999"/>
    <n v="6751.0939999999991"/>
    <n v="43.833963336331735"/>
    <x v="4"/>
    <x v="1"/>
    <s v="CLEAN"/>
  </r>
  <r>
    <x v="487"/>
    <d v="2025-05-27T00:00:00"/>
    <d v="2025-05-28T00:00:00"/>
    <n v="1"/>
    <s v="OK"/>
    <s v="CUST-5332"/>
    <s v="Aarav Sharma"/>
    <x v="0"/>
    <x v="2"/>
    <s v="Andhra Pradesh"/>
    <s v="Vijayawada"/>
    <x v="2"/>
    <x v="12"/>
    <s v="Basic Machines 601"/>
    <x v="0"/>
    <n v="2"/>
    <n v="3911.96"/>
    <n v="0"/>
    <s v="OK"/>
    <n v="7823.92"/>
    <n v="6034.63"/>
    <n v="1789.29"/>
    <x v="0"/>
    <x v="0"/>
    <n v="0"/>
    <n v="7823.92"/>
    <n v="1789.29"/>
    <n v="22.869482305545048"/>
    <x v="4"/>
    <x v="1"/>
    <s v="CLEAN"/>
  </r>
  <r>
    <x v="488"/>
    <d v="2025-06-22T00:00:00"/>
    <d v="2025-06-27T00:00:00"/>
    <n v="5"/>
    <s v="OK"/>
    <s v="CUST-8081"/>
    <s v="Rohan Mehta"/>
    <x v="3"/>
    <x v="4"/>
    <s v="Delhi"/>
    <s v="New Delhi"/>
    <x v="2"/>
    <x v="8"/>
    <s v="Pro Phones 968"/>
    <x v="2"/>
    <n v="2"/>
    <n v="1468.05"/>
    <n v="0"/>
    <s v="OK"/>
    <n v="2936.1"/>
    <n v="1923.1"/>
    <n v="1013"/>
    <x v="0"/>
    <x v="0"/>
    <n v="0"/>
    <n v="2936.1"/>
    <n v="1013"/>
    <n v="34.501549674738605"/>
    <x v="2"/>
    <x v="1"/>
    <s v="CLEAN"/>
  </r>
  <r>
    <x v="489"/>
    <d v="2025-06-16T00:00:00"/>
    <d v="2025-06-18T00:00:00"/>
    <n v="2"/>
    <s v="OK"/>
    <s v="CUST-3621"/>
    <s v="Rahul Verma"/>
    <x v="3"/>
    <x v="3"/>
    <s v="Madhya Pradesh"/>
    <s v="Indore"/>
    <x v="0"/>
    <x v="0"/>
    <s v="Prime Paper 559"/>
    <x v="2"/>
    <n v="3"/>
    <n v="4289.37"/>
    <n v="0.1"/>
    <s v="OK"/>
    <n v="11581.3"/>
    <n v="6829.43"/>
    <n v="4751.87"/>
    <x v="0"/>
    <x v="0"/>
    <n v="0.1"/>
    <n v="11581.299000000001"/>
    <n v="4751.8690000000006"/>
    <n v="41.030535521101733"/>
    <x v="2"/>
    <x v="1"/>
    <s v="CLEAN"/>
  </r>
  <r>
    <x v="489"/>
    <d v="2025-06-16T00:00:00"/>
    <d v="2025-06-18T00:00:00"/>
    <n v="2"/>
    <s v="OK"/>
    <s v="CUST-3621"/>
    <s v="Rahul Verma"/>
    <x v="3"/>
    <x v="3"/>
    <s v="Madhya Pradesh"/>
    <s v="Indore"/>
    <x v="0"/>
    <x v="0"/>
    <s v="Prime Paper 559"/>
    <x v="2"/>
    <n v="3"/>
    <n v="4289.37"/>
    <n v="0.1"/>
    <s v="OK"/>
    <n v="11778.71"/>
    <n v="6829.43"/>
    <n v="4751.87"/>
    <x v="0"/>
    <x v="1"/>
    <n v="0.1"/>
    <n v="11581.299000000001"/>
    <n v="4751.8690000000006"/>
    <n v="41.030535521101733"/>
    <x v="2"/>
    <x v="1"/>
    <s v="CLEAN"/>
  </r>
  <r>
    <x v="490"/>
    <d v="2025-02-20T00:00:00"/>
    <d v="2025-02-22T00:00:00"/>
    <n v="2"/>
    <s v="OK"/>
    <s v="CUST-2752"/>
    <s v="Neha Gupta"/>
    <x v="2"/>
    <x v="1"/>
    <s v="Jharkhand"/>
    <s v="Ranchi"/>
    <x v="1"/>
    <x v="9"/>
    <s v="Elite Bookcases 988"/>
    <x v="3"/>
    <n v="8"/>
    <n v="3265.76"/>
    <n v="0.2"/>
    <s v="OK"/>
    <n v="20900.86"/>
    <n v="12513.14"/>
    <n v="8387.7199999999993"/>
    <x v="0"/>
    <x v="0"/>
    <n v="0.2"/>
    <n v="20900.864000000001"/>
    <n v="8387.724000000002"/>
    <n v="40.130991714026756"/>
    <x v="7"/>
    <x v="1"/>
    <s v="CLEAN"/>
  </r>
  <r>
    <x v="491"/>
    <d v="2025-09-08T00:00:00"/>
    <d v="2025-09-09T00:00:00"/>
    <n v="1"/>
    <s v="OK"/>
    <s v="CUST-9969"/>
    <s v="Rohan Mehta"/>
    <x v="3"/>
    <x v="3"/>
    <s v="Gujarat"/>
    <s v="Ahmedabad"/>
    <x v="1"/>
    <x v="10"/>
    <s v="Eco Chairs 552"/>
    <x v="0"/>
    <n v="2"/>
    <n v="3960.33"/>
    <n v="0.05"/>
    <s v="OK"/>
    <n v="7524.63"/>
    <n v="6229.6"/>
    <n v="1295.03"/>
    <x v="0"/>
    <x v="0"/>
    <n v="0.05"/>
    <n v="7524.6269999999995"/>
    <n v="1295.0269999999991"/>
    <n v="17.210514222166751"/>
    <x v="10"/>
    <x v="1"/>
    <s v="CLEAN"/>
  </r>
  <r>
    <x v="492"/>
    <d v="2025-07-24T00:00:00"/>
    <d v="2025-01-08T00:00:00"/>
    <n v="-197"/>
    <s v="INVALID"/>
    <s v="CUST-3335"/>
    <s v="Kabir Singh"/>
    <x v="1"/>
    <x v="1"/>
    <s v="Jharkhand"/>
    <s v="Ranchi"/>
    <x v="0"/>
    <x v="11"/>
    <s v="Smart Binders 574"/>
    <x v="2"/>
    <n v="8"/>
    <n v="1528.92"/>
    <n v="0"/>
    <s v="OK"/>
    <n v="12231.36"/>
    <n v="8766.9"/>
    <n v="3464.46"/>
    <x v="0"/>
    <x v="0"/>
    <n v="0"/>
    <n v="12231.36"/>
    <n v="3464.4600000000009"/>
    <n v="28.324405462679547"/>
    <x v="0"/>
    <x v="1"/>
    <s v="INVALID"/>
  </r>
  <r>
    <x v="493"/>
    <d v="2025-10-03T00:00:00"/>
    <d v="2025-10-08T00:00:00"/>
    <n v="5"/>
    <s v="OK"/>
    <s v="CUST-7358"/>
    <s v="Aarav Sharma"/>
    <x v="2"/>
    <x v="3"/>
    <s v="Madhya Pradesh"/>
    <s v="Indore"/>
    <x v="2"/>
    <x v="12"/>
    <s v="Pro Machines 444"/>
    <x v="1"/>
    <n v="9"/>
    <n v="3837"/>
    <n v="0.1"/>
    <s v="OK"/>
    <n v="31079.7"/>
    <n v="17758.25"/>
    <n v="13321.45"/>
    <x v="0"/>
    <x v="0"/>
    <n v="0.1"/>
    <n v="31079.7"/>
    <n v="13321.45"/>
    <n v="42.862221964819483"/>
    <x v="8"/>
    <x v="1"/>
    <s v="CLEAN"/>
  </r>
  <r>
    <x v="494"/>
    <d v="2025-07-22T00:00:00"/>
    <d v="2025-07-28T00:00:00"/>
    <n v="6"/>
    <s v="OK"/>
    <s v="CUST-3400"/>
    <s v="Rahul Verma"/>
    <x v="2"/>
    <x v="2"/>
    <s v="Kerala"/>
    <s v="Kochi"/>
    <x v="1"/>
    <x v="10"/>
    <s v="Eco Chairs 369"/>
    <x v="0"/>
    <n v="6"/>
    <n v="1607.46"/>
    <n v="0.2"/>
    <s v="OK"/>
    <n v="7715.81"/>
    <n v="4258.42"/>
    <n v="3457.39"/>
    <x v="0"/>
    <x v="0"/>
    <n v="0.2"/>
    <n v="7715.8080000000009"/>
    <n v="3457.3880000000008"/>
    <n v="44.809150253609218"/>
    <x v="0"/>
    <x v="1"/>
    <s v="CLEAN"/>
  </r>
  <r>
    <x v="495"/>
    <d v="2025-09-27T00:00:00"/>
    <d v="2025-09-29T00:00:00"/>
    <n v="2"/>
    <s v="OK"/>
    <s v="CUST-6697"/>
    <s v="Kabir Singh"/>
    <x v="3"/>
    <x v="1"/>
    <s v="Jharkhand"/>
    <s v="Ranchi"/>
    <x v="1"/>
    <x v="3"/>
    <s v="Max Furnishings 628"/>
    <x v="0"/>
    <n v="9"/>
    <n v="2867.55"/>
    <n v="0.25"/>
    <s v="OK"/>
    <n v="19355.96"/>
    <n v="15012.45"/>
    <n v="4017.4"/>
    <x v="0"/>
    <x v="0"/>
    <n v="0.25"/>
    <n v="19355.962500000001"/>
    <n v="4343.5125000000007"/>
    <n v="22.440178317146461"/>
    <x v="10"/>
    <x v="1"/>
    <s v="CLEAN"/>
  </r>
  <r>
    <x v="496"/>
    <d v="2025-08-15T00:00:00"/>
    <d v="2025-08-17T00:00:00"/>
    <n v="2"/>
    <s v="OK"/>
    <s v="CUST-6382"/>
    <s v="Diya Patel"/>
    <x v="1"/>
    <x v="1"/>
    <s v="Assam"/>
    <s v="Guwahati"/>
    <x v="2"/>
    <x v="6"/>
    <s v="Elite Copiers 706"/>
    <x v="2"/>
    <n v="5"/>
    <n v="2862.6"/>
    <n v="0.25"/>
    <s v="OK"/>
    <n v="10734.75"/>
    <n v="6475.73"/>
    <n v="4259.0200000000004"/>
    <x v="0"/>
    <x v="0"/>
    <n v="0.25"/>
    <n v="10734.75"/>
    <n v="4259.0200000000004"/>
    <n v="39.675073942103914"/>
    <x v="1"/>
    <x v="1"/>
    <s v="CLEAN"/>
  </r>
  <r>
    <x v="497"/>
    <d v="2025-02-21T00:00:00"/>
    <d v="2025-02-27T00:00:00"/>
    <n v="6"/>
    <s v="OK"/>
    <s v="CUST-3253"/>
    <s v="Ananya Rao"/>
    <x v="0"/>
    <x v="0"/>
    <s v="Rajasthan"/>
    <s v="Jaipur"/>
    <x v="0"/>
    <x v="2"/>
    <s v="Prime Art 978"/>
    <x v="1"/>
    <n v="9"/>
    <n v="1431.67"/>
    <n v="0.2"/>
    <s v="OK"/>
    <n v="10308.02"/>
    <n v="5822.31"/>
    <n v="4485.71"/>
    <x v="0"/>
    <x v="0"/>
    <n v="0.2"/>
    <n v="10308.024000000001"/>
    <n v="4485.7140000000009"/>
    <n v="43.516720566424759"/>
    <x v="7"/>
    <x v="1"/>
    <s v="CLEAN"/>
  </r>
  <r>
    <x v="498"/>
    <d v="2025-06-27T00:00:00"/>
    <d v="2025-06-29T00:00:00"/>
    <n v="2"/>
    <s v="OK"/>
    <s v="CUST-9268"/>
    <s v="Rohan Mehta"/>
    <x v="3"/>
    <x v="2"/>
    <s v="Telangana"/>
    <s v="Hyderabad"/>
    <x v="1"/>
    <x v="10"/>
    <s v="Eco Chairs 346"/>
    <x v="2"/>
    <n v="5"/>
    <n v="621.70000000000005"/>
    <n v="0.2"/>
    <s v="OK"/>
    <n v="2486.8000000000002"/>
    <n v="2131.73"/>
    <n v="355.07"/>
    <x v="1"/>
    <x v="1"/>
    <n v="0.2"/>
    <n v="2486.8000000000002"/>
    <n v="355.07000000000016"/>
    <n v="14.27818883705968"/>
    <x v="2"/>
    <x v="1"/>
    <s v="CLEAN"/>
  </r>
  <r>
    <x v="499"/>
    <d v="2025-08-09T00:00:00"/>
    <d v="2025-08-07T00:00:00"/>
    <n v="-2"/>
    <s v="INVALID"/>
    <s v="CUST-2477"/>
    <s v="Vikram Iyer"/>
    <x v="3"/>
    <x v="3"/>
    <s v="Gujarat"/>
    <s v="Ahmedabad"/>
    <x v="1"/>
    <x v="9"/>
    <s v="Smart Bookcases 134"/>
    <x v="0"/>
    <n v="5"/>
    <n v="1253.92"/>
    <n v="0.05"/>
    <s v="OK"/>
    <n v="5956.12"/>
    <n v="4379.18"/>
    <n v="1576.94"/>
    <x v="1"/>
    <x v="1"/>
    <n v="0.05"/>
    <n v="5956.12"/>
    <n v="1576.9399999999996"/>
    <n v="26.475960860425907"/>
    <x v="1"/>
    <x v="1"/>
    <s v="INVALID"/>
  </r>
  <r>
    <x v="500"/>
    <d v="2025-01-04T00:00:00"/>
    <d v="2025-04-02T00:00:00"/>
    <n v="88"/>
    <s v="OK"/>
    <s v="CUST-2909"/>
    <s v="Rohan Mehta"/>
    <x v="2"/>
    <x v="1"/>
    <s v="Odisha"/>
    <s v="Bhubaneswar"/>
    <x v="1"/>
    <x v="10"/>
    <s v="Basic Chairs 113"/>
    <x v="0"/>
    <n v="9"/>
    <n v="4165.58"/>
    <n v="0.05"/>
    <s v="OK"/>
    <n v="35615.71"/>
    <n v="20389.71"/>
    <n v="15226"/>
    <x v="1"/>
    <x v="1"/>
    <n v="0.05"/>
    <n v="35615.709000000003"/>
    <n v="15225.999000000003"/>
    <n v="42.75079572331412"/>
    <x v="6"/>
    <x v="1"/>
    <s v="CLEAN"/>
  </r>
  <r>
    <x v="501"/>
    <d v="2025-07-07T00:00:00"/>
    <d v="2025-07-12T00:00:00"/>
    <n v="5"/>
    <s v="OK"/>
    <s v="CUST-1832"/>
    <s v="Diya Patel"/>
    <x v="2"/>
    <x v="1"/>
    <s v="West Bengal"/>
    <s v="Kolkata"/>
    <x v="1"/>
    <x v="1"/>
    <s v="Smart Tables 943"/>
    <x v="0"/>
    <n v="5"/>
    <n v="1831.37"/>
    <n v="0.25"/>
    <s v="OK"/>
    <n v="6867.64"/>
    <n v="5205.3599999999997"/>
    <n v="1662.28"/>
    <x v="0"/>
    <x v="0"/>
    <n v="0.25"/>
    <n v="6867.6374999999989"/>
    <n v="1662.2774999999992"/>
    <n v="24.204502640100028"/>
    <x v="0"/>
    <x v="1"/>
    <s v="CLEAN"/>
  </r>
  <r>
    <x v="502"/>
    <d v="2025-03-21T00:00:00"/>
    <d v="2025-03-24T00:00:00"/>
    <n v="3"/>
    <s v="OK"/>
    <s v="CUST-4452"/>
    <s v="Aarav Sharma"/>
    <x v="1"/>
    <x v="2"/>
    <s v="Andhra Pradesh"/>
    <s v="Vijayawada"/>
    <x v="1"/>
    <x v="10"/>
    <s v="Prime Chairs 101"/>
    <x v="0"/>
    <n v="5"/>
    <n v="1239.1500000000001"/>
    <n v="0"/>
    <s v="OK"/>
    <n v="6195.75"/>
    <n v="3967.02"/>
    <n v="2228.73"/>
    <x v="0"/>
    <x v="0"/>
    <n v="0"/>
    <n v="6195.75"/>
    <n v="2228.73"/>
    <n v="35.971916232901584"/>
    <x v="11"/>
    <x v="1"/>
    <s v="CLEAN"/>
  </r>
  <r>
    <x v="503"/>
    <d v="2025-01-16T00:00:00"/>
    <d v="2025-01-22T00:00:00"/>
    <n v="6"/>
    <s v="OK"/>
    <s v="CUST-5397"/>
    <s v="Sneha Kapoor"/>
    <x v="2"/>
    <x v="0"/>
    <s v="Rajasthan"/>
    <s v="Jaipur"/>
    <x v="1"/>
    <x v="1"/>
    <s v="Max Tables 478"/>
    <x v="1"/>
    <n v="2"/>
    <n v="4418.28"/>
    <n v="0"/>
    <s v="OK"/>
    <n v="8836.56"/>
    <n v="5867.75"/>
    <n v="2968.81"/>
    <x v="0"/>
    <x v="0"/>
    <n v="0"/>
    <n v="8836.56"/>
    <n v="2968.8099999999995"/>
    <n v="33.596897435201022"/>
    <x v="6"/>
    <x v="1"/>
    <s v="CLEAN"/>
  </r>
  <r>
    <x v="504"/>
    <d v="2025-01-23T00:00:00"/>
    <d v="2025-01-30T00:00:00"/>
    <n v="7"/>
    <s v="OK"/>
    <s v="CUST-5672"/>
    <s v="Priya Menon"/>
    <x v="0"/>
    <x v="0"/>
    <s v="Delhi"/>
    <s v="New Delhi"/>
    <x v="0"/>
    <x v="5"/>
    <s v="Eco Labels 646"/>
    <x v="3"/>
    <n v="9"/>
    <n v="1169.3699999999999"/>
    <n v="0.15"/>
    <s v="OK"/>
    <n v="8945.68"/>
    <n v="6740.35"/>
    <n v="2205.33"/>
    <x v="0"/>
    <x v="0"/>
    <n v="0.15"/>
    <n v="8945.6804999999986"/>
    <n v="2205.3304999999982"/>
    <n v="24.652462157574245"/>
    <x v="6"/>
    <x v="1"/>
    <s v="CLEAN"/>
  </r>
  <r>
    <x v="505"/>
    <d v="2025-08-16T00:00:00"/>
    <d v="2025-08-18T00:00:00"/>
    <n v="2"/>
    <s v="OK"/>
    <s v="CUST-4399"/>
    <s v="Kabir Singh"/>
    <x v="0"/>
    <x v="1"/>
    <s v="Jharkhand"/>
    <s v="Ranchi"/>
    <x v="1"/>
    <x v="10"/>
    <s v="Max Chairs 181"/>
    <x v="1"/>
    <n v="5"/>
    <n v="1530.36"/>
    <n v="0"/>
    <s v="OK"/>
    <n v="7651.8"/>
    <n v="5171.78"/>
    <n v="2480.02"/>
    <x v="0"/>
    <x v="0"/>
    <n v="0"/>
    <n v="7651.7999999999993"/>
    <n v="2480.0199999999995"/>
    <n v="32.410935988917636"/>
    <x v="1"/>
    <x v="1"/>
    <s v="CLEAN"/>
  </r>
  <r>
    <x v="506"/>
    <d v="2025-04-13T00:00:00"/>
    <d v="2025-04-13T00:00:00"/>
    <n v="0"/>
    <s v="OK"/>
    <s v="CUST-8566"/>
    <s v="Sneha Kapoor"/>
    <x v="1"/>
    <x v="0"/>
    <s v="Uttar Pradesh"/>
    <s v="Noida"/>
    <x v="0"/>
    <x v="7"/>
    <s v="Prime Storage 951"/>
    <x v="0"/>
    <n v="9"/>
    <n v="1118.68"/>
    <n v="0"/>
    <s v="OK"/>
    <n v="10068.120000000001"/>
    <n v="8595.3700000000008"/>
    <n v="1472.75"/>
    <x v="0"/>
    <x v="0"/>
    <n v="0"/>
    <n v="10068.120000000001"/>
    <n v="1472.75"/>
    <n v="14.627855051389933"/>
    <x v="9"/>
    <x v="1"/>
    <s v="CLEAN"/>
  </r>
  <r>
    <x v="506"/>
    <d v="2025-04-13T00:00:00"/>
    <d v="2025-04-13T00:00:00"/>
    <n v="0"/>
    <s v="OK"/>
    <s v="CUST-8566"/>
    <s v="Sneha Kapoor"/>
    <x v="1"/>
    <x v="0"/>
    <s v="Uttar Pradesh"/>
    <s v="Noida"/>
    <x v="0"/>
    <x v="7"/>
    <s v="Prime Storage 951"/>
    <x v="0"/>
    <n v="9"/>
    <n v="1118.68"/>
    <n v="0"/>
    <s v="OK"/>
    <n v="10348.43"/>
    <n v="8595.3700000000008"/>
    <n v="1472.75"/>
    <x v="0"/>
    <x v="1"/>
    <n v="0"/>
    <n v="10068.120000000001"/>
    <n v="1472.75"/>
    <n v="14.627855051389933"/>
    <x v="9"/>
    <x v="1"/>
    <s v="CLEAN"/>
  </r>
  <r>
    <x v="507"/>
    <d v="2025-02-27T00:00:00"/>
    <d v="2025-02-28T00:00:00"/>
    <n v="1"/>
    <s v="OK"/>
    <s v="CUST-2358"/>
    <s v="Aditi Sen"/>
    <x v="1"/>
    <x v="0"/>
    <s v="Uttar Pradesh"/>
    <s v="Noida"/>
    <x v="0"/>
    <x v="5"/>
    <s v="Smart Labels 668"/>
    <x v="3"/>
    <n v="6"/>
    <n v="2393.25"/>
    <n v="0"/>
    <s v="OK"/>
    <n v="14359.5"/>
    <n v="8117.71"/>
    <n v="6241.79"/>
    <x v="0"/>
    <x v="0"/>
    <n v="0"/>
    <n v="14359.5"/>
    <n v="6241.79"/>
    <n v="43.468017688638184"/>
    <x v="7"/>
    <x v="1"/>
    <s v="CLEAN"/>
  </r>
  <r>
    <x v="508"/>
    <d v="2025-05-24T00:00:00"/>
    <d v="2025-05-30T00:00:00"/>
    <n v="6"/>
    <s v="OK"/>
    <s v="CUST-4875"/>
    <s v="Kabir Singh"/>
    <x v="1"/>
    <x v="1"/>
    <s v="Odisha"/>
    <s v="Bhubaneswar"/>
    <x v="0"/>
    <x v="7"/>
    <s v="Basic Storage 360"/>
    <x v="1"/>
    <n v="1"/>
    <n v="2564.7399999999998"/>
    <n v="0"/>
    <s v="OK"/>
    <n v="2564.7399999999998"/>
    <n v="1754.58"/>
    <n v="810.16"/>
    <x v="0"/>
    <x v="0"/>
    <n v="0"/>
    <n v="2564.7399999999998"/>
    <n v="810.15999999999985"/>
    <n v="31.588387126960232"/>
    <x v="4"/>
    <x v="1"/>
    <s v="CLEAN"/>
  </r>
  <r>
    <x v="509"/>
    <d v="2025-05-22T00:00:00"/>
    <d v="2025-05-22T00:00:00"/>
    <n v="0"/>
    <s v="OK"/>
    <s v="CUST-3154"/>
    <s v="Mira Das"/>
    <x v="0"/>
    <x v="3"/>
    <s v="Goa"/>
    <s v="Panaji"/>
    <x v="2"/>
    <x v="4"/>
    <s v="Basic Accessories 988"/>
    <x v="3"/>
    <n v="2"/>
    <n v="3910.61"/>
    <n v="0"/>
    <s v="OK"/>
    <n v="7821.22"/>
    <n v="4994.46"/>
    <n v="2826.76"/>
    <x v="0"/>
    <x v="0"/>
    <n v="0"/>
    <n v="7821.22"/>
    <n v="2826.76"/>
    <n v="36.142187535959863"/>
    <x v="4"/>
    <x v="1"/>
    <s v="CLEAN"/>
  </r>
  <r>
    <x v="510"/>
    <d v="2025-03-04T00:00:00"/>
    <d v="2025-03-08T00:00:00"/>
    <n v="4"/>
    <s v="OK"/>
    <s v="CUST-7098"/>
    <s v="Arjun Bose"/>
    <x v="1"/>
    <x v="1"/>
    <s v="Bihar"/>
    <s v="Patna"/>
    <x v="2"/>
    <x v="8"/>
    <s v="Pro Phones 538"/>
    <x v="2"/>
    <n v="3"/>
    <n v="4361.8500000000004"/>
    <n v="0.2"/>
    <s v="OK"/>
    <n v="10468.44"/>
    <n v="8399.8700000000008"/>
    <n v="2068.5700000000002"/>
    <x v="0"/>
    <x v="0"/>
    <n v="0.2"/>
    <n v="10468.440000000002"/>
    <n v="2068.5700000000015"/>
    <n v="19.760059760575608"/>
    <x v="11"/>
    <x v="1"/>
    <s v="CLEAN"/>
  </r>
  <r>
    <x v="511"/>
    <d v="2025-06-24T00:00:00"/>
    <d v="2025-06-30T00:00:00"/>
    <n v="6"/>
    <s v="OK"/>
    <s v="CUST-2834"/>
    <s v="Arjun Bose"/>
    <x v="0"/>
    <x v="0"/>
    <s v="Haryana"/>
    <s v="Gurugram"/>
    <x v="0"/>
    <x v="5"/>
    <s v="Classic Labels 670"/>
    <x v="3"/>
    <n v="6"/>
    <n v="365.76"/>
    <n v="0.1"/>
    <s v="OK"/>
    <n v="1975.1"/>
    <n v="1115.3499999999999"/>
    <n v="859.75"/>
    <x v="0"/>
    <x v="0"/>
    <n v="0.1"/>
    <n v="1975.104"/>
    <n v="859.75400000000013"/>
    <n v="43.529555911992489"/>
    <x v="2"/>
    <x v="1"/>
    <s v="CLEAN"/>
  </r>
  <r>
    <x v="512"/>
    <d v="2025-02-12T00:00:00"/>
    <d v="2025-02-14T00:00:00"/>
    <n v="2"/>
    <s v="OK"/>
    <s v="CUST-4222"/>
    <s v="Sneha Kapoor"/>
    <x v="0"/>
    <x v="3"/>
    <s v="Maharashtra"/>
    <s v="Mumbai"/>
    <x v="1"/>
    <x v="3"/>
    <s v="Prime Furnishings 597"/>
    <x v="0"/>
    <n v="8"/>
    <n v="2786.66"/>
    <n v="0.1"/>
    <s v="OK"/>
    <n v="20063.95"/>
    <n v="14363.38"/>
    <n v="5700.57"/>
    <x v="0"/>
    <x v="0"/>
    <n v="0.1"/>
    <n v="20063.952000000001"/>
    <n v="5700.5720000000019"/>
    <n v="28.412009757599112"/>
    <x v="7"/>
    <x v="1"/>
    <s v="CLEAN"/>
  </r>
  <r>
    <x v="513"/>
    <d v="2025-02-14T00:00:00"/>
    <d v="2025-02-14T00:00:00"/>
    <n v="0"/>
    <s v="OK"/>
    <s v="CUST-2267"/>
    <s v="Diya Patel"/>
    <x v="0"/>
    <x v="2"/>
    <s v="Karnataka"/>
    <s v="Bengaluru"/>
    <x v="0"/>
    <x v="7"/>
    <s v="Eco Storage 285"/>
    <x v="2"/>
    <n v="1"/>
    <n v="714.43"/>
    <n v="0"/>
    <s v="OK"/>
    <n v="714.43"/>
    <n v="565.44000000000005"/>
    <n v="148.99"/>
    <x v="0"/>
    <x v="0"/>
    <n v="0"/>
    <n v="714.43"/>
    <n v="148.9899999999999"/>
    <n v="20.854387413742412"/>
    <x v="7"/>
    <x v="1"/>
    <s v="CLEAN"/>
  </r>
  <r>
    <x v="514"/>
    <d v="2025-04-14T00:00:00"/>
    <d v="2025-04-22T00:00:00"/>
    <n v="8"/>
    <s v="OK"/>
    <s v="CUST-2280"/>
    <s v="Aditi Sen"/>
    <x v="1"/>
    <x v="2"/>
    <s v="Karnataka"/>
    <s v="Bengaluru"/>
    <x v="2"/>
    <x v="12"/>
    <s v="Prime Machines 267"/>
    <x v="3"/>
    <n v="2"/>
    <n v="638.73"/>
    <n v="0.05"/>
    <s v="OK"/>
    <n v="1213.5899999999999"/>
    <n v="956.22"/>
    <n v="257.37"/>
    <x v="0"/>
    <x v="0"/>
    <n v="0.05"/>
    <n v="1213.587"/>
    <n v="257.36699999999996"/>
    <n v="21.207132245154238"/>
    <x v="9"/>
    <x v="1"/>
    <s v="CLEAN"/>
  </r>
  <r>
    <x v="515"/>
    <d v="2025-06-09T00:00:00"/>
    <d v="2025-06-10T00:00:00"/>
    <n v="1"/>
    <s v="OK"/>
    <s v="CUST-3177"/>
    <s v="Sneha Kapoor"/>
    <x v="1"/>
    <x v="0"/>
    <s v="Uttar Pradesh"/>
    <s v="Noida"/>
    <x v="1"/>
    <x v="1"/>
    <s v="Eco Tables 378"/>
    <x v="0"/>
    <n v="2"/>
    <n v="1731.88"/>
    <n v="0"/>
    <s v="OK"/>
    <n v="3463.76"/>
    <n v="2143.7399999999998"/>
    <n v="1320.02"/>
    <x v="0"/>
    <x v="0"/>
    <n v="0"/>
    <n v="3463.76"/>
    <n v="1320.0200000000004"/>
    <n v="38.109453310852956"/>
    <x v="2"/>
    <x v="1"/>
    <s v="CLEAN"/>
  </r>
  <r>
    <x v="516"/>
    <d v="2025-04-24T00:00:00"/>
    <d v="2025-04-29T00:00:00"/>
    <n v="5"/>
    <s v="OK"/>
    <s v="CUST-5647"/>
    <s v="Diya Patel"/>
    <x v="1"/>
    <x v="2"/>
    <s v="Andhra Pradesh"/>
    <s v="Vijayawada"/>
    <x v="0"/>
    <x v="0"/>
    <s v="Elite Paper 308"/>
    <x v="1"/>
    <n v="1"/>
    <n v="4358.5"/>
    <n v="0.25"/>
    <s v="OK"/>
    <n v="3268.88"/>
    <n v="1993.74"/>
    <n v="1275.1400000000001"/>
    <x v="0"/>
    <x v="0"/>
    <n v="0.25"/>
    <n v="3268.875"/>
    <n v="1275.135"/>
    <n v="39.008374440747964"/>
    <x v="9"/>
    <x v="1"/>
    <s v="CLEAN"/>
  </r>
  <r>
    <x v="517"/>
    <d v="2025-06-06T00:00:00"/>
    <d v="2025-06-11T00:00:00"/>
    <n v="5"/>
    <s v="OK"/>
    <s v="CUST-7150"/>
    <s v="Sneha Kapoor"/>
    <x v="1"/>
    <x v="0"/>
    <s v="Uttar Pradesh"/>
    <s v="Noida"/>
    <x v="0"/>
    <x v="0"/>
    <s v="Prime Paper 851"/>
    <x v="1"/>
    <n v="7"/>
    <n v="878.09"/>
    <n v="-0.1"/>
    <s v="INVALID"/>
    <n v="5839.3"/>
    <n v="4877.38"/>
    <n v="961.92"/>
    <x v="0"/>
    <x v="0"/>
    <n v="0"/>
    <n v="6146.63"/>
    <n v="1269.25"/>
    <n v="20.649526651189351"/>
    <x v="2"/>
    <x v="1"/>
    <s v="INVALID"/>
  </r>
  <r>
    <x v="518"/>
    <d v="2025-03-09T00:00:00"/>
    <d v="2025-03-16T00:00:00"/>
    <n v="7"/>
    <s v="OK"/>
    <s v="CUST-6694"/>
    <s v="Arjun Bose"/>
    <x v="1"/>
    <x v="1"/>
    <s v="Jharkhand"/>
    <s v="Ranchi"/>
    <x v="1"/>
    <x v="1"/>
    <s v="Classic Tables 151"/>
    <x v="1"/>
    <n v="3"/>
    <n v="2625.85"/>
    <n v="0"/>
    <s v="OK"/>
    <n v="7877.55"/>
    <n v="5562.77"/>
    <n v="2314.7800000000002"/>
    <x v="0"/>
    <x v="0"/>
    <n v="0"/>
    <n v="7877.5499999999993"/>
    <n v="2314.7799999999988"/>
    <n v="29.384516759652417"/>
    <x v="11"/>
    <x v="1"/>
    <s v="CLEAN"/>
  </r>
  <r>
    <x v="519"/>
    <d v="2025-02-25T00:00:00"/>
    <d v="2025-02-25T00:00:00"/>
    <n v="0"/>
    <s v="OK"/>
    <s v="CUST-9909"/>
    <s v="Kabir Singh"/>
    <x v="1"/>
    <x v="3"/>
    <s v="Goa"/>
    <s v="Panaji"/>
    <x v="1"/>
    <x v="3"/>
    <s v="Basic Furnishings 164"/>
    <x v="3"/>
    <n v="2"/>
    <n v="3924.2"/>
    <n v="0.25"/>
    <s v="OK"/>
    <n v="5886.3"/>
    <n v="3621.76"/>
    <n v="2264.54"/>
    <x v="1"/>
    <x v="1"/>
    <n v="0.25"/>
    <n v="5886.2999999999993"/>
    <n v="2264.5399999999991"/>
    <n v="38.471365713606161"/>
    <x v="7"/>
    <x v="1"/>
    <s v="CLEAN"/>
  </r>
  <r>
    <x v="520"/>
    <d v="2025-01-08T00:00:00"/>
    <d v="2025-01-16T00:00:00"/>
    <n v="8"/>
    <s v="OK"/>
    <s v="CUST-7608"/>
    <s v="Neha Gupta"/>
    <x v="0"/>
    <x v="2"/>
    <s v="Telangana"/>
    <s v="Hyderabad"/>
    <x v="1"/>
    <x v="3"/>
    <s v="Smart Furnishings 152"/>
    <x v="2"/>
    <n v="8"/>
    <n v="638.95000000000005"/>
    <n v="0.25"/>
    <s v="OK"/>
    <n v="3833.7"/>
    <n v="2886.35"/>
    <n v="947.35"/>
    <x v="0"/>
    <x v="0"/>
    <n v="0.25"/>
    <n v="3833.7000000000003"/>
    <n v="947.35000000000036"/>
    <n v="24.711114589039319"/>
    <x v="6"/>
    <x v="1"/>
    <s v="CLEAN"/>
  </r>
  <r>
    <x v="521"/>
    <d v="2025-01-29T00:00:00"/>
    <d v="2025-02-05T00:00:00"/>
    <n v="7"/>
    <s v="OK"/>
    <s v="CUST-5269"/>
    <s v="Mira Das"/>
    <x v="0"/>
    <x v="3"/>
    <s v="Gujarat"/>
    <s v="Ahmedabad"/>
    <x v="0"/>
    <x v="2"/>
    <s v="Max Art 736"/>
    <x v="2"/>
    <n v="6"/>
    <n v="3863"/>
    <n v="0.2"/>
    <s v="OK"/>
    <n v="18542.400000000001"/>
    <n v="11193.75"/>
    <n v="7348.65"/>
    <x v="0"/>
    <x v="0"/>
    <n v="0.2"/>
    <n v="18542.400000000001"/>
    <n v="7348.6500000000015"/>
    <n v="39.631601087237904"/>
    <x v="6"/>
    <x v="1"/>
    <s v="CLEAN"/>
  </r>
  <r>
    <x v="522"/>
    <d v="2025-09-26T00:00:00"/>
    <d v="2025-09-30T00:00:00"/>
    <n v="4"/>
    <s v="OK"/>
    <s v="CUST-6552"/>
    <s v="Sneha Kapoor"/>
    <x v="3"/>
    <x v="0"/>
    <s v="Haryana"/>
    <s v="Gurugram"/>
    <x v="2"/>
    <x v="8"/>
    <s v="Classic Phones 940"/>
    <x v="1"/>
    <n v="2"/>
    <n v="688.83"/>
    <n v="0.05"/>
    <s v="OK"/>
    <n v="1308.78"/>
    <n v="843"/>
    <n v="465.78"/>
    <x v="0"/>
    <x v="0"/>
    <n v="0.05"/>
    <n v="1308.777"/>
    <n v="465.77700000000004"/>
    <n v="35.588721378813965"/>
    <x v="10"/>
    <x v="1"/>
    <s v="CLEAN"/>
  </r>
  <r>
    <x v="523"/>
    <d v="2025-06-14T00:00:00"/>
    <d v="2025-06-19T00:00:00"/>
    <n v="5"/>
    <s v="OK"/>
    <s v="CUST-2779"/>
    <s v="Rohan Mehta"/>
    <x v="1"/>
    <x v="0"/>
    <s v="Delhi"/>
    <s v="New Delhi"/>
    <x v="0"/>
    <x v="11"/>
    <s v="Elite Binders 943"/>
    <x v="1"/>
    <n v="3"/>
    <n v="1037.45"/>
    <n v="0.2"/>
    <s v="OK"/>
    <n v="2489.88"/>
    <n v="1707.52"/>
    <n v="782.36"/>
    <x v="1"/>
    <x v="1"/>
    <n v="0.2"/>
    <n v="2489.8800000000006"/>
    <n v="782.36000000000058"/>
    <n v="31.421594615001542"/>
    <x v="2"/>
    <x v="1"/>
    <s v="CLEAN"/>
  </r>
  <r>
    <x v="524"/>
    <d v="2025-09-03T00:00:00"/>
    <d v="2025-09-06T00:00:00"/>
    <n v="3"/>
    <s v="OK"/>
    <s v="CUST-6077"/>
    <s v="Kabir Singh"/>
    <x v="0"/>
    <x v="3"/>
    <s v="Madhya Pradesh"/>
    <s v="Indore"/>
    <x v="2"/>
    <x v="6"/>
    <s v="Elite Copiers 474"/>
    <x v="1"/>
    <n v="7"/>
    <n v="688.85"/>
    <n v="0.15"/>
    <s v="OK"/>
    <n v="4098.66"/>
    <n v="2678.06"/>
    <n v="1420.6"/>
    <x v="0"/>
    <x v="0"/>
    <n v="0.15"/>
    <n v="4098.6574999999993"/>
    <n v="1420.5974999999994"/>
    <n v="34.660068571233374"/>
    <x v="10"/>
    <x v="1"/>
    <s v="CLEAN"/>
  </r>
  <r>
    <x v="525"/>
    <d v="2025-04-22T00:00:00"/>
    <d v="2025-04-24T00:00:00"/>
    <n v="2"/>
    <s v="OK"/>
    <s v="CUST-8843"/>
    <s v="Isha Nair"/>
    <x v="2"/>
    <x v="4"/>
    <s v="Jharkhand"/>
    <s v="Ranchi"/>
    <x v="2"/>
    <x v="4"/>
    <s v="Prime Accessories 419"/>
    <x v="3"/>
    <n v="9"/>
    <n v="2939.44"/>
    <n v="0"/>
    <s v="OK"/>
    <n v="26454.959999999999"/>
    <n v="17630.25"/>
    <n v="8824.7099999999991"/>
    <x v="0"/>
    <x v="0"/>
    <n v="0"/>
    <n v="26454.959999999999"/>
    <n v="8824.7099999999991"/>
    <n v="33.35748759400883"/>
    <x v="9"/>
    <x v="1"/>
    <s v="CLEAN"/>
  </r>
  <r>
    <x v="526"/>
    <d v="2025-03-01T00:00:00"/>
    <d v="2025-08-03T00:00:00"/>
    <n v="155"/>
    <s v="OK"/>
    <s v="CUST-8562"/>
    <s v="Neha Gupta"/>
    <x v="3"/>
    <x v="0"/>
    <s v="Rajasthan"/>
    <s v="Jaipur"/>
    <x v="2"/>
    <x v="6"/>
    <s v="Prime Copiers 109"/>
    <x v="1"/>
    <n v="8"/>
    <n v="2943.1"/>
    <n v="0.25"/>
    <s v="OK"/>
    <n v="17658.599999999999"/>
    <n v="13842.48"/>
    <n v="3816.12"/>
    <x v="0"/>
    <x v="0"/>
    <n v="0.25"/>
    <n v="17658.599999999999"/>
    <n v="3816.119999999999"/>
    <n v="21.610546702456588"/>
    <x v="11"/>
    <x v="1"/>
    <s v="CLEAN"/>
  </r>
  <r>
    <x v="527"/>
    <d v="2025-04-11T00:00:00"/>
    <d v="2025-04-15T00:00:00"/>
    <n v="4"/>
    <s v="OK"/>
    <s v="CUST-2351"/>
    <s v="Mira Das"/>
    <x v="3"/>
    <x v="0"/>
    <s v="Uttar Pradesh"/>
    <s v="Noida"/>
    <x v="2"/>
    <x v="4"/>
    <s v="Eco Accessories 705"/>
    <x v="0"/>
    <n v="5"/>
    <n v="652.78"/>
    <n v="0"/>
    <s v="OK"/>
    <n v="3263.9"/>
    <n v="2068.44"/>
    <n v="1195.46"/>
    <x v="0"/>
    <x v="0"/>
    <n v="0"/>
    <n v="3263.8999999999996"/>
    <n v="1195.4599999999996"/>
    <n v="36.626734887711009"/>
    <x v="9"/>
    <x v="1"/>
    <s v="CLEAN"/>
  </r>
  <r>
    <x v="528"/>
    <d v="2025-05-07T00:00:00"/>
    <d v="2025-05-05T00:00:00"/>
    <n v="-2"/>
    <s v="INVALID"/>
    <s v="CUST-7252"/>
    <s v="Neha Gupta"/>
    <x v="2"/>
    <x v="1"/>
    <s v="Jharkhand"/>
    <s v="Ranchi"/>
    <x v="2"/>
    <x v="8"/>
    <s v="Elite Phones 276"/>
    <x v="3"/>
    <n v="1"/>
    <n v="2266.4699999999998"/>
    <n v="0.2"/>
    <s v="OK"/>
    <n v="1813.18"/>
    <n v="1363.64"/>
    <n v="449.54"/>
    <x v="0"/>
    <x v="0"/>
    <n v="0.2"/>
    <n v="1813.1759999999999"/>
    <n v="449.53599999999983"/>
    <n v="24.792739370033566"/>
    <x v="4"/>
    <x v="1"/>
    <s v="INVALID"/>
  </r>
  <r>
    <x v="529"/>
    <d v="2025-01-12T00:00:00"/>
    <d v="2025-01-19T00:00:00"/>
    <n v="7"/>
    <s v="OK"/>
    <s v="CUST-6588"/>
    <s v="Aarav Sharma"/>
    <x v="0"/>
    <x v="1"/>
    <s v="Jharkhand"/>
    <s v="Ranchi"/>
    <x v="1"/>
    <x v="1"/>
    <s v="Prime Tables 242"/>
    <x v="2"/>
    <n v="1"/>
    <n v="1842.31"/>
    <n v="0"/>
    <s v="OK"/>
    <n v="1842.31"/>
    <n v="1019.17"/>
    <n v="823.14"/>
    <x v="0"/>
    <x v="0"/>
    <n v="0"/>
    <n v="1842.31"/>
    <n v="823.14"/>
    <n v="44.679777019068453"/>
    <x v="6"/>
    <x v="1"/>
    <s v="CLEAN"/>
  </r>
  <r>
    <x v="530"/>
    <d v="2025-08-12T00:00:00"/>
    <d v="2025-08-16T00:00:00"/>
    <n v="4"/>
    <s v="OK"/>
    <s v="CUST-4475"/>
    <s v="Ananya Rao"/>
    <x v="0"/>
    <x v="1"/>
    <s v="Assam"/>
    <s v="Guwahati"/>
    <x v="2"/>
    <x v="4"/>
    <s v="Prime Accessories 482"/>
    <x v="1"/>
    <n v="9"/>
    <n v="2379.2399999999998"/>
    <n v="0.05"/>
    <s v="OK"/>
    <n v="20342.5"/>
    <n v="12407.51"/>
    <n v="7934.99"/>
    <x v="0"/>
    <x v="0"/>
    <n v="0.05"/>
    <n v="20342.501999999997"/>
    <n v="7934.9919999999966"/>
    <n v="39.00696187715748"/>
    <x v="1"/>
    <x v="1"/>
    <s v="CLEAN"/>
  </r>
  <r>
    <x v="531"/>
    <d v="2025-09-18T00:00:00"/>
    <d v="2025-09-19T00:00:00"/>
    <n v="1"/>
    <s v="OK"/>
    <s v="CUST-9295"/>
    <s v="Sneha Kapoor"/>
    <x v="3"/>
    <x v="2"/>
    <s v="Andhra Pradesh"/>
    <s v="Vijayawada"/>
    <x v="0"/>
    <x v="7"/>
    <s v="Eco Storage 793"/>
    <x v="1"/>
    <n v="8"/>
    <n v="4242.51"/>
    <n v="0"/>
    <s v="OK"/>
    <n v="33940.080000000002"/>
    <n v="23754.19"/>
    <n v="10185.89"/>
    <x v="0"/>
    <x v="0"/>
    <n v="0"/>
    <n v="33940.080000000002"/>
    <n v="10185.890000000003"/>
    <n v="30.011390662603045"/>
    <x v="10"/>
    <x v="1"/>
    <s v="CLEAN"/>
  </r>
  <r>
    <x v="532"/>
    <d v="2025-10-08T00:00:00"/>
    <d v="2025-08-10T00:00:00"/>
    <n v="-59"/>
    <s v="INVALID"/>
    <s v="CUST-3614"/>
    <s v="Rohan Mehta"/>
    <x v="3"/>
    <x v="2"/>
    <s v="Telangana"/>
    <s v="Hyderabad"/>
    <x v="1"/>
    <x v="9"/>
    <s v="Basic Bookcases 182"/>
    <x v="3"/>
    <n v="6"/>
    <n v="4288.7"/>
    <n v="0.15"/>
    <s v="OK"/>
    <n v="21872.37"/>
    <n v="13829.5"/>
    <n v="8042.87"/>
    <x v="1"/>
    <x v="1"/>
    <n v="0.15"/>
    <n v="21872.369999999995"/>
    <n v="8042.8699999999953"/>
    <n v="36.771826738483284"/>
    <x v="8"/>
    <x v="1"/>
    <s v="INVALID"/>
  </r>
  <r>
    <x v="533"/>
    <d v="2025-06-12T00:00:00"/>
    <d v="2025-06-19T00:00:00"/>
    <n v="7"/>
    <s v="OK"/>
    <s v="CUST-8672"/>
    <s v="Ananya Rao"/>
    <x v="2"/>
    <x v="0"/>
    <s v="Delhi"/>
    <s v="New Delhi"/>
    <x v="1"/>
    <x v="10"/>
    <s v="Pro Chairs 302"/>
    <x v="3"/>
    <n v="9"/>
    <n v="2278.5700000000002"/>
    <n v="0.25"/>
    <s v="OK"/>
    <n v="15380.35"/>
    <n v="9907.3700000000008"/>
    <n v="5472.98"/>
    <x v="0"/>
    <x v="0"/>
    <n v="0.25"/>
    <n v="15380.3475"/>
    <n v="5472.9774999999991"/>
    <n v="35.584225258889624"/>
    <x v="2"/>
    <x v="1"/>
    <s v="CLEAN"/>
  </r>
  <r>
    <x v="534"/>
    <d v="2025-05-03T00:00:00"/>
    <d v="2025-05-11T00:00:00"/>
    <n v="8"/>
    <s v="OK"/>
    <s v="CUST-2317"/>
    <s v="Rohan Mehta"/>
    <x v="1"/>
    <x v="3"/>
    <s v="Madhya Pradesh"/>
    <s v="Indore"/>
    <x v="0"/>
    <x v="5"/>
    <s v="Elite Labels 322"/>
    <x v="1"/>
    <n v="5"/>
    <n v="1483.52"/>
    <n v="0"/>
    <s v="OK"/>
    <n v="7417.6"/>
    <n v="4955.8599999999997"/>
    <n v="2461.7399999999998"/>
    <x v="0"/>
    <x v="0"/>
    <n v="0"/>
    <n v="7417.6"/>
    <n v="2461.7400000000007"/>
    <n v="33.187823554788622"/>
    <x v="4"/>
    <x v="1"/>
    <s v="CLEAN"/>
  </r>
  <r>
    <x v="535"/>
    <d v="2025-03-23T00:00:00"/>
    <d v="2025-03-28T00:00:00"/>
    <n v="5"/>
    <s v="OK"/>
    <s v="CUST-8643"/>
    <s v="Vikram Iyer"/>
    <x v="1"/>
    <x v="0"/>
    <s v="Rajasthan"/>
    <s v="Jaipur"/>
    <x v="1"/>
    <x v="3"/>
    <s v="Max Furnishings 821"/>
    <x v="3"/>
    <n v="9"/>
    <n v="3298"/>
    <n v="0.15"/>
    <s v="OK"/>
    <n v="25229.7"/>
    <n v="20170.43"/>
    <n v="5059.2700000000004"/>
    <x v="0"/>
    <x v="0"/>
    <n v="0.15"/>
    <n v="25229.7"/>
    <n v="5059.2700000000004"/>
    <n v="20.052834556098567"/>
    <x v="11"/>
    <x v="1"/>
    <s v="CLEAN"/>
  </r>
  <r>
    <x v="536"/>
    <d v="2025-09-30T00:00:00"/>
    <d v="2025-10-06T00:00:00"/>
    <n v="6"/>
    <s v="OK"/>
    <s v="CUST-5551"/>
    <s v="Aarav Sharma"/>
    <x v="2"/>
    <x v="4"/>
    <s v="Rajasthan"/>
    <s v="Jaipur"/>
    <x v="2"/>
    <x v="6"/>
    <s v="Eco Copiers 603"/>
    <x v="0"/>
    <n v="9"/>
    <n v="1359.88"/>
    <n v="0.05"/>
    <s v="OK"/>
    <n v="11626.97"/>
    <n v="7394.07"/>
    <n v="4232.8999999999996"/>
    <x v="0"/>
    <x v="0"/>
    <n v="0.05"/>
    <n v="11626.974000000002"/>
    <n v="4232.9040000000023"/>
    <n v="36.405895463428415"/>
    <x v="10"/>
    <x v="1"/>
    <s v="CLEAN"/>
  </r>
  <r>
    <x v="537"/>
    <d v="2025-05-25T00:00:00"/>
    <d v="2025-05-26T00:00:00"/>
    <n v="1"/>
    <s v="OK"/>
    <s v="CUST-3659"/>
    <s v="Neha Gupta"/>
    <x v="2"/>
    <x v="2"/>
    <s v="Andhra Pradesh"/>
    <s v="Vijayawada"/>
    <x v="0"/>
    <x v="0"/>
    <s v="Max Paper 700"/>
    <x v="3"/>
    <n v="3"/>
    <n v="3378.15"/>
    <n v="0.15"/>
    <s v="OK"/>
    <n v="8614.2800000000007"/>
    <n v="7052.08"/>
    <n v="1562.2"/>
    <x v="0"/>
    <x v="0"/>
    <n v="0.15"/>
    <n v="8614.2825000000012"/>
    <n v="1562.2025000000012"/>
    <n v="18.135027496486224"/>
    <x v="4"/>
    <x v="1"/>
    <s v="CLEAN"/>
  </r>
  <r>
    <x v="538"/>
    <d v="2025-07-02T00:00:00"/>
    <d v="2025-02-08T00:00:00"/>
    <n v="-144"/>
    <s v="INVALID"/>
    <s v="CUST-2626"/>
    <s v="Arjun Bose"/>
    <x v="2"/>
    <x v="3"/>
    <s v="Madhya Pradesh"/>
    <s v="Indore"/>
    <x v="2"/>
    <x v="8"/>
    <s v="Eco Phones 208"/>
    <x v="3"/>
    <n v="4"/>
    <n v="889.5"/>
    <n v="0.2"/>
    <s v="OK"/>
    <n v="2846.4"/>
    <n v="2132.37"/>
    <n v="714.03"/>
    <x v="0"/>
    <x v="0"/>
    <n v="0.2"/>
    <n v="2846.4"/>
    <n v="714.0300000000002"/>
    <n v="25.085370994940988"/>
    <x v="0"/>
    <x v="1"/>
    <s v="INVALID"/>
  </r>
  <r>
    <x v="539"/>
    <d v="2025-01-09T00:00:00"/>
    <d v="2025-01-07T00:00:00"/>
    <n v="-2"/>
    <s v="INVALID"/>
    <s v="CUST-4176"/>
    <s v="Aarav Sharma"/>
    <x v="3"/>
    <x v="1"/>
    <s v="West Bengal"/>
    <s v="Kolkata"/>
    <x v="0"/>
    <x v="11"/>
    <s v="Pro Binders 555"/>
    <x v="0"/>
    <n v="3"/>
    <n v="2188.33"/>
    <n v="0"/>
    <s v="OK"/>
    <n v="6564.99"/>
    <n v="5407.24"/>
    <n v="1157.75"/>
    <x v="0"/>
    <x v="0"/>
    <n v="0"/>
    <n v="6564.99"/>
    <n v="1157.75"/>
    <n v="17.635213458055535"/>
    <x v="6"/>
    <x v="1"/>
    <s v="INVALID"/>
  </r>
  <r>
    <x v="540"/>
    <d v="2025-03-01T00:00:00"/>
    <d v="2025-03-08T00:00:00"/>
    <n v="7"/>
    <s v="OK"/>
    <s v="CUST-5712"/>
    <s v="Vikram Iyer"/>
    <x v="0"/>
    <x v="1"/>
    <s v="West Bengal"/>
    <s v="Kolkata"/>
    <x v="1"/>
    <x v="10"/>
    <s v="Eco Chairs 365"/>
    <x v="1"/>
    <n v="8"/>
    <n v="3378.82"/>
    <n v="0.25"/>
    <s v="OK"/>
    <n v="20272.919999999998"/>
    <n v="15873.38"/>
    <n v="4399.54"/>
    <x v="1"/>
    <x v="1"/>
    <n v="0.25"/>
    <n v="20272.920000000002"/>
    <n v="4399.5400000000027"/>
    <n v="21.701560505344087"/>
    <x v="11"/>
    <x v="1"/>
    <s v="CLEAN"/>
  </r>
  <r>
    <x v="541"/>
    <d v="2025-01-05T00:00:00"/>
    <d v="2025-01-09T00:00:00"/>
    <n v="4"/>
    <s v="OK"/>
    <s v="CUST-9947"/>
    <s v="Neha Gupta"/>
    <x v="1"/>
    <x v="2"/>
    <s v="Tamil Nadu"/>
    <s v="Chennai"/>
    <x v="0"/>
    <x v="7"/>
    <s v="Eco Storage 923"/>
    <x v="4"/>
    <n v="5"/>
    <n v="905.16"/>
    <n v="0"/>
    <s v="OK"/>
    <n v="4525.8"/>
    <n v="2714.51"/>
    <n v="1811.29"/>
    <x v="0"/>
    <x v="0"/>
    <n v="0"/>
    <n v="4525.8"/>
    <n v="1811.29"/>
    <n v="40.021432674886206"/>
    <x v="6"/>
    <x v="1"/>
    <s v="CLEAN"/>
  </r>
  <r>
    <x v="542"/>
    <d v="2025-06-05T00:00:00"/>
    <d v="2025-06-13T00:00:00"/>
    <n v="8"/>
    <s v="OK"/>
    <s v="CUST-4403"/>
    <s v="Isha Nair"/>
    <x v="0"/>
    <x v="0"/>
    <s v="Uttar Pradesh"/>
    <s v="Noida"/>
    <x v="2"/>
    <x v="12"/>
    <s v="Classic Machines 287"/>
    <x v="1"/>
    <n v="4"/>
    <n v="2793.88"/>
    <s v="85%"/>
    <s v="INVALID"/>
    <n v="10616.74"/>
    <n v="6353.59"/>
    <n v="4263.1499999999996"/>
    <x v="0"/>
    <x v="0"/>
    <n v="0"/>
    <n v="11175.52"/>
    <n v="4821.93"/>
    <n v="43.147253998024254"/>
    <x v="2"/>
    <x v="1"/>
    <s v="INVALID"/>
  </r>
  <r>
    <x v="543"/>
    <d v="2025-01-22T00:00:00"/>
    <d v="2025-01-23T00:00:00"/>
    <n v="1"/>
    <s v="OK"/>
    <s v="CUST-1594"/>
    <s v="Rahul Verma"/>
    <x v="2"/>
    <x v="3"/>
    <s v="Goa"/>
    <s v="Panaji"/>
    <x v="1"/>
    <x v="9"/>
    <s v="Elite Bookcases 802"/>
    <x v="3"/>
    <n v="4"/>
    <n v="2555.19"/>
    <n v="0.25"/>
    <s v="OK"/>
    <n v="7665.57"/>
    <n v="5595.6"/>
    <n v="2069.9699999999998"/>
    <x v="0"/>
    <x v="0"/>
    <n v="0.25"/>
    <n v="7665.57"/>
    <n v="2069.9699999999993"/>
    <n v="27.003471366121495"/>
    <x v="6"/>
    <x v="1"/>
    <s v="CLEAN"/>
  </r>
  <r>
    <x v="544"/>
    <d v="2025-06-22T00:00:00"/>
    <d v="2025-06-26T00:00:00"/>
    <n v="4"/>
    <s v="OK"/>
    <s v="CUST-8132"/>
    <s v="Rahul Verma"/>
    <x v="2"/>
    <x v="3"/>
    <s v="Goa"/>
    <s v="Panaji"/>
    <x v="1"/>
    <x v="1"/>
    <s v="Pro Tables 257"/>
    <x v="3"/>
    <n v="3"/>
    <n v="1946.18"/>
    <n v="0.2"/>
    <s v="OK"/>
    <n v="4670.83"/>
    <n v="3166.49"/>
    <n v="1504.34"/>
    <x v="0"/>
    <x v="0"/>
    <n v="0.2"/>
    <n v="4670.8320000000003"/>
    <n v="1504.3420000000006"/>
    <n v="32.207152815601169"/>
    <x v="2"/>
    <x v="1"/>
    <s v="CLEAN"/>
  </r>
  <r>
    <x v="545"/>
    <d v="2025-04-29T00:00:00"/>
    <d v="2025-04-30T00:00:00"/>
    <n v="1"/>
    <s v="OK"/>
    <s v="CUST-4101"/>
    <s v="Mira Das"/>
    <x v="2"/>
    <x v="2"/>
    <s v="Kerala"/>
    <s v="Kochi"/>
    <x v="2"/>
    <x v="4"/>
    <s v="Prime Accessories 118"/>
    <x v="3"/>
    <n v="4"/>
    <n v="606.58000000000004"/>
    <n v="0.2"/>
    <s v="OK"/>
    <n v="1941.06"/>
    <n v="1207.42"/>
    <n v="733.64"/>
    <x v="0"/>
    <x v="0"/>
    <n v="0.2"/>
    <n v="1941.0560000000003"/>
    <n v="733.63600000000019"/>
    <n v="37.795715321969077"/>
    <x v="9"/>
    <x v="1"/>
    <s v="CLEAN"/>
  </r>
  <r>
    <x v="546"/>
    <d v="2025-06-28T00:00:00"/>
    <d v="2025-07-02T00:00:00"/>
    <n v="4"/>
    <s v="OK"/>
    <s v="CUST-4679"/>
    <s v="Ananya Rao"/>
    <x v="2"/>
    <x v="2"/>
    <s v="Andhra Pradesh"/>
    <s v="Vijayawada"/>
    <x v="0"/>
    <x v="7"/>
    <s v="Elite Storage 331"/>
    <x v="0"/>
    <n v="2"/>
    <n v="2725.44"/>
    <n v="0.25"/>
    <s v="OK"/>
    <n v="4088.16"/>
    <n v="3205.68"/>
    <n v="882.48"/>
    <x v="0"/>
    <x v="0"/>
    <n v="0.25"/>
    <n v="4088.16"/>
    <n v="882.48"/>
    <n v="21.586239286133615"/>
    <x v="2"/>
    <x v="1"/>
    <s v="CLEAN"/>
  </r>
  <r>
    <x v="547"/>
    <d v="2025-02-13T00:00:00"/>
    <d v="2025-02-13T00:00:00"/>
    <n v="0"/>
    <s v="OK"/>
    <s v="CUST-3765"/>
    <s v="Kabir Singh"/>
    <x v="2"/>
    <x v="1"/>
    <s v="Odisha"/>
    <s v="Bhubaneswar"/>
    <x v="0"/>
    <x v="0"/>
    <s v="Prime Paper 996"/>
    <x v="0"/>
    <n v="7"/>
    <n v="2296.6999999999998"/>
    <n v="0.05"/>
    <s v="OK"/>
    <n v="15273.05"/>
    <n v="11088.76"/>
    <n v="4184.29"/>
    <x v="0"/>
    <x v="0"/>
    <n v="0.05"/>
    <n v="15273.054999999997"/>
    <n v="4184.2949999999964"/>
    <n v="27.396581757873573"/>
    <x v="7"/>
    <x v="1"/>
    <s v="CLEAN"/>
  </r>
  <r>
    <x v="548"/>
    <d v="2025-07-04T00:00:00"/>
    <d v="2025-07-06T00:00:00"/>
    <n v="2"/>
    <s v="OK"/>
    <s v="CUST-2038"/>
    <s v="Kabir Singh"/>
    <x v="1"/>
    <x v="1"/>
    <s v="Jharkhand"/>
    <s v="Ranchi"/>
    <x v="1"/>
    <x v="10"/>
    <s v="Eco Chairs 795"/>
    <x v="0"/>
    <n v="2"/>
    <n v="3686.42"/>
    <n v="0.1"/>
    <s v="OK"/>
    <n v="6635.56"/>
    <n v="3652.91"/>
    <n v="2982.65"/>
    <x v="0"/>
    <x v="0"/>
    <n v="0.1"/>
    <n v="6635.5560000000005"/>
    <n v="2982.6460000000006"/>
    <n v="44.94945110854313"/>
    <x v="0"/>
    <x v="1"/>
    <s v="CLEAN"/>
  </r>
  <r>
    <x v="549"/>
    <d v="2025-02-12T00:00:00"/>
    <d v="2025-02-17T00:00:00"/>
    <n v="5"/>
    <s v="OK"/>
    <s v="CUST-9693"/>
    <s v="Arjun Bose"/>
    <x v="2"/>
    <x v="3"/>
    <s v="Gujarat"/>
    <s v="Ahmedabad"/>
    <x v="0"/>
    <x v="2"/>
    <s v="Elite Art 553"/>
    <x v="3"/>
    <n v="4"/>
    <n v="4328.12"/>
    <n v="0"/>
    <s v="OK"/>
    <n v="17312.48"/>
    <n v="14424.22"/>
    <n v="2888.26"/>
    <x v="0"/>
    <x v="0"/>
    <n v="0"/>
    <n v="17312.48"/>
    <n v="2888.26"/>
    <n v="16.683109525613894"/>
    <x v="7"/>
    <x v="1"/>
    <s v="CLEAN"/>
  </r>
  <r>
    <x v="550"/>
    <d v="2025-04-15T00:00:00"/>
    <d v="2025-04-22T00:00:00"/>
    <n v="7"/>
    <s v="OK"/>
    <s v="CUST-1826"/>
    <s v="Isha Nair"/>
    <x v="1"/>
    <x v="0"/>
    <s v="Haryana"/>
    <s v="Gurugram"/>
    <x v="0"/>
    <x v="11"/>
    <s v="Classic Binders 602"/>
    <x v="1"/>
    <n v="4"/>
    <n v="2990.42"/>
    <n v="0.25"/>
    <s v="OK"/>
    <n v="8971.26"/>
    <n v="6814.35"/>
    <n v="2156.91"/>
    <x v="0"/>
    <x v="0"/>
    <n v="0.25"/>
    <n v="8971.26"/>
    <n v="2156.91"/>
    <n v="24.042442198754689"/>
    <x v="9"/>
    <x v="1"/>
    <s v="CLEAN"/>
  </r>
  <r>
    <x v="551"/>
    <d v="2025-05-12T00:00:00"/>
    <d v="2025-05-14T00:00:00"/>
    <n v="2"/>
    <s v="OK"/>
    <s v="CUST-7901"/>
    <s v="Neha Gupta"/>
    <x v="0"/>
    <x v="3"/>
    <s v="Gujarat"/>
    <s v="Ahmedabad"/>
    <x v="2"/>
    <x v="12"/>
    <s v="Classic Machines 599"/>
    <x v="1"/>
    <n v="8"/>
    <n v="3631.44"/>
    <n v="0.2"/>
    <s v="OK"/>
    <n v="23241.22"/>
    <n v="17220.900000000001"/>
    <n v="6020.32"/>
    <x v="0"/>
    <x v="0"/>
    <n v="0.2"/>
    <n v="23241.216"/>
    <n v="6020.3159999999989"/>
    <n v="25.903618812371949"/>
    <x v="4"/>
    <x v="1"/>
    <s v="CLEAN"/>
  </r>
  <r>
    <x v="552"/>
    <d v="2025-03-02T00:00:00"/>
    <d v="2025-03-03T00:00:00"/>
    <n v="1"/>
    <s v="OK"/>
    <s v="CUST-9943"/>
    <s v="Isha Nair"/>
    <x v="2"/>
    <x v="2"/>
    <s v="Kerala"/>
    <s v="Kochi"/>
    <x v="0"/>
    <x v="5"/>
    <s v="Pro Labels 849"/>
    <x v="0"/>
    <n v="2"/>
    <n v="4031.45"/>
    <n v="0.25"/>
    <s v="OK"/>
    <n v="6047.17"/>
    <n v="3368.79"/>
    <n v="2678.38"/>
    <x v="0"/>
    <x v="0"/>
    <n v="0.25"/>
    <n v="6047.1749999999993"/>
    <n v="2678.3849999999993"/>
    <n v="44.291508018206841"/>
    <x v="11"/>
    <x v="1"/>
    <s v="CLEAN"/>
  </r>
  <r>
    <x v="553"/>
    <d v="2025-06-27T00:00:00"/>
    <d v="2025-07-02T00:00:00"/>
    <n v="5"/>
    <s v="OK"/>
    <s v="CUST-8993"/>
    <s v="Aarav Sharma"/>
    <x v="2"/>
    <x v="2"/>
    <s v="Kerala"/>
    <s v="Kochi"/>
    <x v="2"/>
    <x v="4"/>
    <s v="Prime Accessories 849"/>
    <x v="2"/>
    <n v="6"/>
    <n v="1099.49"/>
    <n v="0.1"/>
    <s v="OK"/>
    <n v="6212.38"/>
    <n v="4088.46"/>
    <n v="1848.79"/>
    <x v="0"/>
    <x v="0"/>
    <n v="0.1"/>
    <n v="5937.246000000001"/>
    <n v="1848.786000000001"/>
    <n v="31.138780505304997"/>
    <x v="2"/>
    <x v="1"/>
    <s v="CLEAN"/>
  </r>
  <r>
    <x v="554"/>
    <d v="2025-04-11T00:00:00"/>
    <d v="2025-04-11T00:00:00"/>
    <n v="0"/>
    <s v="OK"/>
    <s v="CUST-9986"/>
    <s v="Rahul Verma"/>
    <x v="2"/>
    <x v="0"/>
    <s v="Delhi"/>
    <s v="New Delhi"/>
    <x v="0"/>
    <x v="0"/>
    <s v="Classic Paper 752"/>
    <x v="3"/>
    <n v="1"/>
    <n v="4458.49"/>
    <n v="-7.0000000000000007E-2"/>
    <s v="INVALID"/>
    <n v="3566.79"/>
    <n v="2083.41"/>
    <n v="1483.38"/>
    <x v="0"/>
    <x v="0"/>
    <n v="0"/>
    <n v="4458.49"/>
    <n v="2375.08"/>
    <n v="53.270950478749533"/>
    <x v="9"/>
    <x v="1"/>
    <s v="INVALID"/>
  </r>
  <r>
    <x v="555"/>
    <d v="2025-03-25T00:00:00"/>
    <d v="2025-04-01T00:00:00"/>
    <n v="7"/>
    <s v="OK"/>
    <s v="CUST-8012"/>
    <s v="Diya Patel"/>
    <x v="0"/>
    <x v="0"/>
    <s v="Punjab"/>
    <s v="Ludhiana"/>
    <x v="0"/>
    <x v="5"/>
    <s v="Classic Labels 776"/>
    <x v="0"/>
    <n v="6"/>
    <n v="2192.11"/>
    <n v="0.05"/>
    <s v="OK"/>
    <n v="12495.03"/>
    <n v="9184.52"/>
    <n v="3310.51"/>
    <x v="0"/>
    <x v="0"/>
    <n v="0.05"/>
    <n v="12495.027"/>
    <n v="3310.5069999999996"/>
    <n v="26.494596610315448"/>
    <x v="11"/>
    <x v="1"/>
    <s v="CLEAN"/>
  </r>
  <r>
    <x v="556"/>
    <d v="2025-02-28T00:00:00"/>
    <d v="2025-03-08T00:00:00"/>
    <n v="8"/>
    <s v="OK"/>
    <s v="CUST-2917"/>
    <s v="Neha Gupta"/>
    <x v="1"/>
    <x v="1"/>
    <s v="Jharkhand"/>
    <s v="Ranchi"/>
    <x v="2"/>
    <x v="8"/>
    <s v="Max Phones 612"/>
    <x v="2"/>
    <n v="9"/>
    <n v="3670.54"/>
    <n v="0"/>
    <s v="OK"/>
    <n v="33034.86"/>
    <n v="24539.83"/>
    <n v="8495.0300000000007"/>
    <x v="0"/>
    <x v="0"/>
    <n v="0"/>
    <n v="33034.86"/>
    <n v="8495.0299999999988"/>
    <n v="25.715350390466305"/>
    <x v="7"/>
    <x v="1"/>
    <s v="CLEAN"/>
  </r>
  <r>
    <x v="557"/>
    <d v="2025-07-18T00:00:00"/>
    <d v="2025-07-21T00:00:00"/>
    <n v="3"/>
    <s v="OK"/>
    <s v="CUST-7198"/>
    <s v="Priya Menon"/>
    <x v="0"/>
    <x v="1"/>
    <s v="Odisha"/>
    <s v="Bhubaneswar"/>
    <x v="1"/>
    <x v="1"/>
    <s v="Elite Tables 815"/>
    <x v="0"/>
    <n v="4"/>
    <n v="284.04000000000002"/>
    <n v="0"/>
    <s v="OK"/>
    <n v="908.93"/>
    <n v="572.08000000000004"/>
    <n v="336.85"/>
    <x v="0"/>
    <x v="0"/>
    <n v="0"/>
    <n v="1136.1600000000001"/>
    <n v="564.08000000000004"/>
    <n v="49.647936910294327"/>
    <x v="0"/>
    <x v="1"/>
    <s v="CLEAN"/>
  </r>
  <r>
    <x v="558"/>
    <d v="2025-01-10T00:00:00"/>
    <d v="2025-10-05T00:00:00"/>
    <n v="268"/>
    <s v="OK"/>
    <s v="CUST-3419"/>
    <s v="Aditi Sen"/>
    <x v="3"/>
    <x v="0"/>
    <s v="Haryana"/>
    <s v="Gurugram"/>
    <x v="0"/>
    <x v="0"/>
    <s v="Basic Paper 388"/>
    <x v="2"/>
    <n v="5"/>
    <n v="3247.56"/>
    <n v="0.15"/>
    <s v="OK"/>
    <n v="13802.13"/>
    <n v="10075.93"/>
    <n v="3726.2"/>
    <x v="0"/>
    <x v="0"/>
    <n v="0.15"/>
    <n v="13802.13"/>
    <n v="3726.1999999999989"/>
    <n v="26.997282303528507"/>
    <x v="6"/>
    <x v="1"/>
    <s v="CLEAN"/>
  </r>
  <r>
    <x v="559"/>
    <d v="2025-05-30T00:00:00"/>
    <d v="2025-06-01T00:00:00"/>
    <n v="2"/>
    <s v="OK"/>
    <s v="CUST-8177"/>
    <s v="Rahul Verma"/>
    <x v="3"/>
    <x v="2"/>
    <s v="Tamil Nadu"/>
    <s v="Chennai"/>
    <x v="0"/>
    <x v="11"/>
    <s v="Eco Binders 352"/>
    <x v="3"/>
    <n v="9"/>
    <n v="1994.51"/>
    <n v="0.05"/>
    <s v="OK"/>
    <n v="17053.060000000001"/>
    <n v="10742.38"/>
    <n v="6310.68"/>
    <x v="0"/>
    <x v="0"/>
    <n v="0.05"/>
    <n v="17053.0605"/>
    <n v="6310.6805000000004"/>
    <n v="37.00614619880109"/>
    <x v="4"/>
    <x v="1"/>
    <s v="CLEAN"/>
  </r>
  <r>
    <x v="560"/>
    <d v="2025-04-27T00:00:00"/>
    <d v="2025-05-05T00:00:00"/>
    <n v="8"/>
    <s v="OK"/>
    <s v="CUST-8204"/>
    <s v="Rohan Mehta"/>
    <x v="3"/>
    <x v="1"/>
    <s v="Bihar"/>
    <s v="Patna"/>
    <x v="2"/>
    <x v="4"/>
    <s v="Classic Accessories 325"/>
    <x v="0"/>
    <n v="4"/>
    <n v="3963.39"/>
    <n v="0.1"/>
    <s v="OK"/>
    <n v="14268.2"/>
    <n v="11705.3"/>
    <n v="2562.9"/>
    <x v="1"/>
    <x v="1"/>
    <n v="0.1"/>
    <n v="14268.204"/>
    <n v="2562.9040000000005"/>
    <n v="17.962344805274725"/>
    <x v="9"/>
    <x v="1"/>
    <s v="CLEAN"/>
  </r>
  <r>
    <x v="561"/>
    <d v="2025-08-07T00:00:00"/>
    <d v="2025-07-09T00:00:00"/>
    <n v="-29"/>
    <s v="INVALID"/>
    <s v="CUST-4188"/>
    <s v="Sneha Kapoor"/>
    <x v="0"/>
    <x v="3"/>
    <s v="Maharashtra"/>
    <s v="Mumbai"/>
    <x v="2"/>
    <x v="6"/>
    <s v="Elite Copiers 831"/>
    <x v="1"/>
    <n v="3"/>
    <n v="2880.56"/>
    <n v="0"/>
    <s v="OK"/>
    <n v="8641.68"/>
    <n v="5747.09"/>
    <n v="2894.59"/>
    <x v="0"/>
    <x v="1"/>
    <n v="0"/>
    <n v="8641.68"/>
    <n v="2894.59"/>
    <n v="33.49568602401385"/>
    <x v="1"/>
    <x v="1"/>
    <s v="INVALID"/>
  </r>
  <r>
    <x v="562"/>
    <d v="2025-08-14T00:00:00"/>
    <d v="2025-08-22T00:00:00"/>
    <n v="8"/>
    <s v="OK"/>
    <s v="CUST-8157"/>
    <s v="Arjun Bose"/>
    <x v="2"/>
    <x v="3"/>
    <s v="Gujarat"/>
    <s v="Ahmedabad"/>
    <x v="0"/>
    <x v="0"/>
    <s v="Prime Paper 143"/>
    <x v="2"/>
    <n v="5"/>
    <n v="2567.37"/>
    <n v="0.15"/>
    <s v="OK"/>
    <n v="10911.32"/>
    <n v="6966.44"/>
    <n v="4395.17"/>
    <x v="0"/>
    <x v="0"/>
    <n v="0.15"/>
    <n v="10911.322499999998"/>
    <n v="3944.8824999999988"/>
    <n v="36.154027158486052"/>
    <x v="1"/>
    <x v="1"/>
    <s v="CLEAN"/>
  </r>
  <r>
    <x v="563"/>
    <d v="2025-10-11T00:00:00"/>
    <d v="2025-10-13T00:00:00"/>
    <n v="2"/>
    <s v="OK"/>
    <s v="CUST-6028"/>
    <s v="Mira Das"/>
    <x v="2"/>
    <x v="2"/>
    <s v="Telangana"/>
    <s v="Hyderabad"/>
    <x v="0"/>
    <x v="2"/>
    <s v="Pro Art 287"/>
    <x v="0"/>
    <n v="3"/>
    <n v="3804.27"/>
    <n v="0.1"/>
    <s v="OK"/>
    <n v="10271.530000000001"/>
    <n v="8272.24"/>
    <n v="1999.29"/>
    <x v="0"/>
    <x v="0"/>
    <n v="0.1"/>
    <n v="10271.529"/>
    <n v="1999.2890000000007"/>
    <n v="19.464375751652948"/>
    <x v="8"/>
    <x v="1"/>
    <s v="CLEAN"/>
  </r>
  <r>
    <x v="564"/>
    <d v="2025-01-24T00:00:00"/>
    <d v="2025-01-30T00:00:00"/>
    <n v="6"/>
    <s v="OK"/>
    <s v="CUST-8861"/>
    <s v="Ananya Rao"/>
    <x v="2"/>
    <x v="1"/>
    <s v="West Bengal"/>
    <s v="Kolkata"/>
    <x v="2"/>
    <x v="6"/>
    <s v="Pro Copiers 246"/>
    <x v="3"/>
    <n v="8"/>
    <n v="312.52999999999997"/>
    <s v="70%"/>
    <s v="INVALID"/>
    <n v="1875.18"/>
    <n v="1579.17"/>
    <n v="296.01"/>
    <x v="0"/>
    <x v="0"/>
    <n v="0"/>
    <n v="2500.2399999999998"/>
    <n v="921.06999999999971"/>
    <n v="36.839263430710645"/>
    <x v="6"/>
    <x v="1"/>
    <s v="INVALID"/>
  </r>
  <r>
    <x v="565"/>
    <d v="2025-04-25T00:00:00"/>
    <d v="2025-04-28T00:00:00"/>
    <n v="3"/>
    <s v="OK"/>
    <s v="CUST-9241"/>
    <s v="Aarav Sharma"/>
    <x v="1"/>
    <x v="3"/>
    <s v="Gujarat"/>
    <s v="Ahmedabad"/>
    <x v="0"/>
    <x v="7"/>
    <s v="Pro Storage 128"/>
    <x v="2"/>
    <n v="9"/>
    <n v="1294.1099999999999"/>
    <n v="0.25"/>
    <s v="OK"/>
    <n v="8735.24"/>
    <n v="6620.07"/>
    <n v="2115.17"/>
    <x v="0"/>
    <x v="0"/>
    <n v="0.25"/>
    <n v="8735.2425000000003"/>
    <n v="2115.1725000000006"/>
    <n v="24.21423904373577"/>
    <x v="9"/>
    <x v="1"/>
    <s v="CLEAN"/>
  </r>
  <r>
    <x v="566"/>
    <d v="2025-04-02T00:00:00"/>
    <d v="2025-02-10T00:00:00"/>
    <n v="-51"/>
    <s v="INVALID"/>
    <s v="CUST-7513"/>
    <s v="Ananya Rao"/>
    <x v="1"/>
    <x v="2"/>
    <s v="Telangana"/>
    <s v="Hyderabad"/>
    <x v="0"/>
    <x v="7"/>
    <s v="Prime Storage 689"/>
    <x v="3"/>
    <n v="6"/>
    <n v="1042.8"/>
    <n v="0.05"/>
    <s v="OK"/>
    <n v="5943.96"/>
    <n v="3604.14"/>
    <n v="2339.8200000000002"/>
    <x v="0"/>
    <x v="0"/>
    <n v="0.05"/>
    <n v="5943.9599999999991"/>
    <n v="2339.8199999999993"/>
    <n v="39.36466598025558"/>
    <x v="9"/>
    <x v="1"/>
    <s v="INVALID"/>
  </r>
  <r>
    <x v="567"/>
    <d v="2025-09-04T00:00:00"/>
    <d v="2025-09-04T00:00:00"/>
    <n v="0"/>
    <s v="OK"/>
    <s v="CUST-9368"/>
    <s v="Aditi Sen"/>
    <x v="2"/>
    <x v="0"/>
    <s v="Punjab"/>
    <s v="Ludhiana"/>
    <x v="2"/>
    <x v="12"/>
    <s v="Basic Machines 136"/>
    <x v="2"/>
    <n v="8"/>
    <n v="3079.95"/>
    <n v="0.2"/>
    <s v="OK"/>
    <n v="19711.68"/>
    <n v="14461.8"/>
    <n v="5249.88"/>
    <x v="0"/>
    <x v="0"/>
    <n v="0.2"/>
    <n v="19711.68"/>
    <n v="5249.880000000001"/>
    <n v="26.633346320557155"/>
    <x v="10"/>
    <x v="1"/>
    <s v="CLEAN"/>
  </r>
  <r>
    <x v="568"/>
    <d v="2025-09-30T00:00:00"/>
    <d v="2025-10-07T00:00:00"/>
    <n v="7"/>
    <s v="OK"/>
    <s v="CUST-6797"/>
    <s v="Diya Patel"/>
    <x v="2"/>
    <x v="1"/>
    <s v="Bihar"/>
    <s v="Patna"/>
    <x v="2"/>
    <x v="6"/>
    <s v="Basic Copiers 512"/>
    <x v="0"/>
    <n v="5"/>
    <n v="3277.82"/>
    <n v="0.1"/>
    <s v="OK"/>
    <n v="14750.19"/>
    <n v="9482.58"/>
    <n v="5267.61"/>
    <x v="0"/>
    <x v="1"/>
    <n v="0.1"/>
    <n v="14750.190000000002"/>
    <n v="5267.6100000000024"/>
    <n v="35.712150148574366"/>
    <x v="10"/>
    <x v="1"/>
    <s v="CLEAN"/>
  </r>
  <r>
    <x v="569"/>
    <d v="2025-07-14T00:00:00"/>
    <d v="2025-07-18T00:00:00"/>
    <n v="4"/>
    <s v="OK"/>
    <s v="CUST-6654"/>
    <s v="Aditi Sen"/>
    <x v="0"/>
    <x v="0"/>
    <s v="Punjab"/>
    <s v="Ludhiana"/>
    <x v="2"/>
    <x v="6"/>
    <s v="Eco Copiers 954"/>
    <x v="2"/>
    <n v="4"/>
    <n v="725.22"/>
    <n v="0"/>
    <s v="OK"/>
    <n v="2900.88"/>
    <n v="2391.85"/>
    <n v="509.03"/>
    <x v="1"/>
    <x v="1"/>
    <n v="0"/>
    <n v="2900.88"/>
    <n v="509.0300000000002"/>
    <n v="17.547433882132324"/>
    <x v="0"/>
    <x v="1"/>
    <s v="CLEAN"/>
  </r>
  <r>
    <x v="570"/>
    <d v="2025-09-22T00:00:00"/>
    <d v="2025-09-26T00:00:00"/>
    <n v="4"/>
    <s v="OK"/>
    <s v="CUST-8243"/>
    <s v="Isha Nair"/>
    <x v="0"/>
    <x v="2"/>
    <s v="Andhra Pradesh"/>
    <s v="Vijayawada"/>
    <x v="2"/>
    <x v="8"/>
    <s v="Pro Phones 644"/>
    <x v="3"/>
    <n v="1"/>
    <n v="573.65"/>
    <n v="0"/>
    <s v="OK"/>
    <n v="573.65"/>
    <n v="322.67"/>
    <n v="250.98"/>
    <x v="0"/>
    <x v="0"/>
    <n v="0"/>
    <n v="573.65"/>
    <n v="250.97999999999996"/>
    <n v="43.751416368866032"/>
    <x v="10"/>
    <x v="1"/>
    <s v="CLEAN"/>
  </r>
  <r>
    <x v="571"/>
    <d v="2025-08-28T00:00:00"/>
    <d v="2025-09-03T00:00:00"/>
    <n v="6"/>
    <s v="OK"/>
    <s v="CUST-4151"/>
    <s v="Priya Menon"/>
    <x v="2"/>
    <x v="3"/>
    <s v="Madhya Pradesh"/>
    <s v="Indore"/>
    <x v="1"/>
    <x v="3"/>
    <s v="Smart Furnishings 714"/>
    <x v="3"/>
    <n v="7"/>
    <n v="268.45"/>
    <n v="0"/>
    <s v="OK"/>
    <n v="1879.15"/>
    <n v="1134.9000000000001"/>
    <n v="744.25"/>
    <x v="0"/>
    <x v="0"/>
    <n v="0"/>
    <n v="1879.1499999999999"/>
    <n v="744.24999999999977"/>
    <n v="39.605672777585596"/>
    <x v="1"/>
    <x v="1"/>
    <s v="CLEAN"/>
  </r>
  <r>
    <x v="572"/>
    <d v="2025-06-22T00:00:00"/>
    <d v="2025-06-25T00:00:00"/>
    <n v="3"/>
    <s v="OK"/>
    <s v="CUST-5201"/>
    <s v="Diya Patel"/>
    <x v="1"/>
    <x v="3"/>
    <s v="Maharashtra"/>
    <s v="Mumbai"/>
    <x v="2"/>
    <x v="8"/>
    <s v="Prime Phones 744"/>
    <x v="2"/>
    <n v="8"/>
    <n v="3453.66"/>
    <n v="0"/>
    <s v="OK"/>
    <n v="27629.279999999999"/>
    <n v="22026.48"/>
    <n v="5602.8"/>
    <x v="0"/>
    <x v="0"/>
    <n v="0"/>
    <n v="27629.279999999999"/>
    <n v="5602.7999999999993"/>
    <n v="20.278487170132554"/>
    <x v="2"/>
    <x v="1"/>
    <s v="CLEAN"/>
  </r>
  <r>
    <x v="573"/>
    <d v="2025-12-04T00:00:00"/>
    <d v="2025-04-12T00:00:00"/>
    <n v="-236"/>
    <s v="INVALID"/>
    <s v="CUST-8626"/>
    <s v="Mira Das"/>
    <x v="3"/>
    <x v="0"/>
    <s v="Punjab"/>
    <s v="Ludhiana"/>
    <x v="0"/>
    <x v="11"/>
    <s v="Prime Binders 249"/>
    <x v="0"/>
    <n v="7"/>
    <n v="1334.2"/>
    <n v="0.2"/>
    <s v="OK"/>
    <n v="7471.52"/>
    <n v="6184.32"/>
    <n v="1287.2"/>
    <x v="0"/>
    <x v="0"/>
    <n v="0.2"/>
    <n v="7471.52"/>
    <n v="1287.2000000000007"/>
    <n v="17.228087457438388"/>
    <x v="5"/>
    <x v="1"/>
    <s v="INVALID"/>
  </r>
  <r>
    <x v="574"/>
    <d v="2025-09-27T00:00:00"/>
    <d v="2025-09-29T00:00:00"/>
    <n v="2"/>
    <s v="OK"/>
    <s v="CUST-2917"/>
    <s v="Arjun Bose"/>
    <x v="3"/>
    <x v="0"/>
    <s v="Uttar Pradesh"/>
    <s v="Noida"/>
    <x v="1"/>
    <x v="1"/>
    <s v="Eco Tables 550"/>
    <x v="0"/>
    <n v="9"/>
    <n v="4100.1099999999997"/>
    <n v="0.25"/>
    <s v="OK"/>
    <n v="27675.74"/>
    <n v="15571.08"/>
    <n v="12104.66"/>
    <x v="0"/>
    <x v="0"/>
    <n v="0.25"/>
    <n v="27675.7425"/>
    <n v="12104.6625"/>
    <n v="43.737444442547478"/>
    <x v="10"/>
    <x v="1"/>
    <s v="CLEAN"/>
  </r>
  <r>
    <x v="575"/>
    <d v="2025-02-11T00:00:00"/>
    <d v="2025-02-16T00:00:00"/>
    <n v="5"/>
    <s v="OK"/>
    <s v="CUST-5566"/>
    <s v="Mira Das"/>
    <x v="2"/>
    <x v="0"/>
    <s v="Uttar Pradesh"/>
    <s v="Noida"/>
    <x v="2"/>
    <x v="8"/>
    <s v="Classic Phones 294"/>
    <x v="2"/>
    <n v="8"/>
    <n v="1825.56"/>
    <n v="0.1"/>
    <s v="OK"/>
    <n v="13144.03"/>
    <n v="9764"/>
    <n v="3380.03"/>
    <x v="0"/>
    <x v="0"/>
    <n v="0.1"/>
    <n v="13144.031999999999"/>
    <n v="3380.0319999999992"/>
    <n v="25.715336055176973"/>
    <x v="7"/>
    <x v="1"/>
    <s v="CLEAN"/>
  </r>
  <r>
    <x v="576"/>
    <d v="2025-07-08T00:00:00"/>
    <d v="2025-07-08T00:00:00"/>
    <n v="0"/>
    <s v="OK"/>
    <s v="CUST-6957"/>
    <s v="Aditi Sen"/>
    <x v="0"/>
    <x v="2"/>
    <s v="Telangana"/>
    <s v="Hyderabad"/>
    <x v="2"/>
    <x v="6"/>
    <s v="Prime Copiers 969"/>
    <x v="1"/>
    <n v="9"/>
    <n v="274.88"/>
    <n v="0.25"/>
    <s v="OK"/>
    <n v="1855.44"/>
    <n v="1262.74"/>
    <n v="592.70000000000005"/>
    <x v="0"/>
    <x v="0"/>
    <n v="0.25"/>
    <n v="1855.44"/>
    <n v="592.70000000000005"/>
    <n v="31.943905488725051"/>
    <x v="0"/>
    <x v="1"/>
    <s v="CLEAN"/>
  </r>
  <r>
    <x v="577"/>
    <d v="2025-05-03T00:00:00"/>
    <d v="2025-03-12T00:00:00"/>
    <n v="-52"/>
    <s v="INVALID"/>
    <s v="CUST-6013"/>
    <s v="Ananya Rao"/>
    <x v="2"/>
    <x v="3"/>
    <s v="Madhya Pradesh"/>
    <s v="Indore"/>
    <x v="0"/>
    <x v="7"/>
    <s v="Prime Storage 432"/>
    <x v="1"/>
    <n v="3"/>
    <n v="3682.75"/>
    <n v="0"/>
    <s v="OK"/>
    <n v="11048.25"/>
    <n v="9062.7199999999993"/>
    <n v="1985.53"/>
    <x v="0"/>
    <x v="0"/>
    <n v="0"/>
    <n v="11048.25"/>
    <n v="1985.5300000000007"/>
    <n v="17.971443441268985"/>
    <x v="4"/>
    <x v="1"/>
    <s v="INVALID"/>
  </r>
  <r>
    <x v="578"/>
    <d v="2025-05-02T00:00:00"/>
    <d v="2025-02-06T00:00:00"/>
    <n v="-85"/>
    <s v="INVALID"/>
    <s v="CUST-4526"/>
    <s v="Ananya Rao"/>
    <x v="0"/>
    <x v="3"/>
    <s v="Madhya Pradesh"/>
    <s v="Indore"/>
    <x v="0"/>
    <x v="11"/>
    <s v="Max Binders 547"/>
    <x v="1"/>
    <n v="3"/>
    <n v="1076.3"/>
    <n v="0"/>
    <s v="OK"/>
    <n v="3228.9"/>
    <n v="1853.23"/>
    <n v="1375.67"/>
    <x v="0"/>
    <x v="0"/>
    <n v="0"/>
    <n v="3228.8999999999996"/>
    <n v="1375.6699999999996"/>
    <n v="42.604911889497963"/>
    <x v="4"/>
    <x v="1"/>
    <s v="INVALID"/>
  </r>
  <r>
    <x v="579"/>
    <d v="2025-02-22T00:00:00"/>
    <d v="2025-02-28T00:00:00"/>
    <n v="6"/>
    <s v="OK"/>
    <s v="CUST-2698"/>
    <s v="Rahul Verma"/>
    <x v="3"/>
    <x v="3"/>
    <s v="Madhya Pradesh"/>
    <s v="Indore"/>
    <x v="2"/>
    <x v="6"/>
    <s v="Max Copiers 520"/>
    <x v="1"/>
    <n v="3"/>
    <n v="3890.81"/>
    <n v="0.25"/>
    <s v="OK"/>
    <n v="8754.32"/>
    <n v="6238.9"/>
    <n v="2515.42"/>
    <x v="0"/>
    <x v="0"/>
    <n v="0.25"/>
    <n v="8754.3225000000002"/>
    <n v="2515.4225000000006"/>
    <n v="28.733491369549164"/>
    <x v="7"/>
    <x v="1"/>
    <s v="CLEAN"/>
  </r>
  <r>
    <x v="580"/>
    <d v="2025-02-16T00:00:00"/>
    <d v="2025-02-22T00:00:00"/>
    <n v="6"/>
    <s v="OK"/>
    <s v="CUST-6297"/>
    <s v="Sneha Kapoor"/>
    <x v="3"/>
    <x v="1"/>
    <s v="Bihar"/>
    <s v="Patna"/>
    <x v="0"/>
    <x v="7"/>
    <s v="Max Storage 424"/>
    <x v="1"/>
    <n v="5"/>
    <n v="954.67"/>
    <n v="0.15"/>
    <s v="OK"/>
    <n v="4057.35"/>
    <n v="2862.03"/>
    <n v="1195.32"/>
    <x v="0"/>
    <x v="0"/>
    <n v="0.15"/>
    <n v="4057.3474999999994"/>
    <n v="1195.3174999999992"/>
    <n v="29.460565061286946"/>
    <x v="7"/>
    <x v="1"/>
    <s v="CLEAN"/>
  </r>
  <r>
    <x v="581"/>
    <d v="2025-01-08T00:00:00"/>
    <d v="2025-12-01T00:00:00"/>
    <n v="327"/>
    <s v="OK"/>
    <s v="CUST-4380"/>
    <s v="Sneha Kapoor"/>
    <x v="3"/>
    <x v="2"/>
    <s v="Karnataka"/>
    <s v="Bengaluru"/>
    <x v="1"/>
    <x v="10"/>
    <s v="Pro Chairs 908"/>
    <x v="3"/>
    <n v="7"/>
    <n v="4337.4799999999996"/>
    <n v="0"/>
    <s v="OK"/>
    <n v="30362.36"/>
    <n v="25065.4"/>
    <n v="5296.96"/>
    <x v="0"/>
    <x v="0"/>
    <n v="0"/>
    <n v="30362.359999999997"/>
    <n v="5296.9599999999955"/>
    <n v="17.445811195177175"/>
    <x v="6"/>
    <x v="1"/>
    <s v="CLEAN"/>
  </r>
  <r>
    <x v="582"/>
    <d v="2025-08-07T00:00:00"/>
    <d v="2025-07-15T00:00:00"/>
    <n v="-23"/>
    <s v="INVALID"/>
    <s v="CUST-6108"/>
    <s v="Ananya Rao"/>
    <x v="1"/>
    <x v="0"/>
    <s v="Rajasthan"/>
    <s v="Jaipur"/>
    <x v="0"/>
    <x v="11"/>
    <s v="Max Binders 785"/>
    <x v="1"/>
    <n v="8"/>
    <n v="655.28"/>
    <n v="0.1"/>
    <s v="OK"/>
    <n v="4718.0200000000004"/>
    <n v="3908.23"/>
    <n v="809.79"/>
    <x v="0"/>
    <x v="0"/>
    <n v="0.1"/>
    <n v="4718.0159999999996"/>
    <n v="809.7859999999996"/>
    <n v="17.163697622051295"/>
    <x v="1"/>
    <x v="1"/>
    <s v="INVALID"/>
  </r>
  <r>
    <x v="583"/>
    <d v="2025-04-06T00:00:00"/>
    <d v="2025-04-13T00:00:00"/>
    <n v="7"/>
    <s v="OK"/>
    <s v="CUST-5663"/>
    <s v="Aditi Sen"/>
    <x v="0"/>
    <x v="4"/>
    <s v="Odisha"/>
    <s v="Bhubaneswar"/>
    <x v="2"/>
    <x v="8"/>
    <s v="Elite Phones 239"/>
    <x v="3"/>
    <n v="1"/>
    <n v="3844.01"/>
    <n v="0"/>
    <s v="OK"/>
    <n v="3844.01"/>
    <n v="2195.79"/>
    <n v="1648.22"/>
    <x v="0"/>
    <x v="0"/>
    <n v="0"/>
    <n v="3844.01"/>
    <n v="1648.2200000000003"/>
    <n v="42.877619985379859"/>
    <x v="9"/>
    <x v="1"/>
    <s v="CLEAN"/>
  </r>
  <r>
    <x v="584"/>
    <d v="2025-01-29T00:00:00"/>
    <d v="2025-02-06T00:00:00"/>
    <n v="8"/>
    <s v="OK"/>
    <s v="CUST-1127"/>
    <s v="Vikram Iyer"/>
    <x v="0"/>
    <x v="1"/>
    <s v="Bihar"/>
    <s v="Patna"/>
    <x v="0"/>
    <x v="7"/>
    <s v="Basic Storage 934"/>
    <x v="3"/>
    <n v="4"/>
    <n v="2759.01"/>
    <n v="0.05"/>
    <s v="OK"/>
    <n v="10484.24"/>
    <n v="6680.15"/>
    <n v="3804.09"/>
    <x v="0"/>
    <x v="0"/>
    <n v="0.05"/>
    <n v="10484.238000000001"/>
    <n v="3804.0880000000016"/>
    <n v="36.283876806306772"/>
    <x v="6"/>
    <x v="1"/>
    <s v="CLEAN"/>
  </r>
  <r>
    <x v="585"/>
    <d v="2025-04-06T00:00:00"/>
    <d v="2025-06-07T00:00:00"/>
    <n v="62"/>
    <s v="OK"/>
    <s v="CUST-1793"/>
    <s v="Sneha Kapoor"/>
    <x v="3"/>
    <x v="1"/>
    <s v="Assam"/>
    <s v="Guwahati"/>
    <x v="2"/>
    <x v="12"/>
    <s v="Elite Machines 971"/>
    <x v="3"/>
    <n v="8"/>
    <n v="1434.13"/>
    <n v="0"/>
    <s v="OK"/>
    <n v="11473.04"/>
    <n v="8931.33"/>
    <n v="2541.71"/>
    <x v="1"/>
    <x v="1"/>
    <n v="0"/>
    <n v="11473.04"/>
    <n v="2541.7100000000009"/>
    <n v="22.153762211236085"/>
    <x v="9"/>
    <x v="1"/>
    <s v="CLEAN"/>
  </r>
  <r>
    <x v="586"/>
    <d v="2025-10-05T00:00:00"/>
    <d v="2025-10-12T00:00:00"/>
    <n v="7"/>
    <s v="OK"/>
    <s v="CUST-6725"/>
    <s v="Ananya Rao"/>
    <x v="3"/>
    <x v="1"/>
    <s v="Jharkhand"/>
    <s v="Ranchi"/>
    <x v="2"/>
    <x v="4"/>
    <s v="Eco Accessories 933"/>
    <x v="1"/>
    <n v="7"/>
    <n v="806.67"/>
    <n v="0.05"/>
    <s v="OK"/>
    <n v="5364.36"/>
    <n v="4391.29"/>
    <n v="973.07"/>
    <x v="0"/>
    <x v="0"/>
    <n v="0.05"/>
    <n v="5364.3554999999997"/>
    <n v="973.0654999999997"/>
    <n v="18.139467080434915"/>
    <x v="8"/>
    <x v="1"/>
    <s v="CLEAN"/>
  </r>
  <r>
    <x v="587"/>
    <d v="2025-09-10T00:00:00"/>
    <d v="2025-09-14T00:00:00"/>
    <n v="4"/>
    <s v="OK"/>
    <s v="CUST-3793"/>
    <s v="Arjun Bose"/>
    <x v="3"/>
    <x v="3"/>
    <s v="Gujarat"/>
    <s v="Ahmedabad"/>
    <x v="1"/>
    <x v="1"/>
    <s v="Max Tables 908"/>
    <x v="1"/>
    <n v="3"/>
    <n v="4198.46"/>
    <n v="0.15"/>
    <s v="OK"/>
    <n v="10706.07"/>
    <n v="5927.1"/>
    <n v="4778.97"/>
    <x v="0"/>
    <x v="0"/>
    <n v="0.15"/>
    <n v="10706.073"/>
    <n v="4778.973"/>
    <n v="44.637963892082553"/>
    <x v="10"/>
    <x v="1"/>
    <s v="CLEAN"/>
  </r>
  <r>
    <x v="588"/>
    <d v="2025-04-15T00:00:00"/>
    <d v="2025-04-16T00:00:00"/>
    <n v="1"/>
    <s v="OK"/>
    <s v="CUST-4593"/>
    <s v="Sneha Kapoor"/>
    <x v="1"/>
    <x v="2"/>
    <s v="Karnataka"/>
    <s v="Bengaluru"/>
    <x v="1"/>
    <x v="3"/>
    <s v="Smart Furnishings 721"/>
    <x v="2"/>
    <n v="5"/>
    <n v="2850.53"/>
    <n v="0"/>
    <s v="OK"/>
    <n v="14252.65"/>
    <n v="11558.31"/>
    <n v="2694.34"/>
    <x v="0"/>
    <x v="0"/>
    <n v="0"/>
    <n v="14252.650000000001"/>
    <n v="2694.340000000002"/>
    <n v="18.904133617257155"/>
    <x v="9"/>
    <x v="1"/>
    <s v="CLEAN"/>
  </r>
  <r>
    <x v="589"/>
    <d v="2025-04-18T00:00:00"/>
    <d v="2025-04-20T00:00:00"/>
    <n v="2"/>
    <s v="OK"/>
    <s v="CUST-5043"/>
    <s v="Aarav Sharma"/>
    <x v="1"/>
    <x v="2"/>
    <s v="Tamil Nadu"/>
    <s v="Chennai"/>
    <x v="2"/>
    <x v="4"/>
    <s v="Basic Accessories 729"/>
    <x v="0"/>
    <n v="1"/>
    <n v="1626.08"/>
    <n v="0.15"/>
    <s v="OK"/>
    <n v="1382.17"/>
    <n v="810.03"/>
    <n v="572.14"/>
    <x v="0"/>
    <x v="0"/>
    <n v="0.15"/>
    <n v="1382.1679999999999"/>
    <n v="572.13799999999992"/>
    <n v="41.394244404442873"/>
    <x v="9"/>
    <x v="1"/>
    <s v="CLEAN"/>
  </r>
  <r>
    <x v="590"/>
    <d v="2025-01-11T00:00:00"/>
    <d v="2025-01-12T00:00:00"/>
    <n v="1"/>
    <s v="OK"/>
    <s v="CUST-4722"/>
    <s v="Aditi Sen"/>
    <x v="0"/>
    <x v="2"/>
    <s v="Telangana"/>
    <s v="Hyderabad"/>
    <x v="1"/>
    <x v="10"/>
    <s v="Classic Chairs 220"/>
    <x v="0"/>
    <n v="4"/>
    <n v="2427.15"/>
    <n v="0.05"/>
    <s v="OK"/>
    <n v="9223.17"/>
    <n v="5103.7"/>
    <n v="4119.47"/>
    <x v="0"/>
    <x v="0"/>
    <n v="0.05"/>
    <n v="9223.17"/>
    <n v="4119.47"/>
    <n v="44.664361602355804"/>
    <x v="6"/>
    <x v="1"/>
    <s v="CLEAN"/>
  </r>
  <r>
    <x v="591"/>
    <d v="2025-01-14T00:00:00"/>
    <d v="2025-01-17T00:00:00"/>
    <n v="3"/>
    <s v="OK"/>
    <s v="CUST-5061"/>
    <s v="Vikram Iyer"/>
    <x v="0"/>
    <x v="3"/>
    <s v="Goa"/>
    <s v="Panaji"/>
    <x v="0"/>
    <x v="7"/>
    <s v="Basic Storage 973"/>
    <x v="2"/>
    <n v="1"/>
    <n v="1584.12"/>
    <n v="0.2"/>
    <s v="OK"/>
    <n v="1267.3"/>
    <n v="923.53"/>
    <n v="343.77"/>
    <x v="0"/>
    <x v="0"/>
    <n v="0.2"/>
    <n v="1267.296"/>
    <n v="343.76600000000008"/>
    <n v="27.125943741635737"/>
    <x v="6"/>
    <x v="1"/>
    <s v="CLEAN"/>
  </r>
  <r>
    <x v="592"/>
    <d v="2025-04-09T00:00:00"/>
    <d v="2025-04-14T00:00:00"/>
    <n v="5"/>
    <s v="OK"/>
    <s v="CUST-7915"/>
    <s v="Karan Malhotra"/>
    <x v="0"/>
    <x v="0"/>
    <s v="Delhi"/>
    <s v="New Delhi"/>
    <x v="1"/>
    <x v="3"/>
    <s v="Smart Furnishings 783"/>
    <x v="1"/>
    <n v="2"/>
    <n v="3202.87"/>
    <n v="0"/>
    <s v="OK"/>
    <n v="6405.74"/>
    <n v="3561.87"/>
    <n v="2843.87"/>
    <x v="0"/>
    <x v="0"/>
    <n v="0"/>
    <n v="6405.74"/>
    <n v="2843.87"/>
    <n v="44.395651400150484"/>
    <x v="9"/>
    <x v="1"/>
    <s v="CLEAN"/>
  </r>
  <r>
    <x v="593"/>
    <d v="2025-04-10T00:00:00"/>
    <d v="2025-04-17T00:00:00"/>
    <n v="7"/>
    <s v="OK"/>
    <s v="CUST-5549"/>
    <s v="Vikram Iyer"/>
    <x v="0"/>
    <x v="1"/>
    <s v="West Bengal"/>
    <s v="Kolkata"/>
    <x v="1"/>
    <x v="10"/>
    <s v="Pro Chairs 812"/>
    <x v="3"/>
    <n v="4"/>
    <n v="3750.02"/>
    <n v="0.05"/>
    <s v="OK"/>
    <n v="14250.08"/>
    <n v="10914.92"/>
    <n v="3335.16"/>
    <x v="0"/>
    <x v="0"/>
    <n v="0.05"/>
    <n v="14250.075999999999"/>
    <n v="3335.155999999999"/>
    <n v="23.404478684885603"/>
    <x v="9"/>
    <x v="1"/>
    <s v="CLEAN"/>
  </r>
  <r>
    <x v="594"/>
    <d v="2025-01-01T00:00:00"/>
    <d v="2025-09-01T00:00:00"/>
    <n v="243"/>
    <s v="OK"/>
    <s v="CUST-9942"/>
    <s v="Rohan Mehta"/>
    <x v="1"/>
    <x v="0"/>
    <s v="Punjab"/>
    <s v="Ludhiana"/>
    <x v="0"/>
    <x v="2"/>
    <s v="Prime Art 461"/>
    <x v="2"/>
    <n v="8"/>
    <n v="2123.81"/>
    <n v="0.15"/>
    <s v="OK"/>
    <n v="14441.91"/>
    <n v="10872.89"/>
    <n v="3569.02"/>
    <x v="0"/>
    <x v="0"/>
    <n v="0.15"/>
    <n v="14441.907999999999"/>
    <n v="3569.018"/>
    <n v="24.712925743606732"/>
    <x v="6"/>
    <x v="1"/>
    <s v="CLEAN"/>
  </r>
  <r>
    <x v="595"/>
    <d v="2025-08-11T00:00:00"/>
    <d v="2025-08-19T00:00:00"/>
    <n v="8"/>
    <s v="OK"/>
    <s v="CUST-7277"/>
    <s v="Kabir Singh"/>
    <x v="1"/>
    <x v="2"/>
    <s v="Kerala"/>
    <s v="Kochi"/>
    <x v="2"/>
    <x v="4"/>
    <s v="Classic Accessories 354"/>
    <x v="3"/>
    <n v="4"/>
    <n v="2258.96"/>
    <n v="0.25"/>
    <s v="OK"/>
    <n v="6776.88"/>
    <n v="3836.24"/>
    <n v="2940.64"/>
    <x v="0"/>
    <x v="0"/>
    <n v="0.25"/>
    <n v="6776.88"/>
    <n v="2940.6400000000003"/>
    <n v="43.39223949664153"/>
    <x v="1"/>
    <x v="1"/>
    <s v="CLEAN"/>
  </r>
  <r>
    <x v="596"/>
    <d v="2025-08-06T00:00:00"/>
    <d v="2025-09-08T00:00:00"/>
    <n v="33"/>
    <s v="OK"/>
    <s v="CUST-2660"/>
    <s v="Mira Das"/>
    <x v="1"/>
    <x v="2"/>
    <s v="Andhra Pradesh"/>
    <s v="Vijayawada"/>
    <x v="0"/>
    <x v="0"/>
    <s v="Smart Paper 364"/>
    <x v="0"/>
    <n v="3"/>
    <n v="598.54999999999995"/>
    <n v="0"/>
    <s v="OK"/>
    <n v="1795.65"/>
    <n v="996.72"/>
    <n v="798.93"/>
    <x v="0"/>
    <x v="0"/>
    <n v="0"/>
    <n v="1795.6499999999999"/>
    <n v="798.92999999999984"/>
    <n v="44.492523598696842"/>
    <x v="1"/>
    <x v="1"/>
    <s v="CLEAN"/>
  </r>
  <r>
    <x v="597"/>
    <d v="2025-03-17T00:00:00"/>
    <d v="2025-03-21T00:00:00"/>
    <n v="4"/>
    <s v="OK"/>
    <s v="CUST-8177"/>
    <s v="Sneha Kapoor"/>
    <x v="0"/>
    <x v="0"/>
    <s v="Uttar Pradesh"/>
    <s v="Noida"/>
    <x v="0"/>
    <x v="11"/>
    <s v="Smart Binders 999"/>
    <x v="3"/>
    <n v="5"/>
    <n v="4320.59"/>
    <n v="0.15"/>
    <s v="OK"/>
    <n v="18362.509999999998"/>
    <n v="11133.97"/>
    <n v="7228.54"/>
    <x v="0"/>
    <x v="0"/>
    <n v="0.15"/>
    <n v="18362.5075"/>
    <n v="7228.5375000000004"/>
    <n v="39.365742941153329"/>
    <x v="11"/>
    <x v="1"/>
    <s v="CLEAN"/>
  </r>
  <r>
    <x v="598"/>
    <d v="2025-04-04T00:00:00"/>
    <d v="2025-04-07T00:00:00"/>
    <n v="3"/>
    <s v="OK"/>
    <s v="CUST-3970"/>
    <s v="Priya Menon"/>
    <x v="1"/>
    <x v="2"/>
    <s v="Tamil Nadu"/>
    <s v="Chennai"/>
    <x v="2"/>
    <x v="6"/>
    <s v="Max Copiers 356"/>
    <x v="0"/>
    <n v="7"/>
    <n v="4457.93"/>
    <n v="0.15"/>
    <s v="OK"/>
    <n v="26524.68"/>
    <n v="20574.3"/>
    <n v="5950.38"/>
    <x v="0"/>
    <x v="0"/>
    <n v="0.15"/>
    <n v="26524.683500000003"/>
    <n v="5950.3835000000036"/>
    <n v="22.433381721595293"/>
    <x v="9"/>
    <x v="1"/>
    <s v="CLEAN"/>
  </r>
  <r>
    <x v="599"/>
    <d v="2025-10-12T00:00:00"/>
    <d v="2025-10-16T00:00:00"/>
    <n v="4"/>
    <s v="OK"/>
    <s v="CUST-8249"/>
    <s v="Diya Patel"/>
    <x v="2"/>
    <x v="1"/>
    <s v="Bihar"/>
    <s v="Patna"/>
    <x v="2"/>
    <x v="12"/>
    <s v="Classic Machines 639"/>
    <x v="1"/>
    <n v="1"/>
    <n v="2570.06"/>
    <n v="0.2"/>
    <s v="OK"/>
    <n v="2056.0500000000002"/>
    <n v="1662.39"/>
    <n v="393.66"/>
    <x v="0"/>
    <x v="0"/>
    <n v="0.2"/>
    <n v="2056.0480000000002"/>
    <n v="393.65800000000013"/>
    <n v="19.146342886936495"/>
    <x v="8"/>
    <x v="1"/>
    <s v="CLEAN"/>
  </r>
  <r>
    <x v="600"/>
    <d v="2025-08-26T00:00:00"/>
    <d v="2025-08-26T00:00:00"/>
    <n v="0"/>
    <s v="OK"/>
    <s v="CUST-8039"/>
    <s v="Neha Gupta"/>
    <x v="3"/>
    <x v="1"/>
    <s v="West Bengal"/>
    <s v="Kolkata"/>
    <x v="1"/>
    <x v="3"/>
    <s v="Smart Furnishings 748"/>
    <x v="3"/>
    <n v="4"/>
    <n v="2151.8200000000002"/>
    <n v="0"/>
    <s v="OK"/>
    <n v="8607.2800000000007"/>
    <n v="5124.01"/>
    <n v="3483.27"/>
    <x v="0"/>
    <x v="0"/>
    <n v="0"/>
    <n v="8607.2800000000007"/>
    <n v="3483.2700000000004"/>
    <n v="40.468882155570633"/>
    <x v="1"/>
    <x v="1"/>
    <s v="CLEAN"/>
  </r>
  <r>
    <x v="601"/>
    <d v="2025-08-07T00:00:00"/>
    <d v="2025-08-10T00:00:00"/>
    <n v="3"/>
    <s v="OK"/>
    <s v="CUST-7787"/>
    <s v="Aditi Sen"/>
    <x v="3"/>
    <x v="1"/>
    <s v="Bihar"/>
    <s v="Patna"/>
    <x v="0"/>
    <x v="7"/>
    <s v="Eco Storage 316"/>
    <x v="0"/>
    <n v="1"/>
    <n v="2541.25"/>
    <n v="0.2"/>
    <s v="OK"/>
    <n v="2033"/>
    <n v="1291.4100000000001"/>
    <n v="741.59"/>
    <x v="0"/>
    <x v="0"/>
    <n v="0.2"/>
    <n v="2033"/>
    <n v="741.58999999999992"/>
    <n v="36.477619281849478"/>
    <x v="1"/>
    <x v="1"/>
    <s v="CLEAN"/>
  </r>
  <r>
    <x v="602"/>
    <d v="2025-07-15T00:00:00"/>
    <d v="2025-07-15T00:00:00"/>
    <n v="0"/>
    <s v="OK"/>
    <s v="CUST-5638"/>
    <s v="Arjun Bose"/>
    <x v="1"/>
    <x v="1"/>
    <s v="Jharkhand"/>
    <s v="Ranchi"/>
    <x v="2"/>
    <x v="8"/>
    <s v="Basic Phones 865"/>
    <x v="1"/>
    <n v="4"/>
    <n v="4442.91"/>
    <n v="0.1"/>
    <s v="OK"/>
    <n v="15994.48"/>
    <n v="9224.2800000000007"/>
    <n v="6770.2"/>
    <x v="0"/>
    <x v="0"/>
    <n v="0.1"/>
    <n v="15994.476000000001"/>
    <n v="6770.1959999999999"/>
    <n v="42.328338858991067"/>
    <x v="0"/>
    <x v="1"/>
    <s v="CLEAN"/>
  </r>
  <r>
    <x v="603"/>
    <d v="2025-05-20T00:00:00"/>
    <d v="2025-05-27T00:00:00"/>
    <n v="7"/>
    <s v="OK"/>
    <s v="CUST-3912"/>
    <s v="Diya Patel"/>
    <x v="1"/>
    <x v="1"/>
    <s v="Bihar"/>
    <s v="Patna"/>
    <x v="2"/>
    <x v="12"/>
    <s v="Pro Machines 706"/>
    <x v="3"/>
    <n v="1"/>
    <n v="3959.14"/>
    <n v="0"/>
    <s v="OK"/>
    <n v="3959.14"/>
    <n v="3239.53"/>
    <n v="719.61"/>
    <x v="1"/>
    <x v="1"/>
    <n v="0"/>
    <n v="3959.14"/>
    <n v="719.60999999999967"/>
    <n v="18.175916992074029"/>
    <x v="4"/>
    <x v="1"/>
    <s v="CLEAN"/>
  </r>
  <r>
    <x v="604"/>
    <d v="2025-02-02T00:00:00"/>
    <d v="2025-02-06T00:00:00"/>
    <n v="4"/>
    <s v="OK"/>
    <s v="CUST-5604"/>
    <s v="Sneha Kapoor"/>
    <x v="2"/>
    <x v="0"/>
    <s v="Uttar Pradesh"/>
    <s v="Noida"/>
    <x v="1"/>
    <x v="1"/>
    <s v="Smart Tables 835"/>
    <x v="3"/>
    <n v="8"/>
    <n v="857.86"/>
    <n v="0.1"/>
    <s v="OK"/>
    <n v="6176.59"/>
    <n v="3560.96"/>
    <n v="2615.63"/>
    <x v="0"/>
    <x v="0"/>
    <n v="0.1"/>
    <n v="6176.5920000000006"/>
    <n v="2615.6320000000005"/>
    <n v="42.347495188285066"/>
    <x v="7"/>
    <x v="1"/>
    <s v="CLEAN"/>
  </r>
  <r>
    <x v="605"/>
    <d v="2025-02-13T00:00:00"/>
    <d v="2025-02-16T00:00:00"/>
    <n v="3"/>
    <s v="OK"/>
    <s v="CUST-2807"/>
    <s v="Arjun Bose"/>
    <x v="1"/>
    <x v="3"/>
    <s v="Rajasthan"/>
    <s v="Udaipur"/>
    <x v="1"/>
    <x v="9"/>
    <s v="Classic Bookcases 488"/>
    <x v="0"/>
    <n v="4"/>
    <n v="4072.9"/>
    <n v="0.15"/>
    <s v="OK"/>
    <n v="13847.86"/>
    <n v="8471.7800000000007"/>
    <n v="5376.08"/>
    <x v="0"/>
    <x v="0"/>
    <n v="0.15"/>
    <n v="13847.86"/>
    <n v="5376.08"/>
    <n v="38.822460654570449"/>
    <x v="7"/>
    <x v="1"/>
    <s v="CLEAN"/>
  </r>
  <r>
    <x v="606"/>
    <d v="2025-07-06T00:00:00"/>
    <d v="2025-06-10T00:00:00"/>
    <n v="-26"/>
    <s v="INVALID"/>
    <s v="CUST-5061"/>
    <s v="Aarav Sharma"/>
    <x v="0"/>
    <x v="0"/>
    <s v="Rajasthan"/>
    <s v="Jaipur"/>
    <x v="1"/>
    <x v="3"/>
    <s v="Eco Furnishings 217"/>
    <x v="1"/>
    <n v="3"/>
    <n v="963.26"/>
    <n v="0"/>
    <s v="OK"/>
    <n v="2889.78"/>
    <n v="1811.23"/>
    <n v="1078.55"/>
    <x v="0"/>
    <x v="0"/>
    <n v="0"/>
    <n v="2889.7799999999997"/>
    <n v="1078.5499999999997"/>
    <n v="37.322910394562903"/>
    <x v="0"/>
    <x v="1"/>
    <s v="INVALID"/>
  </r>
  <r>
    <x v="607"/>
    <d v="2025-09-11T00:00:00"/>
    <d v="2025-09-18T00:00:00"/>
    <n v="7"/>
    <s v="OK"/>
    <s v="CUST-9212"/>
    <s v="Rahul Verma"/>
    <x v="1"/>
    <x v="0"/>
    <s v="Delhi"/>
    <s v="New Delhi"/>
    <x v="2"/>
    <x v="8"/>
    <s v="Smart Phones 967"/>
    <x v="1"/>
    <n v="7"/>
    <n v="3411.21"/>
    <n v="0.15"/>
    <s v="OK"/>
    <n v="20296.7"/>
    <n v="14920.87"/>
    <n v="5375.83"/>
    <x v="0"/>
    <x v="0"/>
    <n v="0.15"/>
    <n v="20296.699499999999"/>
    <n v="5375.829499999998"/>
    <n v="26.486225014071863"/>
    <x v="10"/>
    <x v="1"/>
    <s v="CLEAN"/>
  </r>
  <r>
    <x v="608"/>
    <d v="2025-02-05T00:00:00"/>
    <d v="2025-05-02T00:00:00"/>
    <n v="86"/>
    <s v="OK"/>
    <s v="CUST-1553"/>
    <s v="Ananya Rao"/>
    <x v="2"/>
    <x v="0"/>
    <s v="Haryana"/>
    <s v="Gurugram"/>
    <x v="0"/>
    <x v="7"/>
    <s v="Eco Storage 861"/>
    <x v="1"/>
    <n v="3"/>
    <n v="2590.7800000000002"/>
    <n v="0"/>
    <s v="OK"/>
    <n v="7383.72"/>
    <n v="4113.66"/>
    <n v="3270.06"/>
    <x v="0"/>
    <x v="0"/>
    <n v="0"/>
    <n v="7772.34"/>
    <n v="3658.6800000000003"/>
    <n v="47.073082237781676"/>
    <x v="7"/>
    <x v="1"/>
    <s v="CLEAN"/>
  </r>
  <r>
    <x v="609"/>
    <d v="2025-02-26T00:00:00"/>
    <d v="2025-02-27T00:00:00"/>
    <n v="1"/>
    <s v="OK"/>
    <s v="CUST-8575"/>
    <s v="Neha Gupta"/>
    <x v="3"/>
    <x v="0"/>
    <s v="Haryana"/>
    <s v="Gurugram"/>
    <x v="0"/>
    <x v="2"/>
    <s v="Basic Art 798"/>
    <x v="0"/>
    <n v="6"/>
    <n v="3037.66"/>
    <n v="0.15"/>
    <s v="OK"/>
    <n v="15492.07"/>
    <n v="12581.23"/>
    <n v="2910.84"/>
    <x v="0"/>
    <x v="0"/>
    <n v="0.15"/>
    <n v="15492.065999999999"/>
    <n v="2910.8359999999993"/>
    <n v="18.789204745190212"/>
    <x v="7"/>
    <x v="1"/>
    <s v="CLEAN"/>
  </r>
  <r>
    <x v="610"/>
    <d v="2025-05-10T00:00:00"/>
    <d v="2025-10-10T00:00:00"/>
    <n v="153"/>
    <s v="OK"/>
    <s v="CUST-9531"/>
    <s v="Isha Nair"/>
    <x v="2"/>
    <x v="2"/>
    <s v="Karnataka"/>
    <s v="Bengaluru"/>
    <x v="1"/>
    <x v="3"/>
    <s v="Prime Furnishings 883"/>
    <x v="0"/>
    <n v="4"/>
    <n v="2365.6799999999998"/>
    <n v="0.1"/>
    <s v="OK"/>
    <n v="8516.4500000000007"/>
    <n v="5903.81"/>
    <n v="2612.64"/>
    <x v="0"/>
    <x v="0"/>
    <n v="0.1"/>
    <n v="8516.4480000000003"/>
    <n v="2612.6379999999999"/>
    <n v="30.677554774009071"/>
    <x v="4"/>
    <x v="1"/>
    <s v="CLEAN"/>
  </r>
  <r>
    <x v="611"/>
    <d v="2025-03-04T00:00:00"/>
    <d v="2025-04-11T00:00:00"/>
    <n v="38"/>
    <s v="OK"/>
    <s v="CUST-6032"/>
    <s v="Arjun Bose"/>
    <x v="0"/>
    <x v="2"/>
    <s v="Tamil Nadu"/>
    <s v="Chennai"/>
    <x v="1"/>
    <x v="9"/>
    <s v="Smart Bookcases 828"/>
    <x v="0"/>
    <n v="3"/>
    <n v="4149.7700000000004"/>
    <n v="0.05"/>
    <s v="OK"/>
    <n v="11826.84"/>
    <n v="8035.96"/>
    <n v="3790.88"/>
    <x v="0"/>
    <x v="0"/>
    <n v="0.05"/>
    <n v="11826.844500000001"/>
    <n v="3790.884500000001"/>
    <n v="32.053220112938838"/>
    <x v="11"/>
    <x v="1"/>
    <s v="CLEAN"/>
  </r>
  <r>
    <x v="612"/>
    <d v="2025-01-08T00:00:00"/>
    <d v="2025-09-08T00:00:00"/>
    <n v="243"/>
    <s v="OK"/>
    <s v="CUST-8025"/>
    <s v="Isha Nair"/>
    <x v="0"/>
    <x v="2"/>
    <s v="Andhra Pradesh"/>
    <s v="Vijayawada"/>
    <x v="0"/>
    <x v="7"/>
    <s v="Classic Storage 291"/>
    <x v="2"/>
    <n v="5"/>
    <n v="2736.24"/>
    <n v="0.15"/>
    <s v="OK"/>
    <n v="11629.02"/>
    <n v="9627.2099999999991"/>
    <n v="2001.81"/>
    <x v="0"/>
    <x v="0"/>
    <n v="0.15"/>
    <n v="11629.019999999999"/>
    <n v="2001.8099999999995"/>
    <n v="17.213918283741876"/>
    <x v="6"/>
    <x v="1"/>
    <s v="CLEAN"/>
  </r>
  <r>
    <x v="613"/>
    <d v="2025-09-22T00:00:00"/>
    <d v="2025-09-25T00:00:00"/>
    <n v="3"/>
    <s v="OK"/>
    <s v="CUST-7812"/>
    <s v="Isha Nair"/>
    <x v="1"/>
    <x v="2"/>
    <s v="Kerala"/>
    <s v="Kochi"/>
    <x v="2"/>
    <x v="8"/>
    <s v="Classic Phones 842"/>
    <x v="4"/>
    <n v="4"/>
    <n v="1178.8399999999999"/>
    <n v="0.25"/>
    <s v="OK"/>
    <n v="3536.52"/>
    <n v="2102.41"/>
    <n v="1363.28"/>
    <x v="0"/>
    <x v="0"/>
    <n v="0.25"/>
    <n v="3536.5199999999995"/>
    <n v="1434.1099999999997"/>
    <n v="40.551446054313281"/>
    <x v="10"/>
    <x v="1"/>
    <s v="CLEAN"/>
  </r>
  <r>
    <x v="614"/>
    <d v="2025-02-02T00:00:00"/>
    <d v="2025-02-06T00:00:00"/>
    <n v="4"/>
    <s v="OK"/>
    <s v="CUST-5231"/>
    <s v="Karan Malhotra"/>
    <x v="1"/>
    <x v="3"/>
    <s v="Rajasthan"/>
    <s v="Udaipur"/>
    <x v="1"/>
    <x v="1"/>
    <s v="Pro Tables 980"/>
    <x v="0"/>
    <n v="3"/>
    <n v="997.34"/>
    <n v="0.1"/>
    <s v="OK"/>
    <n v="2692.82"/>
    <n v="1820.08"/>
    <n v="872.74"/>
    <x v="0"/>
    <x v="0"/>
    <n v="0.1"/>
    <n v="2692.8180000000002"/>
    <n v="872.73800000000028"/>
    <n v="32.409839803506969"/>
    <x v="7"/>
    <x v="1"/>
    <s v="CLEAN"/>
  </r>
  <r>
    <x v="615"/>
    <d v="2025-06-24T00:00:00"/>
    <d v="2025-06-26T00:00:00"/>
    <n v="2"/>
    <s v="OK"/>
    <s v="CUST-4902"/>
    <s v="Vikram Iyer"/>
    <x v="0"/>
    <x v="0"/>
    <s v="Rajasthan"/>
    <s v="Jaipur"/>
    <x v="2"/>
    <x v="4"/>
    <s v="Pro Accessories 485"/>
    <x v="1"/>
    <n v="5"/>
    <n v="3722.66"/>
    <n v="0.55000000000000004"/>
    <s v="INVALID"/>
    <n v="16751.97"/>
    <n v="11678.32"/>
    <n v="5073.6499999999996"/>
    <x v="0"/>
    <x v="0"/>
    <n v="0"/>
    <n v="18613.3"/>
    <n v="6934.98"/>
    <n v="37.258197095625171"/>
    <x v="2"/>
    <x v="1"/>
    <s v="WARNING"/>
  </r>
  <r>
    <x v="616"/>
    <d v="2025-03-20T00:00:00"/>
    <d v="2025-03-26T00:00:00"/>
    <n v="6"/>
    <s v="OK"/>
    <s v="CUST-6504"/>
    <s v="Sneha Kapoor"/>
    <x v="0"/>
    <x v="1"/>
    <s v="Assam"/>
    <s v="Guwahati"/>
    <x v="1"/>
    <x v="9"/>
    <s v="Elite Bookcases 113"/>
    <x v="2"/>
    <n v="4"/>
    <n v="4357.66"/>
    <n v="0.05"/>
    <s v="OK"/>
    <n v="16559.11"/>
    <n v="13233.79"/>
    <n v="3325.32"/>
    <x v="0"/>
    <x v="0"/>
    <n v="0.05"/>
    <n v="16559.108"/>
    <n v="3325.3179999999993"/>
    <n v="20.081504390212316"/>
    <x v="11"/>
    <x v="1"/>
    <s v="CLEAN"/>
  </r>
  <r>
    <x v="617"/>
    <d v="2025-02-02T00:00:00"/>
    <d v="2025-02-02T00:00:00"/>
    <n v="0"/>
    <s v="OK"/>
    <s v="CUST-6176"/>
    <s v="Kabir Singh"/>
    <x v="2"/>
    <x v="1"/>
    <s v="West Bengal"/>
    <s v="Kolkata"/>
    <x v="2"/>
    <x v="12"/>
    <s v="Basic Machines 172"/>
    <x v="2"/>
    <n v="1"/>
    <n v="4326.75"/>
    <n v="0.05"/>
    <s v="OK"/>
    <n v="4110.41"/>
    <n v="2394.14"/>
    <n v="1716.27"/>
    <x v="1"/>
    <x v="1"/>
    <n v="0.05"/>
    <n v="4110.4124999999995"/>
    <n v="1716.2724999999996"/>
    <n v="41.754264322619683"/>
    <x v="7"/>
    <x v="1"/>
    <s v="CLEAN"/>
  </r>
  <r>
    <x v="618"/>
    <d v="2025-06-06T00:00:00"/>
    <d v="2025-06-10T00:00:00"/>
    <n v="4"/>
    <s v="OK"/>
    <s v="CUST-2548"/>
    <s v="Mira Das"/>
    <x v="0"/>
    <x v="3"/>
    <s v="Rajasthan"/>
    <s v="Udaipur"/>
    <x v="2"/>
    <x v="12"/>
    <s v="Pro Machines 987"/>
    <x v="0"/>
    <n v="1"/>
    <n v="289.97000000000003"/>
    <n v="0.25"/>
    <s v="OK"/>
    <n v="217.48"/>
    <n v="132.13"/>
    <n v="85.35"/>
    <x v="0"/>
    <x v="0"/>
    <n v="0.25"/>
    <n v="217.47750000000002"/>
    <n v="85.347500000000025"/>
    <n v="39.244289639158083"/>
    <x v="2"/>
    <x v="1"/>
    <s v="CLEAN"/>
  </r>
  <r>
    <x v="619"/>
    <d v="2025-03-22T00:00:00"/>
    <d v="2025-03-23T00:00:00"/>
    <n v="1"/>
    <s v="OK"/>
    <s v="CUST-9902"/>
    <s v="Karan Malhotra"/>
    <x v="3"/>
    <x v="0"/>
    <s v="Delhi"/>
    <s v="New Delhi"/>
    <x v="2"/>
    <x v="6"/>
    <s v="Pro Copiers 206"/>
    <x v="3"/>
    <n v="9"/>
    <n v="2075.02"/>
    <n v="0"/>
    <s v="OK"/>
    <n v="18675.18"/>
    <n v="13974.7"/>
    <n v="4700.4799999999996"/>
    <x v="0"/>
    <x v="0"/>
    <n v="0"/>
    <n v="18675.18"/>
    <n v="4700.4799999999996"/>
    <n v="25.169663692665878"/>
    <x v="11"/>
    <x v="1"/>
    <s v="CLEAN"/>
  </r>
  <r>
    <x v="620"/>
    <d v="2025-08-26T00:00:00"/>
    <d v="2025-08-31T00:00:00"/>
    <n v="5"/>
    <s v="OK"/>
    <s v="CUST-7540"/>
    <s v="Diya Patel"/>
    <x v="1"/>
    <x v="0"/>
    <s v="Haryana"/>
    <s v="Gurugram"/>
    <x v="2"/>
    <x v="8"/>
    <s v="Basic Phones 496"/>
    <x v="2"/>
    <n v="1"/>
    <n v="3388.02"/>
    <n v="0.15"/>
    <s v="OK"/>
    <n v="2879.82"/>
    <n v="1824.88"/>
    <n v="1054.94"/>
    <x v="0"/>
    <x v="0"/>
    <n v="0.15"/>
    <n v="2879.817"/>
    <n v="1054.9369999999999"/>
    <n v="36.632084608153917"/>
    <x v="1"/>
    <x v="1"/>
    <s v="CLEAN"/>
  </r>
  <r>
    <x v="621"/>
    <d v="2025-09-08T00:00:00"/>
    <d v="2025-09-09T00:00:00"/>
    <n v="1"/>
    <s v="OK"/>
    <s v="CUST-3190"/>
    <s v="Kabir Singh"/>
    <x v="2"/>
    <x v="3"/>
    <s v="Gujarat"/>
    <s v="Ahmedabad"/>
    <x v="0"/>
    <x v="2"/>
    <s v="Pro Art 447"/>
    <x v="1"/>
    <n v="2"/>
    <n v="2372.41"/>
    <n v="0.2"/>
    <s v="OK"/>
    <n v="3795.86"/>
    <n v="2264.92"/>
    <n v="1530.94"/>
    <x v="0"/>
    <x v="0"/>
    <n v="0.2"/>
    <n v="3795.8559999999998"/>
    <n v="1530.9359999999997"/>
    <n v="40.331772332775529"/>
    <x v="10"/>
    <x v="1"/>
    <s v="CLEAN"/>
  </r>
  <r>
    <x v="622"/>
    <d v="2025-06-19T00:00:00"/>
    <d v="2025-06-23T00:00:00"/>
    <n v="4"/>
    <s v="OK"/>
    <s v="CUST-7606"/>
    <s v="Sneha Kapoor"/>
    <x v="0"/>
    <x v="2"/>
    <s v="Karnataka"/>
    <s v="Bengaluru"/>
    <x v="2"/>
    <x v="6"/>
    <s v="Pro Copiers 532"/>
    <x v="2"/>
    <n v="5"/>
    <n v="2729.95"/>
    <n v="0"/>
    <s v="OK"/>
    <n v="13649.75"/>
    <n v="10288.030000000001"/>
    <n v="3361.72"/>
    <x v="0"/>
    <x v="0"/>
    <n v="0"/>
    <n v="13649.75"/>
    <n v="3361.7199999999993"/>
    <n v="24.628436418249414"/>
    <x v="2"/>
    <x v="1"/>
    <s v="CLEAN"/>
  </r>
  <r>
    <x v="623"/>
    <d v="2025-10-05T00:00:00"/>
    <d v="2025-10-12T00:00:00"/>
    <n v="7"/>
    <s v="OK"/>
    <s v="CUST-6371"/>
    <s v="Priya Menon"/>
    <x v="2"/>
    <x v="2"/>
    <s v="Karnataka"/>
    <s v="Bengaluru"/>
    <x v="1"/>
    <x v="1"/>
    <s v="Max Tables 309"/>
    <x v="0"/>
    <n v="7"/>
    <n v="2134.73"/>
    <n v="0"/>
    <s v="OK"/>
    <n v="14943.11"/>
    <n v="8521.5"/>
    <n v="6421.61"/>
    <x v="0"/>
    <x v="0"/>
    <n v="0"/>
    <n v="14943.11"/>
    <n v="6421.6100000000006"/>
    <n v="42.973718322357264"/>
    <x v="8"/>
    <x v="1"/>
    <s v="CLEAN"/>
  </r>
  <r>
    <x v="624"/>
    <d v="2025-05-17T00:00:00"/>
    <d v="2025-05-25T00:00:00"/>
    <n v="8"/>
    <s v="OK"/>
    <s v="CUST-8713"/>
    <s v="Ananya Rao"/>
    <x v="2"/>
    <x v="2"/>
    <s v="Tamil Nadu"/>
    <s v="Chennai"/>
    <x v="2"/>
    <x v="12"/>
    <s v="Pro Machines 563"/>
    <x v="1"/>
    <n v="6"/>
    <n v="1810.63"/>
    <n v="0.15"/>
    <s v="OK"/>
    <n v="9234.2099999999991"/>
    <n v="5516.52"/>
    <n v="3717.69"/>
    <x v="0"/>
    <x v="0"/>
    <n v="0.15"/>
    <n v="9234.2129999999997"/>
    <n v="3717.6929999999993"/>
    <n v="40.259987505161504"/>
    <x v="4"/>
    <x v="1"/>
    <s v="CLEAN"/>
  </r>
  <r>
    <x v="625"/>
    <d v="2025-02-20T00:00:00"/>
    <d v="2025-02-22T00:00:00"/>
    <n v="2"/>
    <s v="OK"/>
    <s v="CUST-5334"/>
    <s v="Priya Menon"/>
    <x v="2"/>
    <x v="2"/>
    <s v="Kerala"/>
    <s v="Kochi"/>
    <x v="0"/>
    <x v="0"/>
    <s v="Prime Paper 307"/>
    <x v="2"/>
    <n v="1"/>
    <n v="2188.19"/>
    <n v="0"/>
    <s v="OK"/>
    <n v="2188.19"/>
    <n v="1298.8399999999999"/>
    <n v="889.35"/>
    <x v="0"/>
    <x v="0"/>
    <n v="0"/>
    <n v="2188.19"/>
    <n v="889.35000000000014"/>
    <n v="40.643179979800664"/>
    <x v="7"/>
    <x v="1"/>
    <s v="CLEAN"/>
  </r>
  <r>
    <x v="626"/>
    <d v="2025-02-12T00:00:00"/>
    <d v="2025-02-14T00:00:00"/>
    <n v="2"/>
    <s v="OK"/>
    <s v="CUST-6231"/>
    <s v="Sneha Kapoor"/>
    <x v="0"/>
    <x v="0"/>
    <s v="Uttar Pradesh"/>
    <s v="Noida"/>
    <x v="0"/>
    <x v="2"/>
    <s v="Basic Art 764"/>
    <x v="3"/>
    <n v="6"/>
    <n v="491.4"/>
    <n v="0.25"/>
    <s v="OK"/>
    <n v="2211.3000000000002"/>
    <n v="1735.64"/>
    <n v="475.66"/>
    <x v="0"/>
    <x v="0"/>
    <n v="0.25"/>
    <n v="2211.2999999999997"/>
    <n v="475.65999999999963"/>
    <n v="21.510423732645943"/>
    <x v="7"/>
    <x v="1"/>
    <s v="CLEAN"/>
  </r>
  <r>
    <x v="627"/>
    <d v="2025-01-04T00:00:00"/>
    <d v="2025-10-01T00:00:00"/>
    <n v="270"/>
    <s v="OK"/>
    <s v="CUST-2314"/>
    <s v="Aarav Sharma"/>
    <x v="3"/>
    <x v="1"/>
    <s v="West Bengal"/>
    <s v="Kolkata"/>
    <x v="0"/>
    <x v="0"/>
    <s v="Pro Paper 662"/>
    <x v="3"/>
    <n v="4"/>
    <n v="2583.19"/>
    <n v="0.2"/>
    <s v="OK"/>
    <n v="8266.2099999999991"/>
    <n v="6236.32"/>
    <n v="2029.89"/>
    <x v="0"/>
    <x v="0"/>
    <n v="0.2"/>
    <n v="8266.2080000000005"/>
    <n v="2029.8880000000008"/>
    <n v="24.556459261610652"/>
    <x v="6"/>
    <x v="1"/>
    <s v="CLEAN"/>
  </r>
  <r>
    <x v="628"/>
    <d v="2025-06-02T00:00:00"/>
    <d v="2025-06-02T00:00:00"/>
    <n v="0"/>
    <s v="OK"/>
    <s v="CUST-7036"/>
    <s v="Aarav Sharma"/>
    <x v="3"/>
    <x v="2"/>
    <s v="Telangana"/>
    <s v="Hyderabad"/>
    <x v="2"/>
    <x v="4"/>
    <s v="Max Accessories 291"/>
    <x v="2"/>
    <n v="8"/>
    <n v="3925.93"/>
    <n v="0.15"/>
    <s v="OK"/>
    <n v="26696.32"/>
    <n v="22724.52"/>
    <n v="3971.8"/>
    <x v="0"/>
    <x v="0"/>
    <n v="0.15"/>
    <n v="26696.323999999997"/>
    <n v="3971.8039999999964"/>
    <n v="14.87771874509763"/>
    <x v="2"/>
    <x v="1"/>
    <s v="CLEAN"/>
  </r>
  <r>
    <x v="629"/>
    <d v="2025-07-18T00:00:00"/>
    <d v="2025-07-19T00:00:00"/>
    <n v="1"/>
    <s v="OK"/>
    <s v="CUST-8512"/>
    <s v="Priya Menon"/>
    <x v="3"/>
    <x v="4"/>
    <s v="Uttar Pradesh"/>
    <s v="Noida"/>
    <x v="2"/>
    <x v="12"/>
    <s v="Eco Machines 414"/>
    <x v="4"/>
    <n v="3"/>
    <n v="2963.25"/>
    <n v="0.05"/>
    <s v="OK"/>
    <n v="8445.26"/>
    <n v="6937.6"/>
    <n v="1507.66"/>
    <x v="0"/>
    <x v="0"/>
    <n v="0.05"/>
    <n v="8445.2624999999989"/>
    <n v="1507.6624999999985"/>
    <n v="17.852168597482894"/>
    <x v="0"/>
    <x v="1"/>
    <s v="CLEAN"/>
  </r>
  <r>
    <x v="630"/>
    <d v="2025-06-04T00:00:00"/>
    <d v="2025-06-04T00:00:00"/>
    <n v="0"/>
    <s v="OK"/>
    <s v="CUST-7960"/>
    <s v="Neha Gupta"/>
    <x v="2"/>
    <x v="2"/>
    <s v="Kerala"/>
    <s v="Kochi"/>
    <x v="0"/>
    <x v="7"/>
    <s v="Elite Storage 857"/>
    <x v="3"/>
    <n v="4"/>
    <n v="891.34"/>
    <n v="0.25"/>
    <s v="OK"/>
    <n v="2674.02"/>
    <n v="2207.5700000000002"/>
    <n v="466.45"/>
    <x v="0"/>
    <x v="0"/>
    <n v="0.25"/>
    <n v="2674.02"/>
    <n v="466.44999999999982"/>
    <n v="17.44377379376369"/>
    <x v="2"/>
    <x v="1"/>
    <s v="CLEAN"/>
  </r>
  <r>
    <x v="631"/>
    <d v="2025-07-20T00:00:00"/>
    <d v="2025-07-24T00:00:00"/>
    <n v="4"/>
    <s v="OK"/>
    <s v="CUST-3365"/>
    <s v="Priya Menon"/>
    <x v="3"/>
    <x v="3"/>
    <s v="Madhya Pradesh"/>
    <s v="Indore"/>
    <x v="0"/>
    <x v="7"/>
    <s v="Prime Storage 183"/>
    <x v="0"/>
    <n v="5"/>
    <n v="2481.7399999999998"/>
    <n v="0.2"/>
    <s v="OK"/>
    <n v="9926.9599999999991"/>
    <n v="7994.98"/>
    <n v="1931.98"/>
    <x v="0"/>
    <x v="0"/>
    <n v="0.2"/>
    <n v="9926.9599999999991"/>
    <n v="1931.9799999999996"/>
    <n v="19.461950083409217"/>
    <x v="0"/>
    <x v="1"/>
    <s v="CLEAN"/>
  </r>
  <r>
    <x v="632"/>
    <d v="2025-08-27T00:00:00"/>
    <d v="2025-08-31T00:00:00"/>
    <n v="4"/>
    <s v="OK"/>
    <s v="CUST-8948"/>
    <s v="Isha Nair"/>
    <x v="0"/>
    <x v="2"/>
    <s v="Karnataka"/>
    <s v="Bengaluru"/>
    <x v="2"/>
    <x v="12"/>
    <s v="Max Machines 364"/>
    <x v="2"/>
    <n v="3"/>
    <n v="2489.12"/>
    <n v="0"/>
    <s v="OK"/>
    <n v="7467.36"/>
    <n v="5010.6099999999997"/>
    <n v="2456.75"/>
    <x v="0"/>
    <x v="0"/>
    <n v="0"/>
    <n v="7467.36"/>
    <n v="2456.75"/>
    <n v="32.899846799940008"/>
    <x v="1"/>
    <x v="1"/>
    <s v="CLEAN"/>
  </r>
  <r>
    <x v="633"/>
    <d v="2025-08-23T00:00:00"/>
    <d v="2025-08-25T00:00:00"/>
    <n v="2"/>
    <s v="OK"/>
    <s v="CUST-4086"/>
    <s v="Diya Patel"/>
    <x v="0"/>
    <x v="0"/>
    <s v="Rajasthan"/>
    <s v="Jaipur"/>
    <x v="1"/>
    <x v="3"/>
    <s v="Elite Furnishings 169"/>
    <x v="1"/>
    <n v="6"/>
    <n v="2742.48"/>
    <n v="0"/>
    <s v="OK"/>
    <n v="16454.88"/>
    <n v="12081.54"/>
    <n v="4373.34"/>
    <x v="0"/>
    <x v="0"/>
    <n v="0"/>
    <n v="16454.88"/>
    <n v="4373.34"/>
    <n v="26.577769026574487"/>
    <x v="1"/>
    <x v="1"/>
    <s v="CLEAN"/>
  </r>
  <r>
    <x v="634"/>
    <d v="2025-04-13T00:00:00"/>
    <d v="2025-04-13T00:00:00"/>
    <n v="0"/>
    <s v="OK"/>
    <s v="CUST-5174"/>
    <s v="Priya Menon"/>
    <x v="2"/>
    <x v="2"/>
    <s v="Kerala"/>
    <s v="Kochi"/>
    <x v="1"/>
    <x v="9"/>
    <s v="Pro Bookcases 615"/>
    <x v="2"/>
    <n v="6"/>
    <n v="4414"/>
    <n v="0.05"/>
    <s v="OK"/>
    <n v="25159.8"/>
    <n v="21606.83"/>
    <n v="3552.97"/>
    <x v="0"/>
    <x v="0"/>
    <n v="0.05"/>
    <n v="25159.8"/>
    <n v="3552.9699999999975"/>
    <n v="14.121614639226058"/>
    <x v="9"/>
    <x v="1"/>
    <s v="CLEAN"/>
  </r>
  <r>
    <x v="635"/>
    <d v="2025-06-29T00:00:00"/>
    <d v="2025-07-03T00:00:00"/>
    <n v="4"/>
    <s v="OK"/>
    <s v="CUST-8747"/>
    <s v="Vikram Iyer"/>
    <x v="2"/>
    <x v="1"/>
    <s v="Jharkhand"/>
    <s v="Ranchi"/>
    <x v="0"/>
    <x v="5"/>
    <s v="Max Labels 136"/>
    <x v="2"/>
    <n v="3"/>
    <n v="608.14"/>
    <n v="0"/>
    <s v="OK"/>
    <n v="1824.42"/>
    <n v="1214.8699999999999"/>
    <n v="609.54999999999995"/>
    <x v="0"/>
    <x v="0"/>
    <n v="0"/>
    <n v="1824.42"/>
    <n v="609.55000000000018"/>
    <n v="33.410618169061955"/>
    <x v="2"/>
    <x v="1"/>
    <s v="CLEAN"/>
  </r>
  <r>
    <x v="636"/>
    <d v="2025-04-02T00:00:00"/>
    <d v="2025-04-04T00:00:00"/>
    <n v="2"/>
    <s v="OK"/>
    <s v="CUST-8808"/>
    <s v="Sneha Kapoor"/>
    <x v="3"/>
    <x v="1"/>
    <s v="Jharkhand"/>
    <s v="Ranchi"/>
    <x v="0"/>
    <x v="0"/>
    <s v="Classic Paper 280"/>
    <x v="1"/>
    <n v="5"/>
    <n v="3234.24"/>
    <n v="0.1"/>
    <s v="OK"/>
    <n v="14554.08"/>
    <n v="11166.84"/>
    <n v="3387.24"/>
    <x v="0"/>
    <x v="0"/>
    <n v="0.1"/>
    <n v="14554.08"/>
    <n v="3387.24"/>
    <n v="23.273473830018798"/>
    <x v="9"/>
    <x v="1"/>
    <s v="CLEAN"/>
  </r>
  <r>
    <x v="637"/>
    <d v="2025-02-21T00:00:00"/>
    <d v="2025-02-21T00:00:00"/>
    <n v="0"/>
    <s v="OK"/>
    <s v="CUST-4766"/>
    <s v="Karan Malhotra"/>
    <x v="3"/>
    <x v="3"/>
    <s v="Gujarat"/>
    <s v="Ahmedabad"/>
    <x v="2"/>
    <x v="8"/>
    <s v="Basic Phones 753"/>
    <x v="4"/>
    <n v="4"/>
    <n v="2945.07"/>
    <n v="0.2"/>
    <s v="OK"/>
    <n v="9424.2199999999993"/>
    <n v="6178.92"/>
    <n v="3245.3"/>
    <x v="0"/>
    <x v="0"/>
    <n v="0.2"/>
    <n v="9424.2240000000002"/>
    <n v="3245.3040000000001"/>
    <n v="34.435768929091672"/>
    <x v="7"/>
    <x v="1"/>
    <s v="CLEAN"/>
  </r>
  <r>
    <x v="638"/>
    <d v="2025-07-08T00:00:00"/>
    <d v="2025-08-07T00:00:00"/>
    <n v="30"/>
    <s v="OK"/>
    <s v="CUST-1182"/>
    <s v="Kabir Singh"/>
    <x v="0"/>
    <x v="3"/>
    <s v="Rajasthan"/>
    <s v="Udaipur"/>
    <x v="2"/>
    <x v="12"/>
    <s v="Smart Machines 789"/>
    <x v="4"/>
    <n v="9"/>
    <n v="1076.75"/>
    <n v="0.2"/>
    <s v="OK"/>
    <n v="7752.6"/>
    <n v="4689.3"/>
    <n v="3063.3"/>
    <x v="0"/>
    <x v="0"/>
    <n v="0.2"/>
    <n v="7752.6"/>
    <n v="3063.3"/>
    <n v="39.513195573098059"/>
    <x v="0"/>
    <x v="1"/>
    <s v="CLEAN"/>
  </r>
  <r>
    <x v="639"/>
    <d v="2025-08-06T00:00:00"/>
    <d v="2025-06-13T00:00:00"/>
    <n v="-54"/>
    <s v="INVALID"/>
    <s v="CUST-9690"/>
    <s v="Aditi Sen"/>
    <x v="1"/>
    <x v="0"/>
    <s v="Rajasthan"/>
    <s v="Jaipur"/>
    <x v="2"/>
    <x v="6"/>
    <s v="Eco Copiers 528"/>
    <x v="0"/>
    <n v="7"/>
    <n v="3857.13"/>
    <n v="0"/>
    <s v="OK"/>
    <n v="26999.91"/>
    <n v="17815.98"/>
    <n v="9183.93"/>
    <x v="0"/>
    <x v="0"/>
    <n v="0"/>
    <n v="26999.91"/>
    <n v="9183.93"/>
    <n v="34.014668937785345"/>
    <x v="1"/>
    <x v="1"/>
    <s v="INVALID"/>
  </r>
  <r>
    <x v="640"/>
    <d v="2025-03-14T00:00:00"/>
    <d v="2025-03-22T00:00:00"/>
    <n v="8"/>
    <s v="OK"/>
    <s v="CUST-9085"/>
    <s v="Mira Das"/>
    <x v="2"/>
    <x v="1"/>
    <s v="West Bengal"/>
    <s v="Kolkata"/>
    <x v="2"/>
    <x v="6"/>
    <s v="Basic Copiers 254"/>
    <x v="3"/>
    <n v="2"/>
    <n v="669.63"/>
    <n v="0.15"/>
    <s v="OK"/>
    <n v="1138.3699999999999"/>
    <n v="797.34"/>
    <n v="341.03"/>
    <x v="0"/>
    <x v="0"/>
    <n v="0.15"/>
    <n v="1138.3709999999999"/>
    <n v="341.03099999999984"/>
    <n v="29.957808131092577"/>
    <x v="11"/>
    <x v="1"/>
    <s v="CLEAN"/>
  </r>
  <r>
    <x v="641"/>
    <d v="2025-10-04T00:00:00"/>
    <d v="2025-10-05T00:00:00"/>
    <n v="1"/>
    <s v="OK"/>
    <s v="CUST-3119"/>
    <s v="Priya Menon"/>
    <x v="2"/>
    <x v="0"/>
    <s v="Punjab"/>
    <s v="Ludhiana"/>
    <x v="2"/>
    <x v="6"/>
    <s v="Max Copiers 551"/>
    <x v="2"/>
    <n v="4"/>
    <n v="418.18"/>
    <n v="0.05"/>
    <s v="OK"/>
    <n v="1589.08"/>
    <n v="1084.6600000000001"/>
    <n v="504.42"/>
    <x v="0"/>
    <x v="0"/>
    <n v="0.05"/>
    <n v="1589.0840000000001"/>
    <n v="504.42399999999998"/>
    <n v="31.743067075120003"/>
    <x v="8"/>
    <x v="1"/>
    <s v="CLEAN"/>
  </r>
  <r>
    <x v="642"/>
    <d v="2025-03-07T00:00:00"/>
    <d v="2025-03-08T00:00:00"/>
    <n v="1"/>
    <s v="OK"/>
    <s v="CUST-1453"/>
    <s v="Priya Menon"/>
    <x v="3"/>
    <x v="4"/>
    <s v="Rajasthan"/>
    <s v="Udaipur"/>
    <x v="2"/>
    <x v="6"/>
    <s v="Smart Copiers 408"/>
    <x v="1"/>
    <n v="4"/>
    <n v="3537.48"/>
    <n v="0"/>
    <s v="OK"/>
    <n v="14149.92"/>
    <n v="9466.51"/>
    <n v="4683.41"/>
    <x v="0"/>
    <x v="0"/>
    <n v="0"/>
    <n v="14149.92"/>
    <n v="4683.41"/>
    <n v="33.098491016203624"/>
    <x v="11"/>
    <x v="1"/>
    <s v="CLEAN"/>
  </r>
  <r>
    <x v="643"/>
    <d v="2025-06-04T00:00:00"/>
    <d v="2025-06-08T00:00:00"/>
    <n v="4"/>
    <s v="OK"/>
    <s v="CUST-1417"/>
    <s v="Arjun Bose"/>
    <x v="1"/>
    <x v="1"/>
    <s v="Assam"/>
    <s v="Guwahati"/>
    <x v="1"/>
    <x v="3"/>
    <s v="Elite Furnishings 852"/>
    <x v="0"/>
    <n v="1"/>
    <n v="3501.12"/>
    <n v="0.2"/>
    <s v="OK"/>
    <n v="2800.9"/>
    <n v="1735.98"/>
    <n v="1064.92"/>
    <x v="0"/>
    <x v="1"/>
    <n v="0.2"/>
    <n v="2800.8960000000002"/>
    <n v="1064.9160000000002"/>
    <n v="38.020547710446948"/>
    <x v="2"/>
    <x v="1"/>
    <s v="CLEAN"/>
  </r>
  <r>
    <x v="644"/>
    <d v="2025-06-22T00:00:00"/>
    <d v="2025-06-24T00:00:00"/>
    <n v="2"/>
    <s v="OK"/>
    <s v="CUST-2829"/>
    <s v="Sneha Kapoor"/>
    <x v="2"/>
    <x v="1"/>
    <s v="Assam"/>
    <s v="Guwahati"/>
    <x v="0"/>
    <x v="0"/>
    <s v="Elite Paper 847"/>
    <x v="3"/>
    <n v="9"/>
    <n v="951.55"/>
    <n v="0.15"/>
    <s v="OK"/>
    <n v="7279.36"/>
    <n v="4870.3900000000003"/>
    <n v="2408.9699999999998"/>
    <x v="0"/>
    <x v="0"/>
    <n v="0.15"/>
    <n v="7279.3574999999992"/>
    <n v="2408.9674999999988"/>
    <n v="33.093133562955238"/>
    <x v="2"/>
    <x v="1"/>
    <s v="CLEAN"/>
  </r>
  <r>
    <x v="645"/>
    <d v="2025-07-11T00:00:00"/>
    <d v="2025-09-07T00:00:00"/>
    <n v="58"/>
    <s v="OK"/>
    <s v="CUST-7553"/>
    <s v="Aditi Sen"/>
    <x v="2"/>
    <x v="0"/>
    <s v="Delhi"/>
    <s v="New Delhi"/>
    <x v="1"/>
    <x v="3"/>
    <s v="Classic Furnishings 348"/>
    <x v="3"/>
    <n v="9"/>
    <n v="1706.05"/>
    <n v="0"/>
    <s v="OK"/>
    <n v="15354.45"/>
    <n v="9656.5"/>
    <n v="5697.95"/>
    <x v="0"/>
    <x v="0"/>
    <n v="0"/>
    <n v="15354.449999999999"/>
    <n v="5697.9499999999989"/>
    <n v="37.109437329243313"/>
    <x v="0"/>
    <x v="1"/>
    <s v="CLEAN"/>
  </r>
  <r>
    <x v="646"/>
    <d v="2025-10-09T00:00:00"/>
    <d v="2025-09-18T00:00:00"/>
    <n v="-21"/>
    <s v="INVALID"/>
    <s v="CUST-8745"/>
    <s v="Rahul Verma"/>
    <x v="3"/>
    <x v="2"/>
    <s v="Telangana"/>
    <s v="Hyderabad"/>
    <x v="1"/>
    <x v="3"/>
    <s v="Eco Furnishings 541"/>
    <x v="3"/>
    <n v="1"/>
    <n v="2050.62"/>
    <n v="0.05"/>
    <s v="OK"/>
    <n v="1948.09"/>
    <n v="1507.08"/>
    <n v="441.01"/>
    <x v="0"/>
    <x v="0"/>
    <n v="0.05"/>
    <n v="1948.0889999999997"/>
    <n v="441.00899999999979"/>
    <n v="22.638031424642296"/>
    <x v="8"/>
    <x v="1"/>
    <s v="INVALID"/>
  </r>
  <r>
    <x v="647"/>
    <d v="2025-04-06T00:00:00"/>
    <d v="2025-07-04T00:00:00"/>
    <n v="89"/>
    <s v="OK"/>
    <s v="CUST-2098"/>
    <s v="Priya Menon"/>
    <x v="3"/>
    <x v="1"/>
    <s v="Assam"/>
    <s v="Guwahati"/>
    <x v="0"/>
    <x v="11"/>
    <s v="Classic Binders 103"/>
    <x v="0"/>
    <n v="2"/>
    <n v="2030.06"/>
    <n v="0.25"/>
    <s v="OK"/>
    <n v="3045.09"/>
    <n v="2601.09"/>
    <n v="444"/>
    <x v="0"/>
    <x v="0"/>
    <n v="0.25"/>
    <n v="3045.09"/>
    <n v="444"/>
    <n v="14.580849827098705"/>
    <x v="9"/>
    <x v="1"/>
    <s v="CLEAN"/>
  </r>
  <r>
    <x v="648"/>
    <d v="2025-02-07T00:00:00"/>
    <d v="2025-02-08T00:00:00"/>
    <n v="1"/>
    <s v="OK"/>
    <s v="CUST-5884"/>
    <s v="Karan Malhotra"/>
    <x v="1"/>
    <x v="2"/>
    <s v="Telangana"/>
    <s v="Hyderabad"/>
    <x v="0"/>
    <x v="5"/>
    <s v="Smart Labels 436"/>
    <x v="3"/>
    <n v="2"/>
    <n v="2432.98"/>
    <n v="0.1"/>
    <s v="OK"/>
    <n v="4379.3599999999997"/>
    <n v="3723.93"/>
    <n v="655.43"/>
    <x v="0"/>
    <x v="0"/>
    <n v="0.1"/>
    <n v="4379.3640000000005"/>
    <n v="655.43400000000065"/>
    <n v="14.966419781502532"/>
    <x v="7"/>
    <x v="1"/>
    <s v="CLEAN"/>
  </r>
  <r>
    <x v="649"/>
    <d v="2025-08-31T00:00:00"/>
    <d v="2025-08-28T00:00:00"/>
    <n v="-3"/>
    <s v="INVALID"/>
    <s v="CUST-7503"/>
    <s v="Aarav Sharma"/>
    <x v="1"/>
    <x v="2"/>
    <s v="Tamil Nadu"/>
    <s v="Chennai"/>
    <x v="1"/>
    <x v="3"/>
    <s v="Pro Furnishings 386"/>
    <x v="2"/>
    <n v="7"/>
    <n v="977.28"/>
    <n v="0.2"/>
    <s v="OK"/>
    <n v="5472.77"/>
    <n v="4477.33"/>
    <n v="995.44"/>
    <x v="0"/>
    <x v="0"/>
    <n v="0.2"/>
    <n v="5472.768"/>
    <n v="995.4380000000001"/>
    <n v="18.188931085695575"/>
    <x v="1"/>
    <x v="1"/>
    <s v="INVALID"/>
  </r>
  <r>
    <x v="650"/>
    <d v="2025-06-25T00:00:00"/>
    <d v="2025-06-25T00:00:00"/>
    <n v="0"/>
    <s v="OK"/>
    <s v="CUST-6973"/>
    <s v="Arjun Bose"/>
    <x v="1"/>
    <x v="4"/>
    <s v="Punjab"/>
    <s v="Ludhiana"/>
    <x v="0"/>
    <x v="11"/>
    <s v="Eco Binders 601"/>
    <x v="0"/>
    <n v="6"/>
    <n v="1366.13"/>
    <n v="0.1"/>
    <s v="OK"/>
    <n v="7377.1"/>
    <n v="5085.21"/>
    <n v="2291.89"/>
    <x v="0"/>
    <x v="0"/>
    <n v="0.1"/>
    <n v="7377.1020000000008"/>
    <n v="2291.8920000000007"/>
    <n v="31.067646888981614"/>
    <x v="2"/>
    <x v="1"/>
    <s v="CLEAN"/>
  </r>
  <r>
    <x v="651"/>
    <d v="2025-04-06T00:00:00"/>
    <d v="2025-04-10T00:00:00"/>
    <n v="4"/>
    <s v="OK"/>
    <s v="CUST-7848"/>
    <s v="Rohan Mehta"/>
    <x v="0"/>
    <x v="1"/>
    <s v="Odisha"/>
    <s v="Bhubaneswar"/>
    <x v="1"/>
    <x v="9"/>
    <s v="Elite Bookcases 988"/>
    <x v="3"/>
    <n v="2"/>
    <n v="1337.67"/>
    <n v="0"/>
    <s v="OK"/>
    <n v="2675.34"/>
    <n v="1595.87"/>
    <n v="1079.47"/>
    <x v="0"/>
    <x v="0"/>
    <n v="0"/>
    <n v="2675.34"/>
    <n v="1079.4700000000003"/>
    <n v="40.348890234512261"/>
    <x v="9"/>
    <x v="1"/>
    <s v="CLEAN"/>
  </r>
  <r>
    <x v="652"/>
    <d v="2025-08-06T00:00:00"/>
    <d v="2025-08-11T00:00:00"/>
    <n v="5"/>
    <s v="OK"/>
    <s v="CUST-9048"/>
    <s v="Arjun Bose"/>
    <x v="0"/>
    <x v="3"/>
    <s v="Madhya Pradesh"/>
    <s v="Indore"/>
    <x v="0"/>
    <x v="5"/>
    <s v="Smart Labels 126"/>
    <x v="2"/>
    <n v="2"/>
    <n v="2375.94"/>
    <n v="0.25"/>
    <s v="OK"/>
    <n v="3563.91"/>
    <n v="2639.7"/>
    <n v="924.21"/>
    <x v="0"/>
    <x v="0"/>
    <n v="0.25"/>
    <n v="3563.91"/>
    <n v="924.21"/>
    <n v="25.932473042248542"/>
    <x v="1"/>
    <x v="1"/>
    <s v="CLEAN"/>
  </r>
  <r>
    <x v="653"/>
    <d v="2025-04-05T00:00:00"/>
    <d v="2025-04-05T00:00:00"/>
    <n v="0"/>
    <s v="OK"/>
    <s v="CUST-2221"/>
    <s v="Sneha Kapoor"/>
    <x v="0"/>
    <x v="1"/>
    <s v="Bihar"/>
    <s v="Patna"/>
    <x v="0"/>
    <x v="11"/>
    <s v="Classic Binders 873"/>
    <x v="3"/>
    <n v="6"/>
    <n v="1829.69"/>
    <n v="0.25"/>
    <s v="OK"/>
    <n v="8233.6"/>
    <n v="4713.79"/>
    <n v="3519.81"/>
    <x v="0"/>
    <x v="0"/>
    <n v="0.25"/>
    <n v="8233.6049999999996"/>
    <n v="3519.8149999999996"/>
    <n v="42.749378917254347"/>
    <x v="9"/>
    <x v="1"/>
    <s v="CLEAN"/>
  </r>
  <r>
    <x v="654"/>
    <d v="2025-06-02T00:00:00"/>
    <d v="2025-10-02T00:00:00"/>
    <n v="122"/>
    <s v="OK"/>
    <s v="CUST-2041"/>
    <s v="Ananya Rao"/>
    <x v="3"/>
    <x v="0"/>
    <s v="Uttar Pradesh"/>
    <s v="Noida"/>
    <x v="1"/>
    <x v="9"/>
    <s v="Classic Bookcases 882"/>
    <x v="3"/>
    <n v="2"/>
    <n v="319.57"/>
    <n v="0.2"/>
    <s v="OK"/>
    <n v="511.31"/>
    <n v="436.43"/>
    <n v="74.88"/>
    <x v="0"/>
    <x v="0"/>
    <n v="0.2"/>
    <n v="511.31200000000001"/>
    <n v="74.882000000000005"/>
    <n v="14.645069937728824"/>
    <x v="2"/>
    <x v="1"/>
    <s v="CLEAN"/>
  </r>
  <r>
    <x v="655"/>
    <d v="2025-01-06T00:00:00"/>
    <d v="2025-01-12T00:00:00"/>
    <n v="6"/>
    <s v="OK"/>
    <s v="CUST-6638"/>
    <s v="Mira Das"/>
    <x v="3"/>
    <x v="3"/>
    <s v="Goa"/>
    <s v="Panaji"/>
    <x v="0"/>
    <x v="0"/>
    <s v="Basic Paper 899"/>
    <x v="1"/>
    <n v="3"/>
    <n v="668.33"/>
    <n v="0.15"/>
    <s v="OK"/>
    <n v="1704.24"/>
    <n v="957.55"/>
    <n v="746.69"/>
    <x v="0"/>
    <x v="0"/>
    <n v="0.15"/>
    <n v="1704.2415000000001"/>
    <n v="746.69150000000013"/>
    <n v="43.813714194848565"/>
    <x v="6"/>
    <x v="1"/>
    <s v="CLEAN"/>
  </r>
  <r>
    <x v="656"/>
    <d v="2025-03-21T00:00:00"/>
    <d v="2025-03-22T00:00:00"/>
    <n v="1"/>
    <s v="OK"/>
    <s v="CUST-3540"/>
    <s v="Priya Menon"/>
    <x v="0"/>
    <x v="3"/>
    <s v="Goa"/>
    <s v="Panaji"/>
    <x v="0"/>
    <x v="0"/>
    <s v="Pro Paper 267"/>
    <x v="2"/>
    <n v="8"/>
    <n v="4436.74"/>
    <n v="0.05"/>
    <s v="OK"/>
    <n v="33719.22"/>
    <n v="28924.43"/>
    <n v="4794.79"/>
    <x v="0"/>
    <x v="0"/>
    <n v="0.05"/>
    <n v="33719.223999999995"/>
    <n v="4794.7939999999944"/>
    <n v="14.219763776295668"/>
    <x v="11"/>
    <x v="1"/>
    <s v="CLEAN"/>
  </r>
  <r>
    <x v="657"/>
    <d v="2025-04-16T00:00:00"/>
    <d v="2025-04-17T00:00:00"/>
    <n v="1"/>
    <s v="OK"/>
    <s v="CUST-3351"/>
    <s v="Vikram Iyer"/>
    <x v="1"/>
    <x v="0"/>
    <s v="Uttar Pradesh"/>
    <s v="Noida"/>
    <x v="2"/>
    <x v="12"/>
    <s v="Basic Machines 832"/>
    <x v="2"/>
    <n v="1"/>
    <n v="2720.17"/>
    <n v="0"/>
    <s v="OK"/>
    <n v="2720.17"/>
    <n v="1834.23"/>
    <n v="885.94"/>
    <x v="0"/>
    <x v="0"/>
    <n v="0"/>
    <n v="2720.17"/>
    <n v="885.94"/>
    <n v="32.569287948914962"/>
    <x v="9"/>
    <x v="1"/>
    <s v="CLEAN"/>
  </r>
  <r>
    <x v="658"/>
    <d v="2025-08-10T00:00:00"/>
    <d v="2025-08-14T00:00:00"/>
    <n v="4"/>
    <s v="OK"/>
    <s v="CUST-4375"/>
    <s v="Aditi Sen"/>
    <x v="0"/>
    <x v="3"/>
    <s v="Rajasthan"/>
    <s v="Udaipur"/>
    <x v="2"/>
    <x v="4"/>
    <s v="Elite Accessories 790"/>
    <x v="3"/>
    <n v="5"/>
    <n v="2190.14"/>
    <n v="0.25"/>
    <s v="OK"/>
    <n v="8213.02"/>
    <n v="5569.3"/>
    <n v="2643.72"/>
    <x v="0"/>
    <x v="0"/>
    <n v="0.25"/>
    <n v="8213.0249999999996"/>
    <n v="2643.7249999999995"/>
    <n v="32.189418636860346"/>
    <x v="1"/>
    <x v="1"/>
    <s v="CLEAN"/>
  </r>
  <r>
    <x v="659"/>
    <d v="2025-07-15T00:00:00"/>
    <d v="2025-07-18T00:00:00"/>
    <n v="3"/>
    <s v="OK"/>
    <s v="CUST-7929"/>
    <s v="Aditi Sen"/>
    <x v="1"/>
    <x v="4"/>
    <s v="Tamil Nadu"/>
    <s v="Chennai"/>
    <x v="2"/>
    <x v="12"/>
    <s v="Smart Machines 951"/>
    <x v="2"/>
    <n v="6"/>
    <n v="2382.88"/>
    <n v="0.1"/>
    <s v="OK"/>
    <n v="12867.55"/>
    <n v="10068.94"/>
    <n v="2798.61"/>
    <x v="0"/>
    <x v="0"/>
    <n v="0.1"/>
    <n v="12867.552000000001"/>
    <n v="2798.612000000001"/>
    <n v="21.749373929089234"/>
    <x v="0"/>
    <x v="1"/>
    <s v="CLEAN"/>
  </r>
  <r>
    <x v="660"/>
    <d v="2025-05-26T00:00:00"/>
    <d v="2025-05-28T00:00:00"/>
    <n v="2"/>
    <s v="OK"/>
    <s v="CUST-9557"/>
    <s v="Kabir Singh"/>
    <x v="1"/>
    <x v="2"/>
    <s v="Andhra Pradesh"/>
    <s v="Vijayawada"/>
    <x v="2"/>
    <x v="8"/>
    <s v="Max Phones 919"/>
    <x v="0"/>
    <n v="9"/>
    <n v="4302.0200000000004"/>
    <n v="0.05"/>
    <s v="OK"/>
    <n v="36782.269999999997"/>
    <n v="25902.81"/>
    <n v="10879.46"/>
    <x v="0"/>
    <x v="0"/>
    <n v="0.05"/>
    <n v="36782.271000000008"/>
    <n v="10879.461000000007"/>
    <n v="29.578002402298665"/>
    <x v="4"/>
    <x v="1"/>
    <s v="CLEAN"/>
  </r>
  <r>
    <x v="661"/>
    <d v="2025-09-26T00:00:00"/>
    <d v="2025-04-10T00:00:00"/>
    <n v="-169"/>
    <s v="INVALID"/>
    <s v="CUST-5150"/>
    <s v="Priya Menon"/>
    <x v="1"/>
    <x v="1"/>
    <s v="Assam"/>
    <s v="Guwahati"/>
    <x v="2"/>
    <x v="8"/>
    <s v="Prime Phones 338"/>
    <x v="0"/>
    <n v="7"/>
    <n v="1509.59"/>
    <n v="0.05"/>
    <s v="OK"/>
    <n v="10038.77"/>
    <n v="5673.1"/>
    <n v="4365.67"/>
    <x v="0"/>
    <x v="0"/>
    <n v="0.05"/>
    <n v="10038.773499999999"/>
    <n v="4365.673499999999"/>
    <n v="43.48811635206232"/>
    <x v="10"/>
    <x v="1"/>
    <s v="INVALID"/>
  </r>
  <r>
    <x v="662"/>
    <d v="2025-09-27T00:00:00"/>
    <d v="2025-09-28T00:00:00"/>
    <n v="1"/>
    <s v="OK"/>
    <s v="CUST-2551"/>
    <s v="Karan Malhotra"/>
    <x v="3"/>
    <x v="3"/>
    <s v="Maharashtra"/>
    <s v="Mumbai"/>
    <x v="0"/>
    <x v="0"/>
    <s v="Prime Paper 812"/>
    <x v="2"/>
    <n v="3"/>
    <n v="4177.63"/>
    <n v="0.25"/>
    <s v="OK"/>
    <n v="9399.67"/>
    <n v="6540.37"/>
    <n v="2859.3"/>
    <x v="0"/>
    <x v="0"/>
    <n v="0.25"/>
    <n v="9399.6674999999996"/>
    <n v="2859.2974999999997"/>
    <n v="30.419134506619518"/>
    <x v="10"/>
    <x v="1"/>
    <s v="CLEAN"/>
  </r>
  <r>
    <x v="663"/>
    <d v="2025-04-03T00:00:00"/>
    <d v="2025-04-07T00:00:00"/>
    <n v="4"/>
    <s v="OK"/>
    <s v="CUST-4708"/>
    <s v="Ananya Rao"/>
    <x v="1"/>
    <x v="3"/>
    <s v="Goa"/>
    <s v="Panaji"/>
    <x v="0"/>
    <x v="0"/>
    <s v="Pro Paper 355"/>
    <x v="1"/>
    <n v="1"/>
    <n v="1470.57"/>
    <n v="0"/>
    <s v="OK"/>
    <n v="1470.57"/>
    <n v="834.02"/>
    <n v="636.54999999999995"/>
    <x v="0"/>
    <x v="1"/>
    <n v="0"/>
    <n v="1470.57"/>
    <n v="636.54999999999995"/>
    <n v="43.285936745615643"/>
    <x v="9"/>
    <x v="1"/>
    <s v="CLEAN"/>
  </r>
  <r>
    <x v="664"/>
    <d v="2025-09-19T00:00:00"/>
    <d v="2025-09-19T00:00:00"/>
    <n v="0"/>
    <s v="OK"/>
    <s v="CUST-1297"/>
    <s v="Neha Gupta"/>
    <x v="3"/>
    <x v="0"/>
    <s v="Delhi"/>
    <s v="New Delhi"/>
    <x v="1"/>
    <x v="10"/>
    <s v="Classic Chairs 204"/>
    <x v="1"/>
    <n v="4"/>
    <n v="1584.11"/>
    <n v="0"/>
    <s v="OK"/>
    <n v="6336.44"/>
    <n v="4680.68"/>
    <n v="1655.76"/>
    <x v="0"/>
    <x v="0"/>
    <n v="0"/>
    <n v="6336.44"/>
    <n v="1655.7599999999993"/>
    <n v="26.130761121386765"/>
    <x v="10"/>
    <x v="1"/>
    <s v="CLEAN"/>
  </r>
  <r>
    <x v="665"/>
    <d v="2025-02-06T00:00:00"/>
    <d v="2025-02-12T00:00:00"/>
    <n v="6"/>
    <s v="OK"/>
    <s v="CUST-7558"/>
    <s v="Ananya Rao"/>
    <x v="1"/>
    <x v="1"/>
    <s v="Bihar"/>
    <s v="Patna"/>
    <x v="0"/>
    <x v="2"/>
    <s v="Max Art 339"/>
    <x v="3"/>
    <n v="9"/>
    <n v="3237.16"/>
    <n v="0.25"/>
    <s v="OK"/>
    <n v="21850.83"/>
    <n v="16600.13"/>
    <n v="5250.7"/>
    <x v="0"/>
    <x v="0"/>
    <n v="0.25"/>
    <n v="21850.829999999998"/>
    <n v="5250.6999999999971"/>
    <n v="24.029750814957591"/>
    <x v="7"/>
    <x v="1"/>
    <s v="CLEAN"/>
  </r>
  <r>
    <x v="666"/>
    <d v="2025-07-18T00:00:00"/>
    <d v="2025-07-25T00:00:00"/>
    <n v="7"/>
    <s v="OK"/>
    <s v="CUST-7333"/>
    <s v="Priya Menon"/>
    <x v="1"/>
    <x v="0"/>
    <s v="Uttar Pradesh"/>
    <s v="Noida"/>
    <x v="2"/>
    <x v="8"/>
    <s v="Prime Phones 482"/>
    <x v="2"/>
    <n v="9"/>
    <n v="3989.52"/>
    <n v="-0.02"/>
    <s v="INVALID"/>
    <n v="35905.68"/>
    <n v="23916.1"/>
    <n v="11989.58"/>
    <x v="0"/>
    <x v="0"/>
    <n v="0"/>
    <n v="35905.68"/>
    <n v="11989.580000000002"/>
    <n v="33.391875602968675"/>
    <x v="0"/>
    <x v="1"/>
    <s v="INVALID"/>
  </r>
  <r>
    <x v="667"/>
    <d v="2025-01-20T00:00:00"/>
    <d v="2025-01-25T00:00:00"/>
    <n v="5"/>
    <s v="OK"/>
    <s v="CUST-2086"/>
    <s v="Aditi Sen"/>
    <x v="3"/>
    <x v="3"/>
    <s v="Goa"/>
    <s v="Panaji"/>
    <x v="0"/>
    <x v="2"/>
    <s v="Pro Art 588"/>
    <x v="2"/>
    <n v="1"/>
    <n v="3515.15"/>
    <n v="0"/>
    <s v="OK"/>
    <n v="3515.15"/>
    <n v="2216.34"/>
    <n v="1298.81"/>
    <x v="0"/>
    <x v="0"/>
    <n v="0"/>
    <n v="3515.15"/>
    <n v="1298.81"/>
    <n v="36.948921098672884"/>
    <x v="6"/>
    <x v="1"/>
    <s v="CLEAN"/>
  </r>
  <r>
    <x v="668"/>
    <d v="2025-05-20T00:00:00"/>
    <d v="2025-05-22T00:00:00"/>
    <n v="2"/>
    <s v="OK"/>
    <s v="CUST-8329"/>
    <s v="Diya Patel"/>
    <x v="3"/>
    <x v="1"/>
    <s v="Odisha"/>
    <s v="Bhubaneswar"/>
    <x v="1"/>
    <x v="1"/>
    <s v="Pro Tables 828"/>
    <x v="0"/>
    <n v="2"/>
    <n v="210.08"/>
    <n v="0.2"/>
    <s v="OK"/>
    <n v="336.13"/>
    <n v="242.19"/>
    <n v="93.94"/>
    <x v="0"/>
    <x v="0"/>
    <n v="0.2"/>
    <n v="336.12800000000004"/>
    <n v="93.938000000000045"/>
    <n v="27.947091584158422"/>
    <x v="4"/>
    <x v="1"/>
    <s v="CLEAN"/>
  </r>
  <r>
    <x v="669"/>
    <d v="2025-05-27T00:00:00"/>
    <d v="2025-05-29T00:00:00"/>
    <n v="2"/>
    <s v="OK"/>
    <s v="CUST-4426"/>
    <s v="Rahul Verma"/>
    <x v="3"/>
    <x v="2"/>
    <s v="Tamil Nadu"/>
    <s v="Chennai"/>
    <x v="1"/>
    <x v="3"/>
    <s v="Elite Furnishings 480"/>
    <x v="0"/>
    <n v="1"/>
    <n v="1744.35"/>
    <n v="0.25"/>
    <s v="OK"/>
    <n v="1308.26"/>
    <n v="1083.56"/>
    <n v="224.7"/>
    <x v="0"/>
    <x v="0"/>
    <n v="0.25"/>
    <n v="1308.2624999999998"/>
    <n v="224.70249999999987"/>
    <n v="17.175643267310644"/>
    <x v="4"/>
    <x v="1"/>
    <s v="CLEAN"/>
  </r>
  <r>
    <x v="670"/>
    <d v="2025-05-16T00:00:00"/>
    <d v="2025-05-22T00:00:00"/>
    <n v="6"/>
    <s v="OK"/>
    <s v="CUST-8274"/>
    <s v="Arjun Bose"/>
    <x v="2"/>
    <x v="2"/>
    <s v="Tamil Nadu"/>
    <s v="Chennai"/>
    <x v="2"/>
    <x v="4"/>
    <s v="Elite Accessories 708"/>
    <x v="1"/>
    <n v="8"/>
    <n v="579.79999999999995"/>
    <n v="0.2"/>
    <s v="OK"/>
    <n v="3710.72"/>
    <n v="3115.29"/>
    <n v="595.42999999999995"/>
    <x v="0"/>
    <x v="0"/>
    <n v="0.2"/>
    <n v="3710.72"/>
    <n v="595.42999999999984"/>
    <n v="16.046212055881334"/>
    <x v="4"/>
    <x v="1"/>
    <s v="CLEAN"/>
  </r>
  <r>
    <x v="671"/>
    <d v="2025-03-25T00:00:00"/>
    <d v="2025-04-02T00:00:00"/>
    <n v="8"/>
    <s v="OK"/>
    <s v="CUST-2514"/>
    <s v="Priya Menon"/>
    <x v="0"/>
    <x v="2"/>
    <s v="Karnataka"/>
    <s v="Bengaluru"/>
    <x v="1"/>
    <x v="9"/>
    <s v="Max Bookcases 381"/>
    <x v="0"/>
    <n v="4"/>
    <n v="2233.64"/>
    <n v="0.05"/>
    <s v="OK"/>
    <n v="8487.83"/>
    <n v="5245.72"/>
    <n v="3242.11"/>
    <x v="0"/>
    <x v="0"/>
    <n v="0.05"/>
    <n v="8487.8319999999985"/>
    <n v="3242.1119999999983"/>
    <n v="38.197174496384925"/>
    <x v="11"/>
    <x v="1"/>
    <s v="CLEAN"/>
  </r>
  <r>
    <x v="672"/>
    <d v="2025-03-08T00:00:00"/>
    <d v="2025-03-09T00:00:00"/>
    <n v="1"/>
    <s v="OK"/>
    <s v="CUST-9448"/>
    <s v="Priya Menon"/>
    <x v="3"/>
    <x v="0"/>
    <s v="Delhi"/>
    <s v="New Delhi"/>
    <x v="1"/>
    <x v="3"/>
    <s v="Smart Furnishings 892"/>
    <x v="1"/>
    <n v="4"/>
    <n v="3405.68"/>
    <n v="0.2"/>
    <s v="OK"/>
    <n v="10898.18"/>
    <n v="6231.41"/>
    <n v="4666.7700000000004"/>
    <x v="0"/>
    <x v="0"/>
    <n v="0.2"/>
    <n v="10898.175999999999"/>
    <n v="4666.7659999999996"/>
    <n v="42.8215327041883"/>
    <x v="11"/>
    <x v="1"/>
    <s v="CLEAN"/>
  </r>
  <r>
    <x v="673"/>
    <d v="2025-09-06T00:00:00"/>
    <d v="2025-09-08T00:00:00"/>
    <n v="2"/>
    <s v="OK"/>
    <s v="CUST-2200"/>
    <s v="Aarav Sharma"/>
    <x v="3"/>
    <x v="3"/>
    <s v="Madhya Pradesh"/>
    <s v="Indore"/>
    <x v="1"/>
    <x v="3"/>
    <s v="Prime Furnishings 679"/>
    <x v="1"/>
    <n v="3"/>
    <n v="2937.23"/>
    <n v="0"/>
    <s v="OK"/>
    <n v="8811.69"/>
    <n v="6765.91"/>
    <n v="2045.78"/>
    <x v="0"/>
    <x v="0"/>
    <n v="0"/>
    <n v="8811.69"/>
    <n v="2045.7800000000007"/>
    <n v="23.216658779416893"/>
    <x v="10"/>
    <x v="1"/>
    <s v="CLEAN"/>
  </r>
  <r>
    <x v="674"/>
    <d v="2025-09-02T00:00:00"/>
    <d v="2025-05-09T00:00:00"/>
    <n v="-116"/>
    <s v="INVALID"/>
    <s v="CUST-1178"/>
    <s v="Vikram Iyer"/>
    <x v="0"/>
    <x v="2"/>
    <s v="Tamil Nadu"/>
    <s v="Chennai"/>
    <x v="2"/>
    <x v="8"/>
    <s v="Smart Phones 158"/>
    <x v="2"/>
    <n v="5"/>
    <n v="3406.87"/>
    <n v="0"/>
    <s v="OK"/>
    <n v="17034.349999999999"/>
    <n v="14631.36"/>
    <n v="2402.9899999999998"/>
    <x v="0"/>
    <x v="0"/>
    <n v="0"/>
    <n v="17034.349999999999"/>
    <n v="2402.989999999998"/>
    <n v="14.106731398615141"/>
    <x v="10"/>
    <x v="1"/>
    <s v="INVALID"/>
  </r>
  <r>
    <x v="675"/>
    <d v="2025-06-02T00:00:00"/>
    <d v="2025-02-14T00:00:00"/>
    <n v="-108"/>
    <s v="INVALID"/>
    <s v="CUST-8099"/>
    <s v="Kabir Singh"/>
    <x v="0"/>
    <x v="3"/>
    <s v="Maharashtra"/>
    <s v="Mumbai"/>
    <x v="0"/>
    <x v="5"/>
    <s v="Classic Labels 218"/>
    <x v="0"/>
    <n v="2"/>
    <n v="3992.04"/>
    <n v="0"/>
    <s v="OK"/>
    <n v="7984.08"/>
    <n v="5658.05"/>
    <n v="2326.0300000000002"/>
    <x v="0"/>
    <x v="0"/>
    <n v="0"/>
    <n v="7984.08"/>
    <n v="2326.0299999999997"/>
    <n v="29.133350367230786"/>
    <x v="2"/>
    <x v="1"/>
    <s v="INVALID"/>
  </r>
  <r>
    <x v="676"/>
    <d v="2025-11-04T00:00:00"/>
    <d v="2025-04-15T00:00:00"/>
    <n v="-203"/>
    <s v="INVALID"/>
    <s v="CUST-8483"/>
    <s v="Vikram Iyer"/>
    <x v="3"/>
    <x v="2"/>
    <s v="Karnataka"/>
    <s v="Bengaluru"/>
    <x v="0"/>
    <x v="7"/>
    <s v="Elite Storage 187"/>
    <x v="1"/>
    <n v="9"/>
    <n v="224.94"/>
    <n v="0.05"/>
    <s v="OK"/>
    <n v="1923.24"/>
    <n v="1093.6600000000001"/>
    <n v="829.58"/>
    <x v="0"/>
    <x v="0"/>
    <n v="0.05"/>
    <n v="1923.2369999999999"/>
    <n v="829.57699999999977"/>
    <n v="43.134413491420965"/>
    <x v="3"/>
    <x v="1"/>
    <s v="INVALID"/>
  </r>
  <r>
    <x v="677"/>
    <d v="2025-03-06T00:00:00"/>
    <d v="2025-07-03T00:00:00"/>
    <n v="119"/>
    <s v="OK"/>
    <s v="CUST-2388"/>
    <s v="Rohan Mehta"/>
    <x v="3"/>
    <x v="4"/>
    <s v="Delhi"/>
    <s v="New Delhi"/>
    <x v="1"/>
    <x v="10"/>
    <s v="Max Chairs 487"/>
    <x v="1"/>
    <n v="6"/>
    <n v="796.65"/>
    <n v="0.1"/>
    <s v="OK"/>
    <n v="4301.91"/>
    <n v="2374.4"/>
    <n v="1927.51"/>
    <x v="0"/>
    <x v="0"/>
    <n v="0.1"/>
    <n v="4301.91"/>
    <n v="1927.5099999999998"/>
    <n v="44.805911792668837"/>
    <x v="11"/>
    <x v="1"/>
    <s v="CLEAN"/>
  </r>
  <r>
    <x v="678"/>
    <d v="2025-02-01T00:00:00"/>
    <d v="2025-08-02T00:00:00"/>
    <n v="182"/>
    <s v="OK"/>
    <s v="CUST-8160"/>
    <s v="Aditi Sen"/>
    <x v="3"/>
    <x v="3"/>
    <s v="Gujarat"/>
    <s v="Ahmedabad"/>
    <x v="0"/>
    <x v="7"/>
    <s v="Elite Storage 144"/>
    <x v="0"/>
    <n v="8"/>
    <n v="623.30999999999995"/>
    <n v="0.1"/>
    <s v="OK"/>
    <n v="4487.83"/>
    <n v="2633.78"/>
    <n v="1854.05"/>
    <x v="0"/>
    <x v="0"/>
    <n v="0.1"/>
    <n v="4487.8319999999994"/>
    <n v="1854.0519999999992"/>
    <n v="41.312865543986483"/>
    <x v="7"/>
    <x v="1"/>
    <s v="CLEAN"/>
  </r>
  <r>
    <x v="679"/>
    <d v="2025-07-15T00:00:00"/>
    <d v="2025-07-16T00:00:00"/>
    <n v="1"/>
    <s v="OK"/>
    <s v="CUST-8770"/>
    <s v="Vikram Iyer"/>
    <x v="1"/>
    <x v="3"/>
    <s v="Maharashtra"/>
    <s v="Mumbai"/>
    <x v="0"/>
    <x v="0"/>
    <s v="Elite Paper 309"/>
    <x v="3"/>
    <n v="8"/>
    <n v="3924.88"/>
    <n v="0.05"/>
    <s v="OK"/>
    <n v="29829.09"/>
    <n v="20710.18"/>
    <n v="9118.91"/>
    <x v="0"/>
    <x v="0"/>
    <n v="0.05"/>
    <n v="29829.088"/>
    <n v="9118.9079999999994"/>
    <n v="30.57052230359842"/>
    <x v="0"/>
    <x v="1"/>
    <s v="CLEAN"/>
  </r>
  <r>
    <x v="680"/>
    <d v="2025-08-26T00:00:00"/>
    <d v="2025-09-03T00:00:00"/>
    <n v="8"/>
    <s v="OK"/>
    <s v="CUST-7146"/>
    <s v="Aarav Sharma"/>
    <x v="0"/>
    <x v="3"/>
    <s v="Rajasthan"/>
    <s v="Udaipur"/>
    <x v="0"/>
    <x v="7"/>
    <s v="Max Storage 438"/>
    <x v="0"/>
    <n v="6"/>
    <n v="674.36"/>
    <n v="0.1"/>
    <s v="OK"/>
    <n v="3641.54"/>
    <n v="2690.37"/>
    <n v="951.17"/>
    <x v="0"/>
    <x v="0"/>
    <n v="0.1"/>
    <n v="3641.5439999999999"/>
    <n v="951.17399999999998"/>
    <n v="26.120074342092252"/>
    <x v="1"/>
    <x v="1"/>
    <s v="CLEAN"/>
  </r>
  <r>
    <x v="681"/>
    <d v="2025-08-27T00:00:00"/>
    <d v="2025-08-28T00:00:00"/>
    <n v="1"/>
    <s v="OK"/>
    <s v="CUST-4486"/>
    <s v="Ananya Rao"/>
    <x v="3"/>
    <x v="0"/>
    <s v="Uttar Pradesh"/>
    <s v="Noida"/>
    <x v="0"/>
    <x v="2"/>
    <s v="Smart Art 990"/>
    <x v="3"/>
    <n v="6"/>
    <n v="1182.03"/>
    <n v="0.15"/>
    <s v="OK"/>
    <n v="6028.35"/>
    <n v="4433.63"/>
    <n v="1594.72"/>
    <x v="0"/>
    <x v="0"/>
    <n v="0.15"/>
    <n v="6028.3530000000001"/>
    <n v="1594.723"/>
    <n v="26.45370966166049"/>
    <x v="1"/>
    <x v="1"/>
    <s v="CLEAN"/>
  </r>
  <r>
    <x v="682"/>
    <d v="2025-02-02T00:00:00"/>
    <d v="2025-02-10T00:00:00"/>
    <n v="8"/>
    <s v="OK"/>
    <s v="CUST-4983"/>
    <s v="Sneha Kapoor"/>
    <x v="2"/>
    <x v="1"/>
    <s v="Bihar"/>
    <s v="Patna"/>
    <x v="2"/>
    <x v="4"/>
    <s v="Basic Accessories 607"/>
    <x v="3"/>
    <n v="4"/>
    <n v="1912.45"/>
    <n v="0"/>
    <s v="OK"/>
    <n v="7649.8"/>
    <n v="4894.53"/>
    <n v="2755.27"/>
    <x v="1"/>
    <x v="1"/>
    <n v="0"/>
    <n v="7649.8"/>
    <n v="2755.2700000000004"/>
    <n v="36.017542942299151"/>
    <x v="7"/>
    <x v="1"/>
    <s v="CLEAN"/>
  </r>
  <r>
    <x v="683"/>
    <d v="2025-04-28T00:00:00"/>
    <d v="2025-05-01T00:00:00"/>
    <n v="3"/>
    <s v="OK"/>
    <s v="CUST-2597"/>
    <s v="Aarav Sharma"/>
    <x v="1"/>
    <x v="3"/>
    <s v="Goa"/>
    <s v="Panaji"/>
    <x v="0"/>
    <x v="7"/>
    <s v="Classic Storage 211"/>
    <x v="1"/>
    <n v="1"/>
    <n v="1620.87"/>
    <n v="0"/>
    <s v="OK"/>
    <n v="1620.87"/>
    <n v="1103.6099999999999"/>
    <n v="517.26"/>
    <x v="0"/>
    <x v="0"/>
    <n v="0"/>
    <n v="1620.87"/>
    <n v="517.26"/>
    <n v="31.912491439782343"/>
    <x v="9"/>
    <x v="1"/>
    <s v="CLEAN"/>
  </r>
  <r>
    <x v="684"/>
    <d v="2025-01-18T00:00:00"/>
    <d v="2025-01-25T00:00:00"/>
    <n v="7"/>
    <s v="OK"/>
    <s v="CUST-7505"/>
    <s v="Neha Gupta"/>
    <x v="3"/>
    <x v="2"/>
    <s v="Karnataka"/>
    <s v="Bengaluru"/>
    <x v="0"/>
    <x v="7"/>
    <s v="Eco Storage 783"/>
    <x v="1"/>
    <n v="2"/>
    <n v="2098.54"/>
    <n v="0.15"/>
    <s v="OK"/>
    <n v="3567.52"/>
    <n v="2411.8000000000002"/>
    <n v="1155.72"/>
    <x v="0"/>
    <x v="0"/>
    <n v="0.15"/>
    <n v="3567.518"/>
    <n v="1155.7179999999998"/>
    <n v="32.395575859743381"/>
    <x v="6"/>
    <x v="1"/>
    <s v="CLEAN"/>
  </r>
  <r>
    <x v="685"/>
    <d v="2025-03-10T00:00:00"/>
    <d v="2025-03-11T00:00:00"/>
    <n v="1"/>
    <s v="OK"/>
    <s v="CUST-8467"/>
    <s v="Aditi Sen"/>
    <x v="3"/>
    <x v="3"/>
    <s v="Madhya Pradesh"/>
    <s v="Indore"/>
    <x v="0"/>
    <x v="7"/>
    <s v="Prime Storage 806"/>
    <x v="2"/>
    <n v="2"/>
    <n v="3922.08"/>
    <n v="0.25"/>
    <s v="OK"/>
    <n v="5883.12"/>
    <n v="4647.91"/>
    <n v="1235.21"/>
    <x v="0"/>
    <x v="1"/>
    <n v="0.25"/>
    <n v="5883.12"/>
    <n v="1235.21"/>
    <n v="20.995832143488492"/>
    <x v="11"/>
    <x v="1"/>
    <s v="CLEAN"/>
  </r>
  <r>
    <x v="686"/>
    <d v="2025-04-12T00:00:00"/>
    <d v="2025-04-18T00:00:00"/>
    <n v="6"/>
    <s v="OK"/>
    <s v="CUST-5087"/>
    <s v="Isha Nair"/>
    <x v="1"/>
    <x v="1"/>
    <s v="Jharkhand"/>
    <s v="Ranchi"/>
    <x v="2"/>
    <x v="6"/>
    <s v="Elite Copiers 221"/>
    <x v="1"/>
    <n v="1"/>
    <n v="726.89"/>
    <n v="0.2"/>
    <s v="OK"/>
    <n v="581.51"/>
    <n v="423.86"/>
    <n v="157.65"/>
    <x v="0"/>
    <x v="0"/>
    <n v="0.2"/>
    <n v="581.51200000000006"/>
    <n v="157.65200000000004"/>
    <n v="27.110704508247469"/>
    <x v="9"/>
    <x v="1"/>
    <s v="CLEAN"/>
  </r>
  <r>
    <x v="687"/>
    <d v="2025-04-29T00:00:00"/>
    <d v="2025-05-03T00:00:00"/>
    <n v="4"/>
    <s v="OK"/>
    <s v="CUST-2897"/>
    <s v="Rohan Mehta"/>
    <x v="2"/>
    <x v="0"/>
    <s v="Haryana"/>
    <s v="Gurugram"/>
    <x v="0"/>
    <x v="0"/>
    <s v="Eco Paper 747"/>
    <x v="2"/>
    <n v="4"/>
    <n v="1786.65"/>
    <n v="0.05"/>
    <s v="OK"/>
    <n v="6789.27"/>
    <n v="5626.43"/>
    <n v="1162.8399999999999"/>
    <x v="0"/>
    <x v="0"/>
    <n v="0.05"/>
    <n v="6789.27"/>
    <n v="1162.8400000000001"/>
    <n v="17.127614603631908"/>
    <x v="9"/>
    <x v="1"/>
    <s v="CLE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99F46D-778C-4A71-B5B9-F960E9A8664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/>
  <pivotFields count="31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1"/>
        <item x="0"/>
        <item x="2"/>
        <item x="4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1">
    <field x="8"/>
  </rowFields>
  <rowItems count="7">
    <i>
      <x v="2"/>
    </i>
    <i>
      <x/>
    </i>
    <i>
      <x v="4"/>
    </i>
    <i>
      <x v="1"/>
    </i>
    <i>
      <x v="3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profit" fld="26" baseField="0" baseItem="0"/>
    <dataField name="Sum of Calculated_sales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F55DE8-F7BB-48E6-8B75-44C48A01A715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0" firstDataRow="1" firstDataCol="1"/>
  <pivotFields count="31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 sortType="descending">
      <items count="14">
        <item x="4"/>
        <item x="2"/>
        <item x="11"/>
        <item x="9"/>
        <item x="10"/>
        <item x="6"/>
        <item x="3"/>
        <item x="5"/>
        <item x="12"/>
        <item x="0"/>
        <item x="8"/>
        <item x="7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2">
    <field x="11"/>
    <field x="12"/>
  </rowFields>
  <rowItems count="17">
    <i>
      <x/>
    </i>
    <i r="1">
      <x v="4"/>
    </i>
    <i r="1">
      <x v="6"/>
    </i>
    <i r="1">
      <x v="3"/>
    </i>
    <i r="1">
      <x v="12"/>
    </i>
    <i>
      <x v="1"/>
    </i>
    <i r="1">
      <x v="11"/>
    </i>
    <i r="1">
      <x v="9"/>
    </i>
    <i r="1">
      <x v="2"/>
    </i>
    <i r="1">
      <x v="1"/>
    </i>
    <i r="1">
      <x v="7"/>
    </i>
    <i>
      <x v="2"/>
    </i>
    <i r="1">
      <x v="5"/>
    </i>
    <i r="1">
      <x v="10"/>
    </i>
    <i r="1">
      <x/>
    </i>
    <i r="1"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profit" fld="26" baseField="0" baseItem="0"/>
    <dataField name="Sum of Calculated_sales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F71B56-8971-4428-BC5B-A051DDD498CD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31">
    <pivotField dataField="1" showAll="0">
      <items count="6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BC2769-DEAF-4F3B-843D-7ECB9CE97FDE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1">
    <pivotField showAll="0"/>
    <pivotField numFmtId="14" showAll="0"/>
    <pivotField numFmtId="14"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_margin" fld="2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25AD3-2DA0-49A7-A8B1-7B9CB4A8A8B3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G12" firstHeaderRow="1" firstDataRow="3" firstDataCol="1"/>
  <pivotFields count="31">
    <pivotField dataField="1" showAll="0">
      <items count="6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2"/>
    <field x="23"/>
  </colFields>
  <colItems count="6">
    <i>
      <x/>
      <x/>
    </i>
    <i r="1">
      <x v="1"/>
    </i>
    <i t="default">
      <x/>
    </i>
    <i>
      <x v="1"/>
      <x v="1"/>
    </i>
    <i t="default">
      <x v="1"/>
    </i>
    <i t="grand">
      <x/>
    </i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20478E-AE82-4F11-9F18-A084302D9A9A}" name="PivotTable6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7" firstHeaderRow="1" firstDataRow="2" firstDataCol="1"/>
  <pivotFields count="31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sortType="ascending">
      <items count="13">
        <item x="6"/>
        <item x="7"/>
        <item x="11"/>
        <item x="9"/>
        <item x="4"/>
        <item x="2"/>
        <item x="0"/>
        <item x="1"/>
        <item x="10"/>
        <item x="8"/>
        <item x="3"/>
        <item x="5"/>
        <item t="default"/>
      </items>
    </pivotField>
    <pivotField axis="axisCol" showAll="0">
      <items count="3">
        <item x="0"/>
        <item x="1"/>
        <item t="default"/>
      </items>
    </pivotField>
    <pivotField showAll="0"/>
  </pivotFields>
  <rowFields count="1">
    <field x="2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9"/>
  </colFields>
  <colItems count="3">
    <i>
      <x/>
    </i>
    <i>
      <x v="1"/>
    </i>
    <i t="grand">
      <x/>
    </i>
  </colItems>
  <dataFields count="1">
    <dataField name="Sum of Calculated_sales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4E662-AA96-414F-B0F0-3EB21B88580A}">
  <dimension ref="A1:Y933"/>
  <sheetViews>
    <sheetView workbookViewId="0">
      <selection activeCell="X913" sqref="X913"/>
    </sheetView>
  </sheetViews>
  <sheetFormatPr defaultColWidth="23.6640625" defaultRowHeight="14.4"/>
  <cols>
    <col min="2" max="3" width="23.6640625" style="2"/>
    <col min="4" max="4" width="23.6640625" style="7"/>
    <col min="5" max="5" width="23.6640625" style="5"/>
  </cols>
  <sheetData>
    <row r="1" spans="1:25">
      <c r="A1" s="1" t="s">
        <v>0</v>
      </c>
      <c r="B1" s="3" t="s">
        <v>1</v>
      </c>
      <c r="C1" s="3" t="s">
        <v>2</v>
      </c>
      <c r="D1" s="6" t="s">
        <v>2763</v>
      </c>
      <c r="E1" s="4" t="s">
        <v>2764</v>
      </c>
      <c r="F1" s="1" t="s">
        <v>3</v>
      </c>
      <c r="G1" s="1" t="s">
        <v>2761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2765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</row>
    <row r="2" spans="1:25">
      <c r="A2" t="s">
        <v>20</v>
      </c>
      <c r="B2" s="2">
        <v>45494</v>
      </c>
      <c r="C2" s="2">
        <v>45500</v>
      </c>
      <c r="D2" s="5">
        <f>C2-B2</f>
        <v>6</v>
      </c>
      <c r="E2" s="5" t="str">
        <f>IF(D2&lt;0,"INVALID","OK")</f>
        <v>OK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>
        <v>8</v>
      </c>
      <c r="Q2">
        <v>2976.45</v>
      </c>
      <c r="R2">
        <v>0.2</v>
      </c>
      <c r="S2" t="str">
        <f>IF(R2&lt;0,"INVALID",IF(R2&gt;0.5,"INVALID","OK"))</f>
        <v>OK</v>
      </c>
      <c r="T2">
        <v>19049.28</v>
      </c>
      <c r="U2">
        <v>15841.89</v>
      </c>
      <c r="V2">
        <v>3207.39</v>
      </c>
      <c r="W2" t="s">
        <v>31</v>
      </c>
      <c r="X2" t="s">
        <v>32</v>
      </c>
      <c r="Y2">
        <f>COUNTIF(W2:W913,"Refunded")</f>
        <v>71</v>
      </c>
    </row>
    <row r="3" spans="1:25">
      <c r="A3" t="s">
        <v>33</v>
      </c>
      <c r="B3" s="2">
        <v>45535</v>
      </c>
      <c r="C3" s="2">
        <v>45540</v>
      </c>
      <c r="D3" s="5">
        <f>C3-B3</f>
        <v>5</v>
      </c>
      <c r="E3" s="5" t="str">
        <f>IF(D3&lt;0,"INVALID","OK")</f>
        <v>OK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>
        <v>3</v>
      </c>
      <c r="Q3">
        <v>2437.5</v>
      </c>
      <c r="R3">
        <v>0</v>
      </c>
      <c r="S3" t="str">
        <f t="shared" ref="S3:S66" si="0">IF(R3&lt;0,"INVALID",IF(R3&gt;0.5,"INVALID","OK"))</f>
        <v>OK</v>
      </c>
      <c r="T3">
        <v>7312.5</v>
      </c>
      <c r="U3">
        <v>4904.7299999999996</v>
      </c>
      <c r="V3">
        <v>2407.77</v>
      </c>
      <c r="W3" t="s">
        <v>31</v>
      </c>
      <c r="X3" t="s">
        <v>32</v>
      </c>
    </row>
    <row r="4" spans="1:25">
      <c r="A4" t="s">
        <v>44</v>
      </c>
      <c r="B4" s="2">
        <v>45451</v>
      </c>
      <c r="C4" s="2">
        <v>45458</v>
      </c>
      <c r="D4" s="5">
        <f>C4-B4</f>
        <v>7</v>
      </c>
      <c r="E4" s="5" t="str">
        <f>IF(D4&lt;0,"INVALID","OK")</f>
        <v>OK</v>
      </c>
      <c r="F4" t="s">
        <v>45</v>
      </c>
      <c r="G4" t="s">
        <v>46</v>
      </c>
      <c r="H4" t="s">
        <v>23</v>
      </c>
      <c r="I4" t="s">
        <v>37</v>
      </c>
      <c r="J4" t="s">
        <v>38</v>
      </c>
      <c r="K4" t="s">
        <v>39</v>
      </c>
      <c r="L4" t="s">
        <v>27</v>
      </c>
      <c r="M4" t="s">
        <v>47</v>
      </c>
      <c r="N4" t="s">
        <v>48</v>
      </c>
      <c r="O4" t="s">
        <v>49</v>
      </c>
      <c r="P4">
        <v>4</v>
      </c>
      <c r="Q4">
        <v>1065.43</v>
      </c>
      <c r="R4">
        <v>0.55000000000000004</v>
      </c>
      <c r="S4" t="str">
        <f t="shared" si="0"/>
        <v>INVALID</v>
      </c>
      <c r="T4">
        <v>4261.72</v>
      </c>
      <c r="U4">
        <v>2465.69</v>
      </c>
      <c r="V4">
        <v>1796.03</v>
      </c>
      <c r="W4" t="s">
        <v>31</v>
      </c>
      <c r="X4" t="s">
        <v>32</v>
      </c>
    </row>
    <row r="5" spans="1:25">
      <c r="A5" t="s">
        <v>50</v>
      </c>
      <c r="B5" s="2">
        <v>45624</v>
      </c>
      <c r="C5" s="2">
        <v>45625</v>
      </c>
      <c r="D5" s="5">
        <f>C5-B5</f>
        <v>1</v>
      </c>
      <c r="E5" s="5" t="str">
        <f>IF(D5&lt;0,"INVALID","OK")</f>
        <v>OK</v>
      </c>
      <c r="F5" t="s">
        <v>51</v>
      </c>
      <c r="G5" t="s">
        <v>52</v>
      </c>
      <c r="H5" t="s">
        <v>36</v>
      </c>
      <c r="I5" t="s">
        <v>53</v>
      </c>
      <c r="J5" t="s">
        <v>54</v>
      </c>
      <c r="K5" t="s">
        <v>55</v>
      </c>
      <c r="L5" t="s">
        <v>40</v>
      </c>
      <c r="M5" t="s">
        <v>56</v>
      </c>
      <c r="N5" t="s">
        <v>57</v>
      </c>
      <c r="O5" t="s">
        <v>58</v>
      </c>
      <c r="P5">
        <v>6</v>
      </c>
      <c r="Q5">
        <v>1848.43</v>
      </c>
      <c r="R5">
        <v>0.25</v>
      </c>
      <c r="S5" t="str">
        <f t="shared" si="0"/>
        <v>OK</v>
      </c>
      <c r="T5">
        <v>8317.93</v>
      </c>
      <c r="U5">
        <v>6796.77</v>
      </c>
      <c r="V5">
        <v>1521.16</v>
      </c>
      <c r="W5" t="s">
        <v>31</v>
      </c>
      <c r="X5" t="s">
        <v>32</v>
      </c>
    </row>
    <row r="6" spans="1:25">
      <c r="A6" t="s">
        <v>68</v>
      </c>
      <c r="B6" s="2">
        <v>45436</v>
      </c>
      <c r="C6" s="2">
        <v>45440</v>
      </c>
      <c r="D6" s="5">
        <f>C6-B6</f>
        <v>4</v>
      </c>
      <c r="E6" s="5" t="str">
        <f>IF(D6&lt;0,"INVALID","OK")</f>
        <v>OK</v>
      </c>
      <c r="F6" t="s">
        <v>69</v>
      </c>
      <c r="G6" t="s">
        <v>70</v>
      </c>
      <c r="H6" t="s">
        <v>36</v>
      </c>
      <c r="I6" t="s">
        <v>62</v>
      </c>
      <c r="J6" t="s">
        <v>71</v>
      </c>
      <c r="K6" t="s">
        <v>72</v>
      </c>
      <c r="L6" t="s">
        <v>73</v>
      </c>
      <c r="M6" t="s">
        <v>74</v>
      </c>
      <c r="N6" t="s">
        <v>75</v>
      </c>
      <c r="O6" t="s">
        <v>43</v>
      </c>
      <c r="P6">
        <v>3</v>
      </c>
      <c r="Q6">
        <v>1053.1099999999999</v>
      </c>
      <c r="R6">
        <v>0.2</v>
      </c>
      <c r="S6" t="str">
        <f t="shared" si="0"/>
        <v>OK</v>
      </c>
      <c r="T6">
        <v>2527.46</v>
      </c>
      <c r="U6">
        <v>1533.58</v>
      </c>
      <c r="V6">
        <v>993.88</v>
      </c>
      <c r="W6" t="s">
        <v>31</v>
      </c>
      <c r="X6" t="s">
        <v>32</v>
      </c>
    </row>
    <row r="7" spans="1:25">
      <c r="A7" t="s">
        <v>86</v>
      </c>
      <c r="B7" s="2">
        <v>45601</v>
      </c>
      <c r="C7" s="2">
        <v>45606</v>
      </c>
      <c r="D7" s="5">
        <f>C7-B7</f>
        <v>5</v>
      </c>
      <c r="E7" s="5" t="str">
        <f>IF(D7&lt;0,"INVALID","OK")</f>
        <v>OK</v>
      </c>
      <c r="F7" t="s">
        <v>87</v>
      </c>
      <c r="G7" t="s">
        <v>88</v>
      </c>
      <c r="H7" t="s">
        <v>89</v>
      </c>
      <c r="I7" t="s">
        <v>53</v>
      </c>
      <c r="J7" t="s">
        <v>54</v>
      </c>
      <c r="K7" t="s">
        <v>55</v>
      </c>
      <c r="L7" t="s">
        <v>27</v>
      </c>
      <c r="M7" t="s">
        <v>90</v>
      </c>
      <c r="N7" t="s">
        <v>91</v>
      </c>
      <c r="O7" t="s">
        <v>49</v>
      </c>
      <c r="P7">
        <v>8</v>
      </c>
      <c r="Q7">
        <v>3134.2</v>
      </c>
      <c r="R7">
        <v>0</v>
      </c>
      <c r="S7" t="str">
        <f t="shared" si="0"/>
        <v>OK</v>
      </c>
      <c r="T7">
        <v>25073.599999999999</v>
      </c>
      <c r="U7">
        <v>17347.23</v>
      </c>
      <c r="V7">
        <v>7726.37</v>
      </c>
      <c r="W7" t="s">
        <v>31</v>
      </c>
      <c r="X7" t="s">
        <v>32</v>
      </c>
    </row>
    <row r="8" spans="1:25">
      <c r="A8" t="s">
        <v>103</v>
      </c>
      <c r="B8" s="2">
        <v>45495</v>
      </c>
      <c r="C8" s="2">
        <v>45496</v>
      </c>
      <c r="D8" s="5">
        <f>C8-B8</f>
        <v>1</v>
      </c>
      <c r="E8" s="5" t="str">
        <f>IF(D8&lt;0,"INVALID","OK")</f>
        <v>OK</v>
      </c>
      <c r="F8" t="s">
        <v>104</v>
      </c>
      <c r="G8" t="s">
        <v>70</v>
      </c>
      <c r="H8" t="s">
        <v>36</v>
      </c>
      <c r="I8" t="s">
        <v>37</v>
      </c>
      <c r="J8" t="s">
        <v>38</v>
      </c>
      <c r="K8" t="s">
        <v>39</v>
      </c>
      <c r="L8" t="s">
        <v>73</v>
      </c>
      <c r="M8" t="s">
        <v>74</v>
      </c>
      <c r="N8" t="s">
        <v>105</v>
      </c>
      <c r="O8" t="s">
        <v>43</v>
      </c>
      <c r="P8">
        <v>6</v>
      </c>
      <c r="Q8">
        <v>2005.95</v>
      </c>
      <c r="R8">
        <v>0.2</v>
      </c>
      <c r="S8" t="str">
        <f t="shared" si="0"/>
        <v>OK</v>
      </c>
      <c r="T8">
        <v>9628.56</v>
      </c>
      <c r="U8">
        <v>8038.59</v>
      </c>
      <c r="V8">
        <v>1589.97</v>
      </c>
      <c r="W8" t="s">
        <v>31</v>
      </c>
      <c r="X8" t="s">
        <v>32</v>
      </c>
    </row>
    <row r="9" spans="1:25">
      <c r="A9" t="s">
        <v>106</v>
      </c>
      <c r="B9" s="2">
        <v>45646</v>
      </c>
      <c r="C9" s="2">
        <v>45647</v>
      </c>
      <c r="D9" s="5">
        <f>C9-B9</f>
        <v>1</v>
      </c>
      <c r="E9" s="5" t="str">
        <f>IF(D9&lt;0,"INVALID","OK")</f>
        <v>OK</v>
      </c>
      <c r="F9" t="s">
        <v>107</v>
      </c>
      <c r="G9" t="s">
        <v>61</v>
      </c>
      <c r="H9" t="s">
        <v>89</v>
      </c>
      <c r="I9" t="s">
        <v>62</v>
      </c>
      <c r="J9" t="s">
        <v>25</v>
      </c>
      <c r="K9" t="s">
        <v>108</v>
      </c>
      <c r="L9" t="s">
        <v>27</v>
      </c>
      <c r="M9" t="s">
        <v>28</v>
      </c>
      <c r="N9" t="s">
        <v>109</v>
      </c>
      <c r="O9" t="s">
        <v>49</v>
      </c>
      <c r="P9">
        <v>1</v>
      </c>
      <c r="Q9">
        <v>702.14</v>
      </c>
      <c r="R9">
        <v>0.15</v>
      </c>
      <c r="S9" t="str">
        <f t="shared" si="0"/>
        <v>OK</v>
      </c>
      <c r="T9">
        <v>596.82000000000005</v>
      </c>
      <c r="U9">
        <v>380.25</v>
      </c>
      <c r="V9">
        <v>216.57</v>
      </c>
      <c r="W9" t="s">
        <v>110</v>
      </c>
      <c r="X9" t="s">
        <v>102</v>
      </c>
    </row>
    <row r="10" spans="1:25">
      <c r="A10" t="s">
        <v>115</v>
      </c>
      <c r="B10" s="2">
        <v>45653</v>
      </c>
      <c r="C10" s="2">
        <v>45654</v>
      </c>
      <c r="D10" s="5">
        <f>C10-B10</f>
        <v>1</v>
      </c>
      <c r="E10" s="5" t="str">
        <f>IF(D10&lt;0,"INVALID","OK")</f>
        <v>OK</v>
      </c>
      <c r="F10" t="s">
        <v>116</v>
      </c>
      <c r="G10" t="s">
        <v>117</v>
      </c>
      <c r="H10" t="s">
        <v>23</v>
      </c>
      <c r="I10" t="s">
        <v>62</v>
      </c>
      <c r="J10" t="s">
        <v>25</v>
      </c>
      <c r="K10" t="s">
        <v>108</v>
      </c>
      <c r="L10" t="s">
        <v>73</v>
      </c>
      <c r="M10" t="s">
        <v>79</v>
      </c>
      <c r="N10" t="s">
        <v>118</v>
      </c>
      <c r="O10" t="s">
        <v>58</v>
      </c>
      <c r="P10">
        <v>2</v>
      </c>
      <c r="Q10">
        <v>2737.83</v>
      </c>
      <c r="R10">
        <v>0.25</v>
      </c>
      <c r="S10" t="str">
        <f t="shared" si="0"/>
        <v>OK</v>
      </c>
      <c r="T10">
        <v>4106.74</v>
      </c>
      <c r="U10">
        <v>2666.3</v>
      </c>
      <c r="V10">
        <v>1440.44</v>
      </c>
      <c r="W10" t="s">
        <v>31</v>
      </c>
      <c r="X10" t="s">
        <v>32</v>
      </c>
    </row>
    <row r="11" spans="1:25">
      <c r="A11" t="s">
        <v>119</v>
      </c>
      <c r="B11" s="2">
        <v>45482</v>
      </c>
      <c r="C11" s="2">
        <v>45482</v>
      </c>
      <c r="D11" s="5">
        <f>C11-B11</f>
        <v>0</v>
      </c>
      <c r="E11" s="5" t="str">
        <f>IF(D11&lt;0,"INVALID","OK")</f>
        <v>OK</v>
      </c>
      <c r="F11" t="s">
        <v>120</v>
      </c>
      <c r="G11" t="s">
        <v>22</v>
      </c>
      <c r="H11" t="s">
        <v>36</v>
      </c>
      <c r="I11" t="s">
        <v>24</v>
      </c>
      <c r="J11" t="s">
        <v>121</v>
      </c>
      <c r="K11" t="s">
        <v>122</v>
      </c>
      <c r="L11" t="s">
        <v>27</v>
      </c>
      <c r="M11" t="s">
        <v>123</v>
      </c>
      <c r="N11" t="s">
        <v>124</v>
      </c>
      <c r="O11" t="s">
        <v>30</v>
      </c>
      <c r="P11">
        <v>6</v>
      </c>
      <c r="Q11">
        <v>3965.76</v>
      </c>
      <c r="R11">
        <v>0</v>
      </c>
      <c r="S11" t="str">
        <f t="shared" si="0"/>
        <v>OK</v>
      </c>
      <c r="T11">
        <v>23794.560000000001</v>
      </c>
      <c r="U11">
        <v>15698.47</v>
      </c>
      <c r="V11">
        <v>8096.09</v>
      </c>
      <c r="W11" t="s">
        <v>31</v>
      </c>
      <c r="X11" t="s">
        <v>32</v>
      </c>
    </row>
    <row r="12" spans="1:25">
      <c r="A12" t="s">
        <v>125</v>
      </c>
      <c r="B12" s="2">
        <v>45420</v>
      </c>
      <c r="C12" s="2">
        <v>45427</v>
      </c>
      <c r="D12" s="5">
        <f>C12-B12</f>
        <v>7</v>
      </c>
      <c r="E12" s="5" t="str">
        <f>IF(D12&lt;0,"INVALID","OK")</f>
        <v>OK</v>
      </c>
      <c r="F12" t="s">
        <v>126</v>
      </c>
      <c r="G12" t="s">
        <v>127</v>
      </c>
      <c r="H12" t="s">
        <v>23</v>
      </c>
      <c r="I12" t="s">
        <v>53</v>
      </c>
      <c r="J12" t="s">
        <v>54</v>
      </c>
      <c r="K12" t="s">
        <v>55</v>
      </c>
      <c r="L12" t="s">
        <v>27</v>
      </c>
      <c r="M12" t="s">
        <v>47</v>
      </c>
      <c r="N12" t="s">
        <v>128</v>
      </c>
      <c r="O12" t="s">
        <v>49</v>
      </c>
      <c r="P12">
        <v>4</v>
      </c>
      <c r="Q12">
        <v>3323.51</v>
      </c>
      <c r="R12">
        <v>0.25</v>
      </c>
      <c r="S12" t="str">
        <f t="shared" si="0"/>
        <v>OK</v>
      </c>
      <c r="T12">
        <v>9970.5300000000007</v>
      </c>
      <c r="U12">
        <v>5668.17</v>
      </c>
      <c r="V12">
        <v>4302.3599999999997</v>
      </c>
      <c r="W12" t="s">
        <v>31</v>
      </c>
      <c r="X12" t="s">
        <v>32</v>
      </c>
    </row>
    <row r="13" spans="1:25">
      <c r="A13" t="s">
        <v>129</v>
      </c>
      <c r="B13" s="2">
        <v>45298</v>
      </c>
      <c r="C13" s="2">
        <v>45299</v>
      </c>
      <c r="D13" s="5">
        <f>C13-B13</f>
        <v>1</v>
      </c>
      <c r="E13" s="5" t="str">
        <f>IF(D13&lt;0,"INVALID","OK")</f>
        <v>OK</v>
      </c>
      <c r="F13" t="s">
        <v>130</v>
      </c>
      <c r="G13" t="s">
        <v>131</v>
      </c>
      <c r="H13" t="s">
        <v>36</v>
      </c>
      <c r="I13" t="s">
        <v>24</v>
      </c>
      <c r="J13" t="s">
        <v>25</v>
      </c>
      <c r="K13" t="s">
        <v>26</v>
      </c>
      <c r="L13" t="s">
        <v>40</v>
      </c>
      <c r="M13" t="s">
        <v>56</v>
      </c>
      <c r="N13" t="s">
        <v>132</v>
      </c>
      <c r="O13" t="s">
        <v>43</v>
      </c>
      <c r="P13">
        <v>5</v>
      </c>
      <c r="Q13">
        <v>1526.78</v>
      </c>
      <c r="R13">
        <v>0</v>
      </c>
      <c r="S13" t="str">
        <f t="shared" si="0"/>
        <v>OK</v>
      </c>
      <c r="T13">
        <v>7633.9</v>
      </c>
      <c r="U13">
        <v>4706.91</v>
      </c>
      <c r="V13">
        <v>2926.99</v>
      </c>
      <c r="W13" t="s">
        <v>31</v>
      </c>
      <c r="X13" t="s">
        <v>32</v>
      </c>
    </row>
    <row r="14" spans="1:25">
      <c r="A14" t="s">
        <v>138</v>
      </c>
      <c r="B14" s="2">
        <v>45500</v>
      </c>
      <c r="C14" s="2">
        <v>45504</v>
      </c>
      <c r="D14" s="5">
        <f>C14-B14</f>
        <v>4</v>
      </c>
      <c r="E14" s="5" t="str">
        <f>IF(D14&lt;0,"INVALID","OK")</f>
        <v>OK</v>
      </c>
      <c r="F14" t="s">
        <v>139</v>
      </c>
      <c r="G14" t="s">
        <v>140</v>
      </c>
      <c r="H14" t="s">
        <v>94</v>
      </c>
      <c r="I14" t="s">
        <v>62</v>
      </c>
      <c r="J14" t="s">
        <v>71</v>
      </c>
      <c r="K14" t="s">
        <v>72</v>
      </c>
      <c r="L14" t="s">
        <v>27</v>
      </c>
      <c r="M14" t="s">
        <v>123</v>
      </c>
      <c r="N14" t="s">
        <v>141</v>
      </c>
      <c r="O14" t="s">
        <v>30</v>
      </c>
      <c r="P14">
        <v>3</v>
      </c>
      <c r="Q14">
        <v>3887.94</v>
      </c>
      <c r="R14">
        <v>-0.19</v>
      </c>
      <c r="S14" t="str">
        <f t="shared" si="0"/>
        <v>INVALID</v>
      </c>
      <c r="T14">
        <v>9331.06</v>
      </c>
      <c r="U14">
        <v>7529.31</v>
      </c>
      <c r="V14">
        <v>1801.75</v>
      </c>
      <c r="W14" t="s">
        <v>31</v>
      </c>
      <c r="X14" t="s">
        <v>32</v>
      </c>
    </row>
    <row r="15" spans="1:25">
      <c r="A15" t="s">
        <v>159</v>
      </c>
      <c r="B15" s="2">
        <v>45355</v>
      </c>
      <c r="C15" s="2">
        <v>45352</v>
      </c>
      <c r="D15" s="5">
        <f>C15-B15</f>
        <v>-3</v>
      </c>
      <c r="E15" s="5" t="str">
        <f>IF(D15&lt;0,"INVALID","OK")</f>
        <v>INVALID</v>
      </c>
      <c r="F15" t="s">
        <v>160</v>
      </c>
      <c r="G15" t="s">
        <v>161</v>
      </c>
      <c r="H15" t="s">
        <v>23</v>
      </c>
      <c r="I15" t="s">
        <v>24</v>
      </c>
      <c r="J15" t="s">
        <v>121</v>
      </c>
      <c r="K15" t="s">
        <v>122</v>
      </c>
      <c r="L15" t="s">
        <v>27</v>
      </c>
      <c r="M15" t="s">
        <v>47</v>
      </c>
      <c r="N15" t="s">
        <v>162</v>
      </c>
      <c r="O15" t="s">
        <v>58</v>
      </c>
      <c r="P15">
        <v>4</v>
      </c>
      <c r="Q15">
        <v>4492.9399999999996</v>
      </c>
      <c r="R15">
        <v>0.25</v>
      </c>
      <c r="S15" t="str">
        <f t="shared" si="0"/>
        <v>OK</v>
      </c>
      <c r="T15">
        <v>13478.82</v>
      </c>
      <c r="U15">
        <v>10937.35</v>
      </c>
      <c r="V15">
        <v>2541.4699999999998</v>
      </c>
      <c r="W15" t="s">
        <v>110</v>
      </c>
      <c r="X15" t="s">
        <v>67</v>
      </c>
    </row>
    <row r="16" spans="1:25">
      <c r="A16" t="s">
        <v>163</v>
      </c>
      <c r="B16" s="2">
        <v>45606</v>
      </c>
      <c r="C16" s="2">
        <v>45584</v>
      </c>
      <c r="D16" s="5">
        <f>C16-B16</f>
        <v>-22</v>
      </c>
      <c r="E16" s="5" t="str">
        <f>IF(D16&lt;0,"INVALID","OK")</f>
        <v>INVALID</v>
      </c>
      <c r="F16" t="s">
        <v>164</v>
      </c>
      <c r="G16" t="s">
        <v>52</v>
      </c>
      <c r="H16" t="s">
        <v>89</v>
      </c>
      <c r="I16" t="s">
        <v>37</v>
      </c>
      <c r="J16" t="s">
        <v>165</v>
      </c>
      <c r="K16" t="s">
        <v>166</v>
      </c>
      <c r="L16" t="s">
        <v>73</v>
      </c>
      <c r="M16" t="s">
        <v>74</v>
      </c>
      <c r="N16" t="s">
        <v>167</v>
      </c>
      <c r="O16" t="s">
        <v>49</v>
      </c>
      <c r="P16">
        <v>2</v>
      </c>
      <c r="Q16">
        <v>4315.2</v>
      </c>
      <c r="R16">
        <v>0.15</v>
      </c>
      <c r="S16" t="str">
        <f t="shared" si="0"/>
        <v>OK</v>
      </c>
      <c r="T16">
        <v>7335.84</v>
      </c>
      <c r="U16">
        <v>4968.41</v>
      </c>
      <c r="V16">
        <v>2367.4299999999998</v>
      </c>
      <c r="W16" t="s">
        <v>31</v>
      </c>
      <c r="X16" t="s">
        <v>32</v>
      </c>
    </row>
    <row r="17" spans="1:24">
      <c r="A17" t="s">
        <v>168</v>
      </c>
      <c r="B17" s="2">
        <v>45619</v>
      </c>
      <c r="C17" s="2">
        <v>45619</v>
      </c>
      <c r="D17" s="5">
        <f>C17-B17</f>
        <v>0</v>
      </c>
      <c r="E17" s="5" t="str">
        <f>IF(D17&lt;0,"INVALID","OK")</f>
        <v>OK</v>
      </c>
      <c r="F17" t="s">
        <v>169</v>
      </c>
      <c r="G17" t="s">
        <v>161</v>
      </c>
      <c r="H17" t="s">
        <v>89</v>
      </c>
      <c r="I17" t="s">
        <v>24</v>
      </c>
      <c r="J17" t="s">
        <v>135</v>
      </c>
      <c r="K17" t="s">
        <v>136</v>
      </c>
      <c r="L17" t="s">
        <v>73</v>
      </c>
      <c r="M17" t="s">
        <v>170</v>
      </c>
      <c r="N17" t="s">
        <v>171</v>
      </c>
      <c r="O17" t="s">
        <v>58</v>
      </c>
      <c r="P17">
        <v>4</v>
      </c>
      <c r="Q17">
        <v>716.13</v>
      </c>
      <c r="R17">
        <v>0.1</v>
      </c>
      <c r="S17" t="str">
        <f t="shared" si="0"/>
        <v>OK</v>
      </c>
      <c r="T17">
        <v>2578.0700000000002</v>
      </c>
      <c r="U17">
        <v>1527.55</v>
      </c>
      <c r="V17">
        <v>1050.52</v>
      </c>
      <c r="W17" t="s">
        <v>31</v>
      </c>
      <c r="X17" t="s">
        <v>102</v>
      </c>
    </row>
    <row r="18" spans="1:24">
      <c r="A18" t="s">
        <v>177</v>
      </c>
      <c r="B18" s="2">
        <v>45606</v>
      </c>
      <c r="C18" s="2">
        <v>45583</v>
      </c>
      <c r="D18" s="5">
        <f>C18-B18</f>
        <v>-23</v>
      </c>
      <c r="E18" s="5" t="str">
        <f>IF(D18&lt;0,"INVALID","OK")</f>
        <v>INVALID</v>
      </c>
      <c r="F18" t="s">
        <v>178</v>
      </c>
      <c r="G18" t="s">
        <v>61</v>
      </c>
      <c r="H18" t="s">
        <v>94</v>
      </c>
      <c r="I18" t="s">
        <v>62</v>
      </c>
      <c r="J18" t="s">
        <v>179</v>
      </c>
      <c r="K18" t="s">
        <v>180</v>
      </c>
      <c r="L18" t="s">
        <v>73</v>
      </c>
      <c r="M18" t="s">
        <v>170</v>
      </c>
      <c r="N18" t="s">
        <v>181</v>
      </c>
      <c r="O18" t="s">
        <v>30</v>
      </c>
      <c r="P18">
        <v>2</v>
      </c>
      <c r="Q18">
        <v>1942.22</v>
      </c>
      <c r="R18">
        <v>0.25</v>
      </c>
      <c r="S18" t="str">
        <f t="shared" si="0"/>
        <v>OK</v>
      </c>
      <c r="T18">
        <v>2913.33</v>
      </c>
      <c r="U18">
        <v>2122.33</v>
      </c>
      <c r="V18">
        <v>791</v>
      </c>
      <c r="W18" t="s">
        <v>101</v>
      </c>
      <c r="X18" t="s">
        <v>67</v>
      </c>
    </row>
    <row r="19" spans="1:24">
      <c r="A19" t="s">
        <v>187</v>
      </c>
      <c r="B19" s="2">
        <v>45331</v>
      </c>
      <c r="C19" s="2">
        <v>45334</v>
      </c>
      <c r="D19" s="5">
        <f>C19-B19</f>
        <v>3</v>
      </c>
      <c r="E19" s="5" t="str">
        <f>IF(D19&lt;0,"INVALID","OK")</f>
        <v>OK</v>
      </c>
      <c r="F19" t="s">
        <v>188</v>
      </c>
      <c r="G19" t="s">
        <v>61</v>
      </c>
      <c r="H19" t="s">
        <v>89</v>
      </c>
      <c r="I19" t="s">
        <v>62</v>
      </c>
      <c r="J19" t="s">
        <v>189</v>
      </c>
      <c r="K19" t="s">
        <v>190</v>
      </c>
      <c r="L19" t="s">
        <v>27</v>
      </c>
      <c r="M19" t="s">
        <v>90</v>
      </c>
      <c r="N19" t="s">
        <v>191</v>
      </c>
      <c r="O19" t="s">
        <v>49</v>
      </c>
      <c r="P19">
        <v>1</v>
      </c>
      <c r="Q19">
        <v>3421.77</v>
      </c>
      <c r="R19">
        <v>0.1</v>
      </c>
      <c r="S19" t="str">
        <f t="shared" si="0"/>
        <v>OK</v>
      </c>
      <c r="T19">
        <v>3079.59</v>
      </c>
      <c r="U19">
        <v>2001.89</v>
      </c>
      <c r="V19">
        <v>1077.7</v>
      </c>
      <c r="W19" t="s">
        <v>31</v>
      </c>
      <c r="X19" t="s">
        <v>32</v>
      </c>
    </row>
    <row r="20" spans="1:24">
      <c r="A20" t="s">
        <v>195</v>
      </c>
      <c r="B20" s="2">
        <v>45618</v>
      </c>
      <c r="C20" s="2">
        <v>45622</v>
      </c>
      <c r="D20" s="5">
        <f>C20-B20</f>
        <v>4</v>
      </c>
      <c r="E20" s="5" t="str">
        <f>IF(D20&lt;0,"INVALID","OK")</f>
        <v>OK</v>
      </c>
      <c r="F20" t="s">
        <v>196</v>
      </c>
      <c r="G20" t="s">
        <v>127</v>
      </c>
      <c r="H20" t="s">
        <v>89</v>
      </c>
      <c r="I20" t="s">
        <v>53</v>
      </c>
      <c r="J20" t="s">
        <v>83</v>
      </c>
      <c r="K20" t="s">
        <v>84</v>
      </c>
      <c r="L20" t="s">
        <v>73</v>
      </c>
      <c r="M20" t="s">
        <v>170</v>
      </c>
      <c r="N20" t="s">
        <v>197</v>
      </c>
      <c r="O20" t="s">
        <v>30</v>
      </c>
      <c r="P20">
        <v>3</v>
      </c>
      <c r="Q20">
        <v>4001.25</v>
      </c>
      <c r="R20">
        <v>0</v>
      </c>
      <c r="S20" t="str">
        <f t="shared" si="0"/>
        <v>OK</v>
      </c>
      <c r="T20">
        <v>9002.81</v>
      </c>
      <c r="U20">
        <v>7529.92</v>
      </c>
      <c r="V20">
        <v>1472.89</v>
      </c>
      <c r="W20" t="s">
        <v>31</v>
      </c>
      <c r="X20" t="s">
        <v>32</v>
      </c>
    </row>
    <row r="21" spans="1:24">
      <c r="A21" t="s">
        <v>198</v>
      </c>
      <c r="B21" s="2">
        <v>45495</v>
      </c>
      <c r="C21" s="2">
        <v>45500</v>
      </c>
      <c r="D21" s="5">
        <f>C21-B21</f>
        <v>5</v>
      </c>
      <c r="E21" s="5" t="str">
        <f>IF(D21&lt;0,"INVALID","OK")</f>
        <v>OK</v>
      </c>
      <c r="F21" t="s">
        <v>199</v>
      </c>
      <c r="G21" t="s">
        <v>113</v>
      </c>
      <c r="H21" t="s">
        <v>94</v>
      </c>
      <c r="I21" t="s">
        <v>62</v>
      </c>
      <c r="J21" t="s">
        <v>189</v>
      </c>
      <c r="K21" t="s">
        <v>190</v>
      </c>
      <c r="L21" t="s">
        <v>40</v>
      </c>
      <c r="M21" t="s">
        <v>41</v>
      </c>
      <c r="N21" t="s">
        <v>200</v>
      </c>
      <c r="O21" t="s">
        <v>43</v>
      </c>
      <c r="P21">
        <v>7</v>
      </c>
      <c r="Q21">
        <v>492.41</v>
      </c>
      <c r="R21">
        <v>0.25</v>
      </c>
      <c r="S21" t="str">
        <f t="shared" si="0"/>
        <v>OK</v>
      </c>
      <c r="T21">
        <v>2585.15</v>
      </c>
      <c r="U21">
        <v>2070.73</v>
      </c>
      <c r="V21">
        <v>514.41999999999996</v>
      </c>
      <c r="W21" t="s">
        <v>31</v>
      </c>
      <c r="X21" t="s">
        <v>32</v>
      </c>
    </row>
    <row r="22" spans="1:24">
      <c r="A22" t="s">
        <v>204</v>
      </c>
      <c r="B22" s="2">
        <v>45441</v>
      </c>
      <c r="C22" s="2">
        <v>45441</v>
      </c>
      <c r="D22" s="5">
        <f>C22-B22</f>
        <v>0</v>
      </c>
      <c r="E22" s="5" t="str">
        <f>IF(D22&lt;0,"INVALID","OK")</f>
        <v>OK</v>
      </c>
      <c r="F22" t="s">
        <v>205</v>
      </c>
      <c r="G22" t="s">
        <v>131</v>
      </c>
      <c r="H22" t="s">
        <v>36</v>
      </c>
      <c r="I22" t="s">
        <v>62</v>
      </c>
      <c r="J22" t="s">
        <v>179</v>
      </c>
      <c r="K22" t="s">
        <v>180</v>
      </c>
      <c r="L22" t="s">
        <v>40</v>
      </c>
      <c r="M22" t="s">
        <v>157</v>
      </c>
      <c r="N22" t="s">
        <v>206</v>
      </c>
      <c r="O22" t="s">
        <v>30</v>
      </c>
      <c r="P22">
        <v>8</v>
      </c>
      <c r="Q22">
        <v>2507.12</v>
      </c>
      <c r="R22">
        <v>0.05</v>
      </c>
      <c r="S22" t="str">
        <f t="shared" si="0"/>
        <v>OK</v>
      </c>
      <c r="T22">
        <v>19054.11</v>
      </c>
      <c r="U22">
        <v>15313.83</v>
      </c>
      <c r="V22">
        <v>3740.28</v>
      </c>
      <c r="W22" t="s">
        <v>110</v>
      </c>
      <c r="X22" t="s">
        <v>102</v>
      </c>
    </row>
    <row r="23" spans="1:24">
      <c r="A23" t="s">
        <v>207</v>
      </c>
      <c r="B23" s="2">
        <v>45590</v>
      </c>
      <c r="C23" s="2">
        <v>45593</v>
      </c>
      <c r="D23" s="5">
        <f>C23-B23</f>
        <v>3</v>
      </c>
      <c r="E23" s="5" t="str">
        <f>IF(D23&lt;0,"INVALID","OK")</f>
        <v>OK</v>
      </c>
      <c r="F23" t="s">
        <v>208</v>
      </c>
      <c r="G23" t="s">
        <v>140</v>
      </c>
      <c r="H23" t="s">
        <v>89</v>
      </c>
      <c r="I23" t="s">
        <v>62</v>
      </c>
      <c r="J23" t="s">
        <v>63</v>
      </c>
      <c r="K23" t="s">
        <v>64</v>
      </c>
      <c r="L23" t="s">
        <v>40</v>
      </c>
      <c r="M23" t="s">
        <v>157</v>
      </c>
      <c r="N23" t="s">
        <v>209</v>
      </c>
      <c r="O23" t="s">
        <v>30</v>
      </c>
      <c r="P23">
        <v>3</v>
      </c>
      <c r="Q23">
        <v>3126.47</v>
      </c>
      <c r="R23">
        <v>0</v>
      </c>
      <c r="S23" t="str">
        <f t="shared" si="0"/>
        <v>OK</v>
      </c>
      <c r="T23">
        <v>9379.41</v>
      </c>
      <c r="U23">
        <v>6670.85</v>
      </c>
      <c r="V23">
        <v>2708.56</v>
      </c>
      <c r="W23" t="s">
        <v>31</v>
      </c>
      <c r="X23" t="s">
        <v>102</v>
      </c>
    </row>
    <row r="24" spans="1:24">
      <c r="A24" t="s">
        <v>213</v>
      </c>
      <c r="B24" s="2">
        <v>45460</v>
      </c>
      <c r="C24" s="2">
        <v>45465</v>
      </c>
      <c r="D24" s="5">
        <f>C24-B24</f>
        <v>5</v>
      </c>
      <c r="E24" s="5" t="str">
        <f>IF(D24&lt;0,"INVALID","OK")</f>
        <v>OK</v>
      </c>
      <c r="F24" t="s">
        <v>214</v>
      </c>
      <c r="G24" t="s">
        <v>127</v>
      </c>
      <c r="H24" t="s">
        <v>89</v>
      </c>
      <c r="I24" t="s">
        <v>62</v>
      </c>
      <c r="J24" t="s">
        <v>179</v>
      </c>
      <c r="K24" t="s">
        <v>180</v>
      </c>
      <c r="L24" t="s">
        <v>73</v>
      </c>
      <c r="M24" t="s">
        <v>170</v>
      </c>
      <c r="N24" t="s">
        <v>215</v>
      </c>
      <c r="O24" t="s">
        <v>49</v>
      </c>
      <c r="P24">
        <v>7</v>
      </c>
      <c r="Q24">
        <v>2210.6799999999998</v>
      </c>
      <c r="R24">
        <v>0.1</v>
      </c>
      <c r="S24" t="str">
        <f t="shared" si="0"/>
        <v>OK</v>
      </c>
      <c r="T24">
        <v>13927.28</v>
      </c>
      <c r="U24">
        <v>10504.87</v>
      </c>
      <c r="V24">
        <v>3422.41</v>
      </c>
      <c r="W24" t="s">
        <v>31</v>
      </c>
      <c r="X24" t="s">
        <v>32</v>
      </c>
    </row>
    <row r="25" spans="1:24">
      <c r="A25" t="s">
        <v>216</v>
      </c>
      <c r="B25" s="2">
        <v>45637</v>
      </c>
      <c r="C25" s="2">
        <v>45637</v>
      </c>
      <c r="D25" s="5">
        <f>C25-B25</f>
        <v>0</v>
      </c>
      <c r="E25" s="5" t="str">
        <f>IF(D25&lt;0,"INVALID","OK")</f>
        <v>OK</v>
      </c>
      <c r="F25" t="s">
        <v>217</v>
      </c>
      <c r="G25" t="s">
        <v>35</v>
      </c>
      <c r="H25" t="s">
        <v>36</v>
      </c>
      <c r="I25" t="s">
        <v>62</v>
      </c>
      <c r="J25" t="s">
        <v>71</v>
      </c>
      <c r="K25" t="s">
        <v>72</v>
      </c>
      <c r="L25" t="s">
        <v>73</v>
      </c>
      <c r="M25" t="s">
        <v>79</v>
      </c>
      <c r="N25" t="s">
        <v>218</v>
      </c>
      <c r="O25" t="s">
        <v>49</v>
      </c>
      <c r="P25">
        <v>4</v>
      </c>
      <c r="Q25">
        <v>1370.92</v>
      </c>
      <c r="R25">
        <v>0.1</v>
      </c>
      <c r="S25" t="str">
        <f t="shared" si="0"/>
        <v>OK</v>
      </c>
      <c r="T25">
        <v>4935.3100000000004</v>
      </c>
      <c r="U25">
        <v>3374.77</v>
      </c>
      <c r="V25">
        <v>1560.54</v>
      </c>
      <c r="W25" t="s">
        <v>110</v>
      </c>
      <c r="X25" t="s">
        <v>102</v>
      </c>
    </row>
    <row r="26" spans="1:24">
      <c r="A26" t="s">
        <v>219</v>
      </c>
      <c r="B26" s="2">
        <v>45575</v>
      </c>
      <c r="C26" s="2">
        <v>45581</v>
      </c>
      <c r="D26" s="5">
        <f>C26-B26</f>
        <v>6</v>
      </c>
      <c r="E26" s="5" t="str">
        <f>IF(D26&lt;0,"INVALID","OK")</f>
        <v>OK</v>
      </c>
      <c r="F26" t="s">
        <v>220</v>
      </c>
      <c r="G26" t="s">
        <v>46</v>
      </c>
      <c r="H26" t="s">
        <v>94</v>
      </c>
      <c r="I26" t="s">
        <v>62</v>
      </c>
      <c r="J26" t="s">
        <v>25</v>
      </c>
      <c r="K26" t="s">
        <v>108</v>
      </c>
      <c r="L26" t="s">
        <v>73</v>
      </c>
      <c r="M26" t="s">
        <v>79</v>
      </c>
      <c r="N26" t="s">
        <v>221</v>
      </c>
      <c r="O26" t="s">
        <v>58</v>
      </c>
      <c r="P26">
        <v>7</v>
      </c>
      <c r="Q26">
        <v>2509.27</v>
      </c>
      <c r="R26">
        <v>0.2</v>
      </c>
      <c r="S26" t="str">
        <f t="shared" si="0"/>
        <v>OK</v>
      </c>
      <c r="T26">
        <v>14051.91</v>
      </c>
      <c r="U26">
        <v>11990.37</v>
      </c>
      <c r="V26">
        <v>2061.54</v>
      </c>
      <c r="W26" t="s">
        <v>31</v>
      </c>
      <c r="X26" t="s">
        <v>32</v>
      </c>
    </row>
    <row r="27" spans="1:24">
      <c r="A27" t="s">
        <v>222</v>
      </c>
      <c r="B27" s="2">
        <v>45363</v>
      </c>
      <c r="C27" s="2">
        <v>45368</v>
      </c>
      <c r="D27" s="5">
        <f>C27-B27</f>
        <v>5</v>
      </c>
      <c r="E27" s="5" t="str">
        <f>IF(D27&lt;0,"INVALID","OK")</f>
        <v>OK</v>
      </c>
      <c r="F27" t="s">
        <v>223</v>
      </c>
      <c r="G27" t="s">
        <v>127</v>
      </c>
      <c r="H27" t="s">
        <v>36</v>
      </c>
      <c r="I27" t="s">
        <v>37</v>
      </c>
      <c r="J27" t="s">
        <v>38</v>
      </c>
      <c r="K27" t="s">
        <v>39</v>
      </c>
      <c r="L27" t="s">
        <v>40</v>
      </c>
      <c r="M27" t="s">
        <v>157</v>
      </c>
      <c r="N27" t="s">
        <v>224</v>
      </c>
      <c r="O27" t="s">
        <v>43</v>
      </c>
      <c r="P27">
        <v>8</v>
      </c>
      <c r="Q27">
        <v>855.81</v>
      </c>
      <c r="R27">
        <v>0</v>
      </c>
      <c r="S27" t="str">
        <f t="shared" si="0"/>
        <v>OK</v>
      </c>
      <c r="T27">
        <v>6846.48</v>
      </c>
      <c r="U27">
        <v>4239.8900000000003</v>
      </c>
      <c r="V27">
        <v>2606.59</v>
      </c>
      <c r="W27" t="s">
        <v>110</v>
      </c>
      <c r="X27" t="s">
        <v>67</v>
      </c>
    </row>
    <row r="28" spans="1:24">
      <c r="A28" t="s">
        <v>230</v>
      </c>
      <c r="B28" s="2">
        <v>45481</v>
      </c>
      <c r="C28" s="2">
        <v>45487</v>
      </c>
      <c r="D28" s="5">
        <f>C28-B28</f>
        <v>6</v>
      </c>
      <c r="E28" s="5" t="str">
        <f>IF(D28&lt;0,"INVALID","OK")</f>
        <v>OK</v>
      </c>
      <c r="F28" t="s">
        <v>231</v>
      </c>
      <c r="G28" t="s">
        <v>113</v>
      </c>
      <c r="H28" t="s">
        <v>36</v>
      </c>
      <c r="I28" t="s">
        <v>37</v>
      </c>
      <c r="J28" t="s">
        <v>38</v>
      </c>
      <c r="K28" t="s">
        <v>39</v>
      </c>
      <c r="L28" t="s">
        <v>40</v>
      </c>
      <c r="M28" t="s">
        <v>56</v>
      </c>
      <c r="N28" t="s">
        <v>232</v>
      </c>
      <c r="O28" t="s">
        <v>43</v>
      </c>
      <c r="P28">
        <v>3</v>
      </c>
      <c r="Q28">
        <v>1010.23</v>
      </c>
      <c r="R28">
        <v>0</v>
      </c>
      <c r="S28" t="str">
        <f t="shared" si="0"/>
        <v>OK</v>
      </c>
      <c r="T28">
        <v>3030.69</v>
      </c>
      <c r="U28">
        <v>1721.08</v>
      </c>
      <c r="V28">
        <v>1309.6099999999999</v>
      </c>
      <c r="W28" t="s">
        <v>31</v>
      </c>
      <c r="X28" t="s">
        <v>32</v>
      </c>
    </row>
    <row r="29" spans="1:24">
      <c r="A29" t="s">
        <v>233</v>
      </c>
      <c r="B29" s="2">
        <v>45465</v>
      </c>
      <c r="C29" s="2">
        <v>45468</v>
      </c>
      <c r="D29" s="5">
        <f>C29-B29</f>
        <v>3</v>
      </c>
      <c r="E29" s="5" t="str">
        <f>IF(D29&lt;0,"INVALID","OK")</f>
        <v>OK</v>
      </c>
      <c r="F29" t="s">
        <v>234</v>
      </c>
      <c r="G29" t="s">
        <v>140</v>
      </c>
      <c r="H29" t="s">
        <v>36</v>
      </c>
      <c r="I29" t="s">
        <v>24</v>
      </c>
      <c r="J29" t="s">
        <v>235</v>
      </c>
      <c r="K29" t="s">
        <v>236</v>
      </c>
      <c r="L29" t="s">
        <v>40</v>
      </c>
      <c r="M29" t="s">
        <v>65</v>
      </c>
      <c r="N29" t="s">
        <v>237</v>
      </c>
      <c r="O29" t="s">
        <v>58</v>
      </c>
      <c r="P29">
        <v>9</v>
      </c>
      <c r="Q29">
        <v>3329.77</v>
      </c>
      <c r="R29">
        <v>0.1</v>
      </c>
      <c r="S29" t="str">
        <f t="shared" si="0"/>
        <v>OK</v>
      </c>
      <c r="T29">
        <v>26971.14</v>
      </c>
      <c r="U29">
        <v>17376.2</v>
      </c>
      <c r="V29">
        <v>9594.94</v>
      </c>
      <c r="W29" t="s">
        <v>31</v>
      </c>
      <c r="X29" t="s">
        <v>32</v>
      </c>
    </row>
    <row r="30" spans="1:24">
      <c r="A30" t="s">
        <v>238</v>
      </c>
      <c r="B30" s="2">
        <v>45309</v>
      </c>
      <c r="C30" s="2">
        <v>45315</v>
      </c>
      <c r="D30" s="5">
        <f>C30-B30</f>
        <v>6</v>
      </c>
      <c r="E30" s="5" t="str">
        <f>IF(D30&lt;0,"INVALID","OK")</f>
        <v>OK</v>
      </c>
      <c r="F30" t="s">
        <v>239</v>
      </c>
      <c r="G30" t="s">
        <v>46</v>
      </c>
      <c r="H30" t="s">
        <v>94</v>
      </c>
      <c r="I30" t="s">
        <v>37</v>
      </c>
      <c r="J30" t="s">
        <v>144</v>
      </c>
      <c r="K30" t="s">
        <v>145</v>
      </c>
      <c r="L30" t="s">
        <v>27</v>
      </c>
      <c r="M30" t="s">
        <v>47</v>
      </c>
      <c r="N30" t="s">
        <v>240</v>
      </c>
      <c r="O30" t="s">
        <v>30</v>
      </c>
      <c r="P30">
        <v>8</v>
      </c>
      <c r="Q30">
        <v>3927.82</v>
      </c>
      <c r="R30">
        <v>0.05</v>
      </c>
      <c r="S30" t="str">
        <f t="shared" si="0"/>
        <v>OK</v>
      </c>
      <c r="T30">
        <v>29851.43</v>
      </c>
      <c r="U30">
        <v>17487.48</v>
      </c>
      <c r="V30">
        <v>12363.95</v>
      </c>
      <c r="W30" t="s">
        <v>110</v>
      </c>
      <c r="X30" t="s">
        <v>102</v>
      </c>
    </row>
    <row r="31" spans="1:24">
      <c r="A31" t="s">
        <v>241</v>
      </c>
      <c r="B31" s="2">
        <v>45492</v>
      </c>
      <c r="C31" s="2">
        <v>45492</v>
      </c>
      <c r="D31" s="5">
        <f>C31-B31</f>
        <v>0</v>
      </c>
      <c r="E31" s="5" t="str">
        <f>IF(D31&lt;0,"INVALID","OK")</f>
        <v>OK</v>
      </c>
      <c r="F31" t="s">
        <v>242</v>
      </c>
      <c r="G31" t="s">
        <v>61</v>
      </c>
      <c r="H31" t="s">
        <v>36</v>
      </c>
      <c r="I31" t="s">
        <v>53</v>
      </c>
      <c r="J31" t="s">
        <v>184</v>
      </c>
      <c r="K31" t="s">
        <v>185</v>
      </c>
      <c r="L31" t="s">
        <v>40</v>
      </c>
      <c r="M31" t="s">
        <v>157</v>
      </c>
      <c r="N31" t="s">
        <v>243</v>
      </c>
      <c r="O31" t="s">
        <v>58</v>
      </c>
      <c r="P31">
        <v>9</v>
      </c>
      <c r="Q31">
        <v>2386.79</v>
      </c>
      <c r="R31">
        <v>0.25</v>
      </c>
      <c r="S31" t="str">
        <f t="shared" si="0"/>
        <v>OK</v>
      </c>
      <c r="T31">
        <v>16110.83</v>
      </c>
      <c r="U31">
        <v>10680.03</v>
      </c>
      <c r="V31">
        <v>5430.8</v>
      </c>
      <c r="W31" t="s">
        <v>101</v>
      </c>
      <c r="X31" t="s">
        <v>102</v>
      </c>
    </row>
    <row r="32" spans="1:24">
      <c r="A32" t="s">
        <v>244</v>
      </c>
      <c r="B32" s="2">
        <v>45634</v>
      </c>
      <c r="C32" s="2">
        <v>45516</v>
      </c>
      <c r="D32" s="5">
        <f>C32-B32</f>
        <v>-118</v>
      </c>
      <c r="E32" s="5" t="str">
        <f>IF(D32&lt;0,"INVALID","OK")</f>
        <v>INVALID</v>
      </c>
      <c r="F32" t="s">
        <v>245</v>
      </c>
      <c r="G32" t="s">
        <v>117</v>
      </c>
      <c r="H32" t="s">
        <v>89</v>
      </c>
      <c r="I32" t="s">
        <v>53</v>
      </c>
      <c r="J32" t="s">
        <v>246</v>
      </c>
      <c r="K32" t="s">
        <v>247</v>
      </c>
      <c r="L32" t="s">
        <v>27</v>
      </c>
      <c r="M32" t="s">
        <v>123</v>
      </c>
      <c r="N32" t="s">
        <v>248</v>
      </c>
      <c r="O32" t="s">
        <v>58</v>
      </c>
      <c r="P32">
        <v>8</v>
      </c>
      <c r="Q32">
        <v>2445.31</v>
      </c>
      <c r="R32">
        <v>0.1</v>
      </c>
      <c r="S32" t="str">
        <f t="shared" si="0"/>
        <v>OK</v>
      </c>
      <c r="T32">
        <v>17606.23</v>
      </c>
      <c r="U32">
        <v>12438.96</v>
      </c>
      <c r="V32">
        <v>5167.2700000000004</v>
      </c>
      <c r="W32" t="s">
        <v>31</v>
      </c>
      <c r="X32" t="s">
        <v>32</v>
      </c>
    </row>
    <row r="33" spans="1:24">
      <c r="A33" t="s">
        <v>252</v>
      </c>
      <c r="B33" s="2">
        <v>45388</v>
      </c>
      <c r="C33" s="2">
        <v>45395</v>
      </c>
      <c r="D33" s="5">
        <f>C33-B33</f>
        <v>7</v>
      </c>
      <c r="E33" s="5" t="str">
        <f>IF(D33&lt;0,"INVALID","OK")</f>
        <v>OK</v>
      </c>
      <c r="F33" t="s">
        <v>253</v>
      </c>
      <c r="G33" t="s">
        <v>127</v>
      </c>
      <c r="H33" t="s">
        <v>94</v>
      </c>
      <c r="I33" t="s">
        <v>24</v>
      </c>
      <c r="J33" t="s">
        <v>135</v>
      </c>
      <c r="K33" t="s">
        <v>136</v>
      </c>
      <c r="L33" t="s">
        <v>73</v>
      </c>
      <c r="M33" t="s">
        <v>79</v>
      </c>
      <c r="N33" t="s">
        <v>254</v>
      </c>
      <c r="O33" t="s">
        <v>30</v>
      </c>
      <c r="P33">
        <v>9</v>
      </c>
      <c r="Q33">
        <v>792.11</v>
      </c>
      <c r="R33">
        <v>0.05</v>
      </c>
      <c r="S33" t="str">
        <f t="shared" si="0"/>
        <v>OK</v>
      </c>
      <c r="T33">
        <v>6772.54</v>
      </c>
      <c r="U33">
        <v>5755.46</v>
      </c>
      <c r="V33">
        <v>1017.08</v>
      </c>
      <c r="W33" t="s">
        <v>31</v>
      </c>
      <c r="X33" t="s">
        <v>32</v>
      </c>
    </row>
    <row r="34" spans="1:24">
      <c r="A34" t="s">
        <v>258</v>
      </c>
      <c r="B34" s="2">
        <v>45406</v>
      </c>
      <c r="C34" s="2">
        <v>45411</v>
      </c>
      <c r="D34" s="5">
        <f>C34-B34</f>
        <v>5</v>
      </c>
      <c r="E34" s="5" t="str">
        <f>IF(D34&lt;0,"INVALID","OK")</f>
        <v>OK</v>
      </c>
      <c r="F34" t="s">
        <v>259</v>
      </c>
      <c r="G34" t="s">
        <v>61</v>
      </c>
      <c r="H34" t="s">
        <v>89</v>
      </c>
      <c r="I34" t="s">
        <v>53</v>
      </c>
      <c r="J34" t="s">
        <v>54</v>
      </c>
      <c r="K34" t="s">
        <v>55</v>
      </c>
      <c r="L34" t="s">
        <v>27</v>
      </c>
      <c r="M34" t="s">
        <v>47</v>
      </c>
      <c r="N34" t="s">
        <v>260</v>
      </c>
      <c r="O34" t="s">
        <v>58</v>
      </c>
      <c r="P34">
        <v>6</v>
      </c>
      <c r="Q34">
        <v>1528.08</v>
      </c>
      <c r="R34">
        <v>0</v>
      </c>
      <c r="S34" t="str">
        <f t="shared" si="0"/>
        <v>OK</v>
      </c>
      <c r="T34">
        <v>9168.48</v>
      </c>
      <c r="U34">
        <v>7439.77</v>
      </c>
      <c r="V34">
        <v>1728.71</v>
      </c>
      <c r="W34" t="s">
        <v>31</v>
      </c>
      <c r="X34" t="s">
        <v>32</v>
      </c>
    </row>
    <row r="35" spans="1:24">
      <c r="A35" t="s">
        <v>261</v>
      </c>
      <c r="B35" s="2">
        <v>45591</v>
      </c>
      <c r="C35" s="2">
        <v>45593</v>
      </c>
      <c r="D35" s="5">
        <f>C35-B35</f>
        <v>2</v>
      </c>
      <c r="E35" s="5" t="str">
        <f>IF(D35&lt;0,"INVALID","OK")</f>
        <v>OK</v>
      </c>
      <c r="F35" t="s">
        <v>262</v>
      </c>
      <c r="G35" t="s">
        <v>263</v>
      </c>
      <c r="H35" t="s">
        <v>36</v>
      </c>
      <c r="I35" t="s">
        <v>24</v>
      </c>
      <c r="J35" t="s">
        <v>25</v>
      </c>
      <c r="K35" t="s">
        <v>26</v>
      </c>
      <c r="L35" t="s">
        <v>40</v>
      </c>
      <c r="M35" t="s">
        <v>65</v>
      </c>
      <c r="N35" t="s">
        <v>264</v>
      </c>
      <c r="O35" t="s">
        <v>49</v>
      </c>
      <c r="P35">
        <v>9</v>
      </c>
      <c r="Q35">
        <v>1399.63</v>
      </c>
      <c r="R35">
        <v>0</v>
      </c>
      <c r="S35" t="str">
        <f t="shared" si="0"/>
        <v>OK</v>
      </c>
      <c r="T35">
        <v>12596.67</v>
      </c>
      <c r="U35">
        <v>10603.29</v>
      </c>
      <c r="V35">
        <v>1993.38</v>
      </c>
      <c r="W35" t="s">
        <v>154</v>
      </c>
      <c r="X35" t="s">
        <v>67</v>
      </c>
    </row>
    <row r="36" spans="1:24">
      <c r="A36" t="s">
        <v>278</v>
      </c>
      <c r="B36" s="2">
        <v>45329</v>
      </c>
      <c r="C36" s="2">
        <v>45337</v>
      </c>
      <c r="D36" s="5">
        <f>C36-B36</f>
        <v>8</v>
      </c>
      <c r="E36" s="5" t="str">
        <f>IF(D36&lt;0,"INVALID","OK")</f>
        <v>OK</v>
      </c>
      <c r="F36" t="s">
        <v>279</v>
      </c>
      <c r="G36" t="s">
        <v>113</v>
      </c>
      <c r="H36" t="s">
        <v>23</v>
      </c>
      <c r="I36" t="s">
        <v>62</v>
      </c>
      <c r="J36" t="s">
        <v>189</v>
      </c>
      <c r="K36" t="s">
        <v>190</v>
      </c>
      <c r="L36" t="s">
        <v>40</v>
      </c>
      <c r="M36" t="s">
        <v>65</v>
      </c>
      <c r="N36" t="s">
        <v>280</v>
      </c>
      <c r="O36" t="s">
        <v>43</v>
      </c>
      <c r="P36">
        <v>5</v>
      </c>
      <c r="Q36">
        <v>255.87</v>
      </c>
      <c r="R36">
        <v>0</v>
      </c>
      <c r="S36" t="str">
        <f t="shared" si="0"/>
        <v>OK</v>
      </c>
      <c r="T36">
        <v>1279.3499999999999</v>
      </c>
      <c r="U36">
        <v>1091.54</v>
      </c>
      <c r="V36">
        <v>187.81</v>
      </c>
      <c r="W36" t="s">
        <v>31</v>
      </c>
      <c r="X36" t="s">
        <v>32</v>
      </c>
    </row>
    <row r="37" spans="1:24">
      <c r="A37" t="s">
        <v>281</v>
      </c>
      <c r="B37" s="2">
        <v>45536</v>
      </c>
      <c r="C37" s="2">
        <v>45542</v>
      </c>
      <c r="D37" s="5">
        <f>C37-B37</f>
        <v>6</v>
      </c>
      <c r="E37" s="5" t="str">
        <f>IF(D37&lt;0,"INVALID","OK")</f>
        <v>OK</v>
      </c>
      <c r="F37" t="s">
        <v>282</v>
      </c>
      <c r="G37" t="s">
        <v>46</v>
      </c>
      <c r="H37" t="s">
        <v>94</v>
      </c>
      <c r="I37" t="s">
        <v>24</v>
      </c>
      <c r="J37" t="s">
        <v>25</v>
      </c>
      <c r="K37" t="s">
        <v>26</v>
      </c>
      <c r="L37" t="s">
        <v>27</v>
      </c>
      <c r="M37" t="s">
        <v>123</v>
      </c>
      <c r="N37" t="s">
        <v>283</v>
      </c>
      <c r="O37" t="s">
        <v>2762</v>
      </c>
      <c r="P37">
        <v>9</v>
      </c>
      <c r="Q37">
        <v>1389.48</v>
      </c>
      <c r="R37">
        <v>0.1</v>
      </c>
      <c r="S37" t="str">
        <f t="shared" si="0"/>
        <v>OK</v>
      </c>
      <c r="T37">
        <v>11254.79</v>
      </c>
      <c r="U37">
        <v>6578.06</v>
      </c>
      <c r="V37">
        <v>4676.7299999999996</v>
      </c>
      <c r="W37" t="s">
        <v>110</v>
      </c>
      <c r="X37" t="s">
        <v>102</v>
      </c>
    </row>
    <row r="38" spans="1:24">
      <c r="A38" t="s">
        <v>284</v>
      </c>
      <c r="B38" s="2">
        <v>45493</v>
      </c>
      <c r="C38" s="2">
        <v>45498</v>
      </c>
      <c r="D38" s="5">
        <f>C38-B38</f>
        <v>5</v>
      </c>
      <c r="E38" s="5" t="str">
        <f>IF(D38&lt;0,"INVALID","OK")</f>
        <v>OK</v>
      </c>
      <c r="F38" t="s">
        <v>285</v>
      </c>
      <c r="G38" t="s">
        <v>113</v>
      </c>
      <c r="H38" t="s">
        <v>89</v>
      </c>
      <c r="I38" t="s">
        <v>37</v>
      </c>
      <c r="J38" t="s">
        <v>165</v>
      </c>
      <c r="K38" t="s">
        <v>166</v>
      </c>
      <c r="L38" t="s">
        <v>27</v>
      </c>
      <c r="M38" t="s">
        <v>90</v>
      </c>
      <c r="N38" t="s">
        <v>286</v>
      </c>
      <c r="O38" t="s">
        <v>43</v>
      </c>
      <c r="P38">
        <v>5</v>
      </c>
      <c r="Q38">
        <v>4133.8500000000004</v>
      </c>
      <c r="R38">
        <v>0.2</v>
      </c>
      <c r="S38" t="str">
        <f t="shared" si="0"/>
        <v>OK</v>
      </c>
      <c r="T38">
        <v>16535.400000000001</v>
      </c>
      <c r="U38">
        <v>12990.21</v>
      </c>
      <c r="V38">
        <v>3545.19</v>
      </c>
      <c r="W38" t="s">
        <v>31</v>
      </c>
      <c r="X38" t="s">
        <v>67</v>
      </c>
    </row>
    <row r="39" spans="1:24">
      <c r="A39" t="s">
        <v>287</v>
      </c>
      <c r="B39" s="2">
        <v>45486</v>
      </c>
      <c r="C39" s="2">
        <v>45492</v>
      </c>
      <c r="D39" s="5">
        <f>C39-B39</f>
        <v>6</v>
      </c>
      <c r="E39" s="5" t="str">
        <f>IF(D39&lt;0,"INVALID","OK")</f>
        <v>OK</v>
      </c>
      <c r="F39" t="s">
        <v>288</v>
      </c>
      <c r="G39" t="s">
        <v>61</v>
      </c>
      <c r="H39" t="s">
        <v>89</v>
      </c>
      <c r="I39" t="s">
        <v>37</v>
      </c>
      <c r="J39" t="s">
        <v>165</v>
      </c>
      <c r="K39" t="s">
        <v>166</v>
      </c>
      <c r="L39" t="s">
        <v>27</v>
      </c>
      <c r="M39" t="s">
        <v>90</v>
      </c>
      <c r="N39" t="s">
        <v>289</v>
      </c>
      <c r="O39" t="s">
        <v>43</v>
      </c>
      <c r="P39">
        <v>3</v>
      </c>
      <c r="Q39">
        <v>275.76</v>
      </c>
      <c r="R39">
        <v>0.2</v>
      </c>
      <c r="S39" t="str">
        <f t="shared" si="0"/>
        <v>OK</v>
      </c>
      <c r="T39">
        <v>661.82</v>
      </c>
      <c r="U39">
        <v>481.47</v>
      </c>
      <c r="V39">
        <v>180.35</v>
      </c>
      <c r="W39" t="s">
        <v>101</v>
      </c>
      <c r="X39" t="s">
        <v>67</v>
      </c>
    </row>
    <row r="40" spans="1:24">
      <c r="A40" t="s">
        <v>290</v>
      </c>
      <c r="B40" s="2">
        <v>45398</v>
      </c>
      <c r="C40" s="2">
        <v>45398</v>
      </c>
      <c r="D40" s="5">
        <f>C40-B40</f>
        <v>0</v>
      </c>
      <c r="E40" s="5" t="str">
        <f>IF(D40&lt;0,"INVALID","OK")</f>
        <v>OK</v>
      </c>
      <c r="F40" t="s">
        <v>291</v>
      </c>
      <c r="G40" t="s">
        <v>70</v>
      </c>
      <c r="H40" t="s">
        <v>94</v>
      </c>
      <c r="I40" t="s">
        <v>37</v>
      </c>
      <c r="J40" t="s">
        <v>144</v>
      </c>
      <c r="K40" t="s">
        <v>145</v>
      </c>
      <c r="L40" t="s">
        <v>40</v>
      </c>
      <c r="M40" t="s">
        <v>157</v>
      </c>
      <c r="N40" t="s">
        <v>292</v>
      </c>
      <c r="O40" t="s">
        <v>58</v>
      </c>
      <c r="P40">
        <v>1</v>
      </c>
      <c r="Q40">
        <v>949.59</v>
      </c>
      <c r="R40">
        <v>0</v>
      </c>
      <c r="S40" t="str">
        <f t="shared" si="0"/>
        <v>OK</v>
      </c>
      <c r="T40">
        <v>949.59</v>
      </c>
      <c r="U40">
        <v>751.25</v>
      </c>
      <c r="V40">
        <v>198.34</v>
      </c>
      <c r="W40" t="s">
        <v>31</v>
      </c>
      <c r="X40" t="s">
        <v>32</v>
      </c>
    </row>
    <row r="41" spans="1:24">
      <c r="A41" t="s">
        <v>293</v>
      </c>
      <c r="B41" s="2">
        <v>45595</v>
      </c>
      <c r="C41" s="2">
        <v>45333</v>
      </c>
      <c r="D41" s="5">
        <f>C41-B41</f>
        <v>-262</v>
      </c>
      <c r="E41" s="5" t="str">
        <f>IF(D41&lt;0,"INVALID","OK")</f>
        <v>INVALID</v>
      </c>
      <c r="F41" t="s">
        <v>294</v>
      </c>
      <c r="G41" t="s">
        <v>131</v>
      </c>
      <c r="H41" t="s">
        <v>94</v>
      </c>
      <c r="I41" t="s">
        <v>24</v>
      </c>
      <c r="J41" t="s">
        <v>25</v>
      </c>
      <c r="K41" t="s">
        <v>26</v>
      </c>
      <c r="L41" t="s">
        <v>73</v>
      </c>
      <c r="M41" t="s">
        <v>170</v>
      </c>
      <c r="N41" t="s">
        <v>295</v>
      </c>
      <c r="O41" t="s">
        <v>58</v>
      </c>
      <c r="P41">
        <v>9</v>
      </c>
      <c r="Q41">
        <v>3042.29</v>
      </c>
      <c r="R41">
        <v>0.2</v>
      </c>
      <c r="S41" t="str">
        <f t="shared" si="0"/>
        <v>OK</v>
      </c>
      <c r="T41">
        <v>21904.49</v>
      </c>
      <c r="U41">
        <v>13570.55</v>
      </c>
      <c r="V41">
        <v>8333.94</v>
      </c>
      <c r="W41" t="s">
        <v>31</v>
      </c>
      <c r="X41" t="s">
        <v>32</v>
      </c>
    </row>
    <row r="42" spans="1:24">
      <c r="A42" t="s">
        <v>296</v>
      </c>
      <c r="B42" s="2">
        <v>45316</v>
      </c>
      <c r="C42" s="2">
        <v>45293</v>
      </c>
      <c r="D42" s="5">
        <f>C42-B42</f>
        <v>-23</v>
      </c>
      <c r="E42" s="5" t="str">
        <f>IF(D42&lt;0,"INVALID","OK")</f>
        <v>INVALID</v>
      </c>
      <c r="F42" t="s">
        <v>297</v>
      </c>
      <c r="G42" t="s">
        <v>131</v>
      </c>
      <c r="H42" t="s">
        <v>94</v>
      </c>
      <c r="I42" t="s">
        <v>24</v>
      </c>
      <c r="J42" t="s">
        <v>235</v>
      </c>
      <c r="K42" t="s">
        <v>236</v>
      </c>
      <c r="L42" t="s">
        <v>27</v>
      </c>
      <c r="M42" t="s">
        <v>152</v>
      </c>
      <c r="N42" t="s">
        <v>298</v>
      </c>
      <c r="O42" t="s">
        <v>43</v>
      </c>
      <c r="P42">
        <v>2</v>
      </c>
      <c r="Q42">
        <v>2832.77</v>
      </c>
      <c r="R42">
        <v>0.15</v>
      </c>
      <c r="S42" t="str">
        <f t="shared" si="0"/>
        <v>OK</v>
      </c>
      <c r="T42">
        <v>4815.71</v>
      </c>
      <c r="U42">
        <v>3027.75</v>
      </c>
      <c r="V42">
        <v>1917.47</v>
      </c>
      <c r="W42" t="s">
        <v>31</v>
      </c>
      <c r="X42" t="s">
        <v>32</v>
      </c>
    </row>
    <row r="43" spans="1:24">
      <c r="A43" t="s">
        <v>299</v>
      </c>
      <c r="B43" s="2">
        <v>45649</v>
      </c>
      <c r="C43" s="2">
        <v>45655</v>
      </c>
      <c r="D43" s="5">
        <f>C43-B43</f>
        <v>6</v>
      </c>
      <c r="E43" s="5" t="str">
        <f>IF(D43&lt;0,"INVALID","OK")</f>
        <v>OK</v>
      </c>
      <c r="F43" t="s">
        <v>300</v>
      </c>
      <c r="G43" t="s">
        <v>127</v>
      </c>
      <c r="H43" t="s">
        <v>89</v>
      </c>
      <c r="I43" t="s">
        <v>37</v>
      </c>
      <c r="J43" t="s">
        <v>227</v>
      </c>
      <c r="K43" t="s">
        <v>228</v>
      </c>
      <c r="L43" t="s">
        <v>27</v>
      </c>
      <c r="M43" t="s">
        <v>28</v>
      </c>
      <c r="N43" t="s">
        <v>301</v>
      </c>
      <c r="O43" t="s">
        <v>49</v>
      </c>
      <c r="P43">
        <v>7</v>
      </c>
      <c r="Q43">
        <v>447.84</v>
      </c>
      <c r="R43">
        <v>0</v>
      </c>
      <c r="S43" t="str">
        <f t="shared" si="0"/>
        <v>OK</v>
      </c>
      <c r="T43">
        <v>3134.88</v>
      </c>
      <c r="U43">
        <v>2367.63</v>
      </c>
      <c r="V43">
        <v>767.25</v>
      </c>
      <c r="W43" t="s">
        <v>101</v>
      </c>
      <c r="X43" t="s">
        <v>102</v>
      </c>
    </row>
    <row r="44" spans="1:24">
      <c r="A44" t="s">
        <v>302</v>
      </c>
      <c r="B44" s="2">
        <v>45404</v>
      </c>
      <c r="C44" s="2">
        <v>45409</v>
      </c>
      <c r="D44" s="5">
        <f>C44-B44</f>
        <v>5</v>
      </c>
      <c r="E44" s="5" t="str">
        <f>IF(D44&lt;0,"INVALID","OK")</f>
        <v>OK</v>
      </c>
      <c r="F44" t="s">
        <v>303</v>
      </c>
      <c r="G44" t="s">
        <v>35</v>
      </c>
      <c r="H44" t="s">
        <v>94</v>
      </c>
      <c r="I44" t="s">
        <v>62</v>
      </c>
      <c r="J44" t="s">
        <v>63</v>
      </c>
      <c r="K44" t="s">
        <v>64</v>
      </c>
      <c r="L44" t="s">
        <v>27</v>
      </c>
      <c r="M44" t="s">
        <v>28</v>
      </c>
      <c r="N44" t="s">
        <v>304</v>
      </c>
      <c r="O44" t="s">
        <v>30</v>
      </c>
      <c r="P44">
        <v>1</v>
      </c>
      <c r="Q44">
        <v>4280.1899999999996</v>
      </c>
      <c r="R44">
        <v>0.05</v>
      </c>
      <c r="S44" t="str">
        <f t="shared" si="0"/>
        <v>OK</v>
      </c>
      <c r="T44">
        <v>4066.18</v>
      </c>
      <c r="U44">
        <v>2628.92</v>
      </c>
      <c r="V44">
        <v>1437.26</v>
      </c>
      <c r="W44" t="s">
        <v>31</v>
      </c>
      <c r="X44" t="s">
        <v>32</v>
      </c>
    </row>
    <row r="45" spans="1:24">
      <c r="A45" t="s">
        <v>311</v>
      </c>
      <c r="B45" s="2">
        <v>45606</v>
      </c>
      <c r="C45" s="2">
        <v>45609</v>
      </c>
      <c r="D45" s="5">
        <f>C45-B45</f>
        <v>3</v>
      </c>
      <c r="E45" s="5" t="str">
        <f>IF(D45&lt;0,"INVALID","OK")</f>
        <v>OK</v>
      </c>
      <c r="F45" t="s">
        <v>312</v>
      </c>
      <c r="G45" t="s">
        <v>46</v>
      </c>
      <c r="H45" t="s">
        <v>89</v>
      </c>
      <c r="I45" t="s">
        <v>37</v>
      </c>
      <c r="J45" t="s">
        <v>227</v>
      </c>
      <c r="K45" t="s">
        <v>228</v>
      </c>
      <c r="L45" t="s">
        <v>27</v>
      </c>
      <c r="M45" t="s">
        <v>123</v>
      </c>
      <c r="N45" t="s">
        <v>313</v>
      </c>
      <c r="O45" t="s">
        <v>30</v>
      </c>
      <c r="P45">
        <v>9</v>
      </c>
      <c r="Q45">
        <v>2211.12</v>
      </c>
      <c r="R45">
        <v>0</v>
      </c>
      <c r="S45" t="str">
        <f t="shared" si="0"/>
        <v>OK</v>
      </c>
      <c r="T45">
        <v>19900.080000000002</v>
      </c>
      <c r="U45">
        <v>10962.66</v>
      </c>
      <c r="V45">
        <v>8937.42</v>
      </c>
      <c r="W45" t="s">
        <v>154</v>
      </c>
      <c r="X45" t="s">
        <v>102</v>
      </c>
    </row>
    <row r="46" spans="1:24">
      <c r="A46" t="s">
        <v>314</v>
      </c>
      <c r="B46" s="2">
        <v>45391</v>
      </c>
      <c r="C46" s="2">
        <v>45396</v>
      </c>
      <c r="D46" s="5">
        <f>C46-B46</f>
        <v>5</v>
      </c>
      <c r="E46" s="5" t="str">
        <f>IF(D46&lt;0,"INVALID","OK")</f>
        <v>OK</v>
      </c>
      <c r="F46" t="s">
        <v>315</v>
      </c>
      <c r="G46" t="s">
        <v>78</v>
      </c>
      <c r="H46" t="s">
        <v>36</v>
      </c>
      <c r="I46" t="s">
        <v>62</v>
      </c>
      <c r="J46" t="s">
        <v>179</v>
      </c>
      <c r="K46" t="s">
        <v>180</v>
      </c>
      <c r="L46" t="s">
        <v>73</v>
      </c>
      <c r="M46" t="s">
        <v>273</v>
      </c>
      <c r="N46" t="s">
        <v>316</v>
      </c>
      <c r="O46" t="s">
        <v>43</v>
      </c>
      <c r="P46">
        <v>7</v>
      </c>
      <c r="Q46">
        <v>3417.09</v>
      </c>
      <c r="R46">
        <v>0.1</v>
      </c>
      <c r="S46" t="str">
        <f t="shared" si="0"/>
        <v>OK</v>
      </c>
      <c r="T46">
        <v>21527.67</v>
      </c>
      <c r="U46">
        <v>18287.580000000002</v>
      </c>
      <c r="V46">
        <v>3240.09</v>
      </c>
      <c r="W46" t="s">
        <v>101</v>
      </c>
      <c r="X46" t="s">
        <v>102</v>
      </c>
    </row>
    <row r="47" spans="1:24">
      <c r="A47" t="s">
        <v>323</v>
      </c>
      <c r="B47" s="2">
        <v>45333</v>
      </c>
      <c r="C47" s="2">
        <v>45329</v>
      </c>
      <c r="D47" s="5">
        <f>C47-B47</f>
        <v>-4</v>
      </c>
      <c r="E47" s="5" t="str">
        <f>IF(D47&lt;0,"INVALID","OK")</f>
        <v>INVALID</v>
      </c>
      <c r="F47" t="s">
        <v>324</v>
      </c>
      <c r="G47" t="s">
        <v>22</v>
      </c>
      <c r="H47" t="s">
        <v>94</v>
      </c>
      <c r="I47" t="s">
        <v>53</v>
      </c>
      <c r="J47" t="s">
        <v>246</v>
      </c>
      <c r="K47" t="s">
        <v>247</v>
      </c>
      <c r="L47" t="s">
        <v>40</v>
      </c>
      <c r="M47" t="s">
        <v>41</v>
      </c>
      <c r="N47" t="s">
        <v>325</v>
      </c>
      <c r="O47" t="s">
        <v>49</v>
      </c>
      <c r="P47">
        <v>7</v>
      </c>
      <c r="Q47">
        <v>2287.4699999999998</v>
      </c>
      <c r="R47">
        <v>0.15</v>
      </c>
      <c r="S47" t="str">
        <f t="shared" si="0"/>
        <v>OK</v>
      </c>
      <c r="T47">
        <v>13610.45</v>
      </c>
      <c r="U47">
        <v>10039.049999999999</v>
      </c>
      <c r="V47">
        <v>3571.4</v>
      </c>
      <c r="W47" t="s">
        <v>31</v>
      </c>
      <c r="X47" t="s">
        <v>32</v>
      </c>
    </row>
    <row r="48" spans="1:24">
      <c r="A48" t="s">
        <v>335</v>
      </c>
      <c r="B48" s="2">
        <v>45599</v>
      </c>
      <c r="C48" s="2">
        <v>45607</v>
      </c>
      <c r="D48" s="5">
        <f>C48-B48</f>
        <v>8</v>
      </c>
      <c r="E48" s="5" t="str">
        <f>IF(D48&lt;0,"INVALID","OK")</f>
        <v>OK</v>
      </c>
      <c r="F48" t="s">
        <v>336</v>
      </c>
      <c r="G48" t="s">
        <v>61</v>
      </c>
      <c r="H48" t="s">
        <v>89</v>
      </c>
      <c r="I48" t="s">
        <v>37</v>
      </c>
      <c r="J48" t="s">
        <v>227</v>
      </c>
      <c r="K48" t="s">
        <v>228</v>
      </c>
      <c r="L48" t="s">
        <v>27</v>
      </c>
      <c r="M48" t="s">
        <v>90</v>
      </c>
      <c r="N48" t="s">
        <v>337</v>
      </c>
      <c r="O48" t="s">
        <v>30</v>
      </c>
      <c r="P48">
        <v>3</v>
      </c>
      <c r="Q48">
        <v>3406.27</v>
      </c>
      <c r="R48">
        <v>0</v>
      </c>
      <c r="S48" t="str">
        <f t="shared" si="0"/>
        <v>OK</v>
      </c>
      <c r="T48">
        <v>10218.81</v>
      </c>
      <c r="U48">
        <v>7616.97</v>
      </c>
      <c r="V48">
        <v>2601.84</v>
      </c>
      <c r="W48" t="s">
        <v>31</v>
      </c>
      <c r="X48" t="s">
        <v>32</v>
      </c>
    </row>
    <row r="49" spans="1:24">
      <c r="A49" t="s">
        <v>347</v>
      </c>
      <c r="B49" s="2">
        <v>45514</v>
      </c>
      <c r="C49" s="2">
        <v>45518</v>
      </c>
      <c r="D49" s="5">
        <f>C49-B49</f>
        <v>4</v>
      </c>
      <c r="E49" s="5" t="str">
        <f>IF(D49&lt;0,"INVALID","OK")</f>
        <v>OK</v>
      </c>
      <c r="F49" t="s">
        <v>348</v>
      </c>
      <c r="G49" t="s">
        <v>127</v>
      </c>
      <c r="H49" t="s">
        <v>36</v>
      </c>
      <c r="I49" t="s">
        <v>24</v>
      </c>
      <c r="J49" t="s">
        <v>349</v>
      </c>
      <c r="K49" t="s">
        <v>350</v>
      </c>
      <c r="L49" t="s">
        <v>27</v>
      </c>
      <c r="M49" t="s">
        <v>123</v>
      </c>
      <c r="N49" t="s">
        <v>351</v>
      </c>
      <c r="O49" t="s">
        <v>30</v>
      </c>
      <c r="P49">
        <v>4</v>
      </c>
      <c r="Q49">
        <v>1182.32</v>
      </c>
      <c r="R49">
        <v>0.1</v>
      </c>
      <c r="S49" t="str">
        <f t="shared" si="0"/>
        <v>OK</v>
      </c>
      <c r="T49">
        <v>4256.3500000000004</v>
      </c>
      <c r="U49">
        <v>2495.33</v>
      </c>
      <c r="V49">
        <v>1761.02</v>
      </c>
      <c r="W49" t="s">
        <v>110</v>
      </c>
      <c r="X49" t="s">
        <v>102</v>
      </c>
    </row>
    <row r="50" spans="1:24">
      <c r="A50" t="s">
        <v>355</v>
      </c>
      <c r="B50" s="2">
        <v>45507</v>
      </c>
      <c r="C50" s="2">
        <v>45390</v>
      </c>
      <c r="D50" s="5">
        <f>C50-B50</f>
        <v>-117</v>
      </c>
      <c r="E50" s="5" t="str">
        <f>IF(D50&lt;0,"INVALID","OK")</f>
        <v>INVALID</v>
      </c>
      <c r="F50" t="s">
        <v>356</v>
      </c>
      <c r="G50" t="s">
        <v>52</v>
      </c>
      <c r="H50" t="s">
        <v>23</v>
      </c>
      <c r="I50" t="s">
        <v>24</v>
      </c>
      <c r="J50" t="s">
        <v>135</v>
      </c>
      <c r="K50" t="s">
        <v>136</v>
      </c>
      <c r="L50" t="s">
        <v>73</v>
      </c>
      <c r="M50" t="s">
        <v>79</v>
      </c>
      <c r="N50" t="s">
        <v>357</v>
      </c>
      <c r="O50" t="s">
        <v>30</v>
      </c>
      <c r="P50">
        <v>6</v>
      </c>
      <c r="Q50">
        <v>1001.73</v>
      </c>
      <c r="R50">
        <v>0</v>
      </c>
      <c r="S50" t="str">
        <f t="shared" si="0"/>
        <v>OK</v>
      </c>
      <c r="T50">
        <v>6010.38</v>
      </c>
      <c r="U50">
        <v>3762.85</v>
      </c>
      <c r="V50">
        <v>2247.5300000000002</v>
      </c>
      <c r="W50" t="s">
        <v>154</v>
      </c>
      <c r="X50" t="s">
        <v>102</v>
      </c>
    </row>
    <row r="51" spans="1:24">
      <c r="A51" t="s">
        <v>358</v>
      </c>
      <c r="B51" s="2">
        <v>45591</v>
      </c>
      <c r="C51" s="2">
        <v>45594</v>
      </c>
      <c r="D51" s="5">
        <f>C51-B51</f>
        <v>3</v>
      </c>
      <c r="E51" s="5" t="str">
        <f>IF(D51&lt;0,"INVALID","OK")</f>
        <v>OK</v>
      </c>
      <c r="F51" t="s">
        <v>359</v>
      </c>
      <c r="G51" t="s">
        <v>88</v>
      </c>
      <c r="H51" t="s">
        <v>94</v>
      </c>
      <c r="I51" t="s">
        <v>62</v>
      </c>
      <c r="J51" t="s">
        <v>63</v>
      </c>
      <c r="K51" t="s">
        <v>64</v>
      </c>
      <c r="L51" t="s">
        <v>40</v>
      </c>
      <c r="M51" t="s">
        <v>41</v>
      </c>
      <c r="N51" t="s">
        <v>360</v>
      </c>
      <c r="O51" t="s">
        <v>30</v>
      </c>
      <c r="P51">
        <v>9</v>
      </c>
      <c r="Q51">
        <v>131.74</v>
      </c>
      <c r="R51">
        <v>0.2</v>
      </c>
      <c r="S51" t="str">
        <f t="shared" si="0"/>
        <v>OK</v>
      </c>
      <c r="T51">
        <v>948.53</v>
      </c>
      <c r="U51">
        <v>674.62</v>
      </c>
      <c r="V51">
        <v>273.91000000000003</v>
      </c>
      <c r="W51" t="s">
        <v>31</v>
      </c>
      <c r="X51" t="s">
        <v>32</v>
      </c>
    </row>
    <row r="52" spans="1:24">
      <c r="A52" t="s">
        <v>361</v>
      </c>
      <c r="B52" s="2">
        <v>45566</v>
      </c>
      <c r="C52" s="2">
        <v>45568</v>
      </c>
      <c r="D52" s="5">
        <f>C52-B52</f>
        <v>2</v>
      </c>
      <c r="E52" s="5" t="str">
        <f>IF(D52&lt;0,"INVALID","OK")</f>
        <v>OK</v>
      </c>
      <c r="F52" t="s">
        <v>362</v>
      </c>
      <c r="G52" t="s">
        <v>140</v>
      </c>
      <c r="H52" t="s">
        <v>89</v>
      </c>
      <c r="I52" t="s">
        <v>53</v>
      </c>
      <c r="J52" t="s">
        <v>246</v>
      </c>
      <c r="K52" t="s">
        <v>247</v>
      </c>
      <c r="L52" t="s">
        <v>73</v>
      </c>
      <c r="M52" t="s">
        <v>170</v>
      </c>
      <c r="N52" t="s">
        <v>363</v>
      </c>
      <c r="O52" t="s">
        <v>30</v>
      </c>
      <c r="P52">
        <v>6</v>
      </c>
      <c r="Q52">
        <v>570.28</v>
      </c>
      <c r="R52">
        <v>0.2</v>
      </c>
      <c r="S52" t="str">
        <f t="shared" si="0"/>
        <v>OK</v>
      </c>
      <c r="T52">
        <v>2737.34</v>
      </c>
      <c r="U52">
        <v>2085.44</v>
      </c>
      <c r="V52">
        <v>651.9</v>
      </c>
      <c r="W52" t="s">
        <v>31</v>
      </c>
      <c r="X52" t="s">
        <v>32</v>
      </c>
    </row>
    <row r="53" spans="1:24">
      <c r="A53" t="s">
        <v>364</v>
      </c>
      <c r="B53" s="2">
        <v>45503</v>
      </c>
      <c r="C53" s="2">
        <v>45509</v>
      </c>
      <c r="D53" s="5">
        <f>C53-B53</f>
        <v>6</v>
      </c>
      <c r="E53" s="5" t="str">
        <f>IF(D53&lt;0,"INVALID","OK")</f>
        <v>OK</v>
      </c>
      <c r="F53" t="s">
        <v>365</v>
      </c>
      <c r="G53" t="s">
        <v>263</v>
      </c>
      <c r="H53" t="s">
        <v>89</v>
      </c>
      <c r="I53" t="s">
        <v>24</v>
      </c>
      <c r="J53" t="s">
        <v>349</v>
      </c>
      <c r="K53" t="s">
        <v>350</v>
      </c>
      <c r="L53" t="s">
        <v>27</v>
      </c>
      <c r="M53" t="s">
        <v>152</v>
      </c>
      <c r="N53" t="s">
        <v>366</v>
      </c>
      <c r="O53" t="s">
        <v>58</v>
      </c>
      <c r="P53">
        <v>1</v>
      </c>
      <c r="Q53">
        <v>608.64</v>
      </c>
      <c r="R53">
        <v>0</v>
      </c>
      <c r="S53" t="str">
        <f t="shared" si="0"/>
        <v>OK</v>
      </c>
      <c r="T53">
        <v>608.64</v>
      </c>
      <c r="U53">
        <v>343.99</v>
      </c>
      <c r="V53">
        <v>264.64999999999998</v>
      </c>
      <c r="W53" t="s">
        <v>31</v>
      </c>
      <c r="X53" t="s">
        <v>67</v>
      </c>
    </row>
    <row r="54" spans="1:24">
      <c r="A54" t="s">
        <v>367</v>
      </c>
      <c r="B54" s="2">
        <v>45474</v>
      </c>
      <c r="C54" s="2">
        <v>45474</v>
      </c>
      <c r="D54" s="5">
        <f>C54-B54</f>
        <v>0</v>
      </c>
      <c r="E54" s="5" t="str">
        <f>IF(D54&lt;0,"INVALID","OK")</f>
        <v>OK</v>
      </c>
      <c r="F54" t="s">
        <v>368</v>
      </c>
      <c r="G54" t="s">
        <v>61</v>
      </c>
      <c r="H54" t="s">
        <v>36</v>
      </c>
      <c r="I54" t="s">
        <v>24</v>
      </c>
      <c r="J54" t="s">
        <v>349</v>
      </c>
      <c r="K54" t="s">
        <v>350</v>
      </c>
      <c r="L54" t="s">
        <v>73</v>
      </c>
      <c r="M54" t="s">
        <v>79</v>
      </c>
      <c r="N54" t="s">
        <v>369</v>
      </c>
      <c r="O54" t="s">
        <v>30</v>
      </c>
      <c r="P54">
        <v>3</v>
      </c>
      <c r="Q54">
        <v>885.28</v>
      </c>
      <c r="R54">
        <v>0.1</v>
      </c>
      <c r="S54" t="str">
        <f t="shared" si="0"/>
        <v>OK</v>
      </c>
      <c r="T54">
        <v>2390.2600000000002</v>
      </c>
      <c r="U54">
        <v>1495.94</v>
      </c>
      <c r="V54">
        <v>894.32</v>
      </c>
      <c r="W54" t="s">
        <v>101</v>
      </c>
      <c r="X54" t="s">
        <v>67</v>
      </c>
    </row>
    <row r="55" spans="1:24">
      <c r="A55" t="s">
        <v>370</v>
      </c>
      <c r="B55" s="2">
        <v>45330</v>
      </c>
      <c r="C55" s="2">
        <v>45507</v>
      </c>
      <c r="D55" s="5">
        <f>C55-B55</f>
        <v>177</v>
      </c>
      <c r="E55" s="5" t="str">
        <f>IF(D55&lt;0,"INVALID","OK")</f>
        <v>OK</v>
      </c>
      <c r="F55" t="s">
        <v>371</v>
      </c>
      <c r="G55" t="s">
        <v>70</v>
      </c>
      <c r="H55" t="s">
        <v>23</v>
      </c>
      <c r="I55" t="s">
        <v>37</v>
      </c>
      <c r="J55" t="s">
        <v>165</v>
      </c>
      <c r="K55" t="s">
        <v>166</v>
      </c>
      <c r="L55" t="s">
        <v>27</v>
      </c>
      <c r="M55" t="s">
        <v>152</v>
      </c>
      <c r="N55" t="s">
        <v>372</v>
      </c>
      <c r="O55" t="s">
        <v>58</v>
      </c>
      <c r="P55">
        <v>7</v>
      </c>
      <c r="Q55">
        <v>3345.22</v>
      </c>
      <c r="R55">
        <v>0</v>
      </c>
      <c r="S55" t="str">
        <f t="shared" si="0"/>
        <v>OK</v>
      </c>
      <c r="T55">
        <v>23416.54</v>
      </c>
      <c r="U55">
        <v>15490.89</v>
      </c>
      <c r="V55">
        <v>7925.65</v>
      </c>
      <c r="W55" t="s">
        <v>31</v>
      </c>
      <c r="X55" t="s">
        <v>32</v>
      </c>
    </row>
    <row r="56" spans="1:24">
      <c r="A56" t="s">
        <v>373</v>
      </c>
      <c r="B56" s="2">
        <v>45375</v>
      </c>
      <c r="C56" s="2">
        <v>45378</v>
      </c>
      <c r="D56" s="5">
        <f>C56-B56</f>
        <v>3</v>
      </c>
      <c r="E56" s="5" t="str">
        <f>IF(D56&lt;0,"INVALID","OK")</f>
        <v>OK</v>
      </c>
      <c r="F56" t="s">
        <v>374</v>
      </c>
      <c r="G56" t="s">
        <v>140</v>
      </c>
      <c r="H56" t="s">
        <v>36</v>
      </c>
      <c r="I56" t="s">
        <v>62</v>
      </c>
      <c r="J56" t="s">
        <v>63</v>
      </c>
      <c r="K56" t="s">
        <v>64</v>
      </c>
      <c r="L56" t="s">
        <v>40</v>
      </c>
      <c r="M56" t="s">
        <v>157</v>
      </c>
      <c r="N56" t="s">
        <v>375</v>
      </c>
      <c r="O56" t="s">
        <v>58</v>
      </c>
      <c r="P56">
        <v>2</v>
      </c>
      <c r="Q56">
        <v>3284.75</v>
      </c>
      <c r="R56">
        <v>0.05</v>
      </c>
      <c r="S56" t="str">
        <f t="shared" si="0"/>
        <v>OK</v>
      </c>
      <c r="T56">
        <v>6241.02</v>
      </c>
      <c r="U56">
        <v>5345.88</v>
      </c>
      <c r="V56">
        <v>895.14</v>
      </c>
      <c r="W56" t="s">
        <v>31</v>
      </c>
      <c r="X56" t="s">
        <v>32</v>
      </c>
    </row>
    <row r="57" spans="1:24">
      <c r="A57" t="s">
        <v>376</v>
      </c>
      <c r="B57" s="2">
        <v>45540</v>
      </c>
      <c r="C57" s="2">
        <v>45540</v>
      </c>
      <c r="D57" s="5">
        <f>C57-B57</f>
        <v>0</v>
      </c>
      <c r="E57" s="5" t="str">
        <f>IF(D57&lt;0,"INVALID","OK")</f>
        <v>OK</v>
      </c>
      <c r="F57" t="s">
        <v>377</v>
      </c>
      <c r="G57" t="s">
        <v>263</v>
      </c>
      <c r="H57" t="s">
        <v>23</v>
      </c>
      <c r="I57" t="s">
        <v>53</v>
      </c>
      <c r="J57" t="s">
        <v>83</v>
      </c>
      <c r="K57" t="s">
        <v>84</v>
      </c>
      <c r="L57" t="s">
        <v>40</v>
      </c>
      <c r="M57" t="s">
        <v>157</v>
      </c>
      <c r="N57" t="s">
        <v>378</v>
      </c>
      <c r="O57" t="s">
        <v>58</v>
      </c>
      <c r="P57">
        <v>7</v>
      </c>
      <c r="Q57">
        <v>3761.09</v>
      </c>
      <c r="R57">
        <v>0.2</v>
      </c>
      <c r="S57" t="str">
        <f t="shared" si="0"/>
        <v>OK</v>
      </c>
      <c r="T57">
        <v>21062.1</v>
      </c>
      <c r="U57">
        <v>12057.13</v>
      </c>
      <c r="V57">
        <v>9004.9699999999993</v>
      </c>
      <c r="W57" t="s">
        <v>110</v>
      </c>
      <c r="X57" t="s">
        <v>67</v>
      </c>
    </row>
    <row r="58" spans="1:24">
      <c r="A58" t="s">
        <v>388</v>
      </c>
      <c r="B58" s="2">
        <v>45298</v>
      </c>
      <c r="C58" s="2">
        <v>45304</v>
      </c>
      <c r="D58" s="5">
        <f>C58-B58</f>
        <v>6</v>
      </c>
      <c r="E58" s="5" t="str">
        <f>IF(D58&lt;0,"INVALID","OK")</f>
        <v>OK</v>
      </c>
      <c r="F58" t="s">
        <v>389</v>
      </c>
      <c r="G58" t="s">
        <v>140</v>
      </c>
      <c r="H58" t="s">
        <v>89</v>
      </c>
      <c r="I58" t="s">
        <v>24</v>
      </c>
      <c r="J58" t="s">
        <v>135</v>
      </c>
      <c r="K58" t="s">
        <v>136</v>
      </c>
      <c r="L58" t="s">
        <v>27</v>
      </c>
      <c r="M58" t="s">
        <v>152</v>
      </c>
      <c r="N58" t="s">
        <v>390</v>
      </c>
      <c r="O58" t="s">
        <v>58</v>
      </c>
      <c r="P58">
        <v>7</v>
      </c>
      <c r="Q58">
        <v>2788.97</v>
      </c>
      <c r="R58">
        <v>-0.09</v>
      </c>
      <c r="S58" t="str">
        <f t="shared" si="0"/>
        <v>INVALID</v>
      </c>
      <c r="T58">
        <v>19522.79</v>
      </c>
      <c r="U58">
        <v>12455.78</v>
      </c>
      <c r="V58">
        <v>7067.01</v>
      </c>
      <c r="W58" t="s">
        <v>31</v>
      </c>
      <c r="X58" t="s">
        <v>32</v>
      </c>
    </row>
    <row r="59" spans="1:24">
      <c r="A59" t="s">
        <v>391</v>
      </c>
      <c r="B59" s="2">
        <v>45541</v>
      </c>
      <c r="C59" s="2">
        <v>45544</v>
      </c>
      <c r="D59" s="5">
        <f>C59-B59</f>
        <v>3</v>
      </c>
      <c r="E59" s="5" t="str">
        <f>IF(D59&lt;0,"INVALID","OK")</f>
        <v>OK</v>
      </c>
      <c r="F59" t="s">
        <v>392</v>
      </c>
      <c r="G59" t="s">
        <v>161</v>
      </c>
      <c r="H59" t="s">
        <v>23</v>
      </c>
      <c r="I59" t="s">
        <v>24</v>
      </c>
      <c r="J59" t="s">
        <v>235</v>
      </c>
      <c r="K59" t="s">
        <v>236</v>
      </c>
      <c r="L59" t="s">
        <v>73</v>
      </c>
      <c r="M59" t="s">
        <v>170</v>
      </c>
      <c r="N59" t="s">
        <v>393</v>
      </c>
      <c r="O59" t="s">
        <v>30</v>
      </c>
      <c r="P59">
        <v>7</v>
      </c>
      <c r="Q59">
        <v>3781.53</v>
      </c>
      <c r="R59">
        <v>0</v>
      </c>
      <c r="S59" t="str">
        <f t="shared" si="0"/>
        <v>OK</v>
      </c>
      <c r="T59">
        <v>26470.71</v>
      </c>
      <c r="U59">
        <v>21367.599999999999</v>
      </c>
      <c r="V59">
        <v>5103.1099999999997</v>
      </c>
      <c r="W59" t="s">
        <v>110</v>
      </c>
      <c r="X59" t="s">
        <v>67</v>
      </c>
    </row>
    <row r="60" spans="1:24">
      <c r="A60" t="s">
        <v>397</v>
      </c>
      <c r="B60" s="2">
        <v>45448</v>
      </c>
      <c r="C60" s="2">
        <v>45479</v>
      </c>
      <c r="D60" s="5">
        <f>C60-B60</f>
        <v>31</v>
      </c>
      <c r="E60" s="5" t="str">
        <f>IF(D60&lt;0,"INVALID","OK")</f>
        <v>OK</v>
      </c>
      <c r="F60" t="s">
        <v>398</v>
      </c>
      <c r="G60" t="s">
        <v>117</v>
      </c>
      <c r="H60" t="s">
        <v>94</v>
      </c>
      <c r="I60" t="s">
        <v>37</v>
      </c>
      <c r="J60" t="s">
        <v>38</v>
      </c>
      <c r="K60" t="s">
        <v>39</v>
      </c>
      <c r="L60" t="s">
        <v>73</v>
      </c>
      <c r="M60" t="s">
        <v>79</v>
      </c>
      <c r="N60" t="s">
        <v>399</v>
      </c>
      <c r="O60" t="s">
        <v>30</v>
      </c>
      <c r="P60">
        <v>2</v>
      </c>
      <c r="Q60">
        <v>2259.2399999999998</v>
      </c>
      <c r="R60">
        <v>0.15</v>
      </c>
      <c r="S60" t="str">
        <f t="shared" si="0"/>
        <v>OK</v>
      </c>
      <c r="T60">
        <v>3840.71</v>
      </c>
      <c r="U60">
        <v>2516.29</v>
      </c>
      <c r="V60">
        <v>1324.42</v>
      </c>
      <c r="W60" t="s">
        <v>31</v>
      </c>
      <c r="X60" t="s">
        <v>32</v>
      </c>
    </row>
    <row r="61" spans="1:24">
      <c r="A61" t="s">
        <v>403</v>
      </c>
      <c r="B61" s="2">
        <v>45317</v>
      </c>
      <c r="C61" s="2">
        <v>45323</v>
      </c>
      <c r="D61" s="5">
        <f>C61-B61</f>
        <v>6</v>
      </c>
      <c r="E61" s="5" t="str">
        <f>IF(D61&lt;0,"INVALID","OK")</f>
        <v>OK</v>
      </c>
      <c r="F61" t="s">
        <v>404</v>
      </c>
      <c r="G61" t="s">
        <v>140</v>
      </c>
      <c r="H61" t="s">
        <v>94</v>
      </c>
      <c r="I61" t="s">
        <v>53</v>
      </c>
      <c r="J61" t="s">
        <v>184</v>
      </c>
      <c r="K61" t="s">
        <v>185</v>
      </c>
      <c r="L61" t="s">
        <v>73</v>
      </c>
      <c r="M61" t="s">
        <v>79</v>
      </c>
      <c r="N61" t="s">
        <v>405</v>
      </c>
      <c r="O61" t="s">
        <v>2762</v>
      </c>
      <c r="P61">
        <v>8</v>
      </c>
      <c r="Q61">
        <v>2108.9299999999998</v>
      </c>
      <c r="R61">
        <v>0.1</v>
      </c>
      <c r="S61" t="str">
        <f t="shared" si="0"/>
        <v>OK</v>
      </c>
      <c r="T61">
        <v>15184.3</v>
      </c>
      <c r="U61">
        <v>11270.74</v>
      </c>
      <c r="V61">
        <v>3913.56</v>
      </c>
      <c r="W61" t="s">
        <v>31</v>
      </c>
      <c r="X61" t="s">
        <v>32</v>
      </c>
    </row>
    <row r="62" spans="1:24">
      <c r="A62" t="s">
        <v>412</v>
      </c>
      <c r="B62" s="2">
        <v>45465</v>
      </c>
      <c r="C62" s="2">
        <v>45469</v>
      </c>
      <c r="D62" s="5">
        <f>C62-B62</f>
        <v>4</v>
      </c>
      <c r="E62" s="5" t="str">
        <f>IF(D62&lt;0,"INVALID","OK")</f>
        <v>OK</v>
      </c>
      <c r="F62" t="s">
        <v>413</v>
      </c>
      <c r="G62" t="s">
        <v>140</v>
      </c>
      <c r="H62" t="s">
        <v>94</v>
      </c>
      <c r="I62" t="s">
        <v>37</v>
      </c>
      <c r="J62" t="s">
        <v>144</v>
      </c>
      <c r="K62" t="s">
        <v>145</v>
      </c>
      <c r="L62" t="s">
        <v>40</v>
      </c>
      <c r="M62" t="s">
        <v>56</v>
      </c>
      <c r="N62" t="s">
        <v>414</v>
      </c>
      <c r="O62" t="s">
        <v>49</v>
      </c>
      <c r="P62">
        <v>5</v>
      </c>
      <c r="Q62">
        <v>4396.5200000000004</v>
      </c>
      <c r="R62">
        <v>0.25</v>
      </c>
      <c r="S62" t="str">
        <f t="shared" si="0"/>
        <v>OK</v>
      </c>
      <c r="T62">
        <v>16486.95</v>
      </c>
      <c r="U62">
        <v>12054.14</v>
      </c>
      <c r="V62">
        <v>4432.8100000000004</v>
      </c>
      <c r="W62" t="s">
        <v>31</v>
      </c>
      <c r="X62" t="s">
        <v>32</v>
      </c>
    </row>
    <row r="63" spans="1:24">
      <c r="A63" t="s">
        <v>424</v>
      </c>
      <c r="B63" s="2">
        <v>45467</v>
      </c>
      <c r="C63" s="2">
        <v>45472</v>
      </c>
      <c r="D63" s="5">
        <f>C63-B63</f>
        <v>5</v>
      </c>
      <c r="E63" s="5" t="str">
        <f>IF(D63&lt;0,"INVALID","OK")</f>
        <v>OK</v>
      </c>
      <c r="F63" t="s">
        <v>425</v>
      </c>
      <c r="G63" t="s">
        <v>35</v>
      </c>
      <c r="H63" t="s">
        <v>94</v>
      </c>
      <c r="I63" t="s">
        <v>37</v>
      </c>
      <c r="J63" t="s">
        <v>98</v>
      </c>
      <c r="K63" t="s">
        <v>99</v>
      </c>
      <c r="L63" t="s">
        <v>40</v>
      </c>
      <c r="M63" t="s">
        <v>41</v>
      </c>
      <c r="N63" t="s">
        <v>426</v>
      </c>
      <c r="O63" t="s">
        <v>30</v>
      </c>
      <c r="P63">
        <v>2</v>
      </c>
      <c r="Q63">
        <v>685</v>
      </c>
      <c r="R63">
        <v>0.1</v>
      </c>
      <c r="S63" t="str">
        <f t="shared" si="0"/>
        <v>OK</v>
      </c>
      <c r="T63">
        <v>1233</v>
      </c>
      <c r="U63">
        <v>1006.9</v>
      </c>
      <c r="V63">
        <v>226.1</v>
      </c>
      <c r="W63" t="s">
        <v>31</v>
      </c>
      <c r="X63" t="s">
        <v>32</v>
      </c>
    </row>
    <row r="64" spans="1:24">
      <c r="A64" t="s">
        <v>427</v>
      </c>
      <c r="B64" s="2">
        <v>45342</v>
      </c>
      <c r="C64" s="2">
        <v>45350</v>
      </c>
      <c r="D64" s="5">
        <f>C64-B64</f>
        <v>8</v>
      </c>
      <c r="E64" s="5" t="str">
        <f>IF(D64&lt;0,"INVALID","OK")</f>
        <v>OK</v>
      </c>
      <c r="F64" t="s">
        <v>428</v>
      </c>
      <c r="G64" t="s">
        <v>52</v>
      </c>
      <c r="H64" t="s">
        <v>94</v>
      </c>
      <c r="I64" t="s">
        <v>37</v>
      </c>
      <c r="J64" t="s">
        <v>98</v>
      </c>
      <c r="K64" t="s">
        <v>99</v>
      </c>
      <c r="L64" t="s">
        <v>27</v>
      </c>
      <c r="M64" t="s">
        <v>28</v>
      </c>
      <c r="N64" t="s">
        <v>429</v>
      </c>
      <c r="O64" t="s">
        <v>58</v>
      </c>
      <c r="P64">
        <v>2</v>
      </c>
      <c r="Q64">
        <v>4004.04</v>
      </c>
      <c r="R64">
        <v>0</v>
      </c>
      <c r="S64" t="str">
        <f t="shared" si="0"/>
        <v>OK</v>
      </c>
      <c r="T64">
        <v>7207.27</v>
      </c>
      <c r="U64">
        <v>5709.39</v>
      </c>
      <c r="V64">
        <v>1497.88</v>
      </c>
      <c r="W64" t="s">
        <v>31</v>
      </c>
      <c r="X64" t="s">
        <v>67</v>
      </c>
    </row>
    <row r="65" spans="1:24">
      <c r="A65" t="s">
        <v>430</v>
      </c>
      <c r="B65" s="2">
        <v>45594</v>
      </c>
      <c r="C65" s="2">
        <v>45600</v>
      </c>
      <c r="D65" s="5">
        <f>C65-B65</f>
        <v>6</v>
      </c>
      <c r="E65" s="5" t="str">
        <f>IF(D65&lt;0,"INVALID","OK")</f>
        <v>OK</v>
      </c>
      <c r="F65" t="s">
        <v>431</v>
      </c>
      <c r="G65" t="s">
        <v>140</v>
      </c>
      <c r="H65" t="s">
        <v>94</v>
      </c>
      <c r="I65" t="s">
        <v>37</v>
      </c>
      <c r="J65" t="s">
        <v>98</v>
      </c>
      <c r="K65" t="s">
        <v>99</v>
      </c>
      <c r="L65" t="s">
        <v>40</v>
      </c>
      <c r="M65" t="s">
        <v>56</v>
      </c>
      <c r="N65" t="s">
        <v>432</v>
      </c>
      <c r="O65" t="s">
        <v>49</v>
      </c>
      <c r="P65">
        <v>3</v>
      </c>
      <c r="Q65">
        <v>4302.8900000000003</v>
      </c>
      <c r="R65">
        <v>0.05</v>
      </c>
      <c r="S65" t="str">
        <f t="shared" si="0"/>
        <v>OK</v>
      </c>
      <c r="T65">
        <v>12263.24</v>
      </c>
      <c r="U65">
        <v>8925.57</v>
      </c>
      <c r="V65">
        <v>3337.67</v>
      </c>
      <c r="W65" t="s">
        <v>31</v>
      </c>
      <c r="X65" t="s">
        <v>32</v>
      </c>
    </row>
    <row r="66" spans="1:24">
      <c r="A66" t="s">
        <v>433</v>
      </c>
      <c r="B66" s="2">
        <v>45519</v>
      </c>
      <c r="C66" s="2">
        <v>45527</v>
      </c>
      <c r="D66" s="5">
        <f>C66-B66</f>
        <v>8</v>
      </c>
      <c r="E66" s="5" t="str">
        <f>IF(D66&lt;0,"INVALID","OK")</f>
        <v>OK</v>
      </c>
      <c r="F66" t="s">
        <v>434</v>
      </c>
      <c r="G66" t="s">
        <v>88</v>
      </c>
      <c r="H66" t="s">
        <v>36</v>
      </c>
      <c r="I66" t="s">
        <v>37</v>
      </c>
      <c r="J66" t="s">
        <v>38</v>
      </c>
      <c r="K66" t="s">
        <v>39</v>
      </c>
      <c r="L66" t="s">
        <v>40</v>
      </c>
      <c r="M66" t="s">
        <v>157</v>
      </c>
      <c r="N66" t="s">
        <v>435</v>
      </c>
      <c r="O66" t="s">
        <v>43</v>
      </c>
      <c r="P66">
        <v>2</v>
      </c>
      <c r="Q66">
        <v>537.54</v>
      </c>
      <c r="R66">
        <v>0.25</v>
      </c>
      <c r="S66" t="str">
        <f t="shared" si="0"/>
        <v>OK</v>
      </c>
      <c r="T66">
        <v>806.31</v>
      </c>
      <c r="U66">
        <v>498.5</v>
      </c>
      <c r="V66">
        <v>307.81</v>
      </c>
      <c r="W66" t="s">
        <v>31</v>
      </c>
      <c r="X66" t="s">
        <v>32</v>
      </c>
    </row>
    <row r="67" spans="1:24">
      <c r="A67" t="s">
        <v>439</v>
      </c>
      <c r="B67" s="2">
        <v>45583</v>
      </c>
      <c r="C67" s="2">
        <v>45589</v>
      </c>
      <c r="D67" s="5">
        <f>C67-B67</f>
        <v>6</v>
      </c>
      <c r="E67" s="5" t="str">
        <f>IF(D67&lt;0,"INVALID","OK")</f>
        <v>OK</v>
      </c>
      <c r="F67" t="s">
        <v>440</v>
      </c>
      <c r="G67" t="s">
        <v>70</v>
      </c>
      <c r="H67" t="s">
        <v>89</v>
      </c>
      <c r="I67" t="s">
        <v>53</v>
      </c>
      <c r="J67" t="s">
        <v>184</v>
      </c>
      <c r="K67" t="s">
        <v>185</v>
      </c>
      <c r="L67" t="s">
        <v>27</v>
      </c>
      <c r="M67" t="s">
        <v>90</v>
      </c>
      <c r="N67" t="s">
        <v>441</v>
      </c>
      <c r="O67" t="s">
        <v>49</v>
      </c>
      <c r="P67">
        <v>2</v>
      </c>
      <c r="Q67">
        <v>2250.4699999999998</v>
      </c>
      <c r="R67">
        <v>0</v>
      </c>
      <c r="S67" t="str">
        <f t="shared" ref="S67:S130" si="1">IF(R67&lt;0,"INVALID",IF(R67&gt;0.5,"INVALID","OK"))</f>
        <v>OK</v>
      </c>
      <c r="T67">
        <v>4500.9399999999996</v>
      </c>
      <c r="U67">
        <v>2607.73</v>
      </c>
      <c r="V67">
        <v>1893.21</v>
      </c>
      <c r="W67" t="s">
        <v>101</v>
      </c>
      <c r="X67" t="s">
        <v>67</v>
      </c>
    </row>
    <row r="68" spans="1:24">
      <c r="A68" t="s">
        <v>445</v>
      </c>
      <c r="B68" s="2">
        <v>45301</v>
      </c>
      <c r="C68" s="2">
        <v>45305</v>
      </c>
      <c r="D68" s="5">
        <f>C68-B68</f>
        <v>4</v>
      </c>
      <c r="E68" s="5" t="str">
        <f>IF(D68&lt;0,"INVALID","OK")</f>
        <v>OK</v>
      </c>
      <c r="F68" t="s">
        <v>446</v>
      </c>
      <c r="G68" t="s">
        <v>131</v>
      </c>
      <c r="H68" t="s">
        <v>23</v>
      </c>
      <c r="I68" t="s">
        <v>2762</v>
      </c>
      <c r="J68" t="s">
        <v>179</v>
      </c>
      <c r="K68" t="s">
        <v>180</v>
      </c>
      <c r="L68" t="s">
        <v>73</v>
      </c>
      <c r="M68" t="s">
        <v>74</v>
      </c>
      <c r="N68" t="s">
        <v>447</v>
      </c>
      <c r="O68" t="s">
        <v>58</v>
      </c>
      <c r="P68">
        <v>3</v>
      </c>
      <c r="Q68">
        <v>3829.48</v>
      </c>
      <c r="R68">
        <v>0.05</v>
      </c>
      <c r="S68" t="str">
        <f t="shared" si="1"/>
        <v>OK</v>
      </c>
      <c r="T68">
        <v>10914.02</v>
      </c>
      <c r="U68">
        <v>6548.74</v>
      </c>
      <c r="V68">
        <v>4365.28</v>
      </c>
      <c r="W68" t="s">
        <v>31</v>
      </c>
      <c r="X68" t="s">
        <v>32</v>
      </c>
    </row>
    <row r="69" spans="1:24">
      <c r="A69" t="s">
        <v>448</v>
      </c>
      <c r="B69" s="2">
        <v>45628</v>
      </c>
      <c r="C69" s="2">
        <v>45628</v>
      </c>
      <c r="D69" s="5">
        <f>C69-B69</f>
        <v>0</v>
      </c>
      <c r="E69" s="5" t="str">
        <f>IF(D69&lt;0,"INVALID","OK")</f>
        <v>OK</v>
      </c>
      <c r="F69" t="s">
        <v>359</v>
      </c>
      <c r="G69" t="s">
        <v>46</v>
      </c>
      <c r="H69" t="s">
        <v>94</v>
      </c>
      <c r="I69" t="s">
        <v>53</v>
      </c>
      <c r="J69" t="s">
        <v>246</v>
      </c>
      <c r="K69" t="s">
        <v>247</v>
      </c>
      <c r="L69" t="s">
        <v>40</v>
      </c>
      <c r="M69" t="s">
        <v>41</v>
      </c>
      <c r="N69" t="s">
        <v>449</v>
      </c>
      <c r="O69" t="s">
        <v>58</v>
      </c>
      <c r="P69">
        <v>3</v>
      </c>
      <c r="Q69">
        <v>1089.1500000000001</v>
      </c>
      <c r="R69">
        <v>0.25</v>
      </c>
      <c r="S69" t="str">
        <f t="shared" si="1"/>
        <v>OK</v>
      </c>
      <c r="T69">
        <v>2450.59</v>
      </c>
      <c r="U69">
        <v>1639.89</v>
      </c>
      <c r="V69">
        <v>810.7</v>
      </c>
      <c r="W69" t="s">
        <v>31</v>
      </c>
      <c r="X69" t="s">
        <v>32</v>
      </c>
    </row>
    <row r="70" spans="1:24">
      <c r="A70" t="s">
        <v>450</v>
      </c>
      <c r="B70" s="2">
        <v>45560</v>
      </c>
      <c r="C70" s="2">
        <v>45565</v>
      </c>
      <c r="D70" s="5">
        <f>C70-B70</f>
        <v>5</v>
      </c>
      <c r="E70" s="5" t="str">
        <f>IF(D70&lt;0,"INVALID","OK")</f>
        <v>OK</v>
      </c>
      <c r="F70" t="s">
        <v>451</v>
      </c>
      <c r="G70" t="s">
        <v>78</v>
      </c>
      <c r="H70" t="s">
        <v>36</v>
      </c>
      <c r="I70" t="s">
        <v>24</v>
      </c>
      <c r="J70" t="s">
        <v>25</v>
      </c>
      <c r="K70" t="s">
        <v>26</v>
      </c>
      <c r="L70" t="s">
        <v>73</v>
      </c>
      <c r="M70" t="s">
        <v>74</v>
      </c>
      <c r="N70" t="s">
        <v>452</v>
      </c>
      <c r="O70" t="s">
        <v>30</v>
      </c>
      <c r="P70">
        <v>1</v>
      </c>
      <c r="Q70">
        <v>4388.3999999999996</v>
      </c>
      <c r="R70">
        <v>0.1</v>
      </c>
      <c r="S70" t="str">
        <f t="shared" si="1"/>
        <v>OK</v>
      </c>
      <c r="T70">
        <v>3949.56</v>
      </c>
      <c r="U70">
        <v>3186.73</v>
      </c>
      <c r="V70">
        <v>762.83</v>
      </c>
      <c r="W70" t="s">
        <v>110</v>
      </c>
      <c r="X70" t="s">
        <v>67</v>
      </c>
    </row>
    <row r="71" spans="1:24">
      <c r="A71" t="s">
        <v>453</v>
      </c>
      <c r="B71" s="2">
        <v>45653</v>
      </c>
      <c r="C71" s="2">
        <v>45658</v>
      </c>
      <c r="D71" s="5">
        <f>C71-B71</f>
        <v>5</v>
      </c>
      <c r="E71" s="5" t="str">
        <f>IF(D71&lt;0,"INVALID","OK")</f>
        <v>OK</v>
      </c>
      <c r="F71" t="s">
        <v>454</v>
      </c>
      <c r="G71" t="s">
        <v>263</v>
      </c>
      <c r="H71" t="s">
        <v>89</v>
      </c>
      <c r="I71" t="s">
        <v>53</v>
      </c>
      <c r="J71" t="s">
        <v>246</v>
      </c>
      <c r="K71" t="s">
        <v>247</v>
      </c>
      <c r="L71" t="s">
        <v>27</v>
      </c>
      <c r="M71" t="s">
        <v>152</v>
      </c>
      <c r="N71" t="s">
        <v>455</v>
      </c>
      <c r="O71" t="s">
        <v>43</v>
      </c>
      <c r="P71">
        <v>2</v>
      </c>
      <c r="Q71">
        <v>446.34</v>
      </c>
      <c r="R71">
        <v>0.15</v>
      </c>
      <c r="S71" t="str">
        <f t="shared" si="1"/>
        <v>OK</v>
      </c>
      <c r="T71">
        <v>758.78</v>
      </c>
      <c r="U71">
        <v>490.74</v>
      </c>
      <c r="V71">
        <v>268.04000000000002</v>
      </c>
      <c r="W71" t="s">
        <v>31</v>
      </c>
      <c r="X71" t="s">
        <v>67</v>
      </c>
    </row>
    <row r="72" spans="1:24">
      <c r="A72" t="s">
        <v>459</v>
      </c>
      <c r="B72" s="2">
        <v>45337</v>
      </c>
      <c r="C72" s="2">
        <v>45339</v>
      </c>
      <c r="D72" s="5">
        <f>C72-B72</f>
        <v>2</v>
      </c>
      <c r="E72" s="5" t="str">
        <f>IF(D72&lt;0,"INVALID","OK")</f>
        <v>OK</v>
      </c>
      <c r="F72" t="s">
        <v>460</v>
      </c>
      <c r="G72" t="s">
        <v>35</v>
      </c>
      <c r="H72" t="s">
        <v>94</v>
      </c>
      <c r="I72" t="s">
        <v>53</v>
      </c>
      <c r="J72" t="s">
        <v>246</v>
      </c>
      <c r="K72" t="s">
        <v>247</v>
      </c>
      <c r="L72" t="s">
        <v>73</v>
      </c>
      <c r="M72" t="s">
        <v>273</v>
      </c>
      <c r="N72" t="s">
        <v>461</v>
      </c>
      <c r="O72" t="s">
        <v>58</v>
      </c>
      <c r="P72">
        <v>9</v>
      </c>
      <c r="Q72">
        <v>3324.55</v>
      </c>
      <c r="R72" t="s">
        <v>462</v>
      </c>
      <c r="S72" t="str">
        <f t="shared" si="1"/>
        <v>INVALID</v>
      </c>
      <c r="T72">
        <v>25432.81</v>
      </c>
      <c r="U72">
        <v>20370.16</v>
      </c>
      <c r="V72">
        <v>5062.6499999999996</v>
      </c>
      <c r="W72" t="s">
        <v>31</v>
      </c>
      <c r="X72" t="s">
        <v>32</v>
      </c>
    </row>
    <row r="73" spans="1:24">
      <c r="A73" t="s">
        <v>463</v>
      </c>
      <c r="B73" s="2">
        <v>45453</v>
      </c>
      <c r="C73" s="2">
        <v>45461</v>
      </c>
      <c r="D73" s="5">
        <f>C73-B73</f>
        <v>8</v>
      </c>
      <c r="E73" s="5" t="str">
        <f>IF(D73&lt;0,"INVALID","OK")</f>
        <v>OK</v>
      </c>
      <c r="F73" t="s">
        <v>464</v>
      </c>
      <c r="G73" t="s">
        <v>70</v>
      </c>
      <c r="H73" t="s">
        <v>94</v>
      </c>
      <c r="I73" t="s">
        <v>53</v>
      </c>
      <c r="J73" t="s">
        <v>83</v>
      </c>
      <c r="K73" t="s">
        <v>84</v>
      </c>
      <c r="L73" t="s">
        <v>73</v>
      </c>
      <c r="M73" t="s">
        <v>79</v>
      </c>
      <c r="N73" t="s">
        <v>465</v>
      </c>
      <c r="O73" t="s">
        <v>43</v>
      </c>
      <c r="P73">
        <v>5</v>
      </c>
      <c r="Q73">
        <v>1580.27</v>
      </c>
      <c r="R73">
        <v>0.2</v>
      </c>
      <c r="S73" t="str">
        <f t="shared" si="1"/>
        <v>OK</v>
      </c>
      <c r="T73">
        <v>6321.08</v>
      </c>
      <c r="U73">
        <v>4407.22</v>
      </c>
      <c r="V73">
        <v>1913.86</v>
      </c>
      <c r="W73" t="s">
        <v>31</v>
      </c>
      <c r="X73" t="s">
        <v>32</v>
      </c>
    </row>
    <row r="74" spans="1:24">
      <c r="A74" t="s">
        <v>466</v>
      </c>
      <c r="B74" s="2">
        <v>45455</v>
      </c>
      <c r="C74" s="2">
        <v>45462</v>
      </c>
      <c r="D74" s="5">
        <f>C74-B74</f>
        <v>7</v>
      </c>
      <c r="E74" s="5" t="str">
        <f>IF(D74&lt;0,"INVALID","OK")</f>
        <v>OK</v>
      </c>
      <c r="F74" t="s">
        <v>467</v>
      </c>
      <c r="G74" t="s">
        <v>88</v>
      </c>
      <c r="H74" t="s">
        <v>36</v>
      </c>
      <c r="I74" t="s">
        <v>53</v>
      </c>
      <c r="J74" t="s">
        <v>184</v>
      </c>
      <c r="K74" t="s">
        <v>185</v>
      </c>
      <c r="L74" t="s">
        <v>40</v>
      </c>
      <c r="M74" t="s">
        <v>65</v>
      </c>
      <c r="N74" t="s">
        <v>468</v>
      </c>
      <c r="O74" t="s">
        <v>58</v>
      </c>
      <c r="P74">
        <v>8</v>
      </c>
      <c r="Q74">
        <v>314.05</v>
      </c>
      <c r="R74">
        <v>0.25</v>
      </c>
      <c r="S74" t="str">
        <f t="shared" si="1"/>
        <v>OK</v>
      </c>
      <c r="T74">
        <v>1884.3</v>
      </c>
      <c r="U74">
        <v>1517.69</v>
      </c>
      <c r="V74">
        <v>366.61</v>
      </c>
      <c r="W74" t="s">
        <v>101</v>
      </c>
      <c r="X74" t="s">
        <v>102</v>
      </c>
    </row>
    <row r="75" spans="1:24">
      <c r="A75" t="s">
        <v>469</v>
      </c>
      <c r="B75" s="2">
        <v>45514</v>
      </c>
      <c r="C75" s="2">
        <v>45522</v>
      </c>
      <c r="D75" s="5">
        <f>C75-B75</f>
        <v>8</v>
      </c>
      <c r="E75" s="5" t="str">
        <f>IF(D75&lt;0,"INVALID","OK")</f>
        <v>OK</v>
      </c>
      <c r="F75" t="s">
        <v>470</v>
      </c>
      <c r="G75" t="s">
        <v>131</v>
      </c>
      <c r="H75" t="s">
        <v>36</v>
      </c>
      <c r="I75" t="s">
        <v>37</v>
      </c>
      <c r="J75" t="s">
        <v>144</v>
      </c>
      <c r="K75" t="s">
        <v>145</v>
      </c>
      <c r="L75" t="s">
        <v>73</v>
      </c>
      <c r="M75" t="s">
        <v>170</v>
      </c>
      <c r="N75" t="s">
        <v>471</v>
      </c>
      <c r="O75" t="s">
        <v>58</v>
      </c>
      <c r="P75">
        <v>1</v>
      </c>
      <c r="Q75">
        <v>1823.67</v>
      </c>
      <c r="R75">
        <v>0.2</v>
      </c>
      <c r="S75" t="str">
        <f t="shared" si="1"/>
        <v>OK</v>
      </c>
      <c r="T75">
        <v>1458.94</v>
      </c>
      <c r="U75">
        <v>893.2</v>
      </c>
      <c r="V75">
        <v>565.74</v>
      </c>
      <c r="W75" t="s">
        <v>31</v>
      </c>
      <c r="X75" t="s">
        <v>102</v>
      </c>
    </row>
    <row r="76" spans="1:24">
      <c r="A76" t="s">
        <v>475</v>
      </c>
      <c r="B76" s="2">
        <v>45626</v>
      </c>
      <c r="C76" s="2">
        <v>45394</v>
      </c>
      <c r="D76" s="5">
        <f>C76-B76</f>
        <v>-232</v>
      </c>
      <c r="E76" s="5" t="str">
        <f>IF(D76&lt;0,"INVALID","OK")</f>
        <v>INVALID</v>
      </c>
      <c r="F76" t="s">
        <v>476</v>
      </c>
      <c r="G76" t="s">
        <v>61</v>
      </c>
      <c r="H76" t="s">
        <v>36</v>
      </c>
      <c r="I76" t="s">
        <v>37</v>
      </c>
      <c r="J76" t="s">
        <v>165</v>
      </c>
      <c r="K76" t="s">
        <v>166</v>
      </c>
      <c r="L76" t="s">
        <v>40</v>
      </c>
      <c r="M76" t="s">
        <v>65</v>
      </c>
      <c r="N76" t="s">
        <v>477</v>
      </c>
      <c r="O76" t="s">
        <v>30</v>
      </c>
      <c r="P76">
        <v>3</v>
      </c>
      <c r="Q76">
        <v>170.35</v>
      </c>
      <c r="R76">
        <v>0</v>
      </c>
      <c r="S76" t="str">
        <f t="shared" si="1"/>
        <v>OK</v>
      </c>
      <c r="T76">
        <v>511.05</v>
      </c>
      <c r="U76">
        <v>367.18</v>
      </c>
      <c r="V76">
        <v>143.87</v>
      </c>
      <c r="W76" t="s">
        <v>31</v>
      </c>
      <c r="X76" t="s">
        <v>32</v>
      </c>
    </row>
    <row r="77" spans="1:24">
      <c r="A77" t="s">
        <v>478</v>
      </c>
      <c r="B77" s="2">
        <v>45436</v>
      </c>
      <c r="C77" s="2">
        <v>45437</v>
      </c>
      <c r="D77" s="5">
        <f>C77-B77</f>
        <v>1</v>
      </c>
      <c r="E77" s="5" t="str">
        <f>IF(D77&lt;0,"INVALID","OK")</f>
        <v>OK</v>
      </c>
      <c r="F77" t="s">
        <v>479</v>
      </c>
      <c r="G77" t="s">
        <v>131</v>
      </c>
      <c r="H77" t="s">
        <v>36</v>
      </c>
      <c r="I77" t="s">
        <v>24</v>
      </c>
      <c r="J77" t="s">
        <v>121</v>
      </c>
      <c r="K77" t="s">
        <v>122</v>
      </c>
      <c r="L77" t="s">
        <v>73</v>
      </c>
      <c r="M77" t="s">
        <v>79</v>
      </c>
      <c r="N77" t="s">
        <v>480</v>
      </c>
      <c r="O77" t="s">
        <v>43</v>
      </c>
      <c r="P77">
        <v>1</v>
      </c>
      <c r="Q77">
        <v>634.13</v>
      </c>
      <c r="R77">
        <v>0</v>
      </c>
      <c r="S77" t="str">
        <f t="shared" si="1"/>
        <v>OK</v>
      </c>
      <c r="T77">
        <v>634.13</v>
      </c>
      <c r="U77">
        <v>453.35</v>
      </c>
      <c r="V77">
        <v>180.78</v>
      </c>
      <c r="W77" t="s">
        <v>101</v>
      </c>
      <c r="X77" t="s">
        <v>67</v>
      </c>
    </row>
    <row r="78" spans="1:24">
      <c r="A78" t="s">
        <v>478</v>
      </c>
      <c r="B78" s="2">
        <v>45436</v>
      </c>
      <c r="C78" s="2">
        <v>45437</v>
      </c>
      <c r="D78" s="5">
        <f>C78-B78</f>
        <v>1</v>
      </c>
      <c r="E78" s="5" t="str">
        <f>IF(D78&lt;0,"INVALID","OK")</f>
        <v>OK</v>
      </c>
      <c r="F78" t="s">
        <v>479</v>
      </c>
      <c r="G78" t="s">
        <v>131</v>
      </c>
      <c r="H78" t="s">
        <v>36</v>
      </c>
      <c r="I78" t="s">
        <v>24</v>
      </c>
      <c r="J78" t="s">
        <v>121</v>
      </c>
      <c r="K78" t="s">
        <v>122</v>
      </c>
      <c r="L78" t="s">
        <v>73</v>
      </c>
      <c r="M78" t="s">
        <v>79</v>
      </c>
      <c r="N78" t="s">
        <v>480</v>
      </c>
      <c r="O78" t="s">
        <v>43</v>
      </c>
      <c r="P78">
        <v>1</v>
      </c>
      <c r="Q78">
        <v>634.13</v>
      </c>
      <c r="R78">
        <v>0</v>
      </c>
      <c r="S78" t="str">
        <f t="shared" si="1"/>
        <v>OK</v>
      </c>
      <c r="T78">
        <v>808.67</v>
      </c>
      <c r="U78">
        <v>453.35</v>
      </c>
      <c r="V78">
        <v>180.78</v>
      </c>
      <c r="W78" t="s">
        <v>101</v>
      </c>
      <c r="X78" t="s">
        <v>102</v>
      </c>
    </row>
    <row r="79" spans="1:24">
      <c r="A79" t="s">
        <v>481</v>
      </c>
      <c r="B79" s="2">
        <v>45494</v>
      </c>
      <c r="C79" s="2">
        <v>45497</v>
      </c>
      <c r="D79" s="5">
        <f>C79-B79</f>
        <v>3</v>
      </c>
      <c r="E79" s="5" t="str">
        <f>IF(D79&lt;0,"INVALID","OK")</f>
        <v>OK</v>
      </c>
      <c r="F79" t="s">
        <v>482</v>
      </c>
      <c r="G79" t="s">
        <v>46</v>
      </c>
      <c r="H79" t="s">
        <v>89</v>
      </c>
      <c r="I79" t="s">
        <v>53</v>
      </c>
      <c r="J79" t="s">
        <v>174</v>
      </c>
      <c r="K79" t="s">
        <v>175</v>
      </c>
      <c r="L79" t="s">
        <v>73</v>
      </c>
      <c r="M79" t="s">
        <v>79</v>
      </c>
      <c r="N79" t="s">
        <v>483</v>
      </c>
      <c r="O79" t="s">
        <v>58</v>
      </c>
      <c r="P79">
        <v>9</v>
      </c>
      <c r="Q79">
        <v>465.06</v>
      </c>
      <c r="R79">
        <v>-0.15</v>
      </c>
      <c r="S79" t="str">
        <f t="shared" si="1"/>
        <v>INVALID</v>
      </c>
      <c r="T79">
        <v>4185.54</v>
      </c>
      <c r="U79">
        <v>3443.74</v>
      </c>
      <c r="V79">
        <v>741.8</v>
      </c>
      <c r="W79" t="s">
        <v>31</v>
      </c>
      <c r="X79" t="s">
        <v>32</v>
      </c>
    </row>
    <row r="80" spans="1:24">
      <c r="A80" t="s">
        <v>493</v>
      </c>
      <c r="B80" s="2">
        <v>45639</v>
      </c>
      <c r="C80" s="2">
        <v>45642</v>
      </c>
      <c r="D80" s="5">
        <f>C80-B80</f>
        <v>3</v>
      </c>
      <c r="E80" s="5" t="str">
        <f>IF(D80&lt;0,"INVALID","OK")</f>
        <v>OK</v>
      </c>
      <c r="F80" t="s">
        <v>494</v>
      </c>
      <c r="G80" t="s">
        <v>78</v>
      </c>
      <c r="H80" t="s">
        <v>36</v>
      </c>
      <c r="I80" t="s">
        <v>37</v>
      </c>
      <c r="J80" t="s">
        <v>38</v>
      </c>
      <c r="K80" t="s">
        <v>39</v>
      </c>
      <c r="L80" t="s">
        <v>40</v>
      </c>
      <c r="M80" t="s">
        <v>56</v>
      </c>
      <c r="N80" t="s">
        <v>495</v>
      </c>
      <c r="O80" t="s">
        <v>58</v>
      </c>
      <c r="P80">
        <v>5</v>
      </c>
      <c r="Q80">
        <v>923.45</v>
      </c>
      <c r="R80">
        <v>0.05</v>
      </c>
      <c r="S80" t="str">
        <f t="shared" si="1"/>
        <v>OK</v>
      </c>
      <c r="T80">
        <v>4386.3900000000003</v>
      </c>
      <c r="U80">
        <v>3366.88</v>
      </c>
      <c r="V80">
        <v>1019.51</v>
      </c>
      <c r="W80" t="s">
        <v>31</v>
      </c>
      <c r="X80" t="s">
        <v>102</v>
      </c>
    </row>
    <row r="81" spans="1:24">
      <c r="A81" t="s">
        <v>496</v>
      </c>
      <c r="B81" s="2">
        <v>45492</v>
      </c>
      <c r="C81" s="2">
        <v>45498</v>
      </c>
      <c r="D81" s="5">
        <f>C81-B81</f>
        <v>6</v>
      </c>
      <c r="E81" s="5" t="str">
        <f>IF(D81&lt;0,"INVALID","OK")</f>
        <v>OK</v>
      </c>
      <c r="F81" t="s">
        <v>497</v>
      </c>
      <c r="G81" t="s">
        <v>46</v>
      </c>
      <c r="H81" t="s">
        <v>36</v>
      </c>
      <c r="I81" t="s">
        <v>62</v>
      </c>
      <c r="J81" t="s">
        <v>189</v>
      </c>
      <c r="K81" t="s">
        <v>190</v>
      </c>
      <c r="L81" t="s">
        <v>27</v>
      </c>
      <c r="M81" t="s">
        <v>152</v>
      </c>
      <c r="N81" t="s">
        <v>498</v>
      </c>
      <c r="O81" t="s">
        <v>58</v>
      </c>
      <c r="P81">
        <v>7</v>
      </c>
      <c r="Q81">
        <v>2741.29</v>
      </c>
      <c r="R81">
        <v>0.05</v>
      </c>
      <c r="S81" t="str">
        <f t="shared" si="1"/>
        <v>OK</v>
      </c>
      <c r="T81">
        <v>18229.580000000002</v>
      </c>
      <c r="U81">
        <v>15139.15</v>
      </c>
      <c r="V81">
        <v>3090.43</v>
      </c>
      <c r="W81" t="s">
        <v>31</v>
      </c>
      <c r="X81" t="s">
        <v>32</v>
      </c>
    </row>
    <row r="82" spans="1:24">
      <c r="A82" t="s">
        <v>499</v>
      </c>
      <c r="B82" s="2">
        <v>45318</v>
      </c>
      <c r="C82" s="2">
        <v>45324</v>
      </c>
      <c r="D82" s="5">
        <f>C82-B82</f>
        <v>6</v>
      </c>
      <c r="E82" s="5" t="str">
        <f>IF(D82&lt;0,"INVALID","OK")</f>
        <v>OK</v>
      </c>
      <c r="F82" t="s">
        <v>500</v>
      </c>
      <c r="G82" t="s">
        <v>52</v>
      </c>
      <c r="H82" t="s">
        <v>23</v>
      </c>
      <c r="I82" t="s">
        <v>62</v>
      </c>
      <c r="J82" t="s">
        <v>179</v>
      </c>
      <c r="K82" t="s">
        <v>180</v>
      </c>
      <c r="L82" t="s">
        <v>27</v>
      </c>
      <c r="M82" t="s">
        <v>90</v>
      </c>
      <c r="N82" t="s">
        <v>501</v>
      </c>
      <c r="O82" t="s">
        <v>43</v>
      </c>
      <c r="P82">
        <v>5</v>
      </c>
      <c r="Q82">
        <v>218.42</v>
      </c>
      <c r="R82">
        <v>0.2</v>
      </c>
      <c r="S82" t="str">
        <f t="shared" si="1"/>
        <v>OK</v>
      </c>
      <c r="T82">
        <v>873.68</v>
      </c>
      <c r="U82">
        <v>661.72</v>
      </c>
      <c r="V82">
        <v>211.96</v>
      </c>
      <c r="W82" t="s">
        <v>110</v>
      </c>
      <c r="X82" t="s">
        <v>67</v>
      </c>
    </row>
    <row r="83" spans="1:24">
      <c r="A83" t="s">
        <v>505</v>
      </c>
      <c r="B83" s="2">
        <v>45600</v>
      </c>
      <c r="C83" s="2">
        <v>45600</v>
      </c>
      <c r="D83" s="5">
        <f>C83-B83</f>
        <v>0</v>
      </c>
      <c r="E83" s="5" t="str">
        <f>IF(D83&lt;0,"INVALID","OK")</f>
        <v>OK</v>
      </c>
      <c r="F83" t="s">
        <v>506</v>
      </c>
      <c r="G83" t="s">
        <v>263</v>
      </c>
      <c r="H83" t="s">
        <v>89</v>
      </c>
      <c r="I83" t="s">
        <v>37</v>
      </c>
      <c r="J83" t="s">
        <v>165</v>
      </c>
      <c r="K83" t="s">
        <v>166</v>
      </c>
      <c r="L83" t="s">
        <v>73</v>
      </c>
      <c r="M83" t="s">
        <v>273</v>
      </c>
      <c r="N83" t="s">
        <v>507</v>
      </c>
      <c r="O83" t="s">
        <v>49</v>
      </c>
      <c r="P83">
        <v>2</v>
      </c>
      <c r="Q83">
        <v>533.08000000000004</v>
      </c>
      <c r="R83">
        <v>0</v>
      </c>
      <c r="S83" t="str">
        <f t="shared" si="1"/>
        <v>OK</v>
      </c>
      <c r="T83">
        <v>1066.1600000000001</v>
      </c>
      <c r="U83">
        <v>656.3</v>
      </c>
      <c r="V83">
        <v>409.86</v>
      </c>
      <c r="W83" t="s">
        <v>154</v>
      </c>
      <c r="X83" t="s">
        <v>67</v>
      </c>
    </row>
    <row r="84" spans="1:24">
      <c r="A84" t="s">
        <v>508</v>
      </c>
      <c r="B84" s="2">
        <v>45639</v>
      </c>
      <c r="C84" s="2">
        <v>45644</v>
      </c>
      <c r="D84" s="5">
        <f>C84-B84</f>
        <v>5</v>
      </c>
      <c r="E84" s="5" t="str">
        <f>IF(D84&lt;0,"INVALID","OK")</f>
        <v>OK</v>
      </c>
      <c r="F84" t="s">
        <v>509</v>
      </c>
      <c r="G84" t="s">
        <v>22</v>
      </c>
      <c r="H84" t="s">
        <v>23</v>
      </c>
      <c r="I84" t="s">
        <v>62</v>
      </c>
      <c r="J84" t="s">
        <v>189</v>
      </c>
      <c r="K84" t="s">
        <v>190</v>
      </c>
      <c r="L84" t="s">
        <v>73</v>
      </c>
      <c r="M84" t="s">
        <v>170</v>
      </c>
      <c r="N84" t="s">
        <v>510</v>
      </c>
      <c r="O84" t="s">
        <v>30</v>
      </c>
      <c r="P84">
        <v>8</v>
      </c>
      <c r="Q84">
        <v>3372.15</v>
      </c>
      <c r="R84">
        <v>0.15</v>
      </c>
      <c r="S84" t="str">
        <f t="shared" si="1"/>
        <v>OK</v>
      </c>
      <c r="T84">
        <v>22930.62</v>
      </c>
      <c r="U84">
        <v>16875.55</v>
      </c>
      <c r="V84">
        <v>6055.07</v>
      </c>
      <c r="W84" t="s">
        <v>31</v>
      </c>
      <c r="X84" t="s">
        <v>32</v>
      </c>
    </row>
    <row r="85" spans="1:24">
      <c r="A85" t="s">
        <v>523</v>
      </c>
      <c r="B85" s="2">
        <v>45311</v>
      </c>
      <c r="C85" s="2">
        <v>45317</v>
      </c>
      <c r="D85" s="5">
        <f>C85-B85</f>
        <v>6</v>
      </c>
      <c r="E85" s="5" t="str">
        <f>IF(D85&lt;0,"INVALID","OK")</f>
        <v>OK</v>
      </c>
      <c r="F85" t="s">
        <v>524</v>
      </c>
      <c r="G85" t="s">
        <v>161</v>
      </c>
      <c r="H85" t="s">
        <v>94</v>
      </c>
      <c r="I85" t="s">
        <v>37</v>
      </c>
      <c r="J85" t="s">
        <v>227</v>
      </c>
      <c r="K85" t="s">
        <v>228</v>
      </c>
      <c r="L85" t="s">
        <v>73</v>
      </c>
      <c r="M85" t="s">
        <v>273</v>
      </c>
      <c r="N85" t="s">
        <v>525</v>
      </c>
      <c r="O85" t="s">
        <v>58</v>
      </c>
      <c r="P85">
        <v>8</v>
      </c>
      <c r="Q85">
        <v>4003.05</v>
      </c>
      <c r="R85">
        <v>0.25</v>
      </c>
      <c r="S85" t="str">
        <f t="shared" si="1"/>
        <v>OK</v>
      </c>
      <c r="T85">
        <v>24018.3</v>
      </c>
      <c r="U85">
        <v>14070.78</v>
      </c>
      <c r="V85">
        <v>9947.52</v>
      </c>
      <c r="W85" t="s">
        <v>31</v>
      </c>
      <c r="X85" t="s">
        <v>32</v>
      </c>
    </row>
    <row r="86" spans="1:24">
      <c r="A86" t="s">
        <v>529</v>
      </c>
      <c r="B86" s="2">
        <v>45443</v>
      </c>
      <c r="C86" s="2">
        <v>45444</v>
      </c>
      <c r="D86" s="5">
        <f>C86-B86</f>
        <v>1</v>
      </c>
      <c r="E86" s="5" t="str">
        <f>IF(D86&lt;0,"INVALID","OK")</f>
        <v>OK</v>
      </c>
      <c r="F86" t="s">
        <v>530</v>
      </c>
      <c r="G86" t="s">
        <v>35</v>
      </c>
      <c r="H86" t="s">
        <v>89</v>
      </c>
      <c r="I86" t="s">
        <v>53</v>
      </c>
      <c r="J86" t="s">
        <v>174</v>
      </c>
      <c r="K86" t="s">
        <v>175</v>
      </c>
      <c r="L86" t="s">
        <v>40</v>
      </c>
      <c r="M86" t="s">
        <v>157</v>
      </c>
      <c r="N86" t="s">
        <v>531</v>
      </c>
      <c r="O86" t="s">
        <v>43</v>
      </c>
      <c r="P86">
        <v>3</v>
      </c>
      <c r="Q86">
        <v>2914.55</v>
      </c>
      <c r="R86">
        <v>0</v>
      </c>
      <c r="S86" t="str">
        <f t="shared" si="1"/>
        <v>OK</v>
      </c>
      <c r="T86">
        <v>8743.65</v>
      </c>
      <c r="U86">
        <v>6603.76</v>
      </c>
      <c r="V86">
        <v>2139.89</v>
      </c>
      <c r="W86" t="s">
        <v>31</v>
      </c>
      <c r="X86" t="s">
        <v>32</v>
      </c>
    </row>
    <row r="87" spans="1:24">
      <c r="A87" t="s">
        <v>532</v>
      </c>
      <c r="B87" s="2">
        <v>45374</v>
      </c>
      <c r="C87" s="2">
        <v>45380</v>
      </c>
      <c r="D87" s="5">
        <f>C87-B87</f>
        <v>6</v>
      </c>
      <c r="E87" s="5" t="str">
        <f>IF(D87&lt;0,"INVALID","OK")</f>
        <v>OK</v>
      </c>
      <c r="F87" t="s">
        <v>533</v>
      </c>
      <c r="G87" t="s">
        <v>113</v>
      </c>
      <c r="H87" t="s">
        <v>89</v>
      </c>
      <c r="I87" t="s">
        <v>24</v>
      </c>
      <c r="J87" t="s">
        <v>349</v>
      </c>
      <c r="K87" t="s">
        <v>350</v>
      </c>
      <c r="L87" t="s">
        <v>40</v>
      </c>
      <c r="M87" t="s">
        <v>157</v>
      </c>
      <c r="N87" t="s">
        <v>534</v>
      </c>
      <c r="O87" t="s">
        <v>43</v>
      </c>
      <c r="P87">
        <v>7</v>
      </c>
      <c r="Q87">
        <v>634.29</v>
      </c>
      <c r="R87">
        <v>0.1</v>
      </c>
      <c r="S87" t="str">
        <f t="shared" si="1"/>
        <v>OK</v>
      </c>
      <c r="T87">
        <v>3996.03</v>
      </c>
      <c r="U87">
        <v>2859.51</v>
      </c>
      <c r="V87">
        <v>1136.52</v>
      </c>
      <c r="W87" t="s">
        <v>31</v>
      </c>
      <c r="X87" t="s">
        <v>102</v>
      </c>
    </row>
    <row r="88" spans="1:24">
      <c r="A88" t="s">
        <v>535</v>
      </c>
      <c r="B88" s="2">
        <v>45381</v>
      </c>
      <c r="C88" s="2">
        <v>45377</v>
      </c>
      <c r="D88" s="5">
        <f>C88-B88</f>
        <v>-4</v>
      </c>
      <c r="E88" s="5" t="str">
        <f>IF(D88&lt;0,"INVALID","OK")</f>
        <v>INVALID</v>
      </c>
      <c r="F88" t="s">
        <v>536</v>
      </c>
      <c r="G88" t="s">
        <v>88</v>
      </c>
      <c r="H88" t="s">
        <v>94</v>
      </c>
      <c r="I88" t="s">
        <v>24</v>
      </c>
      <c r="J88" t="s">
        <v>25</v>
      </c>
      <c r="K88" t="s">
        <v>26</v>
      </c>
      <c r="L88" t="s">
        <v>73</v>
      </c>
      <c r="M88" t="s">
        <v>170</v>
      </c>
      <c r="N88" t="s">
        <v>537</v>
      </c>
      <c r="O88" t="s">
        <v>30</v>
      </c>
      <c r="P88">
        <v>5</v>
      </c>
      <c r="Q88">
        <v>907.54</v>
      </c>
      <c r="R88">
        <v>0.15</v>
      </c>
      <c r="S88" t="str">
        <f t="shared" si="1"/>
        <v>OK</v>
      </c>
      <c r="T88">
        <v>3857.04</v>
      </c>
      <c r="U88">
        <v>2769.26</v>
      </c>
      <c r="V88">
        <v>1087.78</v>
      </c>
      <c r="W88" t="s">
        <v>31</v>
      </c>
      <c r="X88" t="s">
        <v>32</v>
      </c>
    </row>
    <row r="89" spans="1:24">
      <c r="A89" t="s">
        <v>535</v>
      </c>
      <c r="B89" s="2">
        <v>45381</v>
      </c>
      <c r="C89" s="2">
        <v>45377</v>
      </c>
      <c r="D89" s="5">
        <f>C89-B89</f>
        <v>-4</v>
      </c>
      <c r="E89" s="5" t="str">
        <f>IF(D89&lt;0,"INVALID","OK")</f>
        <v>INVALID</v>
      </c>
      <c r="F89" t="s">
        <v>536</v>
      </c>
      <c r="G89" t="s">
        <v>88</v>
      </c>
      <c r="H89" t="s">
        <v>94</v>
      </c>
      <c r="I89" t="s">
        <v>24</v>
      </c>
      <c r="J89" t="s">
        <v>25</v>
      </c>
      <c r="K89" t="s">
        <v>26</v>
      </c>
      <c r="L89" t="s">
        <v>73</v>
      </c>
      <c r="M89" t="s">
        <v>170</v>
      </c>
      <c r="N89" t="s">
        <v>537</v>
      </c>
      <c r="O89" t="s">
        <v>30</v>
      </c>
      <c r="P89">
        <v>5</v>
      </c>
      <c r="Q89">
        <v>907.54</v>
      </c>
      <c r="R89">
        <v>0.15</v>
      </c>
      <c r="S89" t="str">
        <f t="shared" si="1"/>
        <v>OK</v>
      </c>
      <c r="T89">
        <v>4099.6899999999996</v>
      </c>
      <c r="U89">
        <v>2769.26</v>
      </c>
      <c r="V89">
        <v>1087.78</v>
      </c>
      <c r="W89" t="s">
        <v>31</v>
      </c>
      <c r="X89" t="s">
        <v>102</v>
      </c>
    </row>
    <row r="90" spans="1:24">
      <c r="A90" t="s">
        <v>538</v>
      </c>
      <c r="B90" s="2">
        <v>45375</v>
      </c>
      <c r="C90" s="2">
        <v>45377</v>
      </c>
      <c r="D90" s="5">
        <f>C90-B90</f>
        <v>2</v>
      </c>
      <c r="E90" s="5" t="str">
        <f>IF(D90&lt;0,"INVALID","OK")</f>
        <v>OK</v>
      </c>
      <c r="F90" t="s">
        <v>539</v>
      </c>
      <c r="G90" t="s">
        <v>113</v>
      </c>
      <c r="H90" t="s">
        <v>23</v>
      </c>
      <c r="I90" t="s">
        <v>62</v>
      </c>
      <c r="J90" t="s">
        <v>179</v>
      </c>
      <c r="K90" t="s">
        <v>180</v>
      </c>
      <c r="L90" t="s">
        <v>27</v>
      </c>
      <c r="M90" t="s">
        <v>28</v>
      </c>
      <c r="N90" t="s">
        <v>540</v>
      </c>
      <c r="O90" t="s">
        <v>30</v>
      </c>
      <c r="P90">
        <v>1</v>
      </c>
      <c r="Q90">
        <v>3409.5</v>
      </c>
      <c r="R90">
        <v>0.1</v>
      </c>
      <c r="S90" t="str">
        <f t="shared" si="1"/>
        <v>OK</v>
      </c>
      <c r="T90">
        <v>3068.55</v>
      </c>
      <c r="U90">
        <v>1916.16</v>
      </c>
      <c r="V90">
        <v>1152.3900000000001</v>
      </c>
      <c r="W90" t="s">
        <v>31</v>
      </c>
      <c r="X90" t="s">
        <v>102</v>
      </c>
    </row>
    <row r="91" spans="1:24">
      <c r="A91" t="s">
        <v>541</v>
      </c>
      <c r="B91" s="2">
        <v>45479</v>
      </c>
      <c r="C91" s="2">
        <v>45458</v>
      </c>
      <c r="D91" s="5">
        <f>C91-B91</f>
        <v>-21</v>
      </c>
      <c r="E91" s="5" t="str">
        <f>IF(D91&lt;0,"INVALID","OK")</f>
        <v>INVALID</v>
      </c>
      <c r="F91" t="s">
        <v>542</v>
      </c>
      <c r="G91" t="s">
        <v>263</v>
      </c>
      <c r="H91" t="s">
        <v>36</v>
      </c>
      <c r="I91" t="s">
        <v>53</v>
      </c>
      <c r="J91" t="s">
        <v>54</v>
      </c>
      <c r="K91" t="s">
        <v>55</v>
      </c>
      <c r="L91" t="s">
        <v>73</v>
      </c>
      <c r="M91" t="s">
        <v>74</v>
      </c>
      <c r="N91" t="s">
        <v>543</v>
      </c>
      <c r="O91" t="s">
        <v>49</v>
      </c>
      <c r="P91">
        <v>7</v>
      </c>
      <c r="Q91">
        <v>2147.9899999999998</v>
      </c>
      <c r="R91">
        <v>0.25</v>
      </c>
      <c r="S91" t="str">
        <f t="shared" si="1"/>
        <v>OK</v>
      </c>
      <c r="T91">
        <v>11276.95</v>
      </c>
      <c r="U91">
        <v>6908.76</v>
      </c>
      <c r="V91">
        <v>4368.1899999999996</v>
      </c>
      <c r="W91" t="s">
        <v>101</v>
      </c>
      <c r="X91" t="s">
        <v>102</v>
      </c>
    </row>
    <row r="92" spans="1:24">
      <c r="A92" t="s">
        <v>550</v>
      </c>
      <c r="B92" s="2">
        <v>45649</v>
      </c>
      <c r="C92" s="2">
        <v>45656</v>
      </c>
      <c r="D92" s="5">
        <f>C92-B92</f>
        <v>7</v>
      </c>
      <c r="E92" s="5" t="str">
        <f>IF(D92&lt;0,"INVALID","OK")</f>
        <v>OK</v>
      </c>
      <c r="F92" t="s">
        <v>551</v>
      </c>
      <c r="G92" t="s">
        <v>113</v>
      </c>
      <c r="H92" t="s">
        <v>94</v>
      </c>
      <c r="I92" t="s">
        <v>62</v>
      </c>
      <c r="J92" t="s">
        <v>189</v>
      </c>
      <c r="K92" t="s">
        <v>190</v>
      </c>
      <c r="L92" t="s">
        <v>40</v>
      </c>
      <c r="M92" t="s">
        <v>56</v>
      </c>
      <c r="N92" t="s">
        <v>552</v>
      </c>
      <c r="O92" t="s">
        <v>49</v>
      </c>
      <c r="P92">
        <v>8</v>
      </c>
      <c r="Q92">
        <v>386.1</v>
      </c>
      <c r="R92">
        <v>0.1</v>
      </c>
      <c r="S92" t="str">
        <f t="shared" si="1"/>
        <v>OK</v>
      </c>
      <c r="T92">
        <v>2779.92</v>
      </c>
      <c r="U92">
        <v>1744.05</v>
      </c>
      <c r="V92">
        <v>1035.8699999999999</v>
      </c>
      <c r="W92" t="s">
        <v>31</v>
      </c>
      <c r="X92" t="s">
        <v>32</v>
      </c>
    </row>
    <row r="93" spans="1:24">
      <c r="A93" t="s">
        <v>556</v>
      </c>
      <c r="B93" s="2">
        <v>45321</v>
      </c>
      <c r="C93" s="2">
        <v>45321</v>
      </c>
      <c r="D93" s="5">
        <f>C93-B93</f>
        <v>0</v>
      </c>
      <c r="E93" s="5" t="str">
        <f>IF(D93&lt;0,"INVALID","OK")</f>
        <v>OK</v>
      </c>
      <c r="F93" t="s">
        <v>557</v>
      </c>
      <c r="G93" t="s">
        <v>127</v>
      </c>
      <c r="H93" t="s">
        <v>36</v>
      </c>
      <c r="I93" t="s">
        <v>62</v>
      </c>
      <c r="J93" t="s">
        <v>25</v>
      </c>
      <c r="K93" t="s">
        <v>108</v>
      </c>
      <c r="L93" t="s">
        <v>73</v>
      </c>
      <c r="M93" t="s">
        <v>79</v>
      </c>
      <c r="N93" t="s">
        <v>558</v>
      </c>
      <c r="O93" t="s">
        <v>43</v>
      </c>
      <c r="P93">
        <v>7</v>
      </c>
      <c r="Q93">
        <v>2527.61</v>
      </c>
      <c r="R93">
        <v>0.25</v>
      </c>
      <c r="S93" t="str">
        <f t="shared" si="1"/>
        <v>OK</v>
      </c>
      <c r="T93">
        <v>13269.95</v>
      </c>
      <c r="U93">
        <v>8977.1</v>
      </c>
      <c r="V93">
        <v>4292.8500000000004</v>
      </c>
      <c r="W93" t="s">
        <v>31</v>
      </c>
      <c r="X93" t="s">
        <v>32</v>
      </c>
    </row>
    <row r="94" spans="1:24">
      <c r="A94" t="s">
        <v>559</v>
      </c>
      <c r="B94" s="2">
        <v>45385</v>
      </c>
      <c r="C94" s="2">
        <v>45363</v>
      </c>
      <c r="D94" s="5">
        <f>C94-B94</f>
        <v>-22</v>
      </c>
      <c r="E94" s="5" t="str">
        <f>IF(D94&lt;0,"INVALID","OK")</f>
        <v>INVALID</v>
      </c>
      <c r="F94" t="s">
        <v>560</v>
      </c>
      <c r="G94" t="s">
        <v>52</v>
      </c>
      <c r="H94" t="s">
        <v>23</v>
      </c>
      <c r="I94" t="s">
        <v>2762</v>
      </c>
      <c r="J94" t="s">
        <v>179</v>
      </c>
      <c r="K94" t="s">
        <v>180</v>
      </c>
      <c r="L94" t="s">
        <v>40</v>
      </c>
      <c r="M94" t="s">
        <v>157</v>
      </c>
      <c r="N94" t="s">
        <v>561</v>
      </c>
      <c r="O94" t="s">
        <v>49</v>
      </c>
      <c r="P94">
        <v>1</v>
      </c>
      <c r="Q94">
        <v>1554.12</v>
      </c>
      <c r="R94">
        <v>0.1</v>
      </c>
      <c r="S94" t="str">
        <f t="shared" si="1"/>
        <v>OK</v>
      </c>
      <c r="T94">
        <v>1398.71</v>
      </c>
      <c r="U94">
        <v>1056.92</v>
      </c>
      <c r="V94">
        <v>341.79</v>
      </c>
      <c r="W94" t="s">
        <v>31</v>
      </c>
      <c r="X94" t="s">
        <v>32</v>
      </c>
    </row>
    <row r="95" spans="1:24">
      <c r="A95" t="s">
        <v>562</v>
      </c>
      <c r="B95" s="2">
        <v>45470</v>
      </c>
      <c r="C95" s="2">
        <v>45470</v>
      </c>
      <c r="D95" s="5">
        <f>C95-B95</f>
        <v>0</v>
      </c>
      <c r="E95" s="5" t="str">
        <f>IF(D95&lt;0,"INVALID","OK")</f>
        <v>OK</v>
      </c>
      <c r="F95" t="s">
        <v>563</v>
      </c>
      <c r="G95" t="s">
        <v>78</v>
      </c>
      <c r="H95" t="s">
        <v>94</v>
      </c>
      <c r="I95" t="s">
        <v>2762</v>
      </c>
      <c r="J95" t="s">
        <v>71</v>
      </c>
      <c r="K95" t="s">
        <v>72</v>
      </c>
      <c r="L95" t="s">
        <v>73</v>
      </c>
      <c r="M95" t="s">
        <v>79</v>
      </c>
      <c r="N95" t="s">
        <v>564</v>
      </c>
      <c r="O95" t="s">
        <v>58</v>
      </c>
      <c r="P95">
        <v>2</v>
      </c>
      <c r="Q95">
        <v>3859.11</v>
      </c>
      <c r="R95">
        <v>0</v>
      </c>
      <c r="S95" t="str">
        <f t="shared" si="1"/>
        <v>OK</v>
      </c>
      <c r="T95">
        <v>7718.22</v>
      </c>
      <c r="U95">
        <v>5355.93</v>
      </c>
      <c r="V95">
        <v>2362.29</v>
      </c>
      <c r="W95" t="s">
        <v>110</v>
      </c>
      <c r="X95" t="s">
        <v>102</v>
      </c>
    </row>
    <row r="96" spans="1:24">
      <c r="A96" t="s">
        <v>565</v>
      </c>
      <c r="B96" s="2">
        <v>45457</v>
      </c>
      <c r="C96" s="2">
        <v>45460</v>
      </c>
      <c r="D96" s="5">
        <f>C96-B96</f>
        <v>3</v>
      </c>
      <c r="E96" s="5" t="str">
        <f>IF(D96&lt;0,"INVALID","OK")</f>
        <v>OK</v>
      </c>
      <c r="F96" t="s">
        <v>566</v>
      </c>
      <c r="G96" t="s">
        <v>263</v>
      </c>
      <c r="H96" t="s">
        <v>36</v>
      </c>
      <c r="I96" t="s">
        <v>53</v>
      </c>
      <c r="J96" t="s">
        <v>184</v>
      </c>
      <c r="K96" t="s">
        <v>185</v>
      </c>
      <c r="L96" t="s">
        <v>40</v>
      </c>
      <c r="M96" t="s">
        <v>41</v>
      </c>
      <c r="N96" t="s">
        <v>567</v>
      </c>
      <c r="O96" t="s">
        <v>30</v>
      </c>
      <c r="P96">
        <v>6</v>
      </c>
      <c r="Q96">
        <v>1088.04</v>
      </c>
      <c r="R96">
        <v>0.1</v>
      </c>
      <c r="S96" t="str">
        <f t="shared" si="1"/>
        <v>OK</v>
      </c>
      <c r="T96">
        <v>5875.42</v>
      </c>
      <c r="U96">
        <v>4380.55</v>
      </c>
      <c r="V96">
        <v>1494.87</v>
      </c>
      <c r="W96" t="s">
        <v>110</v>
      </c>
      <c r="X96" t="s">
        <v>102</v>
      </c>
    </row>
    <row r="97" spans="1:24">
      <c r="A97" t="s">
        <v>571</v>
      </c>
      <c r="B97" s="2">
        <v>45334</v>
      </c>
      <c r="C97" s="2">
        <v>45333</v>
      </c>
      <c r="D97" s="5">
        <f>C97-B97</f>
        <v>-1</v>
      </c>
      <c r="E97" s="5" t="str">
        <f>IF(D97&lt;0,"INVALID","OK")</f>
        <v>INVALID</v>
      </c>
      <c r="F97" t="s">
        <v>454</v>
      </c>
      <c r="G97" t="s">
        <v>113</v>
      </c>
      <c r="H97" t="s">
        <v>23</v>
      </c>
      <c r="I97" t="s">
        <v>53</v>
      </c>
      <c r="J97" t="s">
        <v>246</v>
      </c>
      <c r="K97" t="s">
        <v>247</v>
      </c>
      <c r="L97" t="s">
        <v>40</v>
      </c>
      <c r="M97" t="s">
        <v>157</v>
      </c>
      <c r="N97" t="s">
        <v>572</v>
      </c>
      <c r="O97" t="s">
        <v>43</v>
      </c>
      <c r="P97">
        <v>1</v>
      </c>
      <c r="Q97">
        <v>2599.12</v>
      </c>
      <c r="R97">
        <v>0.15</v>
      </c>
      <c r="S97" t="str">
        <f t="shared" si="1"/>
        <v>OK</v>
      </c>
      <c r="T97">
        <v>2209.25</v>
      </c>
      <c r="U97">
        <v>1523.78</v>
      </c>
      <c r="V97">
        <v>685.47</v>
      </c>
      <c r="W97" t="s">
        <v>31</v>
      </c>
      <c r="X97" t="s">
        <v>32</v>
      </c>
    </row>
    <row r="98" spans="1:24">
      <c r="A98" t="s">
        <v>579</v>
      </c>
      <c r="B98" s="2">
        <v>45587</v>
      </c>
      <c r="C98" s="2">
        <v>45589</v>
      </c>
      <c r="D98" s="5">
        <f>C98-B98</f>
        <v>2</v>
      </c>
      <c r="E98" s="5" t="str">
        <f>IF(D98&lt;0,"INVALID","OK")</f>
        <v>OK</v>
      </c>
      <c r="F98" t="s">
        <v>580</v>
      </c>
      <c r="G98" t="s">
        <v>140</v>
      </c>
      <c r="H98" t="s">
        <v>36</v>
      </c>
      <c r="I98" t="s">
        <v>53</v>
      </c>
      <c r="J98" t="s">
        <v>83</v>
      </c>
      <c r="K98" t="s">
        <v>84</v>
      </c>
      <c r="L98" t="s">
        <v>40</v>
      </c>
      <c r="M98" t="s">
        <v>157</v>
      </c>
      <c r="N98" t="s">
        <v>581</v>
      </c>
      <c r="O98" t="s">
        <v>58</v>
      </c>
      <c r="P98">
        <v>3</v>
      </c>
      <c r="Q98">
        <v>915.84</v>
      </c>
      <c r="R98">
        <v>0.15</v>
      </c>
      <c r="S98" t="str">
        <f t="shared" si="1"/>
        <v>OK</v>
      </c>
      <c r="T98">
        <v>2335.39</v>
      </c>
      <c r="U98">
        <v>1466.15</v>
      </c>
      <c r="V98">
        <v>869.24</v>
      </c>
      <c r="W98" t="s">
        <v>31</v>
      </c>
      <c r="X98" t="s">
        <v>32</v>
      </c>
    </row>
    <row r="99" spans="1:24">
      <c r="A99" t="s">
        <v>582</v>
      </c>
      <c r="B99" s="2">
        <v>45544</v>
      </c>
      <c r="C99" s="2">
        <v>45546</v>
      </c>
      <c r="D99" s="5">
        <f>C99-B99</f>
        <v>2</v>
      </c>
      <c r="E99" s="5" t="str">
        <f>IF(D99&lt;0,"INVALID","OK")</f>
        <v>OK</v>
      </c>
      <c r="F99" t="s">
        <v>583</v>
      </c>
      <c r="G99" t="s">
        <v>78</v>
      </c>
      <c r="H99" t="s">
        <v>94</v>
      </c>
      <c r="I99" t="s">
        <v>53</v>
      </c>
      <c r="J99" t="s">
        <v>54</v>
      </c>
      <c r="K99" t="s">
        <v>55</v>
      </c>
      <c r="L99" t="s">
        <v>40</v>
      </c>
      <c r="M99" t="s">
        <v>157</v>
      </c>
      <c r="N99" t="s">
        <v>584</v>
      </c>
      <c r="O99" t="s">
        <v>49</v>
      </c>
      <c r="P99">
        <v>1</v>
      </c>
      <c r="Q99">
        <v>4199.54</v>
      </c>
      <c r="R99">
        <v>0.05</v>
      </c>
      <c r="S99" t="str">
        <f t="shared" si="1"/>
        <v>OK</v>
      </c>
      <c r="T99">
        <v>3989.56</v>
      </c>
      <c r="U99">
        <v>2381.38</v>
      </c>
      <c r="V99">
        <v>1608.18</v>
      </c>
      <c r="W99" t="s">
        <v>31</v>
      </c>
      <c r="X99" t="s">
        <v>32</v>
      </c>
    </row>
    <row r="100" spans="1:24">
      <c r="A100" t="s">
        <v>594</v>
      </c>
      <c r="B100" s="2">
        <v>45360</v>
      </c>
      <c r="C100" s="2">
        <v>45365</v>
      </c>
      <c r="D100" s="5">
        <f>C100-B100</f>
        <v>5</v>
      </c>
      <c r="E100" s="5" t="str">
        <f>IF(D100&lt;0,"INVALID","OK")</f>
        <v>OK</v>
      </c>
      <c r="F100" t="s">
        <v>595</v>
      </c>
      <c r="G100" t="s">
        <v>78</v>
      </c>
      <c r="H100" t="s">
        <v>36</v>
      </c>
      <c r="I100" t="s">
        <v>62</v>
      </c>
      <c r="J100" t="s">
        <v>189</v>
      </c>
      <c r="K100" t="s">
        <v>190</v>
      </c>
      <c r="L100" t="s">
        <v>40</v>
      </c>
      <c r="M100" t="s">
        <v>56</v>
      </c>
      <c r="N100" t="s">
        <v>596</v>
      </c>
      <c r="O100" t="s">
        <v>30</v>
      </c>
      <c r="P100">
        <v>8</v>
      </c>
      <c r="Q100">
        <v>4472.84</v>
      </c>
      <c r="R100">
        <v>0</v>
      </c>
      <c r="S100" t="str">
        <f t="shared" si="1"/>
        <v>OK</v>
      </c>
      <c r="T100">
        <v>35997.620000000003</v>
      </c>
      <c r="U100">
        <v>26424.41</v>
      </c>
      <c r="V100">
        <v>9358.31</v>
      </c>
      <c r="W100" t="s">
        <v>110</v>
      </c>
      <c r="X100" t="s">
        <v>102</v>
      </c>
    </row>
    <row r="101" spans="1:24">
      <c r="A101" t="s">
        <v>603</v>
      </c>
      <c r="B101" s="2">
        <v>45618</v>
      </c>
      <c r="C101" s="2">
        <v>45625</v>
      </c>
      <c r="D101" s="5">
        <f>C101-B101</f>
        <v>7</v>
      </c>
      <c r="E101" s="5" t="str">
        <f>IF(D101&lt;0,"INVALID","OK")</f>
        <v>OK</v>
      </c>
      <c r="F101" t="s">
        <v>604</v>
      </c>
      <c r="G101" t="s">
        <v>35</v>
      </c>
      <c r="H101" t="s">
        <v>94</v>
      </c>
      <c r="I101" t="s">
        <v>37</v>
      </c>
      <c r="J101" t="s">
        <v>144</v>
      </c>
      <c r="K101" t="s">
        <v>145</v>
      </c>
      <c r="L101" t="s">
        <v>40</v>
      </c>
      <c r="M101" t="s">
        <v>65</v>
      </c>
      <c r="N101" t="s">
        <v>605</v>
      </c>
      <c r="O101" t="s">
        <v>58</v>
      </c>
      <c r="P101">
        <v>4</v>
      </c>
      <c r="Q101">
        <v>3422.99</v>
      </c>
      <c r="R101">
        <v>0.25</v>
      </c>
      <c r="S101" t="str">
        <f t="shared" si="1"/>
        <v>OK</v>
      </c>
      <c r="T101">
        <v>10268.969999999999</v>
      </c>
      <c r="U101">
        <v>6470.92</v>
      </c>
      <c r="V101">
        <v>3798.05</v>
      </c>
      <c r="W101" t="s">
        <v>31</v>
      </c>
      <c r="X101" t="s">
        <v>32</v>
      </c>
    </row>
    <row r="102" spans="1:24">
      <c r="A102" t="s">
        <v>627</v>
      </c>
      <c r="B102" s="2">
        <v>45327</v>
      </c>
      <c r="C102" s="2">
        <v>45420</v>
      </c>
      <c r="D102" s="5">
        <f>C102-B102</f>
        <v>93</v>
      </c>
      <c r="E102" s="5" t="str">
        <f>IF(D102&lt;0,"INVALID","OK")</f>
        <v>OK</v>
      </c>
      <c r="F102" t="s">
        <v>628</v>
      </c>
      <c r="G102" t="s">
        <v>113</v>
      </c>
      <c r="H102" t="s">
        <v>94</v>
      </c>
      <c r="I102" t="s">
        <v>24</v>
      </c>
      <c r="J102" t="s">
        <v>121</v>
      </c>
      <c r="K102" t="s">
        <v>122</v>
      </c>
      <c r="L102" t="s">
        <v>73</v>
      </c>
      <c r="M102" t="s">
        <v>79</v>
      </c>
      <c r="N102" t="s">
        <v>629</v>
      </c>
      <c r="O102" t="s">
        <v>30</v>
      </c>
      <c r="P102">
        <v>1</v>
      </c>
      <c r="Q102">
        <v>2312.25</v>
      </c>
      <c r="R102">
        <v>0.25</v>
      </c>
      <c r="S102" t="str">
        <f t="shared" si="1"/>
        <v>OK</v>
      </c>
      <c r="T102">
        <v>1734.19</v>
      </c>
      <c r="U102">
        <v>1386.07</v>
      </c>
      <c r="V102">
        <v>348.12</v>
      </c>
      <c r="W102" t="s">
        <v>31</v>
      </c>
      <c r="X102" t="s">
        <v>32</v>
      </c>
    </row>
    <row r="103" spans="1:24">
      <c r="A103" t="s">
        <v>633</v>
      </c>
      <c r="B103" s="2">
        <v>45318</v>
      </c>
      <c r="C103" s="2">
        <v>45325</v>
      </c>
      <c r="D103" s="5">
        <f>C103-B103</f>
        <v>7</v>
      </c>
      <c r="E103" s="5" t="str">
        <f>IF(D103&lt;0,"INVALID","OK")</f>
        <v>OK</v>
      </c>
      <c r="F103" t="s">
        <v>634</v>
      </c>
      <c r="G103" t="s">
        <v>52</v>
      </c>
      <c r="H103" t="s">
        <v>36</v>
      </c>
      <c r="I103" t="s">
        <v>37</v>
      </c>
      <c r="J103" t="s">
        <v>144</v>
      </c>
      <c r="K103" t="s">
        <v>145</v>
      </c>
      <c r="L103" t="s">
        <v>73</v>
      </c>
      <c r="M103" t="s">
        <v>273</v>
      </c>
      <c r="N103" t="s">
        <v>635</v>
      </c>
      <c r="O103" t="s">
        <v>43</v>
      </c>
      <c r="P103">
        <v>7</v>
      </c>
      <c r="Q103">
        <v>2673.42</v>
      </c>
      <c r="R103">
        <v>0.15</v>
      </c>
      <c r="S103" t="str">
        <f t="shared" si="1"/>
        <v>OK</v>
      </c>
      <c r="T103">
        <v>15906.85</v>
      </c>
      <c r="U103">
        <v>11014.46</v>
      </c>
      <c r="V103">
        <v>4892.3900000000003</v>
      </c>
      <c r="W103" t="s">
        <v>31</v>
      </c>
      <c r="X103" t="s">
        <v>102</v>
      </c>
    </row>
    <row r="104" spans="1:24">
      <c r="A104" t="s">
        <v>639</v>
      </c>
      <c r="B104" s="2">
        <v>45297</v>
      </c>
      <c r="C104" s="2">
        <v>45446</v>
      </c>
      <c r="D104" s="5">
        <f>C104-B104</f>
        <v>149</v>
      </c>
      <c r="E104" s="5" t="str">
        <f>IF(D104&lt;0,"INVALID","OK")</f>
        <v>OK</v>
      </c>
      <c r="F104" t="s">
        <v>640</v>
      </c>
      <c r="G104" t="s">
        <v>131</v>
      </c>
      <c r="H104" t="s">
        <v>94</v>
      </c>
      <c r="I104" t="s">
        <v>2762</v>
      </c>
      <c r="J104" t="s">
        <v>144</v>
      </c>
      <c r="K104" t="s">
        <v>145</v>
      </c>
      <c r="L104" t="s">
        <v>27</v>
      </c>
      <c r="M104" t="s">
        <v>47</v>
      </c>
      <c r="N104" t="s">
        <v>641</v>
      </c>
      <c r="O104" t="s">
        <v>43</v>
      </c>
      <c r="P104">
        <v>8</v>
      </c>
      <c r="Q104">
        <v>3879.95</v>
      </c>
      <c r="R104">
        <v>0</v>
      </c>
      <c r="S104" t="str">
        <f t="shared" si="1"/>
        <v>OK</v>
      </c>
      <c r="T104">
        <v>31039.599999999999</v>
      </c>
      <c r="U104">
        <v>20866.72</v>
      </c>
      <c r="V104">
        <v>10172.879999999999</v>
      </c>
      <c r="W104" t="s">
        <v>31</v>
      </c>
      <c r="X104" t="s">
        <v>32</v>
      </c>
    </row>
    <row r="105" spans="1:24">
      <c r="A105" t="s">
        <v>642</v>
      </c>
      <c r="B105" s="2">
        <v>45565</v>
      </c>
      <c r="C105" s="2">
        <v>45565</v>
      </c>
      <c r="D105" s="5">
        <f>C105-B105</f>
        <v>0</v>
      </c>
      <c r="E105" s="5" t="str">
        <f>IF(D105&lt;0,"INVALID","OK")</f>
        <v>OK</v>
      </c>
      <c r="F105" t="s">
        <v>643</v>
      </c>
      <c r="G105" t="s">
        <v>46</v>
      </c>
      <c r="H105" t="s">
        <v>89</v>
      </c>
      <c r="I105" t="s">
        <v>53</v>
      </c>
      <c r="J105" t="s">
        <v>54</v>
      </c>
      <c r="K105" t="s">
        <v>55</v>
      </c>
      <c r="L105" t="s">
        <v>27</v>
      </c>
      <c r="M105" t="s">
        <v>47</v>
      </c>
      <c r="N105" t="s">
        <v>644</v>
      </c>
      <c r="O105" t="s">
        <v>58</v>
      </c>
      <c r="P105">
        <v>4</v>
      </c>
      <c r="Q105">
        <v>3281.74</v>
      </c>
      <c r="R105">
        <v>0</v>
      </c>
      <c r="S105" t="str">
        <f t="shared" si="1"/>
        <v>OK</v>
      </c>
      <c r="T105">
        <v>13126.96</v>
      </c>
      <c r="U105">
        <v>10732.44</v>
      </c>
      <c r="V105">
        <v>2394.52</v>
      </c>
      <c r="W105" t="s">
        <v>31</v>
      </c>
      <c r="X105" t="s">
        <v>32</v>
      </c>
    </row>
    <row r="106" spans="1:24">
      <c r="A106" t="s">
        <v>645</v>
      </c>
      <c r="B106" s="2">
        <v>45366</v>
      </c>
      <c r="C106" s="2">
        <v>45370</v>
      </c>
      <c r="D106" s="5">
        <f>C106-B106</f>
        <v>4</v>
      </c>
      <c r="E106" s="5" t="str">
        <f>IF(D106&lt;0,"INVALID","OK")</f>
        <v>OK</v>
      </c>
      <c r="F106" t="s">
        <v>646</v>
      </c>
      <c r="G106" t="s">
        <v>61</v>
      </c>
      <c r="H106" t="s">
        <v>36</v>
      </c>
      <c r="I106" t="s">
        <v>53</v>
      </c>
      <c r="J106" t="s">
        <v>246</v>
      </c>
      <c r="K106" t="s">
        <v>247</v>
      </c>
      <c r="L106" t="s">
        <v>40</v>
      </c>
      <c r="M106" t="s">
        <v>56</v>
      </c>
      <c r="N106" t="s">
        <v>647</v>
      </c>
      <c r="O106" t="s">
        <v>58</v>
      </c>
      <c r="P106">
        <v>4</v>
      </c>
      <c r="Q106">
        <v>3186.3</v>
      </c>
      <c r="R106">
        <v>0.25</v>
      </c>
      <c r="S106" t="str">
        <f t="shared" si="1"/>
        <v>OK</v>
      </c>
      <c r="T106">
        <v>9558.9</v>
      </c>
      <c r="U106">
        <v>5516.76</v>
      </c>
      <c r="V106">
        <v>4042.14</v>
      </c>
      <c r="W106" t="s">
        <v>101</v>
      </c>
      <c r="X106" t="s">
        <v>102</v>
      </c>
    </row>
    <row r="107" spans="1:24">
      <c r="A107" t="s">
        <v>648</v>
      </c>
      <c r="B107" s="2">
        <v>45530</v>
      </c>
      <c r="C107" s="2">
        <v>45530</v>
      </c>
      <c r="D107" s="5">
        <f>C107-B107</f>
        <v>0</v>
      </c>
      <c r="E107" s="5" t="str">
        <f>IF(D107&lt;0,"INVALID","OK")</f>
        <v>OK</v>
      </c>
      <c r="F107" t="s">
        <v>649</v>
      </c>
      <c r="G107" t="s">
        <v>35</v>
      </c>
      <c r="H107" t="s">
        <v>94</v>
      </c>
      <c r="I107" t="s">
        <v>24</v>
      </c>
      <c r="J107" t="s">
        <v>135</v>
      </c>
      <c r="K107" t="s">
        <v>136</v>
      </c>
      <c r="L107" t="s">
        <v>27</v>
      </c>
      <c r="M107" t="s">
        <v>152</v>
      </c>
      <c r="N107" t="s">
        <v>650</v>
      </c>
      <c r="O107" t="s">
        <v>49</v>
      </c>
      <c r="P107">
        <v>7</v>
      </c>
      <c r="Q107">
        <v>844.59</v>
      </c>
      <c r="R107">
        <v>0.1</v>
      </c>
      <c r="S107" t="str">
        <f t="shared" si="1"/>
        <v>OK</v>
      </c>
      <c r="T107">
        <v>5320.92</v>
      </c>
      <c r="U107">
        <v>3041.5</v>
      </c>
      <c r="V107">
        <v>2279.42</v>
      </c>
      <c r="W107" t="s">
        <v>31</v>
      </c>
      <c r="X107" t="s">
        <v>32</v>
      </c>
    </row>
    <row r="108" spans="1:24">
      <c r="A108" t="s">
        <v>654</v>
      </c>
      <c r="B108" s="2">
        <v>45581</v>
      </c>
      <c r="C108" s="2">
        <v>45581</v>
      </c>
      <c r="D108" s="5">
        <f>C108-B108</f>
        <v>0</v>
      </c>
      <c r="E108" s="5" t="str">
        <f>IF(D108&lt;0,"INVALID","OK")</f>
        <v>OK</v>
      </c>
      <c r="F108" t="s">
        <v>655</v>
      </c>
      <c r="G108" t="s">
        <v>61</v>
      </c>
      <c r="H108" t="s">
        <v>94</v>
      </c>
      <c r="I108" t="s">
        <v>37</v>
      </c>
      <c r="J108" t="s">
        <v>144</v>
      </c>
      <c r="K108" t="s">
        <v>145</v>
      </c>
      <c r="L108" t="s">
        <v>73</v>
      </c>
      <c r="M108" t="s">
        <v>273</v>
      </c>
      <c r="N108" t="s">
        <v>656</v>
      </c>
      <c r="O108" t="s">
        <v>58</v>
      </c>
      <c r="P108">
        <v>7</v>
      </c>
      <c r="Q108">
        <v>775.77</v>
      </c>
      <c r="R108">
        <v>0</v>
      </c>
      <c r="S108" t="str">
        <f t="shared" si="1"/>
        <v>OK</v>
      </c>
      <c r="T108">
        <v>5430.39</v>
      </c>
      <c r="U108">
        <v>3707.66</v>
      </c>
      <c r="V108">
        <v>1722.73</v>
      </c>
      <c r="W108" t="s">
        <v>31</v>
      </c>
      <c r="X108" t="s">
        <v>32</v>
      </c>
    </row>
    <row r="109" spans="1:24">
      <c r="A109" t="s">
        <v>660</v>
      </c>
      <c r="B109" s="2">
        <v>45384</v>
      </c>
      <c r="C109" s="2">
        <v>45388</v>
      </c>
      <c r="D109" s="5">
        <f>C109-B109</f>
        <v>4</v>
      </c>
      <c r="E109" s="5" t="str">
        <f>IF(D109&lt;0,"INVALID","OK")</f>
        <v>OK</v>
      </c>
      <c r="F109" t="s">
        <v>661</v>
      </c>
      <c r="G109" t="s">
        <v>70</v>
      </c>
      <c r="H109" t="s">
        <v>89</v>
      </c>
      <c r="I109" t="s">
        <v>62</v>
      </c>
      <c r="J109" t="s">
        <v>71</v>
      </c>
      <c r="K109" t="s">
        <v>72</v>
      </c>
      <c r="L109" t="s">
        <v>40</v>
      </c>
      <c r="M109" t="s">
        <v>157</v>
      </c>
      <c r="N109" t="s">
        <v>662</v>
      </c>
      <c r="O109" t="s">
        <v>58</v>
      </c>
      <c r="P109">
        <v>2</v>
      </c>
      <c r="Q109">
        <v>888.98</v>
      </c>
      <c r="R109">
        <v>0</v>
      </c>
      <c r="S109" t="str">
        <f t="shared" si="1"/>
        <v>OK</v>
      </c>
      <c r="T109">
        <v>1777.96</v>
      </c>
      <c r="U109">
        <v>1021.16</v>
      </c>
      <c r="V109">
        <v>756.8</v>
      </c>
      <c r="W109" t="s">
        <v>101</v>
      </c>
      <c r="X109" t="s">
        <v>102</v>
      </c>
    </row>
    <row r="110" spans="1:24">
      <c r="A110" t="s">
        <v>663</v>
      </c>
      <c r="B110" s="2">
        <v>45601</v>
      </c>
      <c r="C110" s="2">
        <v>45609</v>
      </c>
      <c r="D110" s="5">
        <f>C110-B110</f>
        <v>8</v>
      </c>
      <c r="E110" s="5" t="str">
        <f>IF(D110&lt;0,"INVALID","OK")</f>
        <v>OK</v>
      </c>
      <c r="F110" t="s">
        <v>664</v>
      </c>
      <c r="G110" t="s">
        <v>52</v>
      </c>
      <c r="H110" t="s">
        <v>23</v>
      </c>
      <c r="I110" t="s">
        <v>2762</v>
      </c>
      <c r="J110" t="s">
        <v>121</v>
      </c>
      <c r="K110" t="s">
        <v>122</v>
      </c>
      <c r="L110" t="s">
        <v>27</v>
      </c>
      <c r="M110" t="s">
        <v>90</v>
      </c>
      <c r="N110" t="s">
        <v>665</v>
      </c>
      <c r="O110" t="s">
        <v>30</v>
      </c>
      <c r="P110">
        <v>2</v>
      </c>
      <c r="Q110">
        <v>1003.17</v>
      </c>
      <c r="R110">
        <v>0.2</v>
      </c>
      <c r="S110" t="str">
        <f t="shared" si="1"/>
        <v>OK</v>
      </c>
      <c r="T110">
        <v>1605.07</v>
      </c>
      <c r="U110">
        <v>1337.28</v>
      </c>
      <c r="V110">
        <v>267.79000000000002</v>
      </c>
      <c r="W110" t="s">
        <v>31</v>
      </c>
      <c r="X110" t="s">
        <v>32</v>
      </c>
    </row>
    <row r="111" spans="1:24">
      <c r="A111" t="s">
        <v>666</v>
      </c>
      <c r="B111" s="2">
        <v>45492</v>
      </c>
      <c r="C111" s="2">
        <v>45493</v>
      </c>
      <c r="D111" s="5">
        <f>C111-B111</f>
        <v>1</v>
      </c>
      <c r="E111" s="5" t="str">
        <f>IF(D111&lt;0,"INVALID","OK")</f>
        <v>OK</v>
      </c>
      <c r="F111" t="s">
        <v>262</v>
      </c>
      <c r="G111" t="s">
        <v>70</v>
      </c>
      <c r="H111" t="s">
        <v>23</v>
      </c>
      <c r="I111" t="s">
        <v>53</v>
      </c>
      <c r="J111" t="s">
        <v>246</v>
      </c>
      <c r="K111" t="s">
        <v>247</v>
      </c>
      <c r="L111" t="s">
        <v>40</v>
      </c>
      <c r="M111" t="s">
        <v>41</v>
      </c>
      <c r="N111" t="s">
        <v>667</v>
      </c>
      <c r="O111" t="s">
        <v>49</v>
      </c>
      <c r="P111">
        <v>7</v>
      </c>
      <c r="Q111">
        <v>3608.43</v>
      </c>
      <c r="R111">
        <v>0.05</v>
      </c>
      <c r="S111" t="str">
        <f t="shared" si="1"/>
        <v>OK</v>
      </c>
      <c r="T111">
        <v>23996.06</v>
      </c>
      <c r="U111">
        <v>20167.28</v>
      </c>
      <c r="V111">
        <v>3828.78</v>
      </c>
      <c r="W111" t="s">
        <v>31</v>
      </c>
      <c r="X111" t="s">
        <v>32</v>
      </c>
    </row>
    <row r="112" spans="1:24">
      <c r="A112" t="s">
        <v>680</v>
      </c>
      <c r="B112" s="2">
        <v>45584</v>
      </c>
      <c r="C112" s="2">
        <v>45589</v>
      </c>
      <c r="D112" s="5">
        <f>C112-B112</f>
        <v>5</v>
      </c>
      <c r="E112" s="5" t="str">
        <f>IF(D112&lt;0,"INVALID","OK")</f>
        <v>OK</v>
      </c>
      <c r="F112" t="s">
        <v>681</v>
      </c>
      <c r="G112" t="s">
        <v>131</v>
      </c>
      <c r="H112" t="s">
        <v>36</v>
      </c>
      <c r="I112" t="s">
        <v>53</v>
      </c>
      <c r="J112" t="s">
        <v>246</v>
      </c>
      <c r="K112" t="s">
        <v>247</v>
      </c>
      <c r="L112" t="s">
        <v>40</v>
      </c>
      <c r="M112" t="s">
        <v>157</v>
      </c>
      <c r="N112" t="s">
        <v>682</v>
      </c>
      <c r="O112" t="s">
        <v>30</v>
      </c>
      <c r="P112">
        <v>6</v>
      </c>
      <c r="Q112">
        <v>4308.3999999999996</v>
      </c>
      <c r="R112">
        <v>0.65</v>
      </c>
      <c r="S112" t="str">
        <f t="shared" si="1"/>
        <v>INVALID</v>
      </c>
      <c r="T112">
        <v>25850.400000000001</v>
      </c>
      <c r="U112">
        <v>19397.68</v>
      </c>
      <c r="V112">
        <v>6452.72</v>
      </c>
      <c r="W112" t="s">
        <v>31</v>
      </c>
      <c r="X112" t="s">
        <v>32</v>
      </c>
    </row>
    <row r="113" spans="1:24">
      <c r="A113" t="s">
        <v>683</v>
      </c>
      <c r="B113" s="2">
        <v>45635</v>
      </c>
      <c r="C113" s="2">
        <v>45642</v>
      </c>
      <c r="D113" s="5">
        <f>C113-B113</f>
        <v>7</v>
      </c>
      <c r="E113" s="5" t="str">
        <f>IF(D113&lt;0,"INVALID","OK")</f>
        <v>OK</v>
      </c>
      <c r="F113" t="s">
        <v>684</v>
      </c>
      <c r="G113" t="s">
        <v>46</v>
      </c>
      <c r="H113" t="s">
        <v>94</v>
      </c>
      <c r="I113" t="s">
        <v>62</v>
      </c>
      <c r="J113" t="s">
        <v>179</v>
      </c>
      <c r="K113" t="s">
        <v>180</v>
      </c>
      <c r="L113" t="s">
        <v>40</v>
      </c>
      <c r="M113" t="s">
        <v>65</v>
      </c>
      <c r="N113" t="s">
        <v>685</v>
      </c>
      <c r="O113" t="s">
        <v>49</v>
      </c>
      <c r="P113">
        <v>4</v>
      </c>
      <c r="Q113">
        <v>2191.0300000000002</v>
      </c>
      <c r="R113">
        <v>0</v>
      </c>
      <c r="S113" t="str">
        <f t="shared" si="1"/>
        <v>OK</v>
      </c>
      <c r="T113">
        <v>8764.1200000000008</v>
      </c>
      <c r="U113">
        <v>7220.05</v>
      </c>
      <c r="V113">
        <v>1544.07</v>
      </c>
      <c r="W113" t="s">
        <v>31</v>
      </c>
      <c r="X113" t="s">
        <v>32</v>
      </c>
    </row>
    <row r="114" spans="1:24">
      <c r="A114" t="s">
        <v>686</v>
      </c>
      <c r="B114" s="2">
        <v>45466</v>
      </c>
      <c r="C114" s="2">
        <v>45471</v>
      </c>
      <c r="D114" s="5">
        <f>C114-B114</f>
        <v>5</v>
      </c>
      <c r="E114" s="5" t="str">
        <f>IF(D114&lt;0,"INVALID","OK")</f>
        <v>OK</v>
      </c>
      <c r="F114" t="s">
        <v>687</v>
      </c>
      <c r="G114" t="s">
        <v>113</v>
      </c>
      <c r="H114" t="s">
        <v>36</v>
      </c>
      <c r="I114" t="s">
        <v>24</v>
      </c>
      <c r="J114" t="s">
        <v>121</v>
      </c>
      <c r="K114" t="s">
        <v>122</v>
      </c>
      <c r="L114" t="s">
        <v>73</v>
      </c>
      <c r="M114" t="s">
        <v>79</v>
      </c>
      <c r="N114" t="s">
        <v>688</v>
      </c>
      <c r="O114" t="s">
        <v>43</v>
      </c>
      <c r="P114">
        <v>6</v>
      </c>
      <c r="Q114">
        <v>1956.63</v>
      </c>
      <c r="R114">
        <v>0.2</v>
      </c>
      <c r="S114" t="str">
        <f t="shared" si="1"/>
        <v>OK</v>
      </c>
      <c r="T114">
        <v>9391.82</v>
      </c>
      <c r="U114">
        <v>6013.22</v>
      </c>
      <c r="V114">
        <v>3378.6</v>
      </c>
      <c r="W114" t="s">
        <v>101</v>
      </c>
      <c r="X114" t="s">
        <v>102</v>
      </c>
    </row>
    <row r="115" spans="1:24">
      <c r="A115" t="s">
        <v>695</v>
      </c>
      <c r="B115" s="2">
        <v>45313</v>
      </c>
      <c r="C115" s="2">
        <v>45316</v>
      </c>
      <c r="D115" s="5">
        <f>C115-B115</f>
        <v>3</v>
      </c>
      <c r="E115" s="5" t="str">
        <f>IF(D115&lt;0,"INVALID","OK")</f>
        <v>OK</v>
      </c>
      <c r="F115" t="s">
        <v>696</v>
      </c>
      <c r="G115" t="s">
        <v>263</v>
      </c>
      <c r="H115" t="s">
        <v>94</v>
      </c>
      <c r="I115" t="s">
        <v>24</v>
      </c>
      <c r="J115" t="s">
        <v>135</v>
      </c>
      <c r="K115" t="s">
        <v>136</v>
      </c>
      <c r="L115" t="s">
        <v>27</v>
      </c>
      <c r="M115" t="s">
        <v>123</v>
      </c>
      <c r="N115" t="s">
        <v>697</v>
      </c>
      <c r="O115" t="s">
        <v>49</v>
      </c>
      <c r="P115">
        <v>3</v>
      </c>
      <c r="Q115">
        <v>1212.03</v>
      </c>
      <c r="R115">
        <v>0.1</v>
      </c>
      <c r="S115" t="str">
        <f t="shared" si="1"/>
        <v>OK</v>
      </c>
      <c r="T115">
        <v>3272.48</v>
      </c>
      <c r="U115">
        <v>2517.44</v>
      </c>
      <c r="V115">
        <v>755.04</v>
      </c>
      <c r="W115" t="s">
        <v>31</v>
      </c>
      <c r="X115" t="s">
        <v>32</v>
      </c>
    </row>
    <row r="116" spans="1:24">
      <c r="A116" t="s">
        <v>700</v>
      </c>
      <c r="B116" s="2">
        <v>45418</v>
      </c>
      <c r="C116" s="2">
        <v>45449</v>
      </c>
      <c r="D116" s="5">
        <f>C116-B116</f>
        <v>31</v>
      </c>
      <c r="E116" s="5" t="str">
        <f>IF(D116&lt;0,"INVALID","OK")</f>
        <v>OK</v>
      </c>
      <c r="F116" t="s">
        <v>701</v>
      </c>
      <c r="G116" t="s">
        <v>131</v>
      </c>
      <c r="H116" t="s">
        <v>23</v>
      </c>
      <c r="I116" t="s">
        <v>62</v>
      </c>
      <c r="J116" t="s">
        <v>179</v>
      </c>
      <c r="K116" t="s">
        <v>180</v>
      </c>
      <c r="L116" t="s">
        <v>27</v>
      </c>
      <c r="M116" t="s">
        <v>47</v>
      </c>
      <c r="N116" t="s">
        <v>702</v>
      </c>
      <c r="O116" t="s">
        <v>30</v>
      </c>
      <c r="P116">
        <v>1</v>
      </c>
      <c r="Q116">
        <v>1184.58</v>
      </c>
      <c r="R116">
        <v>0.05</v>
      </c>
      <c r="S116" t="str">
        <f t="shared" si="1"/>
        <v>OK</v>
      </c>
      <c r="T116">
        <v>1125.3499999999999</v>
      </c>
      <c r="U116">
        <v>676.97</v>
      </c>
      <c r="V116">
        <v>448.38</v>
      </c>
      <c r="W116" t="s">
        <v>154</v>
      </c>
      <c r="X116" t="s">
        <v>67</v>
      </c>
    </row>
    <row r="117" spans="1:24">
      <c r="A117" t="s">
        <v>703</v>
      </c>
      <c r="B117" s="2">
        <v>45363</v>
      </c>
      <c r="C117" s="2">
        <v>45629</v>
      </c>
      <c r="D117" s="5">
        <f>C117-B117</f>
        <v>266</v>
      </c>
      <c r="E117" s="5" t="str">
        <f>IF(D117&lt;0,"INVALID","OK")</f>
        <v>OK</v>
      </c>
      <c r="F117" t="s">
        <v>704</v>
      </c>
      <c r="G117" t="s">
        <v>117</v>
      </c>
      <c r="H117" t="s">
        <v>94</v>
      </c>
      <c r="I117" t="s">
        <v>37</v>
      </c>
      <c r="J117" t="s">
        <v>144</v>
      </c>
      <c r="K117" t="s">
        <v>145</v>
      </c>
      <c r="L117" t="s">
        <v>73</v>
      </c>
      <c r="M117" t="s">
        <v>273</v>
      </c>
      <c r="N117" t="s">
        <v>705</v>
      </c>
      <c r="O117" t="s">
        <v>2762</v>
      </c>
      <c r="P117">
        <v>6</v>
      </c>
      <c r="Q117">
        <v>2185.58</v>
      </c>
      <c r="R117">
        <v>0.25</v>
      </c>
      <c r="S117" t="str">
        <f t="shared" si="1"/>
        <v>OK</v>
      </c>
      <c r="T117">
        <v>9835.11</v>
      </c>
      <c r="U117">
        <v>5437.64</v>
      </c>
      <c r="V117">
        <v>4397.47</v>
      </c>
      <c r="W117" t="s">
        <v>31</v>
      </c>
      <c r="X117" t="s">
        <v>32</v>
      </c>
    </row>
    <row r="118" spans="1:24">
      <c r="A118" t="s">
        <v>715</v>
      </c>
      <c r="B118" s="2">
        <v>45379</v>
      </c>
      <c r="C118" s="2">
        <v>45381</v>
      </c>
      <c r="D118" s="5">
        <f>C118-B118</f>
        <v>2</v>
      </c>
      <c r="E118" s="5" t="str">
        <f>IF(D118&lt;0,"INVALID","OK")</f>
        <v>OK</v>
      </c>
      <c r="F118" t="s">
        <v>716</v>
      </c>
      <c r="G118" t="s">
        <v>131</v>
      </c>
      <c r="H118" t="s">
        <v>89</v>
      </c>
      <c r="I118" t="s">
        <v>62</v>
      </c>
      <c r="J118" t="s">
        <v>25</v>
      </c>
      <c r="K118" t="s">
        <v>108</v>
      </c>
      <c r="L118" t="s">
        <v>73</v>
      </c>
      <c r="M118" t="s">
        <v>74</v>
      </c>
      <c r="N118" t="s">
        <v>717</v>
      </c>
      <c r="O118" t="s">
        <v>30</v>
      </c>
      <c r="P118">
        <v>1</v>
      </c>
      <c r="Q118">
        <v>570.34</v>
      </c>
      <c r="R118">
        <v>0.15</v>
      </c>
      <c r="S118" t="str">
        <f t="shared" si="1"/>
        <v>OK</v>
      </c>
      <c r="T118">
        <v>484.79</v>
      </c>
      <c r="U118">
        <v>333.54</v>
      </c>
      <c r="V118">
        <v>151.25</v>
      </c>
      <c r="W118" t="s">
        <v>31</v>
      </c>
      <c r="X118" t="s">
        <v>32</v>
      </c>
    </row>
    <row r="119" spans="1:24">
      <c r="A119" t="s">
        <v>727</v>
      </c>
      <c r="B119" s="2">
        <v>45483</v>
      </c>
      <c r="C119" s="2">
        <v>45489</v>
      </c>
      <c r="D119" s="5">
        <f>C119-B119</f>
        <v>6</v>
      </c>
      <c r="E119" s="5" t="str">
        <f>IF(D119&lt;0,"INVALID","OK")</f>
        <v>OK</v>
      </c>
      <c r="F119" t="s">
        <v>728</v>
      </c>
      <c r="G119" t="s">
        <v>127</v>
      </c>
      <c r="H119" t="s">
        <v>94</v>
      </c>
      <c r="I119" t="s">
        <v>62</v>
      </c>
      <c r="J119" t="s">
        <v>189</v>
      </c>
      <c r="K119" t="s">
        <v>190</v>
      </c>
      <c r="L119" t="s">
        <v>40</v>
      </c>
      <c r="M119" t="s">
        <v>157</v>
      </c>
      <c r="N119" t="s">
        <v>729</v>
      </c>
      <c r="O119" t="s">
        <v>30</v>
      </c>
      <c r="P119">
        <v>2</v>
      </c>
      <c r="Q119">
        <v>1095.45</v>
      </c>
      <c r="R119">
        <v>0.2</v>
      </c>
      <c r="S119" t="str">
        <f t="shared" si="1"/>
        <v>OK</v>
      </c>
      <c r="T119">
        <v>1752.72</v>
      </c>
      <c r="U119">
        <v>996.41</v>
      </c>
      <c r="V119">
        <v>756.31</v>
      </c>
      <c r="W119" t="s">
        <v>31</v>
      </c>
      <c r="X119" t="s">
        <v>32</v>
      </c>
    </row>
    <row r="120" spans="1:24">
      <c r="A120" t="s">
        <v>736</v>
      </c>
      <c r="B120" s="2">
        <v>45366</v>
      </c>
      <c r="C120" s="2">
        <v>45369</v>
      </c>
      <c r="D120" s="5">
        <f>C120-B120</f>
        <v>3</v>
      </c>
      <c r="E120" s="5" t="str">
        <f>IF(D120&lt;0,"INVALID","OK")</f>
        <v>OK</v>
      </c>
      <c r="F120" t="s">
        <v>737</v>
      </c>
      <c r="G120" t="s">
        <v>263</v>
      </c>
      <c r="H120" t="s">
        <v>94</v>
      </c>
      <c r="I120" t="s">
        <v>53</v>
      </c>
      <c r="J120" t="s">
        <v>174</v>
      </c>
      <c r="K120" t="s">
        <v>175</v>
      </c>
      <c r="L120" t="s">
        <v>73</v>
      </c>
      <c r="M120" t="s">
        <v>273</v>
      </c>
      <c r="N120" t="s">
        <v>738</v>
      </c>
      <c r="O120" t="s">
        <v>30</v>
      </c>
      <c r="P120">
        <v>1</v>
      </c>
      <c r="Q120">
        <v>4131.3599999999997</v>
      </c>
      <c r="R120">
        <v>0</v>
      </c>
      <c r="S120" t="str">
        <f t="shared" si="1"/>
        <v>OK</v>
      </c>
      <c r="T120">
        <v>4131.3599999999997</v>
      </c>
      <c r="U120">
        <v>2937.07</v>
      </c>
      <c r="V120">
        <v>1194.29</v>
      </c>
      <c r="W120" t="s">
        <v>154</v>
      </c>
      <c r="X120" t="s">
        <v>102</v>
      </c>
    </row>
    <row r="121" spans="1:24">
      <c r="A121" t="s">
        <v>739</v>
      </c>
      <c r="B121" s="2">
        <v>45428</v>
      </c>
      <c r="C121" s="2">
        <v>45429</v>
      </c>
      <c r="D121" s="5">
        <f>C121-B121</f>
        <v>1</v>
      </c>
      <c r="E121" s="5" t="str">
        <f>IF(D121&lt;0,"INVALID","OK")</f>
        <v>OK</v>
      </c>
      <c r="F121" t="s">
        <v>740</v>
      </c>
      <c r="G121" t="s">
        <v>140</v>
      </c>
      <c r="H121" t="s">
        <v>89</v>
      </c>
      <c r="I121" t="s">
        <v>37</v>
      </c>
      <c r="J121" t="s">
        <v>98</v>
      </c>
      <c r="K121" t="s">
        <v>99</v>
      </c>
      <c r="L121" t="s">
        <v>73</v>
      </c>
      <c r="M121" t="s">
        <v>79</v>
      </c>
      <c r="N121" t="s">
        <v>741</v>
      </c>
      <c r="O121" t="s">
        <v>30</v>
      </c>
      <c r="P121">
        <v>8</v>
      </c>
      <c r="Q121">
        <v>4221.95</v>
      </c>
      <c r="R121">
        <v>0.2</v>
      </c>
      <c r="S121" t="str">
        <f t="shared" si="1"/>
        <v>OK</v>
      </c>
      <c r="T121">
        <v>27020.48</v>
      </c>
      <c r="U121">
        <v>22885.24</v>
      </c>
      <c r="V121">
        <v>4135.24</v>
      </c>
      <c r="W121" t="s">
        <v>31</v>
      </c>
      <c r="X121" t="s">
        <v>32</v>
      </c>
    </row>
    <row r="122" spans="1:24">
      <c r="A122" t="s">
        <v>742</v>
      </c>
      <c r="B122" s="2">
        <v>45556</v>
      </c>
      <c r="C122" s="2">
        <v>45556</v>
      </c>
      <c r="D122" s="5">
        <f>C122-B122</f>
        <v>0</v>
      </c>
      <c r="E122" s="5" t="str">
        <f>IF(D122&lt;0,"INVALID","OK")</f>
        <v>OK</v>
      </c>
      <c r="F122" t="s">
        <v>743</v>
      </c>
      <c r="G122" t="s">
        <v>61</v>
      </c>
      <c r="H122" t="s">
        <v>36</v>
      </c>
      <c r="I122" t="s">
        <v>37</v>
      </c>
      <c r="J122" t="s">
        <v>38</v>
      </c>
      <c r="K122" t="s">
        <v>39</v>
      </c>
      <c r="L122" t="s">
        <v>73</v>
      </c>
      <c r="M122" t="s">
        <v>170</v>
      </c>
      <c r="N122" t="s">
        <v>744</v>
      </c>
      <c r="O122" t="s">
        <v>43</v>
      </c>
      <c r="P122">
        <v>2</v>
      </c>
      <c r="Q122">
        <v>214.5</v>
      </c>
      <c r="R122">
        <v>0.15</v>
      </c>
      <c r="S122" t="str">
        <f t="shared" si="1"/>
        <v>OK</v>
      </c>
      <c r="T122">
        <v>364.65</v>
      </c>
      <c r="U122">
        <v>280.74</v>
      </c>
      <c r="V122">
        <v>83.91</v>
      </c>
      <c r="W122" t="s">
        <v>31</v>
      </c>
      <c r="X122" t="s">
        <v>32</v>
      </c>
    </row>
    <row r="123" spans="1:24">
      <c r="A123" t="s">
        <v>745</v>
      </c>
      <c r="B123" s="2">
        <v>45427</v>
      </c>
      <c r="C123" s="2">
        <v>45433</v>
      </c>
      <c r="D123" s="5">
        <f>C123-B123</f>
        <v>6</v>
      </c>
      <c r="E123" s="5" t="str">
        <f>IF(D123&lt;0,"INVALID","OK")</f>
        <v>OK</v>
      </c>
      <c r="F123" t="s">
        <v>746</v>
      </c>
      <c r="G123" t="s">
        <v>46</v>
      </c>
      <c r="H123" t="s">
        <v>36</v>
      </c>
      <c r="I123" t="s">
        <v>37</v>
      </c>
      <c r="J123" t="s">
        <v>144</v>
      </c>
      <c r="K123" t="s">
        <v>145</v>
      </c>
      <c r="L123" t="s">
        <v>73</v>
      </c>
      <c r="M123" t="s">
        <v>74</v>
      </c>
      <c r="N123" t="s">
        <v>747</v>
      </c>
      <c r="O123" t="s">
        <v>30</v>
      </c>
      <c r="P123">
        <v>4</v>
      </c>
      <c r="Q123">
        <v>4332.7299999999996</v>
      </c>
      <c r="R123">
        <v>0.2</v>
      </c>
      <c r="S123" t="str">
        <f t="shared" si="1"/>
        <v>OK</v>
      </c>
      <c r="T123">
        <v>13864.74</v>
      </c>
      <c r="U123">
        <v>11294.06</v>
      </c>
      <c r="V123">
        <v>2570.6799999999998</v>
      </c>
      <c r="W123" t="s">
        <v>31</v>
      </c>
      <c r="X123" t="s">
        <v>32</v>
      </c>
    </row>
    <row r="124" spans="1:24">
      <c r="A124" t="s">
        <v>748</v>
      </c>
      <c r="B124" s="2">
        <v>45368</v>
      </c>
      <c r="C124" s="2">
        <v>45374</v>
      </c>
      <c r="D124" s="5">
        <f>C124-B124</f>
        <v>6</v>
      </c>
      <c r="E124" s="5" t="str">
        <f>IF(D124&lt;0,"INVALID","OK")</f>
        <v>OK</v>
      </c>
      <c r="F124" t="s">
        <v>749</v>
      </c>
      <c r="G124" t="s">
        <v>117</v>
      </c>
      <c r="H124" t="s">
        <v>23</v>
      </c>
      <c r="I124" t="s">
        <v>24</v>
      </c>
      <c r="J124" t="s">
        <v>235</v>
      </c>
      <c r="K124" t="s">
        <v>236</v>
      </c>
      <c r="L124" t="s">
        <v>73</v>
      </c>
      <c r="M124" t="s">
        <v>74</v>
      </c>
      <c r="N124" t="s">
        <v>750</v>
      </c>
      <c r="O124" t="s">
        <v>49</v>
      </c>
      <c r="P124">
        <v>3</v>
      </c>
      <c r="Q124">
        <v>248.18</v>
      </c>
      <c r="R124">
        <v>0.05</v>
      </c>
      <c r="S124" t="str">
        <f t="shared" si="1"/>
        <v>OK</v>
      </c>
      <c r="T124">
        <v>707.31</v>
      </c>
      <c r="U124">
        <v>569</v>
      </c>
      <c r="V124">
        <v>138.31</v>
      </c>
      <c r="W124" t="s">
        <v>31</v>
      </c>
      <c r="X124" t="s">
        <v>32</v>
      </c>
    </row>
    <row r="125" spans="1:24">
      <c r="A125" t="s">
        <v>751</v>
      </c>
      <c r="B125" s="2">
        <v>45294</v>
      </c>
      <c r="C125" s="2">
        <v>45355</v>
      </c>
      <c r="D125" s="5">
        <f>C125-B125</f>
        <v>61</v>
      </c>
      <c r="E125" s="5" t="str">
        <f>IF(D125&lt;0,"INVALID","OK")</f>
        <v>OK</v>
      </c>
      <c r="F125" t="s">
        <v>752</v>
      </c>
      <c r="G125" t="s">
        <v>35</v>
      </c>
      <c r="H125" t="s">
        <v>23</v>
      </c>
      <c r="I125" t="s">
        <v>62</v>
      </c>
      <c r="J125" t="s">
        <v>71</v>
      </c>
      <c r="K125" t="s">
        <v>72</v>
      </c>
      <c r="L125" t="s">
        <v>27</v>
      </c>
      <c r="M125" t="s">
        <v>28</v>
      </c>
      <c r="N125" t="s">
        <v>753</v>
      </c>
      <c r="O125" t="s">
        <v>49</v>
      </c>
      <c r="P125">
        <v>8</v>
      </c>
      <c r="Q125">
        <v>3202.4</v>
      </c>
      <c r="R125">
        <v>0.25</v>
      </c>
      <c r="S125" t="str">
        <f t="shared" si="1"/>
        <v>OK</v>
      </c>
      <c r="T125">
        <v>19214.400000000001</v>
      </c>
      <c r="U125">
        <v>10916.01</v>
      </c>
      <c r="V125">
        <v>8298.39</v>
      </c>
      <c r="W125" t="s">
        <v>31</v>
      </c>
      <c r="X125" t="s">
        <v>32</v>
      </c>
    </row>
    <row r="126" spans="1:24">
      <c r="A126" t="s">
        <v>763</v>
      </c>
      <c r="B126" s="2">
        <v>45461</v>
      </c>
      <c r="C126" s="2">
        <v>45462</v>
      </c>
      <c r="D126" s="5">
        <f>C126-B126</f>
        <v>1</v>
      </c>
      <c r="E126" s="5" t="str">
        <f>IF(D126&lt;0,"INVALID","OK")</f>
        <v>OK</v>
      </c>
      <c r="F126" t="s">
        <v>764</v>
      </c>
      <c r="G126" t="s">
        <v>117</v>
      </c>
      <c r="H126" t="s">
        <v>23</v>
      </c>
      <c r="I126" t="s">
        <v>37</v>
      </c>
      <c r="J126" t="s">
        <v>144</v>
      </c>
      <c r="K126" t="s">
        <v>145</v>
      </c>
      <c r="L126" t="s">
        <v>73</v>
      </c>
      <c r="M126" t="s">
        <v>273</v>
      </c>
      <c r="N126" t="s">
        <v>765</v>
      </c>
      <c r="O126" t="s">
        <v>49</v>
      </c>
      <c r="P126">
        <v>2</v>
      </c>
      <c r="Q126">
        <v>121.49</v>
      </c>
      <c r="R126" t="s">
        <v>766</v>
      </c>
      <c r="S126" t="str">
        <f t="shared" si="1"/>
        <v>INVALID</v>
      </c>
      <c r="T126">
        <v>242.98</v>
      </c>
      <c r="U126">
        <v>161.41999999999999</v>
      </c>
      <c r="V126">
        <v>81.56</v>
      </c>
      <c r="W126" t="s">
        <v>31</v>
      </c>
      <c r="X126" t="s">
        <v>32</v>
      </c>
    </row>
    <row r="127" spans="1:24">
      <c r="A127" t="s">
        <v>767</v>
      </c>
      <c r="B127" s="2">
        <v>45538</v>
      </c>
      <c r="C127" s="2">
        <v>45538</v>
      </c>
      <c r="D127" s="5">
        <f>C127-B127</f>
        <v>0</v>
      </c>
      <c r="E127" s="5" t="str">
        <f>IF(D127&lt;0,"INVALID","OK")</f>
        <v>OK</v>
      </c>
      <c r="F127" t="s">
        <v>768</v>
      </c>
      <c r="G127" t="s">
        <v>131</v>
      </c>
      <c r="H127" t="s">
        <v>23</v>
      </c>
      <c r="I127" t="s">
        <v>53</v>
      </c>
      <c r="J127" t="s">
        <v>184</v>
      </c>
      <c r="K127" t="s">
        <v>185</v>
      </c>
      <c r="L127" t="s">
        <v>27</v>
      </c>
      <c r="M127" t="s">
        <v>123</v>
      </c>
      <c r="N127" t="s">
        <v>769</v>
      </c>
      <c r="O127" t="s">
        <v>49</v>
      </c>
      <c r="P127">
        <v>4</v>
      </c>
      <c r="Q127">
        <v>2810.17</v>
      </c>
      <c r="R127">
        <v>0.15</v>
      </c>
      <c r="S127" t="str">
        <f t="shared" si="1"/>
        <v>OK</v>
      </c>
      <c r="T127">
        <v>9554.58</v>
      </c>
      <c r="U127">
        <v>6068.47</v>
      </c>
      <c r="V127">
        <v>3486.11</v>
      </c>
      <c r="W127" t="s">
        <v>101</v>
      </c>
      <c r="X127" t="s">
        <v>67</v>
      </c>
    </row>
    <row r="128" spans="1:24">
      <c r="A128" t="s">
        <v>782</v>
      </c>
      <c r="B128" s="2">
        <v>45537</v>
      </c>
      <c r="C128" s="2">
        <v>45545</v>
      </c>
      <c r="D128" s="5">
        <f>C128-B128</f>
        <v>8</v>
      </c>
      <c r="E128" s="5" t="str">
        <f>IF(D128&lt;0,"INVALID","OK")</f>
        <v>OK</v>
      </c>
      <c r="F128" t="s">
        <v>783</v>
      </c>
      <c r="G128" t="s">
        <v>35</v>
      </c>
      <c r="H128" t="s">
        <v>89</v>
      </c>
      <c r="I128" t="s">
        <v>62</v>
      </c>
      <c r="J128" t="s">
        <v>189</v>
      </c>
      <c r="K128" t="s">
        <v>190</v>
      </c>
      <c r="L128" t="s">
        <v>73</v>
      </c>
      <c r="M128" t="s">
        <v>170</v>
      </c>
      <c r="N128" t="s">
        <v>784</v>
      </c>
      <c r="O128" t="s">
        <v>58</v>
      </c>
      <c r="P128">
        <v>6</v>
      </c>
      <c r="Q128">
        <v>1032.47</v>
      </c>
      <c r="R128">
        <v>0.15</v>
      </c>
      <c r="S128" t="str">
        <f t="shared" si="1"/>
        <v>OK</v>
      </c>
      <c r="T128">
        <v>5265.6</v>
      </c>
      <c r="U128">
        <v>4293.1099999999997</v>
      </c>
      <c r="V128">
        <v>787.57</v>
      </c>
      <c r="W128" t="s">
        <v>31</v>
      </c>
      <c r="X128" t="s">
        <v>32</v>
      </c>
    </row>
    <row r="129" spans="1:24">
      <c r="A129" t="s">
        <v>788</v>
      </c>
      <c r="B129" s="2">
        <v>45478</v>
      </c>
      <c r="C129" s="2">
        <v>45485</v>
      </c>
      <c r="D129" s="5">
        <f>C129-B129</f>
        <v>7</v>
      </c>
      <c r="E129" s="5" t="str">
        <f>IF(D129&lt;0,"INVALID","OK")</f>
        <v>OK</v>
      </c>
      <c r="F129" t="s">
        <v>789</v>
      </c>
      <c r="G129" t="s">
        <v>61</v>
      </c>
      <c r="H129" t="s">
        <v>36</v>
      </c>
      <c r="I129" t="s">
        <v>62</v>
      </c>
      <c r="J129" t="s">
        <v>189</v>
      </c>
      <c r="K129" t="s">
        <v>190</v>
      </c>
      <c r="L129" t="s">
        <v>27</v>
      </c>
      <c r="M129" t="s">
        <v>152</v>
      </c>
      <c r="N129" t="s">
        <v>790</v>
      </c>
      <c r="O129" t="s">
        <v>49</v>
      </c>
      <c r="P129">
        <v>3</v>
      </c>
      <c r="Q129">
        <v>577.75</v>
      </c>
      <c r="R129">
        <v>0.15</v>
      </c>
      <c r="S129" t="str">
        <f t="shared" si="1"/>
        <v>OK</v>
      </c>
      <c r="T129">
        <v>1473.26</v>
      </c>
      <c r="U129">
        <v>899.86</v>
      </c>
      <c r="V129">
        <v>573.4</v>
      </c>
      <c r="W129" t="s">
        <v>31</v>
      </c>
      <c r="X129" t="s">
        <v>32</v>
      </c>
    </row>
    <row r="130" spans="1:24">
      <c r="A130" t="s">
        <v>791</v>
      </c>
      <c r="B130" s="2">
        <v>45406</v>
      </c>
      <c r="C130" s="2">
        <v>45410</v>
      </c>
      <c r="D130" s="5">
        <f>C130-B130</f>
        <v>4</v>
      </c>
      <c r="E130" s="5" t="str">
        <f>IF(D130&lt;0,"INVALID","OK")</f>
        <v>OK</v>
      </c>
      <c r="F130" t="s">
        <v>792</v>
      </c>
      <c r="G130" t="s">
        <v>22</v>
      </c>
      <c r="H130" t="s">
        <v>36</v>
      </c>
      <c r="I130" t="s">
        <v>53</v>
      </c>
      <c r="J130" t="s">
        <v>54</v>
      </c>
      <c r="K130" t="s">
        <v>55</v>
      </c>
      <c r="L130" t="s">
        <v>27</v>
      </c>
      <c r="M130" t="s">
        <v>90</v>
      </c>
      <c r="N130" t="s">
        <v>793</v>
      </c>
      <c r="O130" t="s">
        <v>30</v>
      </c>
      <c r="P130">
        <v>1</v>
      </c>
      <c r="Q130">
        <v>3194.37</v>
      </c>
      <c r="R130">
        <v>0.15</v>
      </c>
      <c r="S130" t="str">
        <f t="shared" si="1"/>
        <v>OK</v>
      </c>
      <c r="T130">
        <v>2715.21</v>
      </c>
      <c r="U130">
        <v>1551.55</v>
      </c>
      <c r="V130">
        <v>1163.6600000000001</v>
      </c>
      <c r="W130" t="s">
        <v>31</v>
      </c>
      <c r="X130" t="s">
        <v>32</v>
      </c>
    </row>
    <row r="131" spans="1:24">
      <c r="A131" t="s">
        <v>797</v>
      </c>
      <c r="B131" s="2">
        <v>45440</v>
      </c>
      <c r="C131" s="2">
        <v>45357</v>
      </c>
      <c r="D131" s="5">
        <f>C131-B131</f>
        <v>-83</v>
      </c>
      <c r="E131" s="5" t="str">
        <f>IF(D131&lt;0,"INVALID","OK")</f>
        <v>INVALID</v>
      </c>
      <c r="F131" t="s">
        <v>798</v>
      </c>
      <c r="G131" t="s">
        <v>78</v>
      </c>
      <c r="H131" t="s">
        <v>36</v>
      </c>
      <c r="I131" t="s">
        <v>24</v>
      </c>
      <c r="J131" t="s">
        <v>25</v>
      </c>
      <c r="K131" t="s">
        <v>26</v>
      </c>
      <c r="L131" t="s">
        <v>27</v>
      </c>
      <c r="M131" t="s">
        <v>28</v>
      </c>
      <c r="N131" t="s">
        <v>799</v>
      </c>
      <c r="O131" t="s">
        <v>58</v>
      </c>
      <c r="P131">
        <v>8</v>
      </c>
      <c r="Q131">
        <v>1540.33</v>
      </c>
      <c r="R131">
        <v>0.1</v>
      </c>
      <c r="S131" t="str">
        <f t="shared" ref="S131:S194" si="2">IF(R131&lt;0,"INVALID",IF(R131&gt;0.5,"INVALID","OK"))</f>
        <v>OK</v>
      </c>
      <c r="T131">
        <v>11090.38</v>
      </c>
      <c r="U131">
        <v>8840.9500000000007</v>
      </c>
      <c r="V131">
        <v>2249.4299999999998</v>
      </c>
      <c r="W131" t="s">
        <v>31</v>
      </c>
      <c r="X131" t="s">
        <v>32</v>
      </c>
    </row>
    <row r="132" spans="1:24">
      <c r="A132" t="s">
        <v>800</v>
      </c>
      <c r="B132" s="2">
        <v>45414</v>
      </c>
      <c r="C132" s="2">
        <v>45414</v>
      </c>
      <c r="D132" s="5">
        <f>C132-B132</f>
        <v>0</v>
      </c>
      <c r="E132" s="5" t="str">
        <f>IF(D132&lt;0,"INVALID","OK")</f>
        <v>OK</v>
      </c>
      <c r="F132" t="s">
        <v>801</v>
      </c>
      <c r="G132" t="s">
        <v>61</v>
      </c>
      <c r="H132" t="s">
        <v>89</v>
      </c>
      <c r="I132" t="s">
        <v>24</v>
      </c>
      <c r="J132" t="s">
        <v>25</v>
      </c>
      <c r="K132" t="s">
        <v>26</v>
      </c>
      <c r="L132" t="s">
        <v>27</v>
      </c>
      <c r="M132" t="s">
        <v>90</v>
      </c>
      <c r="N132" t="s">
        <v>802</v>
      </c>
      <c r="O132" t="s">
        <v>49</v>
      </c>
      <c r="P132">
        <v>7</v>
      </c>
      <c r="Q132">
        <v>2183.38</v>
      </c>
      <c r="R132">
        <v>0.25</v>
      </c>
      <c r="S132" t="str">
        <f t="shared" si="2"/>
        <v>OK</v>
      </c>
      <c r="T132">
        <v>11462.74</v>
      </c>
      <c r="U132">
        <v>7163.54</v>
      </c>
      <c r="V132">
        <v>4299.2</v>
      </c>
      <c r="W132" t="s">
        <v>101</v>
      </c>
      <c r="X132" t="s">
        <v>67</v>
      </c>
    </row>
    <row r="133" spans="1:24">
      <c r="A133" t="s">
        <v>806</v>
      </c>
      <c r="B133" s="2">
        <v>45579</v>
      </c>
      <c r="C133" s="2">
        <v>45579</v>
      </c>
      <c r="D133" s="5">
        <f>C133-B133</f>
        <v>0</v>
      </c>
      <c r="E133" s="5" t="str">
        <f>IF(D133&lt;0,"INVALID","OK")</f>
        <v>OK</v>
      </c>
      <c r="F133" t="s">
        <v>807</v>
      </c>
      <c r="G133" t="s">
        <v>70</v>
      </c>
      <c r="H133" t="s">
        <v>89</v>
      </c>
      <c r="I133" t="s">
        <v>53</v>
      </c>
      <c r="J133" t="s">
        <v>174</v>
      </c>
      <c r="K133" t="s">
        <v>175</v>
      </c>
      <c r="L133" t="s">
        <v>40</v>
      </c>
      <c r="M133" t="s">
        <v>157</v>
      </c>
      <c r="N133" t="s">
        <v>808</v>
      </c>
      <c r="O133" t="s">
        <v>2762</v>
      </c>
      <c r="P133">
        <v>8</v>
      </c>
      <c r="Q133">
        <v>3904.59</v>
      </c>
      <c r="R133">
        <v>0</v>
      </c>
      <c r="S133" t="str">
        <f t="shared" si="2"/>
        <v>OK</v>
      </c>
      <c r="T133">
        <v>31236.720000000001</v>
      </c>
      <c r="U133">
        <v>26377.7</v>
      </c>
      <c r="V133">
        <v>4859.0200000000004</v>
      </c>
      <c r="W133" t="s">
        <v>31</v>
      </c>
      <c r="X133" t="s">
        <v>32</v>
      </c>
    </row>
    <row r="134" spans="1:24">
      <c r="A134" t="s">
        <v>809</v>
      </c>
      <c r="B134" s="2">
        <v>45537</v>
      </c>
      <c r="C134" s="2">
        <v>45538</v>
      </c>
      <c r="D134" s="5">
        <f>C134-B134</f>
        <v>1</v>
      </c>
      <c r="E134" s="5" t="str">
        <f>IF(D134&lt;0,"INVALID","OK")</f>
        <v>OK</v>
      </c>
      <c r="F134" t="s">
        <v>810</v>
      </c>
      <c r="G134" t="s">
        <v>263</v>
      </c>
      <c r="H134" t="s">
        <v>94</v>
      </c>
      <c r="I134" t="s">
        <v>24</v>
      </c>
      <c r="J134" t="s">
        <v>349</v>
      </c>
      <c r="K134" t="s">
        <v>350</v>
      </c>
      <c r="L134" t="s">
        <v>40</v>
      </c>
      <c r="M134" t="s">
        <v>56</v>
      </c>
      <c r="N134" t="s">
        <v>811</v>
      </c>
      <c r="O134" t="s">
        <v>49</v>
      </c>
      <c r="P134">
        <v>9</v>
      </c>
      <c r="Q134">
        <v>1353.61</v>
      </c>
      <c r="R134">
        <v>0.1</v>
      </c>
      <c r="S134" t="str">
        <f t="shared" si="2"/>
        <v>OK</v>
      </c>
      <c r="T134">
        <v>10964.24</v>
      </c>
      <c r="U134">
        <v>9262.4699999999993</v>
      </c>
      <c r="V134">
        <v>1701.77</v>
      </c>
      <c r="W134" t="s">
        <v>31</v>
      </c>
      <c r="X134" t="s">
        <v>32</v>
      </c>
    </row>
    <row r="135" spans="1:24">
      <c r="A135" t="s">
        <v>812</v>
      </c>
      <c r="B135" s="2">
        <v>45598</v>
      </c>
      <c r="C135" s="2">
        <v>45599</v>
      </c>
      <c r="D135" s="5">
        <f>C135-B135</f>
        <v>1</v>
      </c>
      <c r="E135" s="5" t="str">
        <f>IF(D135&lt;0,"INVALID","OK")</f>
        <v>OK</v>
      </c>
      <c r="F135" t="s">
        <v>813</v>
      </c>
      <c r="G135" t="s">
        <v>117</v>
      </c>
      <c r="H135" t="s">
        <v>36</v>
      </c>
      <c r="I135" t="s">
        <v>62</v>
      </c>
      <c r="J135" t="s">
        <v>25</v>
      </c>
      <c r="K135" t="s">
        <v>108</v>
      </c>
      <c r="L135" t="s">
        <v>27</v>
      </c>
      <c r="M135" t="s">
        <v>123</v>
      </c>
      <c r="N135" t="s">
        <v>814</v>
      </c>
      <c r="O135" t="s">
        <v>58</v>
      </c>
      <c r="P135">
        <v>6</v>
      </c>
      <c r="Q135">
        <v>2671.29</v>
      </c>
      <c r="R135">
        <v>0.05</v>
      </c>
      <c r="S135" t="str">
        <f t="shared" si="2"/>
        <v>OK</v>
      </c>
      <c r="T135">
        <v>15226.35</v>
      </c>
      <c r="U135">
        <v>11145.28</v>
      </c>
      <c r="V135">
        <v>4081.07</v>
      </c>
      <c r="W135" t="s">
        <v>31</v>
      </c>
      <c r="X135" t="s">
        <v>32</v>
      </c>
    </row>
    <row r="136" spans="1:24">
      <c r="A136" t="s">
        <v>815</v>
      </c>
      <c r="B136" s="2">
        <v>45579</v>
      </c>
      <c r="C136" s="2">
        <v>45586</v>
      </c>
      <c r="D136" s="5">
        <f>C136-B136</f>
        <v>7</v>
      </c>
      <c r="E136" s="5" t="str">
        <f>IF(D136&lt;0,"INVALID","OK")</f>
        <v>OK</v>
      </c>
      <c r="F136" t="s">
        <v>816</v>
      </c>
      <c r="G136" t="s">
        <v>113</v>
      </c>
      <c r="H136" t="s">
        <v>89</v>
      </c>
      <c r="I136" t="s">
        <v>24</v>
      </c>
      <c r="J136" t="s">
        <v>135</v>
      </c>
      <c r="K136" t="s">
        <v>136</v>
      </c>
      <c r="L136" t="s">
        <v>40</v>
      </c>
      <c r="M136" t="s">
        <v>157</v>
      </c>
      <c r="N136" t="s">
        <v>817</v>
      </c>
      <c r="O136" t="s">
        <v>49</v>
      </c>
      <c r="P136">
        <v>6</v>
      </c>
      <c r="Q136">
        <v>4062.78</v>
      </c>
      <c r="R136">
        <v>0</v>
      </c>
      <c r="S136" t="str">
        <f t="shared" si="2"/>
        <v>OK</v>
      </c>
      <c r="T136">
        <v>24376.68</v>
      </c>
      <c r="U136">
        <v>18533.39</v>
      </c>
      <c r="V136">
        <v>5843.29</v>
      </c>
      <c r="W136" t="s">
        <v>31</v>
      </c>
      <c r="X136" t="s">
        <v>32</v>
      </c>
    </row>
    <row r="137" spans="1:24">
      <c r="A137" t="s">
        <v>818</v>
      </c>
      <c r="B137" s="2">
        <v>45531</v>
      </c>
      <c r="C137" s="2">
        <v>45531</v>
      </c>
      <c r="D137" s="5">
        <f>C137-B137</f>
        <v>0</v>
      </c>
      <c r="E137" s="5" t="str">
        <f>IF(D137&lt;0,"INVALID","OK")</f>
        <v>OK</v>
      </c>
      <c r="F137" t="s">
        <v>819</v>
      </c>
      <c r="G137" t="s">
        <v>35</v>
      </c>
      <c r="H137" t="s">
        <v>23</v>
      </c>
      <c r="I137" t="s">
        <v>24</v>
      </c>
      <c r="J137" t="s">
        <v>235</v>
      </c>
      <c r="K137" t="s">
        <v>236</v>
      </c>
      <c r="L137" t="s">
        <v>73</v>
      </c>
      <c r="M137" t="s">
        <v>79</v>
      </c>
      <c r="N137" t="s">
        <v>820</v>
      </c>
      <c r="O137" t="s">
        <v>58</v>
      </c>
      <c r="P137">
        <v>9</v>
      </c>
      <c r="Q137">
        <v>2330.3000000000002</v>
      </c>
      <c r="R137">
        <v>0</v>
      </c>
      <c r="S137" t="str">
        <f t="shared" si="2"/>
        <v>OK</v>
      </c>
      <c r="T137">
        <v>20972.7</v>
      </c>
      <c r="U137">
        <v>13504.88</v>
      </c>
      <c r="V137">
        <v>7467.82</v>
      </c>
      <c r="W137" t="s">
        <v>31</v>
      </c>
      <c r="X137" t="s">
        <v>32</v>
      </c>
    </row>
    <row r="138" spans="1:24">
      <c r="A138" t="s">
        <v>821</v>
      </c>
      <c r="B138" s="2">
        <v>45303</v>
      </c>
      <c r="C138" s="2">
        <v>45308</v>
      </c>
      <c r="D138" s="5">
        <f>C138-B138</f>
        <v>5</v>
      </c>
      <c r="E138" s="5" t="str">
        <f>IF(D138&lt;0,"INVALID","OK")</f>
        <v>OK</v>
      </c>
      <c r="F138" t="s">
        <v>822</v>
      </c>
      <c r="G138" t="s">
        <v>52</v>
      </c>
      <c r="H138" t="s">
        <v>23</v>
      </c>
      <c r="I138" t="s">
        <v>53</v>
      </c>
      <c r="J138" t="s">
        <v>83</v>
      </c>
      <c r="K138" t="s">
        <v>84</v>
      </c>
      <c r="L138" t="s">
        <v>27</v>
      </c>
      <c r="M138" t="s">
        <v>123</v>
      </c>
      <c r="N138" t="s">
        <v>823</v>
      </c>
      <c r="O138" t="s">
        <v>49</v>
      </c>
      <c r="P138">
        <v>7</v>
      </c>
      <c r="Q138">
        <v>4005.05</v>
      </c>
      <c r="R138">
        <v>0.55000000000000004</v>
      </c>
      <c r="S138" t="str">
        <f t="shared" si="2"/>
        <v>INVALID</v>
      </c>
      <c r="T138">
        <v>26633.58</v>
      </c>
      <c r="U138">
        <v>18838.75</v>
      </c>
      <c r="V138">
        <v>7794.83</v>
      </c>
      <c r="W138" t="s">
        <v>31</v>
      </c>
      <c r="X138" t="s">
        <v>32</v>
      </c>
    </row>
    <row r="139" spans="1:24">
      <c r="A139" t="s">
        <v>824</v>
      </c>
      <c r="B139" s="2">
        <v>45556</v>
      </c>
      <c r="C139" s="2">
        <v>45556</v>
      </c>
      <c r="D139" s="5">
        <f>C139-B139</f>
        <v>0</v>
      </c>
      <c r="E139" s="5" t="str">
        <f>IF(D139&lt;0,"INVALID","OK")</f>
        <v>OK</v>
      </c>
      <c r="F139" t="s">
        <v>825</v>
      </c>
      <c r="G139" t="s">
        <v>263</v>
      </c>
      <c r="H139" t="s">
        <v>89</v>
      </c>
      <c r="I139" t="s">
        <v>53</v>
      </c>
      <c r="J139" t="s">
        <v>174</v>
      </c>
      <c r="K139" t="s">
        <v>175</v>
      </c>
      <c r="L139" t="s">
        <v>73</v>
      </c>
      <c r="M139" t="s">
        <v>273</v>
      </c>
      <c r="N139" t="s">
        <v>826</v>
      </c>
      <c r="O139" t="s">
        <v>49</v>
      </c>
      <c r="P139">
        <v>2</v>
      </c>
      <c r="Q139">
        <v>1960.06</v>
      </c>
      <c r="R139">
        <v>0.2</v>
      </c>
      <c r="S139" t="str">
        <f t="shared" si="2"/>
        <v>OK</v>
      </c>
      <c r="T139">
        <v>3136.1</v>
      </c>
      <c r="U139">
        <v>2279.4899999999998</v>
      </c>
      <c r="V139">
        <v>856.61</v>
      </c>
      <c r="W139" t="s">
        <v>31</v>
      </c>
      <c r="X139" t="s">
        <v>32</v>
      </c>
    </row>
    <row r="140" spans="1:24">
      <c r="A140" t="s">
        <v>827</v>
      </c>
      <c r="B140" s="2">
        <v>45643</v>
      </c>
      <c r="C140" s="2">
        <v>45649</v>
      </c>
      <c r="D140" s="5">
        <f>C140-B140</f>
        <v>6</v>
      </c>
      <c r="E140" s="5" t="str">
        <f>IF(D140&lt;0,"INVALID","OK")</f>
        <v>OK</v>
      </c>
      <c r="F140" t="s">
        <v>828</v>
      </c>
      <c r="G140" t="s">
        <v>127</v>
      </c>
      <c r="H140" t="s">
        <v>89</v>
      </c>
      <c r="I140" t="s">
        <v>53</v>
      </c>
      <c r="J140" t="s">
        <v>54</v>
      </c>
      <c r="K140" t="s">
        <v>55</v>
      </c>
      <c r="L140" t="s">
        <v>27</v>
      </c>
      <c r="M140" t="s">
        <v>152</v>
      </c>
      <c r="N140" t="s">
        <v>829</v>
      </c>
      <c r="O140" t="s">
        <v>49</v>
      </c>
      <c r="P140">
        <v>9</v>
      </c>
      <c r="Q140">
        <v>2315.1</v>
      </c>
      <c r="R140">
        <v>0</v>
      </c>
      <c r="S140" t="str">
        <f t="shared" si="2"/>
        <v>OK</v>
      </c>
      <c r="T140">
        <v>20835.900000000001</v>
      </c>
      <c r="U140">
        <v>13928.19</v>
      </c>
      <c r="V140">
        <v>6907.71</v>
      </c>
      <c r="W140" t="s">
        <v>31</v>
      </c>
      <c r="X140" t="s">
        <v>32</v>
      </c>
    </row>
    <row r="141" spans="1:24">
      <c r="A141" t="s">
        <v>839</v>
      </c>
      <c r="B141" s="2">
        <v>45527</v>
      </c>
      <c r="C141" s="2">
        <v>45528</v>
      </c>
      <c r="D141" s="5">
        <f>C141-B141</f>
        <v>1</v>
      </c>
      <c r="E141" s="5" t="str">
        <f>IF(D141&lt;0,"INVALID","OK")</f>
        <v>OK</v>
      </c>
      <c r="F141" t="s">
        <v>840</v>
      </c>
      <c r="G141" t="s">
        <v>78</v>
      </c>
      <c r="H141" t="s">
        <v>23</v>
      </c>
      <c r="I141" t="s">
        <v>53</v>
      </c>
      <c r="J141" t="s">
        <v>54</v>
      </c>
      <c r="K141" t="s">
        <v>55</v>
      </c>
      <c r="L141" t="s">
        <v>40</v>
      </c>
      <c r="M141" t="s">
        <v>157</v>
      </c>
      <c r="N141" t="s">
        <v>841</v>
      </c>
      <c r="O141" t="s">
        <v>43</v>
      </c>
      <c r="P141">
        <v>6</v>
      </c>
      <c r="Q141">
        <v>1021.89</v>
      </c>
      <c r="R141">
        <v>0</v>
      </c>
      <c r="S141" t="str">
        <f t="shared" si="2"/>
        <v>OK</v>
      </c>
      <c r="T141">
        <v>6131.34</v>
      </c>
      <c r="U141">
        <v>4060.88</v>
      </c>
      <c r="V141">
        <v>2070.46</v>
      </c>
      <c r="W141" t="s">
        <v>31</v>
      </c>
      <c r="X141" t="s">
        <v>32</v>
      </c>
    </row>
    <row r="142" spans="1:24">
      <c r="A142" t="s">
        <v>842</v>
      </c>
      <c r="B142" s="2">
        <v>45583</v>
      </c>
      <c r="C142" s="2">
        <v>45589</v>
      </c>
      <c r="D142" s="5">
        <f>C142-B142</f>
        <v>6</v>
      </c>
      <c r="E142" s="5" t="str">
        <f>IF(D142&lt;0,"INVALID","OK")</f>
        <v>OK</v>
      </c>
      <c r="F142" t="s">
        <v>843</v>
      </c>
      <c r="G142" t="s">
        <v>78</v>
      </c>
      <c r="H142" t="s">
        <v>94</v>
      </c>
      <c r="I142" t="s">
        <v>53</v>
      </c>
      <c r="J142" t="s">
        <v>184</v>
      </c>
      <c r="K142" t="s">
        <v>185</v>
      </c>
      <c r="L142" t="s">
        <v>40</v>
      </c>
      <c r="M142" t="s">
        <v>65</v>
      </c>
      <c r="N142" t="s">
        <v>844</v>
      </c>
      <c r="O142" t="s">
        <v>30</v>
      </c>
      <c r="P142">
        <v>3</v>
      </c>
      <c r="Q142">
        <v>3275.93</v>
      </c>
      <c r="R142">
        <v>0</v>
      </c>
      <c r="S142" t="str">
        <f t="shared" si="2"/>
        <v>OK</v>
      </c>
      <c r="T142">
        <v>9827.7900000000009</v>
      </c>
      <c r="U142">
        <v>5478.28</v>
      </c>
      <c r="V142">
        <v>4349.51</v>
      </c>
      <c r="W142" t="s">
        <v>31</v>
      </c>
      <c r="X142" t="s">
        <v>32</v>
      </c>
    </row>
    <row r="143" spans="1:24">
      <c r="A143" t="s">
        <v>845</v>
      </c>
      <c r="B143" s="2">
        <v>45416</v>
      </c>
      <c r="C143" s="2">
        <v>45421</v>
      </c>
      <c r="D143" s="5">
        <f>C143-B143</f>
        <v>5</v>
      </c>
      <c r="E143" s="5" t="str">
        <f>IF(D143&lt;0,"INVALID","OK")</f>
        <v>OK</v>
      </c>
      <c r="F143" t="s">
        <v>846</v>
      </c>
      <c r="G143" t="s">
        <v>61</v>
      </c>
      <c r="H143" t="s">
        <v>89</v>
      </c>
      <c r="I143" t="s">
        <v>24</v>
      </c>
      <c r="J143" t="s">
        <v>121</v>
      </c>
      <c r="K143" t="s">
        <v>122</v>
      </c>
      <c r="L143" t="s">
        <v>73</v>
      </c>
      <c r="M143" t="s">
        <v>273</v>
      </c>
      <c r="N143" t="s">
        <v>847</v>
      </c>
      <c r="O143" t="s">
        <v>43</v>
      </c>
      <c r="P143">
        <v>3</v>
      </c>
      <c r="Q143">
        <v>231.95</v>
      </c>
      <c r="R143">
        <v>0.25</v>
      </c>
      <c r="S143" t="str">
        <f t="shared" si="2"/>
        <v>OK</v>
      </c>
      <c r="T143">
        <v>521.89</v>
      </c>
      <c r="U143">
        <v>444.52</v>
      </c>
      <c r="V143">
        <v>77.37</v>
      </c>
      <c r="W143" t="s">
        <v>101</v>
      </c>
      <c r="X143" t="s">
        <v>67</v>
      </c>
    </row>
    <row r="144" spans="1:24">
      <c r="A144" t="s">
        <v>848</v>
      </c>
      <c r="B144" s="2">
        <v>45498</v>
      </c>
      <c r="C144" s="2">
        <v>45505</v>
      </c>
      <c r="D144" s="5">
        <f>C144-B144</f>
        <v>7</v>
      </c>
      <c r="E144" s="5" t="str">
        <f>IF(D144&lt;0,"INVALID","OK")</f>
        <v>OK</v>
      </c>
      <c r="F144" t="s">
        <v>849</v>
      </c>
      <c r="G144" t="s">
        <v>117</v>
      </c>
      <c r="H144" t="s">
        <v>89</v>
      </c>
      <c r="I144" t="s">
        <v>24</v>
      </c>
      <c r="J144" t="s">
        <v>25</v>
      </c>
      <c r="K144" t="s">
        <v>26</v>
      </c>
      <c r="L144" t="s">
        <v>73</v>
      </c>
      <c r="M144" t="s">
        <v>74</v>
      </c>
      <c r="N144" t="s">
        <v>850</v>
      </c>
      <c r="O144" t="s">
        <v>30</v>
      </c>
      <c r="P144">
        <v>8</v>
      </c>
      <c r="Q144">
        <v>2493.4</v>
      </c>
      <c r="R144">
        <v>0.25</v>
      </c>
      <c r="S144" t="str">
        <f t="shared" si="2"/>
        <v>OK</v>
      </c>
      <c r="T144">
        <v>14960.4</v>
      </c>
      <c r="U144">
        <v>12500.84</v>
      </c>
      <c r="V144">
        <v>2459.56</v>
      </c>
      <c r="W144" t="s">
        <v>31</v>
      </c>
      <c r="X144" t="s">
        <v>32</v>
      </c>
    </row>
    <row r="145" spans="1:24">
      <c r="A145" t="s">
        <v>851</v>
      </c>
      <c r="B145" s="2">
        <v>45445</v>
      </c>
      <c r="C145" s="2">
        <v>45479</v>
      </c>
      <c r="D145" s="5">
        <f>C145-B145</f>
        <v>34</v>
      </c>
      <c r="E145" s="5" t="str">
        <f>IF(D145&lt;0,"INVALID","OK")</f>
        <v>OK</v>
      </c>
      <c r="F145" t="s">
        <v>852</v>
      </c>
      <c r="G145" t="s">
        <v>140</v>
      </c>
      <c r="H145" t="s">
        <v>94</v>
      </c>
      <c r="I145" t="s">
        <v>37</v>
      </c>
      <c r="J145" t="s">
        <v>38</v>
      </c>
      <c r="K145" t="s">
        <v>39</v>
      </c>
      <c r="L145" t="s">
        <v>27</v>
      </c>
      <c r="M145" t="s">
        <v>90</v>
      </c>
      <c r="N145" t="s">
        <v>853</v>
      </c>
      <c r="O145" t="s">
        <v>30</v>
      </c>
      <c r="P145">
        <v>9</v>
      </c>
      <c r="Q145">
        <v>787.91</v>
      </c>
      <c r="R145">
        <v>0.15</v>
      </c>
      <c r="S145" t="str">
        <f t="shared" si="2"/>
        <v>OK</v>
      </c>
      <c r="T145">
        <v>6027.51</v>
      </c>
      <c r="U145">
        <v>4883.82</v>
      </c>
      <c r="V145">
        <v>1143.69</v>
      </c>
      <c r="W145" t="s">
        <v>31</v>
      </c>
      <c r="X145" t="s">
        <v>32</v>
      </c>
    </row>
    <row r="146" spans="1:24">
      <c r="A146" t="s">
        <v>857</v>
      </c>
      <c r="B146" s="2">
        <v>45343</v>
      </c>
      <c r="C146" s="2">
        <v>45349</v>
      </c>
      <c r="D146" s="5">
        <f>C146-B146</f>
        <v>6</v>
      </c>
      <c r="E146" s="5" t="str">
        <f>IF(D146&lt;0,"INVALID","OK")</f>
        <v>OK</v>
      </c>
      <c r="F146" t="s">
        <v>858</v>
      </c>
      <c r="G146" t="s">
        <v>52</v>
      </c>
      <c r="H146" t="s">
        <v>36</v>
      </c>
      <c r="I146" t="s">
        <v>37</v>
      </c>
      <c r="J146" t="s">
        <v>98</v>
      </c>
      <c r="K146" t="s">
        <v>99</v>
      </c>
      <c r="L146" t="s">
        <v>40</v>
      </c>
      <c r="M146" t="s">
        <v>56</v>
      </c>
      <c r="N146" t="s">
        <v>859</v>
      </c>
      <c r="O146" t="s">
        <v>58</v>
      </c>
      <c r="P146">
        <v>5</v>
      </c>
      <c r="Q146">
        <v>3373.86</v>
      </c>
      <c r="R146">
        <v>0.15</v>
      </c>
      <c r="S146" t="str">
        <f t="shared" si="2"/>
        <v>OK</v>
      </c>
      <c r="T146">
        <v>14338.9</v>
      </c>
      <c r="U146">
        <v>11897.65</v>
      </c>
      <c r="V146">
        <v>2441.25</v>
      </c>
      <c r="W146" t="s">
        <v>110</v>
      </c>
      <c r="X146" t="s">
        <v>102</v>
      </c>
    </row>
    <row r="147" spans="1:24">
      <c r="A147" t="s">
        <v>866</v>
      </c>
      <c r="B147" s="2">
        <v>45547</v>
      </c>
      <c r="C147" s="2">
        <v>45548</v>
      </c>
      <c r="D147" s="5">
        <f>C147-B147</f>
        <v>1</v>
      </c>
      <c r="E147" s="5" t="str">
        <f>IF(D147&lt;0,"INVALID","OK")</f>
        <v>OK</v>
      </c>
      <c r="F147" t="s">
        <v>867</v>
      </c>
      <c r="G147" t="s">
        <v>113</v>
      </c>
      <c r="H147" t="s">
        <v>36</v>
      </c>
      <c r="I147" t="s">
        <v>24</v>
      </c>
      <c r="J147" t="s">
        <v>25</v>
      </c>
      <c r="K147" t="s">
        <v>26</v>
      </c>
      <c r="L147" t="s">
        <v>73</v>
      </c>
      <c r="M147" t="s">
        <v>170</v>
      </c>
      <c r="N147" t="s">
        <v>868</v>
      </c>
      <c r="O147" t="s">
        <v>43</v>
      </c>
      <c r="P147">
        <v>6</v>
      </c>
      <c r="Q147">
        <v>832.79</v>
      </c>
      <c r="R147">
        <v>0.05</v>
      </c>
      <c r="S147" t="str">
        <f t="shared" si="2"/>
        <v>OK</v>
      </c>
      <c r="T147">
        <v>4746.8999999999996</v>
      </c>
      <c r="U147">
        <v>2825.38</v>
      </c>
      <c r="V147">
        <v>1472.89</v>
      </c>
      <c r="W147" t="s">
        <v>101</v>
      </c>
      <c r="X147" t="s">
        <v>67</v>
      </c>
    </row>
    <row r="148" spans="1:24">
      <c r="A148" t="s">
        <v>875</v>
      </c>
      <c r="B148" s="2">
        <v>45601</v>
      </c>
      <c r="C148" s="2">
        <v>45599</v>
      </c>
      <c r="D148" s="5">
        <f>C148-B148</f>
        <v>-2</v>
      </c>
      <c r="E148" s="5" t="str">
        <f>IF(D148&lt;0,"INVALID","OK")</f>
        <v>INVALID</v>
      </c>
      <c r="F148" t="s">
        <v>876</v>
      </c>
      <c r="G148" t="s">
        <v>61</v>
      </c>
      <c r="H148" t="s">
        <v>23</v>
      </c>
      <c r="I148" t="s">
        <v>37</v>
      </c>
      <c r="J148" t="s">
        <v>98</v>
      </c>
      <c r="K148" t="s">
        <v>99</v>
      </c>
      <c r="L148" t="s">
        <v>40</v>
      </c>
      <c r="M148" t="s">
        <v>41</v>
      </c>
      <c r="N148" t="s">
        <v>877</v>
      </c>
      <c r="O148" t="s">
        <v>49</v>
      </c>
      <c r="P148">
        <v>9</v>
      </c>
      <c r="Q148">
        <v>2260.61</v>
      </c>
      <c r="R148">
        <v>0.05</v>
      </c>
      <c r="S148" t="str">
        <f t="shared" si="2"/>
        <v>OK</v>
      </c>
      <c r="T148">
        <v>19328.22</v>
      </c>
      <c r="U148">
        <v>12039.5</v>
      </c>
      <c r="V148">
        <v>7288.72</v>
      </c>
      <c r="W148" t="s">
        <v>31</v>
      </c>
      <c r="X148" t="s">
        <v>32</v>
      </c>
    </row>
    <row r="149" spans="1:24">
      <c r="A149" t="s">
        <v>881</v>
      </c>
      <c r="B149" s="2">
        <v>45656</v>
      </c>
      <c r="C149" s="2">
        <v>45661</v>
      </c>
      <c r="D149" s="5">
        <f>C149-B149</f>
        <v>5</v>
      </c>
      <c r="E149" s="5" t="str">
        <f>IF(D149&lt;0,"INVALID","OK")</f>
        <v>OK</v>
      </c>
      <c r="F149" t="s">
        <v>882</v>
      </c>
      <c r="G149" t="s">
        <v>131</v>
      </c>
      <c r="H149" t="s">
        <v>89</v>
      </c>
      <c r="I149" t="s">
        <v>53</v>
      </c>
      <c r="J149" t="s">
        <v>246</v>
      </c>
      <c r="K149" t="s">
        <v>247</v>
      </c>
      <c r="L149" t="s">
        <v>40</v>
      </c>
      <c r="M149" t="s">
        <v>41</v>
      </c>
      <c r="N149" t="s">
        <v>883</v>
      </c>
      <c r="O149" t="s">
        <v>43</v>
      </c>
      <c r="P149">
        <v>2</v>
      </c>
      <c r="Q149">
        <v>3720.07</v>
      </c>
      <c r="R149">
        <v>0.25</v>
      </c>
      <c r="S149" t="str">
        <f t="shared" si="2"/>
        <v>OK</v>
      </c>
      <c r="T149">
        <v>5580.11</v>
      </c>
      <c r="U149">
        <v>4307.01</v>
      </c>
      <c r="V149">
        <v>1273.0999999999999</v>
      </c>
      <c r="W149" t="s">
        <v>31</v>
      </c>
      <c r="X149" t="s">
        <v>32</v>
      </c>
    </row>
    <row r="150" spans="1:24">
      <c r="A150" t="s">
        <v>884</v>
      </c>
      <c r="B150" s="2">
        <v>45464</v>
      </c>
      <c r="C150" s="2">
        <v>45472</v>
      </c>
      <c r="D150" s="5">
        <f>C150-B150</f>
        <v>8</v>
      </c>
      <c r="E150" s="5" t="str">
        <f>IF(D150&lt;0,"INVALID","OK")</f>
        <v>OK</v>
      </c>
      <c r="F150" t="s">
        <v>885</v>
      </c>
      <c r="G150" t="s">
        <v>78</v>
      </c>
      <c r="H150" t="s">
        <v>23</v>
      </c>
      <c r="I150" t="s">
        <v>53</v>
      </c>
      <c r="J150" t="s">
        <v>246</v>
      </c>
      <c r="K150" t="s">
        <v>247</v>
      </c>
      <c r="L150" t="s">
        <v>73</v>
      </c>
      <c r="M150" t="s">
        <v>273</v>
      </c>
      <c r="N150" t="s">
        <v>886</v>
      </c>
      <c r="O150" t="s">
        <v>58</v>
      </c>
      <c r="P150">
        <v>8</v>
      </c>
      <c r="Q150">
        <v>2853.92</v>
      </c>
      <c r="R150">
        <v>0.2</v>
      </c>
      <c r="S150" t="str">
        <f t="shared" si="2"/>
        <v>OK</v>
      </c>
      <c r="T150">
        <v>18265.09</v>
      </c>
      <c r="U150">
        <v>10437.14</v>
      </c>
      <c r="V150">
        <v>7827.95</v>
      </c>
      <c r="W150" t="s">
        <v>31</v>
      </c>
      <c r="X150" t="s">
        <v>32</v>
      </c>
    </row>
    <row r="151" spans="1:24">
      <c r="A151" t="s">
        <v>898</v>
      </c>
      <c r="B151" s="2">
        <v>45428</v>
      </c>
      <c r="C151" s="2">
        <v>45433</v>
      </c>
      <c r="D151" s="5">
        <f>C151-B151</f>
        <v>5</v>
      </c>
      <c r="E151" s="5" t="str">
        <f>IF(D151&lt;0,"INVALID","OK")</f>
        <v>OK</v>
      </c>
      <c r="F151" t="s">
        <v>899</v>
      </c>
      <c r="G151" t="s">
        <v>161</v>
      </c>
      <c r="H151" t="s">
        <v>36</v>
      </c>
      <c r="I151" t="s">
        <v>37</v>
      </c>
      <c r="J151" t="s">
        <v>144</v>
      </c>
      <c r="K151" t="s">
        <v>145</v>
      </c>
      <c r="L151" t="s">
        <v>73</v>
      </c>
      <c r="M151" t="s">
        <v>79</v>
      </c>
      <c r="N151" t="s">
        <v>900</v>
      </c>
      <c r="O151" t="s">
        <v>58</v>
      </c>
      <c r="P151">
        <v>4</v>
      </c>
      <c r="Q151">
        <v>1503.07</v>
      </c>
      <c r="R151">
        <v>0</v>
      </c>
      <c r="S151" t="str">
        <f t="shared" si="2"/>
        <v>OK</v>
      </c>
      <c r="T151">
        <v>6012.28</v>
      </c>
      <c r="U151">
        <v>3927.64</v>
      </c>
      <c r="V151">
        <v>2084.64</v>
      </c>
      <c r="W151" t="s">
        <v>31</v>
      </c>
      <c r="X151" t="s">
        <v>32</v>
      </c>
    </row>
    <row r="152" spans="1:24">
      <c r="A152" t="s">
        <v>901</v>
      </c>
      <c r="B152" s="2">
        <v>45610</v>
      </c>
      <c r="C152" s="2">
        <v>45618</v>
      </c>
      <c r="D152" s="5">
        <f>C152-B152</f>
        <v>8</v>
      </c>
      <c r="E152" s="5" t="str">
        <f>IF(D152&lt;0,"INVALID","OK")</f>
        <v>OK</v>
      </c>
      <c r="F152" t="s">
        <v>902</v>
      </c>
      <c r="G152" t="s">
        <v>113</v>
      </c>
      <c r="H152" t="s">
        <v>89</v>
      </c>
      <c r="I152" t="s">
        <v>37</v>
      </c>
      <c r="J152" t="s">
        <v>144</v>
      </c>
      <c r="K152" t="s">
        <v>145</v>
      </c>
      <c r="L152" t="s">
        <v>40</v>
      </c>
      <c r="M152" t="s">
        <v>157</v>
      </c>
      <c r="N152" t="s">
        <v>903</v>
      </c>
      <c r="O152" t="s">
        <v>43</v>
      </c>
      <c r="P152">
        <v>1</v>
      </c>
      <c r="Q152">
        <v>582.37</v>
      </c>
      <c r="R152">
        <v>0.15</v>
      </c>
      <c r="S152" t="str">
        <f t="shared" si="2"/>
        <v>OK</v>
      </c>
      <c r="T152">
        <v>495.01</v>
      </c>
      <c r="U152">
        <v>285.13</v>
      </c>
      <c r="V152">
        <v>209.88</v>
      </c>
      <c r="W152" t="s">
        <v>101</v>
      </c>
      <c r="X152" t="s">
        <v>67</v>
      </c>
    </row>
    <row r="153" spans="1:24">
      <c r="A153" t="s">
        <v>916</v>
      </c>
      <c r="B153" s="2">
        <v>45303</v>
      </c>
      <c r="C153" s="2">
        <v>45304</v>
      </c>
      <c r="D153" s="5">
        <f>C153-B153</f>
        <v>1</v>
      </c>
      <c r="E153" s="5" t="str">
        <f>IF(D153&lt;0,"INVALID","OK")</f>
        <v>OK</v>
      </c>
      <c r="F153" t="s">
        <v>917</v>
      </c>
      <c r="G153" t="s">
        <v>88</v>
      </c>
      <c r="H153" t="s">
        <v>89</v>
      </c>
      <c r="I153" t="s">
        <v>24</v>
      </c>
      <c r="J153" t="s">
        <v>135</v>
      </c>
      <c r="K153" t="s">
        <v>136</v>
      </c>
      <c r="L153" t="s">
        <v>73</v>
      </c>
      <c r="M153" t="s">
        <v>273</v>
      </c>
      <c r="N153" t="s">
        <v>918</v>
      </c>
      <c r="O153" t="s">
        <v>43</v>
      </c>
      <c r="P153">
        <v>3</v>
      </c>
      <c r="Q153">
        <v>827.44</v>
      </c>
      <c r="R153">
        <v>0</v>
      </c>
      <c r="S153" t="str">
        <f t="shared" si="2"/>
        <v>OK</v>
      </c>
      <c r="T153">
        <v>2482.3200000000002</v>
      </c>
      <c r="U153">
        <v>1520.21</v>
      </c>
      <c r="V153">
        <v>962.11</v>
      </c>
      <c r="W153" t="s">
        <v>31</v>
      </c>
      <c r="X153" t="s">
        <v>32</v>
      </c>
    </row>
    <row r="154" spans="1:24">
      <c r="A154" t="s">
        <v>919</v>
      </c>
      <c r="B154" s="2">
        <v>45647</v>
      </c>
      <c r="C154" s="2">
        <v>45651</v>
      </c>
      <c r="D154" s="5">
        <f>C154-B154</f>
        <v>4</v>
      </c>
      <c r="E154" s="5" t="str">
        <f>IF(D154&lt;0,"INVALID","OK")</f>
        <v>OK</v>
      </c>
      <c r="F154" t="s">
        <v>920</v>
      </c>
      <c r="G154" t="s">
        <v>88</v>
      </c>
      <c r="H154" t="s">
        <v>23</v>
      </c>
      <c r="I154" t="s">
        <v>53</v>
      </c>
      <c r="J154" t="s">
        <v>54</v>
      </c>
      <c r="K154" t="s">
        <v>55</v>
      </c>
      <c r="L154" t="s">
        <v>27</v>
      </c>
      <c r="M154" t="s">
        <v>152</v>
      </c>
      <c r="N154" t="s">
        <v>921</v>
      </c>
      <c r="O154" t="s">
        <v>58</v>
      </c>
      <c r="P154">
        <v>7</v>
      </c>
      <c r="Q154">
        <v>1667.75</v>
      </c>
      <c r="R154">
        <v>0</v>
      </c>
      <c r="S154" t="str">
        <f t="shared" si="2"/>
        <v>OK</v>
      </c>
      <c r="T154">
        <v>11674.25</v>
      </c>
      <c r="U154">
        <v>9621.19</v>
      </c>
      <c r="V154">
        <v>2053.06</v>
      </c>
      <c r="W154" t="s">
        <v>154</v>
      </c>
      <c r="X154" t="s">
        <v>67</v>
      </c>
    </row>
    <row r="155" spans="1:24">
      <c r="A155" t="s">
        <v>922</v>
      </c>
      <c r="B155" s="2">
        <v>45522</v>
      </c>
      <c r="C155" s="2">
        <v>45528</v>
      </c>
      <c r="D155" s="5">
        <f>C155-B155</f>
        <v>6</v>
      </c>
      <c r="E155" s="5" t="str">
        <f>IF(D155&lt;0,"INVALID","OK")</f>
        <v>OK</v>
      </c>
      <c r="F155" t="s">
        <v>923</v>
      </c>
      <c r="G155" t="s">
        <v>52</v>
      </c>
      <c r="H155" t="s">
        <v>23</v>
      </c>
      <c r="I155" t="s">
        <v>53</v>
      </c>
      <c r="J155" t="s">
        <v>83</v>
      </c>
      <c r="K155" t="s">
        <v>84</v>
      </c>
      <c r="L155" t="s">
        <v>40</v>
      </c>
      <c r="M155" t="s">
        <v>65</v>
      </c>
      <c r="N155" t="s">
        <v>924</v>
      </c>
      <c r="O155" t="s">
        <v>49</v>
      </c>
      <c r="P155">
        <v>7</v>
      </c>
      <c r="Q155">
        <v>557.21</v>
      </c>
      <c r="R155">
        <v>0.1</v>
      </c>
      <c r="S155" t="str">
        <f t="shared" si="2"/>
        <v>OK</v>
      </c>
      <c r="T155">
        <v>3510.42</v>
      </c>
      <c r="U155">
        <v>2191.5</v>
      </c>
      <c r="V155">
        <v>1213.48</v>
      </c>
      <c r="W155" t="s">
        <v>31</v>
      </c>
      <c r="X155" t="s">
        <v>32</v>
      </c>
    </row>
    <row r="156" spans="1:24">
      <c r="A156" t="s">
        <v>922</v>
      </c>
      <c r="B156" s="2">
        <v>45522</v>
      </c>
      <c r="C156" s="2">
        <v>45528</v>
      </c>
      <c r="D156" s="5">
        <f>C156-B156</f>
        <v>6</v>
      </c>
      <c r="E156" s="5" t="str">
        <f>IF(D156&lt;0,"INVALID","OK")</f>
        <v>OK</v>
      </c>
      <c r="F156" t="s">
        <v>923</v>
      </c>
      <c r="G156" t="s">
        <v>52</v>
      </c>
      <c r="H156" t="s">
        <v>23</v>
      </c>
      <c r="I156" t="s">
        <v>53</v>
      </c>
      <c r="J156" t="s">
        <v>83</v>
      </c>
      <c r="K156" t="s">
        <v>84</v>
      </c>
      <c r="L156" t="s">
        <v>40</v>
      </c>
      <c r="M156" t="s">
        <v>65</v>
      </c>
      <c r="N156" t="s">
        <v>924</v>
      </c>
      <c r="O156" t="s">
        <v>49</v>
      </c>
      <c r="P156">
        <v>7</v>
      </c>
      <c r="Q156">
        <v>557.21</v>
      </c>
      <c r="R156">
        <v>0.1</v>
      </c>
      <c r="S156" t="str">
        <f t="shared" si="2"/>
        <v>OK</v>
      </c>
      <c r="T156">
        <v>3797.79</v>
      </c>
      <c r="U156">
        <v>2191.5</v>
      </c>
      <c r="V156">
        <v>1213.48</v>
      </c>
      <c r="W156" t="s">
        <v>31</v>
      </c>
      <c r="X156" t="s">
        <v>102</v>
      </c>
    </row>
    <row r="157" spans="1:24">
      <c r="A157" t="s">
        <v>928</v>
      </c>
      <c r="B157" s="2">
        <v>45477</v>
      </c>
      <c r="C157" s="2">
        <v>45396</v>
      </c>
      <c r="D157" s="5">
        <f>C157-B157</f>
        <v>-81</v>
      </c>
      <c r="E157" s="5" t="str">
        <f>IF(D157&lt;0,"INVALID","OK")</f>
        <v>INVALID</v>
      </c>
      <c r="F157" t="s">
        <v>929</v>
      </c>
      <c r="G157" t="s">
        <v>140</v>
      </c>
      <c r="H157" t="s">
        <v>23</v>
      </c>
      <c r="I157" t="s">
        <v>53</v>
      </c>
      <c r="J157" t="s">
        <v>184</v>
      </c>
      <c r="K157" t="s">
        <v>185</v>
      </c>
      <c r="L157" t="s">
        <v>73</v>
      </c>
      <c r="M157" t="s">
        <v>79</v>
      </c>
      <c r="N157" t="s">
        <v>930</v>
      </c>
      <c r="O157" t="s">
        <v>58</v>
      </c>
      <c r="P157">
        <v>6</v>
      </c>
      <c r="Q157">
        <v>4246.71</v>
      </c>
      <c r="R157">
        <v>0.15</v>
      </c>
      <c r="S157" t="str">
        <f t="shared" si="2"/>
        <v>OK</v>
      </c>
      <c r="T157">
        <v>21658.22</v>
      </c>
      <c r="U157">
        <v>15490.69</v>
      </c>
      <c r="V157">
        <v>6167.53</v>
      </c>
      <c r="W157" t="s">
        <v>154</v>
      </c>
      <c r="X157" t="s">
        <v>102</v>
      </c>
    </row>
    <row r="158" spans="1:24">
      <c r="A158" t="s">
        <v>931</v>
      </c>
      <c r="B158" s="2">
        <v>45337</v>
      </c>
      <c r="C158" s="2">
        <v>45344</v>
      </c>
      <c r="D158" s="5">
        <f>C158-B158</f>
        <v>7</v>
      </c>
      <c r="E158" s="5" t="str">
        <f>IF(D158&lt;0,"INVALID","OK")</f>
        <v>OK</v>
      </c>
      <c r="F158" t="s">
        <v>932</v>
      </c>
      <c r="G158" t="s">
        <v>113</v>
      </c>
      <c r="H158" t="s">
        <v>36</v>
      </c>
      <c r="I158" t="s">
        <v>37</v>
      </c>
      <c r="J158" t="s">
        <v>98</v>
      </c>
      <c r="K158" t="s">
        <v>99</v>
      </c>
      <c r="L158" t="s">
        <v>40</v>
      </c>
      <c r="M158" t="s">
        <v>56</v>
      </c>
      <c r="N158" t="s">
        <v>933</v>
      </c>
      <c r="O158" t="s">
        <v>43</v>
      </c>
      <c r="P158">
        <v>1</v>
      </c>
      <c r="Q158">
        <v>980.51</v>
      </c>
      <c r="R158">
        <v>0</v>
      </c>
      <c r="S158" t="str">
        <f t="shared" si="2"/>
        <v>OK</v>
      </c>
      <c r="T158">
        <v>980.51</v>
      </c>
      <c r="U158">
        <v>660.92</v>
      </c>
      <c r="V158">
        <v>319.58999999999997</v>
      </c>
      <c r="W158" t="s">
        <v>31</v>
      </c>
      <c r="X158" t="s">
        <v>32</v>
      </c>
    </row>
    <row r="159" spans="1:24">
      <c r="A159" t="s">
        <v>934</v>
      </c>
      <c r="B159" s="2">
        <v>45313</v>
      </c>
      <c r="C159" s="2">
        <v>45314</v>
      </c>
      <c r="D159" s="5">
        <f>C159-B159</f>
        <v>1</v>
      </c>
      <c r="E159" s="5" t="str">
        <f>IF(D159&lt;0,"INVALID","OK")</f>
        <v>OK</v>
      </c>
      <c r="F159" t="s">
        <v>935</v>
      </c>
      <c r="G159" t="s">
        <v>127</v>
      </c>
      <c r="H159" t="s">
        <v>36</v>
      </c>
      <c r="I159" t="s">
        <v>2762</v>
      </c>
      <c r="J159" t="s">
        <v>165</v>
      </c>
      <c r="K159" t="s">
        <v>166</v>
      </c>
      <c r="L159" t="s">
        <v>40</v>
      </c>
      <c r="M159" t="s">
        <v>65</v>
      </c>
      <c r="N159" t="s">
        <v>936</v>
      </c>
      <c r="O159" t="s">
        <v>30</v>
      </c>
      <c r="P159">
        <v>6</v>
      </c>
      <c r="Q159">
        <v>3391.53</v>
      </c>
      <c r="R159">
        <v>-0.14000000000000001</v>
      </c>
      <c r="S159" t="str">
        <f t="shared" si="2"/>
        <v>INVALID</v>
      </c>
      <c r="T159">
        <v>15261.89</v>
      </c>
      <c r="U159">
        <v>8413.5300000000007</v>
      </c>
      <c r="V159">
        <v>6848.36</v>
      </c>
      <c r="W159" t="s">
        <v>31</v>
      </c>
      <c r="X159" t="s">
        <v>32</v>
      </c>
    </row>
    <row r="160" spans="1:24">
      <c r="A160" t="s">
        <v>942</v>
      </c>
      <c r="B160" s="2">
        <v>45391</v>
      </c>
      <c r="C160" s="2">
        <v>45392</v>
      </c>
      <c r="D160" s="5">
        <f>C160-B160</f>
        <v>1</v>
      </c>
      <c r="E160" s="5" t="str">
        <f>IF(D160&lt;0,"INVALID","OK")</f>
        <v>OK</v>
      </c>
      <c r="F160" t="s">
        <v>943</v>
      </c>
      <c r="G160" t="s">
        <v>140</v>
      </c>
      <c r="H160" t="s">
        <v>36</v>
      </c>
      <c r="I160" t="s">
        <v>62</v>
      </c>
      <c r="J160" t="s">
        <v>63</v>
      </c>
      <c r="K160" t="s">
        <v>64</v>
      </c>
      <c r="L160" t="s">
        <v>27</v>
      </c>
      <c r="M160" t="s">
        <v>123</v>
      </c>
      <c r="N160" t="s">
        <v>944</v>
      </c>
      <c r="O160" t="s">
        <v>49</v>
      </c>
      <c r="P160">
        <v>1</v>
      </c>
      <c r="Q160">
        <v>4359.12</v>
      </c>
      <c r="R160">
        <v>0.05</v>
      </c>
      <c r="S160" t="str">
        <f t="shared" si="2"/>
        <v>OK</v>
      </c>
      <c r="T160">
        <v>4141.16</v>
      </c>
      <c r="U160">
        <v>2754.17</v>
      </c>
      <c r="V160">
        <v>1386.99</v>
      </c>
      <c r="W160" t="s">
        <v>31</v>
      </c>
      <c r="X160" t="s">
        <v>32</v>
      </c>
    </row>
    <row r="161" spans="1:24">
      <c r="A161" t="s">
        <v>945</v>
      </c>
      <c r="B161" s="2">
        <v>45649</v>
      </c>
      <c r="C161" s="2">
        <v>45652</v>
      </c>
      <c r="D161" s="5">
        <f>C161-B161</f>
        <v>3</v>
      </c>
      <c r="E161" s="5" t="str">
        <f>IF(D161&lt;0,"INVALID","OK")</f>
        <v>OK</v>
      </c>
      <c r="F161" t="s">
        <v>946</v>
      </c>
      <c r="G161" t="s">
        <v>88</v>
      </c>
      <c r="H161" t="s">
        <v>23</v>
      </c>
      <c r="I161" t="s">
        <v>53</v>
      </c>
      <c r="J161" t="s">
        <v>174</v>
      </c>
      <c r="K161" t="s">
        <v>175</v>
      </c>
      <c r="L161" t="s">
        <v>73</v>
      </c>
      <c r="M161" t="s">
        <v>79</v>
      </c>
      <c r="N161" t="s">
        <v>947</v>
      </c>
      <c r="O161" t="s">
        <v>58</v>
      </c>
      <c r="P161">
        <v>9</v>
      </c>
      <c r="Q161">
        <v>993.67</v>
      </c>
      <c r="R161">
        <v>0</v>
      </c>
      <c r="S161" t="str">
        <f t="shared" si="2"/>
        <v>OK</v>
      </c>
      <c r="T161">
        <v>8943.0300000000007</v>
      </c>
      <c r="U161">
        <v>5165.38</v>
      </c>
      <c r="V161">
        <v>3777.65</v>
      </c>
      <c r="W161" t="s">
        <v>31</v>
      </c>
      <c r="X161" t="s">
        <v>32</v>
      </c>
    </row>
    <row r="162" spans="1:24">
      <c r="A162" t="s">
        <v>951</v>
      </c>
      <c r="B162" s="2">
        <v>45566</v>
      </c>
      <c r="C162" s="2">
        <v>45567</v>
      </c>
      <c r="D162" s="5">
        <f>C162-B162</f>
        <v>1</v>
      </c>
      <c r="E162" s="5" t="str">
        <f>IF(D162&lt;0,"INVALID","OK")</f>
        <v>OK</v>
      </c>
      <c r="F162" t="s">
        <v>952</v>
      </c>
      <c r="G162" t="s">
        <v>22</v>
      </c>
      <c r="H162" t="s">
        <v>94</v>
      </c>
      <c r="I162" t="s">
        <v>37</v>
      </c>
      <c r="J162" t="s">
        <v>165</v>
      </c>
      <c r="K162" t="s">
        <v>166</v>
      </c>
      <c r="L162" t="s">
        <v>40</v>
      </c>
      <c r="M162" t="s">
        <v>41</v>
      </c>
      <c r="N162" t="s">
        <v>953</v>
      </c>
      <c r="O162" t="s">
        <v>30</v>
      </c>
      <c r="P162">
        <v>2</v>
      </c>
      <c r="Q162">
        <v>2298</v>
      </c>
      <c r="R162">
        <v>0</v>
      </c>
      <c r="S162" t="str">
        <f t="shared" si="2"/>
        <v>OK</v>
      </c>
      <c r="T162">
        <v>4596</v>
      </c>
      <c r="U162">
        <v>3220.33</v>
      </c>
      <c r="V162">
        <v>1375.67</v>
      </c>
      <c r="W162" t="s">
        <v>31</v>
      </c>
      <c r="X162" t="s">
        <v>32</v>
      </c>
    </row>
    <row r="163" spans="1:24">
      <c r="A163" t="s">
        <v>957</v>
      </c>
      <c r="B163" s="2">
        <v>45634</v>
      </c>
      <c r="C163" s="2">
        <v>45640</v>
      </c>
      <c r="D163" s="5">
        <f>C163-B163</f>
        <v>6</v>
      </c>
      <c r="E163" s="5" t="str">
        <f>IF(D163&lt;0,"INVALID","OK")</f>
        <v>OK</v>
      </c>
      <c r="F163" t="s">
        <v>958</v>
      </c>
      <c r="G163" t="s">
        <v>22</v>
      </c>
      <c r="H163" t="s">
        <v>23</v>
      </c>
      <c r="I163" t="s">
        <v>37</v>
      </c>
      <c r="J163" t="s">
        <v>38</v>
      </c>
      <c r="K163" t="s">
        <v>39</v>
      </c>
      <c r="L163" t="s">
        <v>40</v>
      </c>
      <c r="M163" t="s">
        <v>41</v>
      </c>
      <c r="N163" t="s">
        <v>959</v>
      </c>
      <c r="O163" t="s">
        <v>43</v>
      </c>
      <c r="P163">
        <v>3</v>
      </c>
      <c r="Q163">
        <v>1576.92</v>
      </c>
      <c r="R163">
        <v>0</v>
      </c>
      <c r="S163" t="str">
        <f t="shared" si="2"/>
        <v>OK</v>
      </c>
      <c r="T163">
        <v>4730.76</v>
      </c>
      <c r="U163">
        <v>3139.73</v>
      </c>
      <c r="V163">
        <v>1591.03</v>
      </c>
      <c r="W163" t="s">
        <v>31</v>
      </c>
      <c r="X163" t="s">
        <v>102</v>
      </c>
    </row>
    <row r="164" spans="1:24">
      <c r="A164" t="s">
        <v>963</v>
      </c>
      <c r="B164" s="2">
        <v>45350</v>
      </c>
      <c r="C164" s="2">
        <v>45353</v>
      </c>
      <c r="D164" s="5">
        <f>C164-B164</f>
        <v>3</v>
      </c>
      <c r="E164" s="5" t="str">
        <f>IF(D164&lt;0,"INVALID","OK")</f>
        <v>OK</v>
      </c>
      <c r="F164" t="s">
        <v>964</v>
      </c>
      <c r="G164" t="s">
        <v>113</v>
      </c>
      <c r="H164" t="s">
        <v>36</v>
      </c>
      <c r="I164" t="s">
        <v>24</v>
      </c>
      <c r="J164" t="s">
        <v>349</v>
      </c>
      <c r="K164" t="s">
        <v>350</v>
      </c>
      <c r="L164" t="s">
        <v>40</v>
      </c>
      <c r="M164" t="s">
        <v>56</v>
      </c>
      <c r="N164" t="s">
        <v>965</v>
      </c>
      <c r="O164" t="s">
        <v>49</v>
      </c>
      <c r="P164">
        <v>7</v>
      </c>
      <c r="Q164">
        <v>701.8</v>
      </c>
      <c r="R164">
        <v>0.1</v>
      </c>
      <c r="S164" t="str">
        <f t="shared" si="2"/>
        <v>OK</v>
      </c>
      <c r="T164">
        <v>4421.34</v>
      </c>
      <c r="U164">
        <v>2489.98</v>
      </c>
      <c r="V164">
        <v>1931.36</v>
      </c>
      <c r="W164" t="s">
        <v>110</v>
      </c>
      <c r="X164" t="s">
        <v>102</v>
      </c>
    </row>
    <row r="165" spans="1:24">
      <c r="A165" t="s">
        <v>966</v>
      </c>
      <c r="B165" s="2">
        <v>45540</v>
      </c>
      <c r="C165" s="2">
        <v>45482</v>
      </c>
      <c r="D165" s="5">
        <f>C165-B165</f>
        <v>-58</v>
      </c>
      <c r="E165" s="5" t="str">
        <f>IF(D165&lt;0,"INVALID","OK")</f>
        <v>INVALID</v>
      </c>
      <c r="F165" t="s">
        <v>967</v>
      </c>
      <c r="G165" t="s">
        <v>78</v>
      </c>
      <c r="H165" t="s">
        <v>36</v>
      </c>
      <c r="I165" t="s">
        <v>53</v>
      </c>
      <c r="J165" t="s">
        <v>246</v>
      </c>
      <c r="K165" t="s">
        <v>247</v>
      </c>
      <c r="L165" t="s">
        <v>73</v>
      </c>
      <c r="M165" t="s">
        <v>79</v>
      </c>
      <c r="N165" t="s">
        <v>968</v>
      </c>
      <c r="O165" t="s">
        <v>58</v>
      </c>
      <c r="P165">
        <v>3</v>
      </c>
      <c r="Q165">
        <v>2555.66</v>
      </c>
      <c r="R165">
        <v>0.15</v>
      </c>
      <c r="S165" t="str">
        <f t="shared" si="2"/>
        <v>OK</v>
      </c>
      <c r="T165">
        <v>6516.93</v>
      </c>
      <c r="U165">
        <v>4511.54</v>
      </c>
      <c r="V165">
        <v>2005.39</v>
      </c>
      <c r="W165" t="s">
        <v>31</v>
      </c>
      <c r="X165" t="s">
        <v>67</v>
      </c>
    </row>
    <row r="166" spans="1:24">
      <c r="A166" t="s">
        <v>969</v>
      </c>
      <c r="B166" s="2">
        <v>45467</v>
      </c>
      <c r="C166" s="2">
        <v>45467</v>
      </c>
      <c r="D166" s="5">
        <f>C166-B166</f>
        <v>0</v>
      </c>
      <c r="E166" s="5" t="str">
        <f>IF(D166&lt;0,"INVALID","OK")</f>
        <v>OK</v>
      </c>
      <c r="F166" t="s">
        <v>970</v>
      </c>
      <c r="G166" t="s">
        <v>140</v>
      </c>
      <c r="H166" t="s">
        <v>36</v>
      </c>
      <c r="I166" t="s">
        <v>37</v>
      </c>
      <c r="J166" t="s">
        <v>144</v>
      </c>
      <c r="K166" t="s">
        <v>145</v>
      </c>
      <c r="L166" t="s">
        <v>27</v>
      </c>
      <c r="M166" t="s">
        <v>152</v>
      </c>
      <c r="N166" t="s">
        <v>971</v>
      </c>
      <c r="O166" t="s">
        <v>43</v>
      </c>
      <c r="P166">
        <v>2</v>
      </c>
      <c r="Q166">
        <v>4359.8999999999996</v>
      </c>
      <c r="R166">
        <v>0.15</v>
      </c>
      <c r="S166" t="str">
        <f t="shared" si="2"/>
        <v>OK</v>
      </c>
      <c r="T166">
        <v>7411.83</v>
      </c>
      <c r="U166">
        <v>4904.63</v>
      </c>
      <c r="V166">
        <v>2507.1999999999998</v>
      </c>
      <c r="W166" t="s">
        <v>31</v>
      </c>
      <c r="X166" t="s">
        <v>32</v>
      </c>
    </row>
    <row r="167" spans="1:24">
      <c r="A167" t="s">
        <v>978</v>
      </c>
      <c r="B167" s="2">
        <v>45387</v>
      </c>
      <c r="C167" s="2">
        <v>45392</v>
      </c>
      <c r="D167" s="5">
        <f>C167-B167</f>
        <v>5</v>
      </c>
      <c r="E167" s="5" t="str">
        <f>IF(D167&lt;0,"INVALID","OK")</f>
        <v>OK</v>
      </c>
      <c r="F167" t="s">
        <v>979</v>
      </c>
      <c r="G167" t="s">
        <v>113</v>
      </c>
      <c r="H167" t="s">
        <v>94</v>
      </c>
      <c r="I167" t="s">
        <v>24</v>
      </c>
      <c r="J167" t="s">
        <v>25</v>
      </c>
      <c r="K167" t="s">
        <v>26</v>
      </c>
      <c r="L167" t="s">
        <v>27</v>
      </c>
      <c r="M167" t="s">
        <v>152</v>
      </c>
      <c r="N167" t="s">
        <v>980</v>
      </c>
      <c r="O167" t="s">
        <v>58</v>
      </c>
      <c r="P167">
        <v>4</v>
      </c>
      <c r="Q167">
        <v>3228.66</v>
      </c>
      <c r="R167">
        <v>0.25</v>
      </c>
      <c r="S167" t="str">
        <f t="shared" si="2"/>
        <v>OK</v>
      </c>
      <c r="T167">
        <v>9685.98</v>
      </c>
      <c r="U167">
        <v>7730.04</v>
      </c>
      <c r="V167">
        <v>1955.94</v>
      </c>
      <c r="W167" t="s">
        <v>31</v>
      </c>
      <c r="X167" t="s">
        <v>32</v>
      </c>
    </row>
    <row r="168" spans="1:24">
      <c r="A168" t="s">
        <v>984</v>
      </c>
      <c r="B168" s="2">
        <v>45358</v>
      </c>
      <c r="C168" s="2">
        <v>45599</v>
      </c>
      <c r="D168" s="5">
        <f>C168-B168</f>
        <v>241</v>
      </c>
      <c r="E168" s="5" t="str">
        <f>IF(D168&lt;0,"INVALID","OK")</f>
        <v>OK</v>
      </c>
      <c r="F168" t="s">
        <v>985</v>
      </c>
      <c r="G168" t="s">
        <v>52</v>
      </c>
      <c r="H168" t="s">
        <v>94</v>
      </c>
      <c r="I168" t="s">
        <v>53</v>
      </c>
      <c r="J168" t="s">
        <v>54</v>
      </c>
      <c r="K168" t="s">
        <v>55</v>
      </c>
      <c r="L168" t="s">
        <v>73</v>
      </c>
      <c r="M168" t="s">
        <v>170</v>
      </c>
      <c r="N168" t="s">
        <v>986</v>
      </c>
      <c r="O168" t="s">
        <v>49</v>
      </c>
      <c r="P168">
        <v>2</v>
      </c>
      <c r="Q168">
        <v>4401.51</v>
      </c>
      <c r="R168">
        <v>0.65</v>
      </c>
      <c r="S168" t="str">
        <f t="shared" si="2"/>
        <v>INVALID</v>
      </c>
      <c r="T168">
        <v>8362.8700000000008</v>
      </c>
      <c r="U168">
        <v>6541.04</v>
      </c>
      <c r="V168">
        <v>1821.83</v>
      </c>
      <c r="W168" t="s">
        <v>31</v>
      </c>
      <c r="X168" t="s">
        <v>32</v>
      </c>
    </row>
    <row r="169" spans="1:24">
      <c r="A169" t="s">
        <v>996</v>
      </c>
      <c r="B169" s="2">
        <v>45594</v>
      </c>
      <c r="C169" s="2">
        <v>45454</v>
      </c>
      <c r="D169" s="5">
        <f>C169-B169</f>
        <v>-140</v>
      </c>
      <c r="E169" s="5" t="str">
        <f>IF(D169&lt;0,"INVALID","OK")</f>
        <v>INVALID</v>
      </c>
      <c r="F169" t="s">
        <v>997</v>
      </c>
      <c r="G169" t="s">
        <v>131</v>
      </c>
      <c r="H169" t="s">
        <v>89</v>
      </c>
      <c r="I169" t="s">
        <v>53</v>
      </c>
      <c r="J169" t="s">
        <v>246</v>
      </c>
      <c r="K169" t="s">
        <v>247</v>
      </c>
      <c r="L169" t="s">
        <v>73</v>
      </c>
      <c r="M169" t="s">
        <v>79</v>
      </c>
      <c r="N169" t="s">
        <v>998</v>
      </c>
      <c r="O169" t="s">
        <v>43</v>
      </c>
      <c r="P169">
        <v>6</v>
      </c>
      <c r="Q169">
        <v>1169.92</v>
      </c>
      <c r="R169">
        <v>0.15</v>
      </c>
      <c r="S169" t="str">
        <f t="shared" si="2"/>
        <v>OK</v>
      </c>
      <c r="T169">
        <v>5966.59</v>
      </c>
      <c r="U169">
        <v>3994.72</v>
      </c>
      <c r="V169">
        <v>1971.87</v>
      </c>
      <c r="W169" t="s">
        <v>31</v>
      </c>
      <c r="X169" t="s">
        <v>32</v>
      </c>
    </row>
    <row r="170" spans="1:24">
      <c r="A170" t="s">
        <v>1002</v>
      </c>
      <c r="B170" s="2">
        <v>45454</v>
      </c>
      <c r="C170" s="2">
        <v>45608</v>
      </c>
      <c r="D170" s="5">
        <f>C170-B170</f>
        <v>154</v>
      </c>
      <c r="E170" s="5" t="str">
        <f>IF(D170&lt;0,"INVALID","OK")</f>
        <v>OK</v>
      </c>
      <c r="F170" t="s">
        <v>1003</v>
      </c>
      <c r="G170" t="s">
        <v>117</v>
      </c>
      <c r="H170" t="s">
        <v>36</v>
      </c>
      <c r="I170" t="s">
        <v>62</v>
      </c>
      <c r="J170" t="s">
        <v>179</v>
      </c>
      <c r="K170" t="s">
        <v>180</v>
      </c>
      <c r="L170" t="s">
        <v>73</v>
      </c>
      <c r="M170" t="s">
        <v>74</v>
      </c>
      <c r="N170" t="s">
        <v>1004</v>
      </c>
      <c r="O170" t="s">
        <v>58</v>
      </c>
      <c r="P170">
        <v>7</v>
      </c>
      <c r="Q170">
        <v>1719.05</v>
      </c>
      <c r="R170">
        <v>0.1</v>
      </c>
      <c r="S170" t="str">
        <f t="shared" si="2"/>
        <v>OK</v>
      </c>
      <c r="T170">
        <v>10830.02</v>
      </c>
      <c r="U170">
        <v>7055.31</v>
      </c>
      <c r="V170">
        <v>3774.71</v>
      </c>
      <c r="W170" t="s">
        <v>31</v>
      </c>
      <c r="X170" t="s">
        <v>32</v>
      </c>
    </row>
    <row r="171" spans="1:24">
      <c r="A171" t="s">
        <v>1005</v>
      </c>
      <c r="B171" s="2">
        <v>45397</v>
      </c>
      <c r="C171" s="2">
        <v>45405</v>
      </c>
      <c r="D171" s="5">
        <f>C171-B171</f>
        <v>8</v>
      </c>
      <c r="E171" s="5" t="str">
        <f>IF(D171&lt;0,"INVALID","OK")</f>
        <v>OK</v>
      </c>
      <c r="F171" t="s">
        <v>1006</v>
      </c>
      <c r="G171" t="s">
        <v>161</v>
      </c>
      <c r="H171" t="s">
        <v>36</v>
      </c>
      <c r="I171" t="s">
        <v>24</v>
      </c>
      <c r="J171" t="s">
        <v>121</v>
      </c>
      <c r="K171" t="s">
        <v>122</v>
      </c>
      <c r="L171" t="s">
        <v>73</v>
      </c>
      <c r="M171" t="s">
        <v>74</v>
      </c>
      <c r="N171" t="s">
        <v>1007</v>
      </c>
      <c r="O171" t="s">
        <v>30</v>
      </c>
      <c r="P171">
        <v>9</v>
      </c>
      <c r="Q171">
        <v>3893.74</v>
      </c>
      <c r="R171">
        <v>0.1</v>
      </c>
      <c r="S171" t="str">
        <f t="shared" si="2"/>
        <v>OK</v>
      </c>
      <c r="T171">
        <v>31539.29</v>
      </c>
      <c r="U171">
        <v>22100.14</v>
      </c>
      <c r="V171">
        <v>9439.15</v>
      </c>
      <c r="W171" t="s">
        <v>31</v>
      </c>
      <c r="X171" t="s">
        <v>32</v>
      </c>
    </row>
    <row r="172" spans="1:24">
      <c r="A172" t="s">
        <v>1014</v>
      </c>
      <c r="B172" s="2">
        <v>45466</v>
      </c>
      <c r="C172" s="2">
        <v>45471</v>
      </c>
      <c r="D172" s="5">
        <f>C172-B172</f>
        <v>5</v>
      </c>
      <c r="E172" s="5" t="str">
        <f>IF(D172&lt;0,"INVALID","OK")</f>
        <v>OK</v>
      </c>
      <c r="F172" t="s">
        <v>1015</v>
      </c>
      <c r="G172" t="s">
        <v>161</v>
      </c>
      <c r="H172" t="s">
        <v>94</v>
      </c>
      <c r="I172" t="s">
        <v>62</v>
      </c>
      <c r="J172" t="s">
        <v>179</v>
      </c>
      <c r="K172" t="s">
        <v>180</v>
      </c>
      <c r="L172" t="s">
        <v>40</v>
      </c>
      <c r="M172" t="s">
        <v>65</v>
      </c>
      <c r="N172" t="s">
        <v>1016</v>
      </c>
      <c r="O172" t="s">
        <v>58</v>
      </c>
      <c r="P172">
        <v>2</v>
      </c>
      <c r="Q172">
        <v>1313.14</v>
      </c>
      <c r="R172">
        <v>0.1</v>
      </c>
      <c r="S172" t="str">
        <f t="shared" si="2"/>
        <v>OK</v>
      </c>
      <c r="T172">
        <v>2363.65</v>
      </c>
      <c r="U172">
        <v>1876.1</v>
      </c>
      <c r="V172">
        <v>487.55</v>
      </c>
      <c r="W172" t="s">
        <v>110</v>
      </c>
      <c r="X172" t="s">
        <v>102</v>
      </c>
    </row>
    <row r="173" spans="1:24">
      <c r="A173" t="s">
        <v>1017</v>
      </c>
      <c r="B173" s="2">
        <v>45357</v>
      </c>
      <c r="C173" s="2">
        <v>45364</v>
      </c>
      <c r="D173" s="5">
        <f>C173-B173</f>
        <v>7</v>
      </c>
      <c r="E173" s="5" t="str">
        <f>IF(D173&lt;0,"INVALID","OK")</f>
        <v>OK</v>
      </c>
      <c r="F173" t="s">
        <v>1018</v>
      </c>
      <c r="G173" t="s">
        <v>22</v>
      </c>
      <c r="H173" t="s">
        <v>23</v>
      </c>
      <c r="I173" t="s">
        <v>24</v>
      </c>
      <c r="J173" t="s">
        <v>121</v>
      </c>
      <c r="K173" t="s">
        <v>122</v>
      </c>
      <c r="L173" t="s">
        <v>40</v>
      </c>
      <c r="M173" t="s">
        <v>56</v>
      </c>
      <c r="N173" t="s">
        <v>1019</v>
      </c>
      <c r="O173" t="s">
        <v>58</v>
      </c>
      <c r="P173">
        <v>6</v>
      </c>
      <c r="Q173">
        <v>2403.0500000000002</v>
      </c>
      <c r="R173">
        <v>0.1</v>
      </c>
      <c r="S173" t="str">
        <f t="shared" si="2"/>
        <v>OK</v>
      </c>
      <c r="T173">
        <v>12976.47</v>
      </c>
      <c r="U173">
        <v>10019.98</v>
      </c>
      <c r="V173">
        <v>2956.49</v>
      </c>
      <c r="W173" t="s">
        <v>31</v>
      </c>
      <c r="X173" t="s">
        <v>32</v>
      </c>
    </row>
    <row r="174" spans="1:24">
      <c r="A174" t="s">
        <v>1020</v>
      </c>
      <c r="B174" s="2">
        <v>45413</v>
      </c>
      <c r="C174" s="2">
        <v>45414</v>
      </c>
      <c r="D174" s="5">
        <f>C174-B174</f>
        <v>1</v>
      </c>
      <c r="E174" s="5" t="str">
        <f>IF(D174&lt;0,"INVALID","OK")</f>
        <v>OK</v>
      </c>
      <c r="F174" t="s">
        <v>1021</v>
      </c>
      <c r="G174" t="s">
        <v>61</v>
      </c>
      <c r="H174" t="s">
        <v>23</v>
      </c>
      <c r="I174" t="s">
        <v>37</v>
      </c>
      <c r="J174" t="s">
        <v>165</v>
      </c>
      <c r="K174" t="s">
        <v>166</v>
      </c>
      <c r="L174" t="s">
        <v>40</v>
      </c>
      <c r="M174" t="s">
        <v>65</v>
      </c>
      <c r="N174" t="s">
        <v>1022</v>
      </c>
      <c r="O174" t="s">
        <v>49</v>
      </c>
      <c r="P174">
        <v>4</v>
      </c>
      <c r="Q174">
        <v>4156.0600000000004</v>
      </c>
      <c r="R174">
        <v>0.55000000000000004</v>
      </c>
      <c r="S174" t="str">
        <f t="shared" si="2"/>
        <v>INVALID</v>
      </c>
      <c r="T174">
        <v>13299.39</v>
      </c>
      <c r="U174">
        <v>9851.91</v>
      </c>
      <c r="V174">
        <v>3447.48</v>
      </c>
      <c r="W174" t="s">
        <v>31</v>
      </c>
      <c r="X174" t="s">
        <v>67</v>
      </c>
    </row>
    <row r="175" spans="1:24">
      <c r="A175" t="s">
        <v>1032</v>
      </c>
      <c r="B175" s="2">
        <v>45493</v>
      </c>
      <c r="C175" s="2">
        <v>45495</v>
      </c>
      <c r="D175" s="5">
        <f>C175-B175</f>
        <v>2</v>
      </c>
      <c r="E175" s="5" t="str">
        <f>IF(D175&lt;0,"INVALID","OK")</f>
        <v>OK</v>
      </c>
      <c r="F175" t="s">
        <v>1033</v>
      </c>
      <c r="G175" t="s">
        <v>61</v>
      </c>
      <c r="H175" t="s">
        <v>23</v>
      </c>
      <c r="I175" t="s">
        <v>53</v>
      </c>
      <c r="J175" t="s">
        <v>246</v>
      </c>
      <c r="K175" t="s">
        <v>247</v>
      </c>
      <c r="L175" t="s">
        <v>40</v>
      </c>
      <c r="M175" t="s">
        <v>41</v>
      </c>
      <c r="N175" t="s">
        <v>1034</v>
      </c>
      <c r="O175" t="s">
        <v>49</v>
      </c>
      <c r="P175">
        <v>7</v>
      </c>
      <c r="Q175">
        <v>2060.73</v>
      </c>
      <c r="R175">
        <v>0.1</v>
      </c>
      <c r="S175" t="str">
        <f t="shared" si="2"/>
        <v>OK</v>
      </c>
      <c r="T175">
        <v>12982.6</v>
      </c>
      <c r="U175">
        <v>7246.36</v>
      </c>
      <c r="V175">
        <v>5736.24</v>
      </c>
      <c r="W175" t="s">
        <v>31</v>
      </c>
      <c r="X175" t="s">
        <v>67</v>
      </c>
    </row>
    <row r="176" spans="1:24">
      <c r="A176" t="s">
        <v>1035</v>
      </c>
      <c r="B176" s="2">
        <v>45389</v>
      </c>
      <c r="C176" s="2">
        <v>45511</v>
      </c>
      <c r="D176" s="5">
        <f>C176-B176</f>
        <v>122</v>
      </c>
      <c r="E176" s="5" t="str">
        <f>IF(D176&lt;0,"INVALID","OK")</f>
        <v>OK</v>
      </c>
      <c r="F176" t="s">
        <v>1036</v>
      </c>
      <c r="G176" t="s">
        <v>140</v>
      </c>
      <c r="H176" t="s">
        <v>36</v>
      </c>
      <c r="I176" t="s">
        <v>53</v>
      </c>
      <c r="J176" t="s">
        <v>246</v>
      </c>
      <c r="K176" t="s">
        <v>247</v>
      </c>
      <c r="L176" t="s">
        <v>73</v>
      </c>
      <c r="M176" t="s">
        <v>273</v>
      </c>
      <c r="N176" t="s">
        <v>1037</v>
      </c>
      <c r="O176" t="s">
        <v>49</v>
      </c>
      <c r="P176">
        <v>8</v>
      </c>
      <c r="Q176">
        <v>2034.25</v>
      </c>
      <c r="R176">
        <v>0</v>
      </c>
      <c r="S176" t="str">
        <f t="shared" si="2"/>
        <v>OK</v>
      </c>
      <c r="T176">
        <v>16274</v>
      </c>
      <c r="U176">
        <v>9424.25</v>
      </c>
      <c r="V176">
        <v>6849.75</v>
      </c>
      <c r="W176" t="s">
        <v>31</v>
      </c>
      <c r="X176" t="s">
        <v>32</v>
      </c>
    </row>
    <row r="177" spans="1:24">
      <c r="A177" t="s">
        <v>1038</v>
      </c>
      <c r="B177" s="2">
        <v>45409</v>
      </c>
      <c r="C177" s="2">
        <v>45327</v>
      </c>
      <c r="D177" s="5">
        <f>C177-B177</f>
        <v>-82</v>
      </c>
      <c r="E177" s="5" t="str">
        <f>IF(D177&lt;0,"INVALID","OK")</f>
        <v>INVALID</v>
      </c>
      <c r="F177" t="s">
        <v>1039</v>
      </c>
      <c r="G177" t="s">
        <v>35</v>
      </c>
      <c r="H177" t="s">
        <v>89</v>
      </c>
      <c r="I177" t="s">
        <v>53</v>
      </c>
      <c r="J177" t="s">
        <v>174</v>
      </c>
      <c r="K177" t="s">
        <v>175</v>
      </c>
      <c r="L177" t="s">
        <v>27</v>
      </c>
      <c r="M177" t="s">
        <v>152</v>
      </c>
      <c r="N177" t="s">
        <v>1040</v>
      </c>
      <c r="O177" t="s">
        <v>30</v>
      </c>
      <c r="P177">
        <v>5</v>
      </c>
      <c r="Q177">
        <v>554.04</v>
      </c>
      <c r="R177">
        <v>0.1</v>
      </c>
      <c r="S177" t="str">
        <f t="shared" si="2"/>
        <v>OK</v>
      </c>
      <c r="T177">
        <v>2493.1799999999998</v>
      </c>
      <c r="U177">
        <v>1764</v>
      </c>
      <c r="V177">
        <v>729.18</v>
      </c>
      <c r="W177" t="s">
        <v>31</v>
      </c>
      <c r="X177" t="s">
        <v>32</v>
      </c>
    </row>
    <row r="178" spans="1:24">
      <c r="A178" t="s">
        <v>1041</v>
      </c>
      <c r="B178" s="2">
        <v>45504</v>
      </c>
      <c r="C178" s="2">
        <v>45390</v>
      </c>
      <c r="D178" s="5">
        <f>C178-B178</f>
        <v>-114</v>
      </c>
      <c r="E178" s="5" t="str">
        <f>IF(D178&lt;0,"INVALID","OK")</f>
        <v>INVALID</v>
      </c>
      <c r="F178" t="s">
        <v>1042</v>
      </c>
      <c r="G178" t="s">
        <v>22</v>
      </c>
      <c r="H178" t="s">
        <v>36</v>
      </c>
      <c r="I178" t="s">
        <v>37</v>
      </c>
      <c r="J178" t="s">
        <v>165</v>
      </c>
      <c r="K178" t="s">
        <v>166</v>
      </c>
      <c r="L178" t="s">
        <v>73</v>
      </c>
      <c r="M178" t="s">
        <v>170</v>
      </c>
      <c r="N178" t="s">
        <v>1043</v>
      </c>
      <c r="O178" t="s">
        <v>58</v>
      </c>
      <c r="P178">
        <v>8</v>
      </c>
      <c r="Q178">
        <v>2614.7399999999998</v>
      </c>
      <c r="R178">
        <v>0</v>
      </c>
      <c r="S178" t="str">
        <f t="shared" si="2"/>
        <v>OK</v>
      </c>
      <c r="T178">
        <v>15688.44</v>
      </c>
      <c r="U178">
        <v>10047.33</v>
      </c>
      <c r="V178">
        <v>5641.11</v>
      </c>
      <c r="W178" t="s">
        <v>31</v>
      </c>
      <c r="X178" t="s">
        <v>67</v>
      </c>
    </row>
    <row r="179" spans="1:24">
      <c r="A179" t="s">
        <v>1050</v>
      </c>
      <c r="B179" s="2">
        <v>45475</v>
      </c>
      <c r="C179" s="2">
        <v>45481</v>
      </c>
      <c r="D179" s="5">
        <f>C179-B179</f>
        <v>6</v>
      </c>
      <c r="E179" s="5" t="str">
        <f>IF(D179&lt;0,"INVALID","OK")</f>
        <v>OK</v>
      </c>
      <c r="F179" t="s">
        <v>1051</v>
      </c>
      <c r="G179" t="s">
        <v>140</v>
      </c>
      <c r="H179" t="s">
        <v>23</v>
      </c>
      <c r="I179" t="s">
        <v>24</v>
      </c>
      <c r="J179" t="s">
        <v>349</v>
      </c>
      <c r="K179" t="s">
        <v>350</v>
      </c>
      <c r="L179" t="s">
        <v>27</v>
      </c>
      <c r="M179" t="s">
        <v>28</v>
      </c>
      <c r="N179" t="s">
        <v>1052</v>
      </c>
      <c r="O179" t="s">
        <v>58</v>
      </c>
      <c r="P179">
        <v>9</v>
      </c>
      <c r="Q179">
        <v>3450.4</v>
      </c>
      <c r="R179">
        <v>0.05</v>
      </c>
      <c r="S179" t="str">
        <f t="shared" si="2"/>
        <v>OK</v>
      </c>
      <c r="T179">
        <v>29500.92</v>
      </c>
      <c r="U179">
        <v>17989.68</v>
      </c>
      <c r="V179">
        <v>11511.24</v>
      </c>
      <c r="W179" t="s">
        <v>110</v>
      </c>
      <c r="X179" t="s">
        <v>102</v>
      </c>
    </row>
    <row r="180" spans="1:24">
      <c r="A180" t="s">
        <v>1053</v>
      </c>
      <c r="B180" s="2">
        <v>45338</v>
      </c>
      <c r="C180" s="2">
        <v>45340</v>
      </c>
      <c r="D180" s="5">
        <f>C180-B180</f>
        <v>2</v>
      </c>
      <c r="E180" s="5" t="str">
        <f>IF(D180&lt;0,"INVALID","OK")</f>
        <v>OK</v>
      </c>
      <c r="F180" t="s">
        <v>1054</v>
      </c>
      <c r="G180" t="s">
        <v>22</v>
      </c>
      <c r="H180" t="s">
        <v>89</v>
      </c>
      <c r="I180" t="s">
        <v>24</v>
      </c>
      <c r="J180" t="s">
        <v>121</v>
      </c>
      <c r="K180" t="s">
        <v>122</v>
      </c>
      <c r="L180" t="s">
        <v>27</v>
      </c>
      <c r="M180" t="s">
        <v>90</v>
      </c>
      <c r="N180" t="s">
        <v>1055</v>
      </c>
      <c r="O180" t="s">
        <v>58</v>
      </c>
      <c r="P180">
        <v>2</v>
      </c>
      <c r="Q180">
        <v>1947.53</v>
      </c>
      <c r="R180">
        <v>0.2</v>
      </c>
      <c r="S180" t="str">
        <f t="shared" si="2"/>
        <v>OK</v>
      </c>
      <c r="T180">
        <v>3116.05</v>
      </c>
      <c r="U180">
        <v>1956.63</v>
      </c>
      <c r="V180">
        <v>1159.42</v>
      </c>
      <c r="W180" t="s">
        <v>31</v>
      </c>
      <c r="X180" t="s">
        <v>67</v>
      </c>
    </row>
    <row r="181" spans="1:24">
      <c r="A181" t="s">
        <v>1059</v>
      </c>
      <c r="B181" s="2">
        <v>45407</v>
      </c>
      <c r="C181" s="2">
        <v>45412</v>
      </c>
      <c r="D181" s="5">
        <f>C181-B181</f>
        <v>5</v>
      </c>
      <c r="E181" s="5" t="str">
        <f>IF(D181&lt;0,"INVALID","OK")</f>
        <v>OK</v>
      </c>
      <c r="F181" t="s">
        <v>1060</v>
      </c>
      <c r="G181" t="s">
        <v>35</v>
      </c>
      <c r="H181" t="s">
        <v>36</v>
      </c>
      <c r="I181" t="s">
        <v>53</v>
      </c>
      <c r="J181" t="s">
        <v>174</v>
      </c>
      <c r="K181" t="s">
        <v>175</v>
      </c>
      <c r="L181" t="s">
        <v>73</v>
      </c>
      <c r="M181" t="s">
        <v>170</v>
      </c>
      <c r="N181" t="s">
        <v>1061</v>
      </c>
      <c r="O181" t="s">
        <v>58</v>
      </c>
      <c r="P181">
        <v>3</v>
      </c>
      <c r="Q181">
        <v>4149.46</v>
      </c>
      <c r="R181">
        <v>0.1</v>
      </c>
      <c r="S181" t="str">
        <f t="shared" si="2"/>
        <v>OK</v>
      </c>
      <c r="T181">
        <v>11203.54</v>
      </c>
      <c r="U181">
        <v>8452.93</v>
      </c>
      <c r="V181">
        <v>2750.61</v>
      </c>
      <c r="W181" t="s">
        <v>31</v>
      </c>
      <c r="X181" t="s">
        <v>32</v>
      </c>
    </row>
    <row r="182" spans="1:24">
      <c r="A182" t="s">
        <v>1062</v>
      </c>
      <c r="B182" s="2">
        <v>45525</v>
      </c>
      <c r="C182" s="2">
        <v>45529</v>
      </c>
      <c r="D182" s="5">
        <f>C182-B182</f>
        <v>4</v>
      </c>
      <c r="E182" s="5" t="str">
        <f>IF(D182&lt;0,"INVALID","OK")</f>
        <v>OK</v>
      </c>
      <c r="F182" t="s">
        <v>1063</v>
      </c>
      <c r="G182" t="s">
        <v>161</v>
      </c>
      <c r="H182" t="s">
        <v>23</v>
      </c>
      <c r="I182" t="s">
        <v>62</v>
      </c>
      <c r="J182" t="s">
        <v>179</v>
      </c>
      <c r="K182" t="s">
        <v>180</v>
      </c>
      <c r="L182" t="s">
        <v>27</v>
      </c>
      <c r="M182" t="s">
        <v>152</v>
      </c>
      <c r="N182" t="s">
        <v>1064</v>
      </c>
      <c r="O182" t="s">
        <v>49</v>
      </c>
      <c r="P182">
        <v>1</v>
      </c>
      <c r="Q182">
        <v>270.27999999999997</v>
      </c>
      <c r="R182">
        <v>0</v>
      </c>
      <c r="S182" t="str">
        <f t="shared" si="2"/>
        <v>OK</v>
      </c>
      <c r="T182">
        <v>270.27999999999997</v>
      </c>
      <c r="U182">
        <v>156.34</v>
      </c>
      <c r="V182">
        <v>113.94</v>
      </c>
      <c r="W182" t="s">
        <v>31</v>
      </c>
      <c r="X182" t="s">
        <v>32</v>
      </c>
    </row>
    <row r="183" spans="1:24">
      <c r="A183" t="s">
        <v>1065</v>
      </c>
      <c r="B183" s="2">
        <v>45630</v>
      </c>
      <c r="C183" s="2">
        <v>45632</v>
      </c>
      <c r="D183" s="5">
        <f>C183-B183</f>
        <v>2</v>
      </c>
      <c r="E183" s="5" t="str">
        <f>IF(D183&lt;0,"INVALID","OK")</f>
        <v>OK</v>
      </c>
      <c r="F183" t="s">
        <v>1066</v>
      </c>
      <c r="G183" t="s">
        <v>127</v>
      </c>
      <c r="H183" t="s">
        <v>94</v>
      </c>
      <c r="I183" t="s">
        <v>37</v>
      </c>
      <c r="J183" t="s">
        <v>98</v>
      </c>
      <c r="K183" t="s">
        <v>99</v>
      </c>
      <c r="L183" t="s">
        <v>27</v>
      </c>
      <c r="M183" t="s">
        <v>47</v>
      </c>
      <c r="N183" t="s">
        <v>1067</v>
      </c>
      <c r="O183" t="s">
        <v>30</v>
      </c>
      <c r="P183">
        <v>3</v>
      </c>
      <c r="Q183">
        <v>876.14</v>
      </c>
      <c r="R183" t="s">
        <v>462</v>
      </c>
      <c r="S183" t="str">
        <f t="shared" si="2"/>
        <v>INVALID</v>
      </c>
      <c r="T183">
        <v>2628.42</v>
      </c>
      <c r="U183">
        <v>1541.54</v>
      </c>
      <c r="V183">
        <v>1086.8800000000001</v>
      </c>
      <c r="W183" t="s">
        <v>110</v>
      </c>
      <c r="X183" t="s">
        <v>102</v>
      </c>
    </row>
    <row r="184" spans="1:24">
      <c r="A184" t="s">
        <v>1068</v>
      </c>
      <c r="B184" s="2">
        <v>45466</v>
      </c>
      <c r="C184" s="2">
        <v>45473</v>
      </c>
      <c r="D184" s="5">
        <f>C184-B184</f>
        <v>7</v>
      </c>
      <c r="E184" s="5" t="str">
        <f>IF(D184&lt;0,"INVALID","OK")</f>
        <v>OK</v>
      </c>
      <c r="F184" t="s">
        <v>1069</v>
      </c>
      <c r="G184" t="s">
        <v>78</v>
      </c>
      <c r="H184" t="s">
        <v>36</v>
      </c>
      <c r="I184" t="s">
        <v>62</v>
      </c>
      <c r="J184" t="s">
        <v>189</v>
      </c>
      <c r="K184" t="s">
        <v>190</v>
      </c>
      <c r="L184" t="s">
        <v>73</v>
      </c>
      <c r="M184" t="s">
        <v>74</v>
      </c>
      <c r="N184" t="s">
        <v>1070</v>
      </c>
      <c r="O184" t="s">
        <v>43</v>
      </c>
      <c r="P184">
        <v>4</v>
      </c>
      <c r="Q184">
        <v>674.82</v>
      </c>
      <c r="R184">
        <v>0</v>
      </c>
      <c r="S184" t="str">
        <f t="shared" si="2"/>
        <v>OK</v>
      </c>
      <c r="T184">
        <v>2699.28</v>
      </c>
      <c r="U184">
        <v>1759.76</v>
      </c>
      <c r="V184">
        <v>939.52</v>
      </c>
      <c r="W184" t="s">
        <v>154</v>
      </c>
      <c r="X184" t="s">
        <v>67</v>
      </c>
    </row>
    <row r="185" spans="1:24">
      <c r="A185" t="s">
        <v>1071</v>
      </c>
      <c r="B185" s="2">
        <v>45608</v>
      </c>
      <c r="C185" s="2">
        <v>45637</v>
      </c>
      <c r="D185" s="5">
        <f>C185-B185</f>
        <v>29</v>
      </c>
      <c r="E185" s="5" t="str">
        <f>IF(D185&lt;0,"INVALID","OK")</f>
        <v>OK</v>
      </c>
      <c r="F185" t="s">
        <v>1072</v>
      </c>
      <c r="G185" t="s">
        <v>46</v>
      </c>
      <c r="H185" t="s">
        <v>23</v>
      </c>
      <c r="I185" t="s">
        <v>24</v>
      </c>
      <c r="J185" t="s">
        <v>135</v>
      </c>
      <c r="K185" t="s">
        <v>136</v>
      </c>
      <c r="L185" t="s">
        <v>73</v>
      </c>
      <c r="M185" t="s">
        <v>170</v>
      </c>
      <c r="N185" t="s">
        <v>1073</v>
      </c>
      <c r="O185" t="s">
        <v>30</v>
      </c>
      <c r="P185">
        <v>6</v>
      </c>
      <c r="Q185">
        <v>1369.48</v>
      </c>
      <c r="R185">
        <v>0.15</v>
      </c>
      <c r="S185" t="str">
        <f t="shared" si="2"/>
        <v>OK</v>
      </c>
      <c r="T185">
        <v>6984.35</v>
      </c>
      <c r="U185">
        <v>4023.63</v>
      </c>
      <c r="V185">
        <v>2960.72</v>
      </c>
      <c r="W185" t="s">
        <v>31</v>
      </c>
      <c r="X185" t="s">
        <v>32</v>
      </c>
    </row>
    <row r="186" spans="1:24">
      <c r="A186" t="s">
        <v>1074</v>
      </c>
      <c r="B186" s="2">
        <v>45347</v>
      </c>
      <c r="C186" s="2">
        <v>45351</v>
      </c>
      <c r="D186" s="5">
        <f>C186-B186</f>
        <v>4</v>
      </c>
      <c r="E186" s="5" t="str">
        <f>IF(D186&lt;0,"INVALID","OK")</f>
        <v>OK</v>
      </c>
      <c r="F186" t="s">
        <v>1075</v>
      </c>
      <c r="G186" t="s">
        <v>46</v>
      </c>
      <c r="H186" t="s">
        <v>36</v>
      </c>
      <c r="I186" t="s">
        <v>62</v>
      </c>
      <c r="J186" t="s">
        <v>189</v>
      </c>
      <c r="K186" t="s">
        <v>190</v>
      </c>
      <c r="L186" t="s">
        <v>40</v>
      </c>
      <c r="M186" t="s">
        <v>56</v>
      </c>
      <c r="N186" t="s">
        <v>149</v>
      </c>
      <c r="O186" t="s">
        <v>58</v>
      </c>
      <c r="P186">
        <v>9</v>
      </c>
      <c r="Q186">
        <v>1331.46</v>
      </c>
      <c r="R186">
        <v>0.15</v>
      </c>
      <c r="S186" t="str">
        <f t="shared" si="2"/>
        <v>OK</v>
      </c>
      <c r="T186">
        <v>10185.67</v>
      </c>
      <c r="U186">
        <v>6479.31</v>
      </c>
      <c r="V186">
        <v>3706.36</v>
      </c>
      <c r="W186" t="s">
        <v>31</v>
      </c>
      <c r="X186" t="s">
        <v>32</v>
      </c>
    </row>
    <row r="187" spans="1:24">
      <c r="A187" t="s">
        <v>1085</v>
      </c>
      <c r="B187" s="2">
        <v>45497</v>
      </c>
      <c r="C187" s="2">
        <v>45500</v>
      </c>
      <c r="D187" s="5">
        <f>C187-B187</f>
        <v>3</v>
      </c>
      <c r="E187" s="5" t="str">
        <f>IF(D187&lt;0,"INVALID","OK")</f>
        <v>OK</v>
      </c>
      <c r="F187" t="s">
        <v>1086</v>
      </c>
      <c r="G187" t="s">
        <v>46</v>
      </c>
      <c r="H187" t="s">
        <v>23</v>
      </c>
      <c r="I187" t="s">
        <v>62</v>
      </c>
      <c r="J187" t="s">
        <v>25</v>
      </c>
      <c r="K187" t="s">
        <v>108</v>
      </c>
      <c r="L187" t="s">
        <v>73</v>
      </c>
      <c r="M187" t="s">
        <v>74</v>
      </c>
      <c r="N187" t="s">
        <v>1087</v>
      </c>
      <c r="O187" t="s">
        <v>30</v>
      </c>
      <c r="P187">
        <v>3</v>
      </c>
      <c r="Q187">
        <v>1834.55</v>
      </c>
      <c r="R187">
        <v>0.2</v>
      </c>
      <c r="S187" t="str">
        <f t="shared" si="2"/>
        <v>OK</v>
      </c>
      <c r="T187">
        <v>4402.92</v>
      </c>
      <c r="U187">
        <v>2993.94</v>
      </c>
      <c r="V187">
        <v>1408.98</v>
      </c>
      <c r="W187" t="s">
        <v>110</v>
      </c>
      <c r="X187" t="s">
        <v>67</v>
      </c>
    </row>
    <row r="188" spans="1:24">
      <c r="A188" t="s">
        <v>1094</v>
      </c>
      <c r="B188" s="2">
        <v>45428</v>
      </c>
      <c r="C188" s="2">
        <v>45436</v>
      </c>
      <c r="D188" s="5">
        <f>C188-B188</f>
        <v>8</v>
      </c>
      <c r="E188" s="5" t="str">
        <f>IF(D188&lt;0,"INVALID","OK")</f>
        <v>OK</v>
      </c>
      <c r="F188" t="s">
        <v>1095</v>
      </c>
      <c r="G188" t="s">
        <v>52</v>
      </c>
      <c r="H188" t="s">
        <v>94</v>
      </c>
      <c r="I188" t="s">
        <v>24</v>
      </c>
      <c r="J188" t="s">
        <v>121</v>
      </c>
      <c r="K188" t="s">
        <v>122</v>
      </c>
      <c r="L188" t="s">
        <v>73</v>
      </c>
      <c r="M188" t="s">
        <v>74</v>
      </c>
      <c r="N188" t="s">
        <v>1096</v>
      </c>
      <c r="O188" t="s">
        <v>43</v>
      </c>
      <c r="P188">
        <v>1</v>
      </c>
      <c r="Q188">
        <v>783.09</v>
      </c>
      <c r="R188">
        <v>0</v>
      </c>
      <c r="S188" t="str">
        <f t="shared" si="2"/>
        <v>OK</v>
      </c>
      <c r="T188">
        <v>783.09</v>
      </c>
      <c r="U188">
        <v>503.89</v>
      </c>
      <c r="V188">
        <v>279.2</v>
      </c>
      <c r="W188" t="s">
        <v>154</v>
      </c>
      <c r="X188" t="s">
        <v>67</v>
      </c>
    </row>
    <row r="189" spans="1:24">
      <c r="A189" t="s">
        <v>1097</v>
      </c>
      <c r="B189" s="2">
        <v>45394</v>
      </c>
      <c r="C189" s="2">
        <v>45632</v>
      </c>
      <c r="D189" s="5">
        <f>C189-B189</f>
        <v>238</v>
      </c>
      <c r="E189" s="5" t="str">
        <f>IF(D189&lt;0,"INVALID","OK")</f>
        <v>OK</v>
      </c>
      <c r="F189" t="s">
        <v>1098</v>
      </c>
      <c r="G189" t="s">
        <v>131</v>
      </c>
      <c r="H189" t="s">
        <v>94</v>
      </c>
      <c r="I189" t="s">
        <v>37</v>
      </c>
      <c r="J189" t="s">
        <v>38</v>
      </c>
      <c r="K189" t="s">
        <v>39</v>
      </c>
      <c r="L189" t="s">
        <v>27</v>
      </c>
      <c r="M189" t="s">
        <v>152</v>
      </c>
      <c r="N189" t="s">
        <v>1099</v>
      </c>
      <c r="O189" t="s">
        <v>30</v>
      </c>
      <c r="P189">
        <v>4</v>
      </c>
      <c r="Q189">
        <v>2685.66</v>
      </c>
      <c r="R189">
        <v>0</v>
      </c>
      <c r="S189" t="str">
        <f t="shared" si="2"/>
        <v>OK</v>
      </c>
      <c r="T189">
        <v>10742.64</v>
      </c>
      <c r="U189">
        <v>6477.37</v>
      </c>
      <c r="V189">
        <v>4265.2700000000004</v>
      </c>
      <c r="W189" t="s">
        <v>31</v>
      </c>
      <c r="X189" t="s">
        <v>102</v>
      </c>
    </row>
    <row r="190" spans="1:24">
      <c r="A190" t="s">
        <v>1097</v>
      </c>
      <c r="B190" s="2">
        <v>45394</v>
      </c>
      <c r="C190" s="2">
        <v>45632</v>
      </c>
      <c r="D190" s="5">
        <f>C190-B190</f>
        <v>238</v>
      </c>
      <c r="E190" s="5" t="str">
        <f>IF(D190&lt;0,"INVALID","OK")</f>
        <v>OK</v>
      </c>
      <c r="F190" t="s">
        <v>1098</v>
      </c>
      <c r="G190" t="s">
        <v>131</v>
      </c>
      <c r="H190" t="s">
        <v>94</v>
      </c>
      <c r="I190" t="s">
        <v>37</v>
      </c>
      <c r="J190" t="s">
        <v>38</v>
      </c>
      <c r="K190" t="s">
        <v>39</v>
      </c>
      <c r="L190" t="s">
        <v>27</v>
      </c>
      <c r="M190" t="s">
        <v>152</v>
      </c>
      <c r="N190" t="s">
        <v>1099</v>
      </c>
      <c r="O190" t="s">
        <v>30</v>
      </c>
      <c r="P190">
        <v>4</v>
      </c>
      <c r="Q190">
        <v>2685.66</v>
      </c>
      <c r="R190">
        <v>0</v>
      </c>
      <c r="S190" t="str">
        <f t="shared" si="2"/>
        <v>OK</v>
      </c>
      <c r="T190">
        <v>10989.89</v>
      </c>
      <c r="U190">
        <v>6477.37</v>
      </c>
      <c r="V190">
        <v>4265.2700000000004</v>
      </c>
      <c r="W190" t="s">
        <v>31</v>
      </c>
      <c r="X190" t="s">
        <v>32</v>
      </c>
    </row>
    <row r="191" spans="1:24">
      <c r="A191" t="s">
        <v>1106</v>
      </c>
      <c r="B191" s="2">
        <v>45547</v>
      </c>
      <c r="C191" s="2">
        <v>45552</v>
      </c>
      <c r="D191" s="5">
        <f>C191-B191</f>
        <v>5</v>
      </c>
      <c r="E191" s="5" t="str">
        <f>IF(D191&lt;0,"INVALID","OK")</f>
        <v>OK</v>
      </c>
      <c r="F191" t="s">
        <v>1107</v>
      </c>
      <c r="G191" t="s">
        <v>61</v>
      </c>
      <c r="H191" t="s">
        <v>23</v>
      </c>
      <c r="I191" t="s">
        <v>37</v>
      </c>
      <c r="J191" t="s">
        <v>227</v>
      </c>
      <c r="K191" t="s">
        <v>228</v>
      </c>
      <c r="L191" t="s">
        <v>27</v>
      </c>
      <c r="M191" t="s">
        <v>123</v>
      </c>
      <c r="N191" t="s">
        <v>1108</v>
      </c>
      <c r="O191" t="s">
        <v>49</v>
      </c>
      <c r="P191">
        <v>9</v>
      </c>
      <c r="Q191">
        <v>1921.47</v>
      </c>
      <c r="R191">
        <v>0.25</v>
      </c>
      <c r="S191" t="str">
        <f t="shared" si="2"/>
        <v>OK</v>
      </c>
      <c r="T191">
        <v>12969.92</v>
      </c>
      <c r="U191">
        <v>9398.4599999999991</v>
      </c>
      <c r="V191">
        <v>3571.46</v>
      </c>
      <c r="W191" t="s">
        <v>31</v>
      </c>
      <c r="X191" t="s">
        <v>32</v>
      </c>
    </row>
    <row r="192" spans="1:24">
      <c r="A192" t="s">
        <v>1112</v>
      </c>
      <c r="B192" s="2">
        <v>45368</v>
      </c>
      <c r="C192" s="2">
        <v>45372</v>
      </c>
      <c r="D192" s="5">
        <f>C192-B192</f>
        <v>4</v>
      </c>
      <c r="E192" s="5" t="str">
        <f>IF(D192&lt;0,"INVALID","OK")</f>
        <v>OK</v>
      </c>
      <c r="F192" t="s">
        <v>864</v>
      </c>
      <c r="G192" t="s">
        <v>127</v>
      </c>
      <c r="H192" t="s">
        <v>23</v>
      </c>
      <c r="I192" t="s">
        <v>24</v>
      </c>
      <c r="J192" t="s">
        <v>25</v>
      </c>
      <c r="K192" t="s">
        <v>26</v>
      </c>
      <c r="L192" t="s">
        <v>73</v>
      </c>
      <c r="M192" t="s">
        <v>79</v>
      </c>
      <c r="N192" t="s">
        <v>1113</v>
      </c>
      <c r="O192" t="s">
        <v>49</v>
      </c>
      <c r="P192">
        <v>8</v>
      </c>
      <c r="Q192">
        <v>1992.57</v>
      </c>
      <c r="R192">
        <v>0</v>
      </c>
      <c r="S192" t="str">
        <f t="shared" si="2"/>
        <v>OK</v>
      </c>
      <c r="T192">
        <v>15940.56</v>
      </c>
      <c r="U192">
        <v>12347.15</v>
      </c>
      <c r="V192">
        <v>3593.41</v>
      </c>
      <c r="W192" t="s">
        <v>31</v>
      </c>
      <c r="X192" t="s">
        <v>32</v>
      </c>
    </row>
    <row r="193" spans="1:24">
      <c r="A193" t="s">
        <v>1114</v>
      </c>
      <c r="B193" s="2">
        <v>45516</v>
      </c>
      <c r="C193" s="2">
        <v>45522</v>
      </c>
      <c r="D193" s="5">
        <f>C193-B193</f>
        <v>6</v>
      </c>
      <c r="E193" s="5" t="str">
        <f>IF(D193&lt;0,"INVALID","OK")</f>
        <v>OK</v>
      </c>
      <c r="F193" t="s">
        <v>1115</v>
      </c>
      <c r="G193" t="s">
        <v>61</v>
      </c>
      <c r="H193" t="s">
        <v>23</v>
      </c>
      <c r="I193" t="s">
        <v>37</v>
      </c>
      <c r="J193" t="s">
        <v>165</v>
      </c>
      <c r="K193" t="s">
        <v>166</v>
      </c>
      <c r="L193" t="s">
        <v>27</v>
      </c>
      <c r="M193" t="s">
        <v>90</v>
      </c>
      <c r="N193" t="s">
        <v>1116</v>
      </c>
      <c r="O193" t="s">
        <v>43</v>
      </c>
      <c r="P193">
        <v>6</v>
      </c>
      <c r="Q193">
        <v>1181.74</v>
      </c>
      <c r="R193">
        <v>0</v>
      </c>
      <c r="S193" t="str">
        <f t="shared" si="2"/>
        <v>OK</v>
      </c>
      <c r="T193">
        <v>7090.44</v>
      </c>
      <c r="U193">
        <v>5672.27</v>
      </c>
      <c r="V193">
        <v>1262.8699999999999</v>
      </c>
      <c r="W193" t="s">
        <v>31</v>
      </c>
      <c r="X193" t="s">
        <v>32</v>
      </c>
    </row>
    <row r="194" spans="1:24">
      <c r="A194" t="s">
        <v>1117</v>
      </c>
      <c r="B194" s="2">
        <v>45516</v>
      </c>
      <c r="C194" s="2">
        <v>45634</v>
      </c>
      <c r="D194" s="5">
        <f>C194-B194</f>
        <v>118</v>
      </c>
      <c r="E194" s="5" t="str">
        <f>IF(D194&lt;0,"INVALID","OK")</f>
        <v>OK</v>
      </c>
      <c r="F194" t="s">
        <v>1118</v>
      </c>
      <c r="G194" t="s">
        <v>52</v>
      </c>
      <c r="H194" t="s">
        <v>36</v>
      </c>
      <c r="I194" t="s">
        <v>53</v>
      </c>
      <c r="J194" t="s">
        <v>83</v>
      </c>
      <c r="K194" t="s">
        <v>84</v>
      </c>
      <c r="L194" t="s">
        <v>73</v>
      </c>
      <c r="M194" t="s">
        <v>74</v>
      </c>
      <c r="N194" t="s">
        <v>1119</v>
      </c>
      <c r="O194" t="s">
        <v>49</v>
      </c>
      <c r="P194">
        <v>8</v>
      </c>
      <c r="Q194">
        <v>4402.3599999999997</v>
      </c>
      <c r="R194">
        <v>0.25</v>
      </c>
      <c r="S194" t="str">
        <f t="shared" si="2"/>
        <v>OK</v>
      </c>
      <c r="T194">
        <v>26414.16</v>
      </c>
      <c r="U194">
        <v>21822.53</v>
      </c>
      <c r="V194">
        <v>4591.63</v>
      </c>
      <c r="W194" t="s">
        <v>31</v>
      </c>
      <c r="X194" t="s">
        <v>32</v>
      </c>
    </row>
    <row r="195" spans="1:24">
      <c r="A195" t="s">
        <v>1123</v>
      </c>
      <c r="B195" s="2">
        <v>45312</v>
      </c>
      <c r="C195" s="2">
        <v>45320</v>
      </c>
      <c r="D195" s="5">
        <f>C195-B195</f>
        <v>8</v>
      </c>
      <c r="E195" s="5" t="str">
        <f>IF(D195&lt;0,"INVALID","OK")</f>
        <v>OK</v>
      </c>
      <c r="F195" t="s">
        <v>1124</v>
      </c>
      <c r="G195" t="s">
        <v>78</v>
      </c>
      <c r="H195" t="s">
        <v>23</v>
      </c>
      <c r="I195" t="s">
        <v>53</v>
      </c>
      <c r="J195" t="s">
        <v>174</v>
      </c>
      <c r="K195" t="s">
        <v>175</v>
      </c>
      <c r="L195" t="s">
        <v>27</v>
      </c>
      <c r="M195" t="s">
        <v>152</v>
      </c>
      <c r="N195" t="s">
        <v>1125</v>
      </c>
      <c r="O195" t="s">
        <v>58</v>
      </c>
      <c r="P195">
        <v>5</v>
      </c>
      <c r="Q195">
        <v>4058.08</v>
      </c>
      <c r="R195">
        <v>0.1</v>
      </c>
      <c r="S195" t="str">
        <f t="shared" ref="S195:S258" si="3">IF(R195&lt;0,"INVALID",IF(R195&gt;0.5,"INVALID","OK"))</f>
        <v>OK</v>
      </c>
      <c r="T195">
        <v>18261.36</v>
      </c>
      <c r="U195">
        <v>11399.94</v>
      </c>
      <c r="V195">
        <v>6861.42</v>
      </c>
      <c r="W195" t="s">
        <v>31</v>
      </c>
      <c r="X195" t="s">
        <v>32</v>
      </c>
    </row>
    <row r="196" spans="1:24">
      <c r="A196" t="s">
        <v>1135</v>
      </c>
      <c r="B196" s="2">
        <v>45599</v>
      </c>
      <c r="C196" s="2">
        <v>45599</v>
      </c>
      <c r="D196" s="5">
        <f>C196-B196</f>
        <v>0</v>
      </c>
      <c r="E196" s="5" t="str">
        <f>IF(D196&lt;0,"INVALID","OK")</f>
        <v>OK</v>
      </c>
      <c r="F196" t="s">
        <v>1136</v>
      </c>
      <c r="G196" t="s">
        <v>113</v>
      </c>
      <c r="H196" t="s">
        <v>23</v>
      </c>
      <c r="I196" t="s">
        <v>24</v>
      </c>
      <c r="J196" t="s">
        <v>121</v>
      </c>
      <c r="K196" t="s">
        <v>122</v>
      </c>
      <c r="L196" t="s">
        <v>40</v>
      </c>
      <c r="M196" t="s">
        <v>157</v>
      </c>
      <c r="N196" t="s">
        <v>1137</v>
      </c>
      <c r="O196" t="s">
        <v>43</v>
      </c>
      <c r="P196">
        <v>9</v>
      </c>
      <c r="Q196">
        <v>3456.38</v>
      </c>
      <c r="R196">
        <v>0</v>
      </c>
      <c r="S196" t="str">
        <f t="shared" si="3"/>
        <v>OK</v>
      </c>
      <c r="T196">
        <v>31107.42</v>
      </c>
      <c r="U196">
        <v>20146.66</v>
      </c>
      <c r="V196">
        <v>10960.76</v>
      </c>
      <c r="W196" t="s">
        <v>110</v>
      </c>
      <c r="X196" t="s">
        <v>102</v>
      </c>
    </row>
    <row r="197" spans="1:24">
      <c r="A197" t="s">
        <v>1138</v>
      </c>
      <c r="B197" s="2">
        <v>45549</v>
      </c>
      <c r="C197" s="2">
        <v>45557</v>
      </c>
      <c r="D197" s="5">
        <f>C197-B197</f>
        <v>8</v>
      </c>
      <c r="E197" s="5" t="str">
        <f>IF(D197&lt;0,"INVALID","OK")</f>
        <v>OK</v>
      </c>
      <c r="F197" t="s">
        <v>1139</v>
      </c>
      <c r="G197" t="s">
        <v>22</v>
      </c>
      <c r="H197" t="s">
        <v>23</v>
      </c>
      <c r="I197" t="s">
        <v>62</v>
      </c>
      <c r="J197" t="s">
        <v>71</v>
      </c>
      <c r="K197" t="s">
        <v>72</v>
      </c>
      <c r="L197" t="s">
        <v>40</v>
      </c>
      <c r="M197" t="s">
        <v>56</v>
      </c>
      <c r="N197" t="s">
        <v>1140</v>
      </c>
      <c r="O197" t="s">
        <v>30</v>
      </c>
      <c r="P197">
        <v>2</v>
      </c>
      <c r="Q197">
        <v>2765.3</v>
      </c>
      <c r="R197">
        <v>0</v>
      </c>
      <c r="S197" t="str">
        <f t="shared" si="3"/>
        <v>OK</v>
      </c>
      <c r="T197">
        <v>5530.6</v>
      </c>
      <c r="U197">
        <v>4453.1099999999997</v>
      </c>
      <c r="V197">
        <v>1077.49</v>
      </c>
      <c r="W197" t="s">
        <v>31</v>
      </c>
      <c r="X197" t="s">
        <v>32</v>
      </c>
    </row>
    <row r="198" spans="1:24">
      <c r="A198" t="s">
        <v>1144</v>
      </c>
      <c r="B198" s="2">
        <v>45303</v>
      </c>
      <c r="C198" s="2">
        <v>45634</v>
      </c>
      <c r="D198" s="5">
        <f>C198-B198</f>
        <v>331</v>
      </c>
      <c r="E198" s="5" t="str">
        <f>IF(D198&lt;0,"INVALID","OK")</f>
        <v>OK</v>
      </c>
      <c r="F198" t="s">
        <v>1145</v>
      </c>
      <c r="G198" t="s">
        <v>127</v>
      </c>
      <c r="H198" t="s">
        <v>36</v>
      </c>
      <c r="I198" t="s">
        <v>62</v>
      </c>
      <c r="J198" t="s">
        <v>189</v>
      </c>
      <c r="K198" t="s">
        <v>190</v>
      </c>
      <c r="L198" t="s">
        <v>40</v>
      </c>
      <c r="M198" t="s">
        <v>65</v>
      </c>
      <c r="N198" t="s">
        <v>1146</v>
      </c>
      <c r="O198" t="s">
        <v>30</v>
      </c>
      <c r="P198">
        <v>5</v>
      </c>
      <c r="Q198">
        <v>2981.49</v>
      </c>
      <c r="R198">
        <v>0.2</v>
      </c>
      <c r="S198" t="str">
        <f t="shared" si="3"/>
        <v>OK</v>
      </c>
      <c r="T198">
        <v>11925.96</v>
      </c>
      <c r="U198">
        <v>10103.51</v>
      </c>
      <c r="V198">
        <v>1822.45</v>
      </c>
      <c r="W198" t="s">
        <v>101</v>
      </c>
      <c r="X198" t="s">
        <v>102</v>
      </c>
    </row>
    <row r="199" spans="1:24">
      <c r="A199" t="s">
        <v>1147</v>
      </c>
      <c r="B199" s="2">
        <v>45445</v>
      </c>
      <c r="C199" s="2">
        <v>45450</v>
      </c>
      <c r="D199" s="5">
        <f>C199-B199</f>
        <v>5</v>
      </c>
      <c r="E199" s="5" t="str">
        <f>IF(D199&lt;0,"INVALID","OK")</f>
        <v>OK</v>
      </c>
      <c r="F199" t="s">
        <v>1148</v>
      </c>
      <c r="G199" t="s">
        <v>127</v>
      </c>
      <c r="H199" t="s">
        <v>89</v>
      </c>
      <c r="I199" t="s">
        <v>53</v>
      </c>
      <c r="J199" t="s">
        <v>174</v>
      </c>
      <c r="K199" t="s">
        <v>175</v>
      </c>
      <c r="L199" t="s">
        <v>73</v>
      </c>
      <c r="M199" t="s">
        <v>170</v>
      </c>
      <c r="N199" t="s">
        <v>1149</v>
      </c>
      <c r="O199" t="s">
        <v>43</v>
      </c>
      <c r="P199">
        <v>9</v>
      </c>
      <c r="Q199">
        <v>2860.26</v>
      </c>
      <c r="R199">
        <v>0.25</v>
      </c>
      <c r="S199" t="str">
        <f t="shared" si="3"/>
        <v>OK</v>
      </c>
      <c r="T199">
        <v>19306.759999999998</v>
      </c>
      <c r="U199">
        <v>14442.38</v>
      </c>
      <c r="V199">
        <v>4864.38</v>
      </c>
      <c r="W199" t="s">
        <v>31</v>
      </c>
      <c r="X199" t="s">
        <v>32</v>
      </c>
    </row>
    <row r="200" spans="1:24">
      <c r="A200" t="s">
        <v>1153</v>
      </c>
      <c r="B200" s="2">
        <v>45474</v>
      </c>
      <c r="C200" s="2">
        <v>45305</v>
      </c>
      <c r="D200" s="5">
        <f>C200-B200</f>
        <v>-169</v>
      </c>
      <c r="E200" s="5" t="str">
        <f>IF(D200&lt;0,"INVALID","OK")</f>
        <v>INVALID</v>
      </c>
      <c r="F200" t="s">
        <v>1154</v>
      </c>
      <c r="G200" t="s">
        <v>131</v>
      </c>
      <c r="H200" t="s">
        <v>36</v>
      </c>
      <c r="I200" t="s">
        <v>37</v>
      </c>
      <c r="J200" t="s">
        <v>227</v>
      </c>
      <c r="K200" t="s">
        <v>228</v>
      </c>
      <c r="L200" t="s">
        <v>40</v>
      </c>
      <c r="M200" t="s">
        <v>56</v>
      </c>
      <c r="N200" t="s">
        <v>1155</v>
      </c>
      <c r="O200" t="s">
        <v>30</v>
      </c>
      <c r="P200">
        <v>4</v>
      </c>
      <c r="Q200">
        <v>3309.54</v>
      </c>
      <c r="R200">
        <v>0.1</v>
      </c>
      <c r="S200" t="str">
        <f t="shared" si="3"/>
        <v>OK</v>
      </c>
      <c r="T200">
        <v>11914.34</v>
      </c>
      <c r="U200">
        <v>9771.24</v>
      </c>
      <c r="V200">
        <v>2143.1</v>
      </c>
      <c r="W200" t="s">
        <v>101</v>
      </c>
      <c r="X200" t="s">
        <v>102</v>
      </c>
    </row>
    <row r="201" spans="1:24">
      <c r="A201" t="s">
        <v>1165</v>
      </c>
      <c r="B201" s="2">
        <v>45653</v>
      </c>
      <c r="C201" s="2">
        <v>45657</v>
      </c>
      <c r="D201" s="5">
        <f>C201-B201</f>
        <v>4</v>
      </c>
      <c r="E201" s="5" t="str">
        <f>IF(D201&lt;0,"INVALID","OK")</f>
        <v>OK</v>
      </c>
      <c r="F201" t="s">
        <v>1166</v>
      </c>
      <c r="G201" t="s">
        <v>263</v>
      </c>
      <c r="H201" t="s">
        <v>89</v>
      </c>
      <c r="I201" t="s">
        <v>24</v>
      </c>
      <c r="J201" t="s">
        <v>121</v>
      </c>
      <c r="K201" t="s">
        <v>122</v>
      </c>
      <c r="L201" t="s">
        <v>40</v>
      </c>
      <c r="M201" t="s">
        <v>56</v>
      </c>
      <c r="N201" t="s">
        <v>1167</v>
      </c>
      <c r="O201" t="s">
        <v>58</v>
      </c>
      <c r="P201">
        <v>6</v>
      </c>
      <c r="Q201">
        <v>3346.78</v>
      </c>
      <c r="R201">
        <v>-0.06</v>
      </c>
      <c r="S201" t="str">
        <f t="shared" si="3"/>
        <v>INVALID</v>
      </c>
      <c r="T201">
        <v>20080.68</v>
      </c>
      <c r="U201">
        <v>12908.84</v>
      </c>
      <c r="V201">
        <v>7171.84</v>
      </c>
      <c r="W201" t="s">
        <v>110</v>
      </c>
      <c r="X201" t="s">
        <v>67</v>
      </c>
    </row>
    <row r="202" spans="1:24">
      <c r="A202" t="s">
        <v>1168</v>
      </c>
      <c r="B202" s="2">
        <v>45631</v>
      </c>
      <c r="C202" s="2">
        <v>45421</v>
      </c>
      <c r="D202" s="5">
        <f>C202-B202</f>
        <v>-210</v>
      </c>
      <c r="E202" s="5" t="str">
        <f>IF(D202&lt;0,"INVALID","OK")</f>
        <v>INVALID</v>
      </c>
      <c r="F202" t="s">
        <v>1169</v>
      </c>
      <c r="G202" t="s">
        <v>113</v>
      </c>
      <c r="H202" t="s">
        <v>89</v>
      </c>
      <c r="I202" t="s">
        <v>62</v>
      </c>
      <c r="J202" t="s">
        <v>25</v>
      </c>
      <c r="K202" t="s">
        <v>108</v>
      </c>
      <c r="L202" t="s">
        <v>40</v>
      </c>
      <c r="M202" t="s">
        <v>41</v>
      </c>
      <c r="N202" t="s">
        <v>1170</v>
      </c>
      <c r="O202" t="s">
        <v>58</v>
      </c>
      <c r="P202">
        <v>5</v>
      </c>
      <c r="Q202">
        <v>3203.48</v>
      </c>
      <c r="R202">
        <v>0</v>
      </c>
      <c r="S202" t="str">
        <f t="shared" si="3"/>
        <v>OK</v>
      </c>
      <c r="T202">
        <v>16017.4</v>
      </c>
      <c r="U202">
        <v>9557.7999999999993</v>
      </c>
      <c r="V202">
        <v>6459.6</v>
      </c>
      <c r="W202" t="s">
        <v>110</v>
      </c>
      <c r="X202" t="s">
        <v>67</v>
      </c>
    </row>
    <row r="203" spans="1:24">
      <c r="A203" t="s">
        <v>1180</v>
      </c>
      <c r="B203" s="2">
        <v>45525</v>
      </c>
      <c r="C203" s="2">
        <v>45526</v>
      </c>
      <c r="D203" s="5">
        <f>C203-B203</f>
        <v>1</v>
      </c>
      <c r="E203" s="5" t="str">
        <f>IF(D203&lt;0,"INVALID","OK")</f>
        <v>OK</v>
      </c>
      <c r="F203" t="s">
        <v>1181</v>
      </c>
      <c r="G203" t="s">
        <v>46</v>
      </c>
      <c r="H203" t="s">
        <v>23</v>
      </c>
      <c r="I203" t="s">
        <v>53</v>
      </c>
      <c r="J203" t="s">
        <v>246</v>
      </c>
      <c r="K203" t="s">
        <v>247</v>
      </c>
      <c r="L203" t="s">
        <v>73</v>
      </c>
      <c r="M203" t="s">
        <v>170</v>
      </c>
      <c r="N203" t="s">
        <v>1182</v>
      </c>
      <c r="O203" t="s">
        <v>43</v>
      </c>
      <c r="P203">
        <v>9</v>
      </c>
      <c r="Q203">
        <v>616.96</v>
      </c>
      <c r="R203">
        <v>0.1</v>
      </c>
      <c r="S203" t="str">
        <f t="shared" si="3"/>
        <v>OK</v>
      </c>
      <c r="T203">
        <v>4997.38</v>
      </c>
      <c r="U203">
        <v>2971.39</v>
      </c>
      <c r="V203">
        <v>2025.99</v>
      </c>
      <c r="W203" t="s">
        <v>31</v>
      </c>
      <c r="X203" t="s">
        <v>32</v>
      </c>
    </row>
    <row r="204" spans="1:24">
      <c r="A204" t="s">
        <v>1183</v>
      </c>
      <c r="B204" s="2">
        <v>45460</v>
      </c>
      <c r="C204" s="2">
        <v>45463</v>
      </c>
      <c r="D204" s="5">
        <f>C204-B204</f>
        <v>3</v>
      </c>
      <c r="E204" s="5" t="str">
        <f>IF(D204&lt;0,"INVALID","OK")</f>
        <v>OK</v>
      </c>
      <c r="F204" t="s">
        <v>1184</v>
      </c>
      <c r="G204" t="s">
        <v>131</v>
      </c>
      <c r="H204" t="s">
        <v>36</v>
      </c>
      <c r="I204" t="s">
        <v>62</v>
      </c>
      <c r="J204" t="s">
        <v>179</v>
      </c>
      <c r="K204" t="s">
        <v>180</v>
      </c>
      <c r="L204" t="s">
        <v>40</v>
      </c>
      <c r="M204" t="s">
        <v>56</v>
      </c>
      <c r="N204" t="s">
        <v>1185</v>
      </c>
      <c r="O204" t="s">
        <v>58</v>
      </c>
      <c r="P204">
        <v>7</v>
      </c>
      <c r="Q204">
        <v>3155.25</v>
      </c>
      <c r="R204">
        <v>0.2</v>
      </c>
      <c r="S204" t="str">
        <f t="shared" si="3"/>
        <v>OK</v>
      </c>
      <c r="T204">
        <v>17669.400000000001</v>
      </c>
      <c r="U204">
        <v>13718.77</v>
      </c>
      <c r="V204">
        <v>3950.63</v>
      </c>
      <c r="W204" t="s">
        <v>101</v>
      </c>
      <c r="X204" t="s">
        <v>67</v>
      </c>
    </row>
    <row r="205" spans="1:24">
      <c r="A205" t="s">
        <v>1189</v>
      </c>
      <c r="B205" s="2">
        <v>45527</v>
      </c>
      <c r="C205" s="2">
        <v>45529</v>
      </c>
      <c r="D205" s="5">
        <f>C205-B205</f>
        <v>2</v>
      </c>
      <c r="E205" s="5" t="str">
        <f>IF(D205&lt;0,"INVALID","OK")</f>
        <v>OK</v>
      </c>
      <c r="F205" t="s">
        <v>1190</v>
      </c>
      <c r="G205" t="s">
        <v>70</v>
      </c>
      <c r="H205" t="s">
        <v>23</v>
      </c>
      <c r="I205" t="s">
        <v>62</v>
      </c>
      <c r="J205" t="s">
        <v>189</v>
      </c>
      <c r="K205" t="s">
        <v>190</v>
      </c>
      <c r="L205" t="s">
        <v>73</v>
      </c>
      <c r="M205" t="s">
        <v>273</v>
      </c>
      <c r="N205" t="s">
        <v>1191</v>
      </c>
      <c r="O205" t="s">
        <v>43</v>
      </c>
      <c r="P205">
        <v>4</v>
      </c>
      <c r="Q205">
        <v>491.16</v>
      </c>
      <c r="R205">
        <v>0.05</v>
      </c>
      <c r="S205" t="str">
        <f t="shared" si="3"/>
        <v>OK</v>
      </c>
      <c r="T205">
        <v>1866.41</v>
      </c>
      <c r="U205">
        <v>1576.49</v>
      </c>
      <c r="V205">
        <v>289.92</v>
      </c>
      <c r="W205" t="s">
        <v>31</v>
      </c>
      <c r="X205" t="s">
        <v>32</v>
      </c>
    </row>
    <row r="206" spans="1:24">
      <c r="A206" t="s">
        <v>1198</v>
      </c>
      <c r="B206" s="2">
        <v>45458</v>
      </c>
      <c r="C206" s="2">
        <v>45464</v>
      </c>
      <c r="D206" s="5">
        <f>C206-B206</f>
        <v>6</v>
      </c>
      <c r="E206" s="5" t="str">
        <f>IF(D206&lt;0,"INVALID","OK")</f>
        <v>OK</v>
      </c>
      <c r="F206" t="s">
        <v>1199</v>
      </c>
      <c r="G206" t="s">
        <v>88</v>
      </c>
      <c r="H206" t="s">
        <v>89</v>
      </c>
      <c r="I206" t="s">
        <v>62</v>
      </c>
      <c r="J206" t="s">
        <v>189</v>
      </c>
      <c r="K206" t="s">
        <v>190</v>
      </c>
      <c r="L206" t="s">
        <v>73</v>
      </c>
      <c r="M206" t="s">
        <v>74</v>
      </c>
      <c r="N206" t="s">
        <v>1200</v>
      </c>
      <c r="O206" t="s">
        <v>49</v>
      </c>
      <c r="P206">
        <v>8</v>
      </c>
      <c r="Q206">
        <v>1706.4</v>
      </c>
      <c r="R206">
        <v>0</v>
      </c>
      <c r="S206" t="str">
        <f t="shared" si="3"/>
        <v>OK</v>
      </c>
      <c r="T206">
        <v>12968.64</v>
      </c>
      <c r="U206">
        <v>10119.61</v>
      </c>
      <c r="V206">
        <v>2849.03</v>
      </c>
      <c r="W206" t="s">
        <v>31</v>
      </c>
      <c r="X206" t="s">
        <v>32</v>
      </c>
    </row>
    <row r="207" spans="1:24">
      <c r="A207" t="s">
        <v>1204</v>
      </c>
      <c r="B207" s="2">
        <v>45366</v>
      </c>
      <c r="C207" s="2">
        <v>45367</v>
      </c>
      <c r="D207" s="5">
        <f>C207-B207</f>
        <v>1</v>
      </c>
      <c r="E207" s="5" t="str">
        <f>IF(D207&lt;0,"INVALID","OK")</f>
        <v>OK</v>
      </c>
      <c r="F207" t="s">
        <v>1205</v>
      </c>
      <c r="G207" t="s">
        <v>140</v>
      </c>
      <c r="H207" t="s">
        <v>23</v>
      </c>
      <c r="I207" t="s">
        <v>24</v>
      </c>
      <c r="J207" t="s">
        <v>349</v>
      </c>
      <c r="K207" t="s">
        <v>350</v>
      </c>
      <c r="L207" t="s">
        <v>27</v>
      </c>
      <c r="M207" t="s">
        <v>47</v>
      </c>
      <c r="N207" t="s">
        <v>1206</v>
      </c>
      <c r="O207" t="s">
        <v>58</v>
      </c>
      <c r="P207">
        <v>6</v>
      </c>
      <c r="Q207">
        <v>3815.09</v>
      </c>
      <c r="R207">
        <v>0.15</v>
      </c>
      <c r="S207" t="str">
        <f t="shared" si="3"/>
        <v>OK</v>
      </c>
      <c r="T207">
        <v>19456.96</v>
      </c>
      <c r="U207">
        <v>14520.06</v>
      </c>
      <c r="V207">
        <v>4936.8999999999996</v>
      </c>
      <c r="W207" t="s">
        <v>154</v>
      </c>
      <c r="X207" t="s">
        <v>67</v>
      </c>
    </row>
    <row r="208" spans="1:24">
      <c r="A208" t="s">
        <v>1213</v>
      </c>
      <c r="B208" s="2">
        <v>45519</v>
      </c>
      <c r="C208" s="2">
        <v>45525</v>
      </c>
      <c r="D208" s="5">
        <f>C208-B208</f>
        <v>6</v>
      </c>
      <c r="E208" s="5" t="str">
        <f>IF(D208&lt;0,"INVALID","OK")</f>
        <v>OK</v>
      </c>
      <c r="F208" t="s">
        <v>1214</v>
      </c>
      <c r="G208" t="s">
        <v>61</v>
      </c>
      <c r="H208" t="s">
        <v>36</v>
      </c>
      <c r="I208" t="s">
        <v>62</v>
      </c>
      <c r="J208" t="s">
        <v>25</v>
      </c>
      <c r="K208" t="s">
        <v>108</v>
      </c>
      <c r="L208" t="s">
        <v>73</v>
      </c>
      <c r="M208" t="s">
        <v>79</v>
      </c>
      <c r="N208" t="s">
        <v>1215</v>
      </c>
      <c r="O208" t="s">
        <v>49</v>
      </c>
      <c r="P208">
        <v>7</v>
      </c>
      <c r="Q208">
        <v>2333.81</v>
      </c>
      <c r="R208">
        <v>0.2</v>
      </c>
      <c r="S208" t="str">
        <f t="shared" si="3"/>
        <v>OK</v>
      </c>
      <c r="T208">
        <v>13069.34</v>
      </c>
      <c r="U208">
        <v>8768.59</v>
      </c>
      <c r="V208">
        <v>4300.75</v>
      </c>
      <c r="W208" t="s">
        <v>31</v>
      </c>
      <c r="X208" t="s">
        <v>32</v>
      </c>
    </row>
    <row r="209" spans="1:24">
      <c r="A209" t="s">
        <v>1216</v>
      </c>
      <c r="B209" s="2">
        <v>45313</v>
      </c>
      <c r="C209" s="2">
        <v>45315</v>
      </c>
      <c r="D209" s="5">
        <f>C209-B209</f>
        <v>2</v>
      </c>
      <c r="E209" s="5" t="str">
        <f>IF(D209&lt;0,"INVALID","OK")</f>
        <v>OK</v>
      </c>
      <c r="F209" t="s">
        <v>1217</v>
      </c>
      <c r="G209" t="s">
        <v>161</v>
      </c>
      <c r="H209" t="s">
        <v>94</v>
      </c>
      <c r="I209" t="s">
        <v>62</v>
      </c>
      <c r="J209" t="s">
        <v>63</v>
      </c>
      <c r="K209" t="s">
        <v>64</v>
      </c>
      <c r="L209" t="s">
        <v>27</v>
      </c>
      <c r="M209" t="s">
        <v>47</v>
      </c>
      <c r="N209" t="s">
        <v>1218</v>
      </c>
      <c r="O209" t="s">
        <v>58</v>
      </c>
      <c r="P209">
        <v>6</v>
      </c>
      <c r="Q209">
        <v>1026.06</v>
      </c>
      <c r="R209">
        <v>0</v>
      </c>
      <c r="S209" t="str">
        <f t="shared" si="3"/>
        <v>OK</v>
      </c>
      <c r="T209">
        <v>4617.2700000000004</v>
      </c>
      <c r="U209">
        <v>2981.94</v>
      </c>
      <c r="V209">
        <v>1635.33</v>
      </c>
      <c r="W209" t="s">
        <v>101</v>
      </c>
      <c r="X209" t="s">
        <v>67</v>
      </c>
    </row>
    <row r="210" spans="1:24">
      <c r="A210" t="s">
        <v>1227</v>
      </c>
      <c r="B210" s="2">
        <v>45657</v>
      </c>
      <c r="C210" s="2">
        <v>45661</v>
      </c>
      <c r="D210" s="5">
        <f>C210-B210</f>
        <v>4</v>
      </c>
      <c r="E210" s="5" t="str">
        <f>IF(D210&lt;0,"INVALID","OK")</f>
        <v>OK</v>
      </c>
      <c r="F210" t="s">
        <v>1228</v>
      </c>
      <c r="G210" t="s">
        <v>70</v>
      </c>
      <c r="H210" t="s">
        <v>23</v>
      </c>
      <c r="I210" t="s">
        <v>24</v>
      </c>
      <c r="J210" t="s">
        <v>349</v>
      </c>
      <c r="K210" t="s">
        <v>350</v>
      </c>
      <c r="L210" t="s">
        <v>40</v>
      </c>
      <c r="M210" t="s">
        <v>65</v>
      </c>
      <c r="N210" t="s">
        <v>1229</v>
      </c>
      <c r="O210" t="s">
        <v>43</v>
      </c>
      <c r="P210">
        <v>3</v>
      </c>
      <c r="Q210">
        <v>1166.6099999999999</v>
      </c>
      <c r="R210">
        <v>0.25</v>
      </c>
      <c r="S210" t="str">
        <f t="shared" si="3"/>
        <v>OK</v>
      </c>
      <c r="T210">
        <v>2624.87</v>
      </c>
      <c r="U210">
        <v>2253.88</v>
      </c>
      <c r="V210">
        <v>370.99</v>
      </c>
      <c r="W210" t="s">
        <v>31</v>
      </c>
      <c r="X210" t="s">
        <v>32</v>
      </c>
    </row>
    <row r="211" spans="1:24">
      <c r="A211" t="s">
        <v>1230</v>
      </c>
      <c r="B211" s="2">
        <v>45655</v>
      </c>
      <c r="C211" s="2">
        <v>45657</v>
      </c>
      <c r="D211" s="5">
        <f>C211-B211</f>
        <v>2</v>
      </c>
      <c r="E211" s="5" t="str">
        <f>IF(D211&lt;0,"INVALID","OK")</f>
        <v>OK</v>
      </c>
      <c r="F211" t="s">
        <v>1231</v>
      </c>
      <c r="G211" t="s">
        <v>46</v>
      </c>
      <c r="H211" t="s">
        <v>36</v>
      </c>
      <c r="I211" t="s">
        <v>37</v>
      </c>
      <c r="J211" t="s">
        <v>144</v>
      </c>
      <c r="K211" t="s">
        <v>145</v>
      </c>
      <c r="L211" t="s">
        <v>40</v>
      </c>
      <c r="M211" t="s">
        <v>65</v>
      </c>
      <c r="N211" t="s">
        <v>1232</v>
      </c>
      <c r="O211" t="s">
        <v>49</v>
      </c>
      <c r="P211">
        <v>6</v>
      </c>
      <c r="Q211">
        <v>1844.78</v>
      </c>
      <c r="R211">
        <v>0.2</v>
      </c>
      <c r="S211" t="str">
        <f t="shared" si="3"/>
        <v>OK</v>
      </c>
      <c r="T211">
        <v>8854.94</v>
      </c>
      <c r="U211">
        <v>7433.95</v>
      </c>
      <c r="V211">
        <v>1420.99</v>
      </c>
      <c r="W211" t="s">
        <v>31</v>
      </c>
      <c r="X211" t="s">
        <v>32</v>
      </c>
    </row>
    <row r="212" spans="1:24">
      <c r="A212" t="s">
        <v>1239</v>
      </c>
      <c r="B212" s="2">
        <v>45554</v>
      </c>
      <c r="C212" s="2">
        <v>45558</v>
      </c>
      <c r="D212" s="5">
        <f>C212-B212</f>
        <v>4</v>
      </c>
      <c r="E212" s="5" t="str">
        <f>IF(D212&lt;0,"INVALID","OK")</f>
        <v>OK</v>
      </c>
      <c r="F212" t="s">
        <v>1240</v>
      </c>
      <c r="G212" t="s">
        <v>35</v>
      </c>
      <c r="H212" t="s">
        <v>36</v>
      </c>
      <c r="I212" t="s">
        <v>53</v>
      </c>
      <c r="J212" t="s">
        <v>184</v>
      </c>
      <c r="K212" t="s">
        <v>185</v>
      </c>
      <c r="L212" t="s">
        <v>27</v>
      </c>
      <c r="M212" t="s">
        <v>28</v>
      </c>
      <c r="N212" t="s">
        <v>1241</v>
      </c>
      <c r="O212" t="s">
        <v>58</v>
      </c>
      <c r="P212">
        <v>7</v>
      </c>
      <c r="Q212">
        <v>1136.68</v>
      </c>
      <c r="R212">
        <v>0</v>
      </c>
      <c r="S212" t="str">
        <f t="shared" si="3"/>
        <v>OK</v>
      </c>
      <c r="T212">
        <v>7956.76</v>
      </c>
      <c r="U212">
        <v>4799.54</v>
      </c>
      <c r="V212">
        <v>3157.22</v>
      </c>
      <c r="W212" t="s">
        <v>31</v>
      </c>
      <c r="X212" t="s">
        <v>32</v>
      </c>
    </row>
    <row r="213" spans="1:24">
      <c r="A213" t="s">
        <v>1242</v>
      </c>
      <c r="B213" s="2">
        <v>45389</v>
      </c>
      <c r="C213" s="2">
        <v>45396</v>
      </c>
      <c r="D213" s="5">
        <f>C213-B213</f>
        <v>7</v>
      </c>
      <c r="E213" s="5" t="str">
        <f>IF(D213&lt;0,"INVALID","OK")</f>
        <v>OK</v>
      </c>
      <c r="F213" t="s">
        <v>1243</v>
      </c>
      <c r="G213" t="s">
        <v>70</v>
      </c>
      <c r="H213" t="s">
        <v>23</v>
      </c>
      <c r="I213" t="s">
        <v>62</v>
      </c>
      <c r="J213" t="s">
        <v>63</v>
      </c>
      <c r="K213" t="s">
        <v>64</v>
      </c>
      <c r="L213" t="s">
        <v>40</v>
      </c>
      <c r="M213" t="s">
        <v>157</v>
      </c>
      <c r="N213" t="s">
        <v>1244</v>
      </c>
      <c r="O213" t="s">
        <v>43</v>
      </c>
      <c r="P213">
        <v>5</v>
      </c>
      <c r="Q213">
        <v>2235.85</v>
      </c>
      <c r="R213">
        <v>0.25</v>
      </c>
      <c r="S213" t="str">
        <f t="shared" si="3"/>
        <v>OK</v>
      </c>
      <c r="T213">
        <v>8384.44</v>
      </c>
      <c r="U213">
        <v>4765.96</v>
      </c>
      <c r="V213">
        <v>3618.48</v>
      </c>
      <c r="W213" t="s">
        <v>31</v>
      </c>
      <c r="X213" t="s">
        <v>102</v>
      </c>
    </row>
    <row r="214" spans="1:24">
      <c r="A214" t="s">
        <v>1253</v>
      </c>
      <c r="B214" s="2">
        <v>45366</v>
      </c>
      <c r="C214" s="2">
        <v>45371</v>
      </c>
      <c r="D214" s="5">
        <f>C214-B214</f>
        <v>5</v>
      </c>
      <c r="E214" s="5" t="str">
        <f>IF(D214&lt;0,"INVALID","OK")</f>
        <v>OK</v>
      </c>
      <c r="F214" t="s">
        <v>1254</v>
      </c>
      <c r="G214" t="s">
        <v>140</v>
      </c>
      <c r="H214" t="s">
        <v>23</v>
      </c>
      <c r="I214" t="s">
        <v>37</v>
      </c>
      <c r="J214" t="s">
        <v>227</v>
      </c>
      <c r="K214" t="s">
        <v>228</v>
      </c>
      <c r="L214" t="s">
        <v>73</v>
      </c>
      <c r="M214" t="s">
        <v>79</v>
      </c>
      <c r="N214" t="s">
        <v>1255</v>
      </c>
      <c r="O214" t="s">
        <v>58</v>
      </c>
      <c r="P214">
        <v>2</v>
      </c>
      <c r="Q214">
        <v>1881.4</v>
      </c>
      <c r="R214">
        <v>0.25</v>
      </c>
      <c r="S214" t="str">
        <f t="shared" si="3"/>
        <v>OK</v>
      </c>
      <c r="T214">
        <v>2822.1</v>
      </c>
      <c r="U214">
        <v>1624.57</v>
      </c>
      <c r="V214">
        <v>1197.53</v>
      </c>
      <c r="W214" t="s">
        <v>31</v>
      </c>
      <c r="X214" t="s">
        <v>102</v>
      </c>
    </row>
    <row r="215" spans="1:24">
      <c r="A215" t="s">
        <v>1265</v>
      </c>
      <c r="B215" s="2">
        <v>45425</v>
      </c>
      <c r="C215" s="2">
        <v>45430</v>
      </c>
      <c r="D215" s="5">
        <f>C215-B215</f>
        <v>5</v>
      </c>
      <c r="E215" s="5" t="str">
        <f>IF(D215&lt;0,"INVALID","OK")</f>
        <v>OK</v>
      </c>
      <c r="F215" t="s">
        <v>1266</v>
      </c>
      <c r="G215" t="s">
        <v>46</v>
      </c>
      <c r="H215" t="s">
        <v>36</v>
      </c>
      <c r="I215" t="s">
        <v>62</v>
      </c>
      <c r="J215" t="s">
        <v>179</v>
      </c>
      <c r="K215" t="s">
        <v>180</v>
      </c>
      <c r="L215" t="s">
        <v>40</v>
      </c>
      <c r="M215" t="s">
        <v>65</v>
      </c>
      <c r="N215" t="s">
        <v>1267</v>
      </c>
      <c r="O215" t="s">
        <v>58</v>
      </c>
      <c r="P215">
        <v>3</v>
      </c>
      <c r="Q215">
        <v>3128.59</v>
      </c>
      <c r="R215">
        <v>0</v>
      </c>
      <c r="S215" t="str">
        <f t="shared" si="3"/>
        <v>OK</v>
      </c>
      <c r="T215">
        <v>9385.77</v>
      </c>
      <c r="U215">
        <v>6872.44</v>
      </c>
      <c r="V215">
        <v>2783.66</v>
      </c>
      <c r="W215" t="s">
        <v>31</v>
      </c>
      <c r="X215" t="s">
        <v>32</v>
      </c>
    </row>
    <row r="216" spans="1:24">
      <c r="A216" t="s">
        <v>1268</v>
      </c>
      <c r="B216" s="2">
        <v>45387</v>
      </c>
      <c r="C216" s="2">
        <v>45395</v>
      </c>
      <c r="D216" s="5">
        <f>C216-B216</f>
        <v>8</v>
      </c>
      <c r="E216" s="5" t="str">
        <f>IF(D216&lt;0,"INVALID","OK")</f>
        <v>OK</v>
      </c>
      <c r="F216" t="s">
        <v>1269</v>
      </c>
      <c r="G216" t="s">
        <v>161</v>
      </c>
      <c r="H216" t="s">
        <v>89</v>
      </c>
      <c r="I216" t="s">
        <v>62</v>
      </c>
      <c r="J216" t="s">
        <v>179</v>
      </c>
      <c r="K216" t="s">
        <v>180</v>
      </c>
      <c r="L216" t="s">
        <v>73</v>
      </c>
      <c r="M216" t="s">
        <v>273</v>
      </c>
      <c r="N216" t="s">
        <v>1270</v>
      </c>
      <c r="O216" t="s">
        <v>30</v>
      </c>
      <c r="P216">
        <v>5</v>
      </c>
      <c r="Q216">
        <v>1937.54</v>
      </c>
      <c r="R216">
        <v>0.2</v>
      </c>
      <c r="S216" t="str">
        <f t="shared" si="3"/>
        <v>OK</v>
      </c>
      <c r="T216">
        <v>7750.16</v>
      </c>
      <c r="U216">
        <v>5434.3</v>
      </c>
      <c r="V216">
        <v>2315.86</v>
      </c>
      <c r="W216" t="s">
        <v>110</v>
      </c>
      <c r="X216" t="s">
        <v>67</v>
      </c>
    </row>
    <row r="217" spans="1:24">
      <c r="A217" t="s">
        <v>1271</v>
      </c>
      <c r="B217" s="2">
        <v>45602</v>
      </c>
      <c r="C217" s="2">
        <v>45607</v>
      </c>
      <c r="D217" s="5">
        <f>C217-B217</f>
        <v>5</v>
      </c>
      <c r="E217" s="5" t="str">
        <f>IF(D217&lt;0,"INVALID","OK")</f>
        <v>OK</v>
      </c>
      <c r="F217" t="s">
        <v>1272</v>
      </c>
      <c r="G217" t="s">
        <v>46</v>
      </c>
      <c r="H217" t="s">
        <v>23</v>
      </c>
      <c r="I217" t="s">
        <v>62</v>
      </c>
      <c r="J217" t="s">
        <v>179</v>
      </c>
      <c r="K217" t="s">
        <v>180</v>
      </c>
      <c r="L217" t="s">
        <v>40</v>
      </c>
      <c r="M217" t="s">
        <v>56</v>
      </c>
      <c r="N217" t="s">
        <v>1273</v>
      </c>
      <c r="O217" t="s">
        <v>58</v>
      </c>
      <c r="P217">
        <v>4</v>
      </c>
      <c r="Q217">
        <v>1917.26</v>
      </c>
      <c r="R217">
        <v>0.2</v>
      </c>
      <c r="S217" t="str">
        <f t="shared" si="3"/>
        <v>OK</v>
      </c>
      <c r="T217">
        <v>6135.23</v>
      </c>
      <c r="U217">
        <v>3439.79</v>
      </c>
      <c r="V217">
        <v>2695.44</v>
      </c>
      <c r="W217" t="s">
        <v>31</v>
      </c>
      <c r="X217" t="s">
        <v>32</v>
      </c>
    </row>
    <row r="218" spans="1:24">
      <c r="A218" t="s">
        <v>1277</v>
      </c>
      <c r="B218" s="2">
        <v>45341</v>
      </c>
      <c r="C218" s="2">
        <v>45344</v>
      </c>
      <c r="D218" s="5">
        <f>C218-B218</f>
        <v>3</v>
      </c>
      <c r="E218" s="5" t="str">
        <f>IF(D218&lt;0,"INVALID","OK")</f>
        <v>OK</v>
      </c>
      <c r="F218" t="s">
        <v>1278</v>
      </c>
      <c r="G218" t="s">
        <v>88</v>
      </c>
      <c r="H218" t="s">
        <v>36</v>
      </c>
      <c r="I218" t="s">
        <v>53</v>
      </c>
      <c r="J218" t="s">
        <v>184</v>
      </c>
      <c r="K218" t="s">
        <v>185</v>
      </c>
      <c r="L218" t="s">
        <v>40</v>
      </c>
      <c r="M218" t="s">
        <v>56</v>
      </c>
      <c r="N218" t="s">
        <v>1279</v>
      </c>
      <c r="O218" t="s">
        <v>43</v>
      </c>
      <c r="P218">
        <v>9</v>
      </c>
      <c r="Q218">
        <v>4053.01</v>
      </c>
      <c r="R218">
        <v>0</v>
      </c>
      <c r="S218" t="str">
        <f t="shared" si="3"/>
        <v>OK</v>
      </c>
      <c r="T218">
        <v>36477.089999999997</v>
      </c>
      <c r="U218">
        <v>24525.48</v>
      </c>
      <c r="V218">
        <v>11951.61</v>
      </c>
      <c r="W218" t="s">
        <v>31</v>
      </c>
      <c r="X218" t="s">
        <v>32</v>
      </c>
    </row>
    <row r="219" spans="1:24">
      <c r="A219" t="s">
        <v>1280</v>
      </c>
      <c r="B219" s="2">
        <v>45527</v>
      </c>
      <c r="C219" s="2">
        <v>45533</v>
      </c>
      <c r="D219" s="5">
        <f>C219-B219</f>
        <v>6</v>
      </c>
      <c r="E219" s="5" t="str">
        <f>IF(D219&lt;0,"INVALID","OK")</f>
        <v>OK</v>
      </c>
      <c r="F219" t="s">
        <v>1281</v>
      </c>
      <c r="G219" t="s">
        <v>35</v>
      </c>
      <c r="H219" t="s">
        <v>89</v>
      </c>
      <c r="I219" t="s">
        <v>24</v>
      </c>
      <c r="J219" t="s">
        <v>135</v>
      </c>
      <c r="K219" t="s">
        <v>136</v>
      </c>
      <c r="L219" t="s">
        <v>27</v>
      </c>
      <c r="M219" t="s">
        <v>90</v>
      </c>
      <c r="N219" t="s">
        <v>1282</v>
      </c>
      <c r="O219" t="s">
        <v>43</v>
      </c>
      <c r="P219">
        <v>2</v>
      </c>
      <c r="Q219">
        <v>1936.91</v>
      </c>
      <c r="R219">
        <v>0.05</v>
      </c>
      <c r="S219" t="str">
        <f t="shared" si="3"/>
        <v>OK</v>
      </c>
      <c r="T219">
        <v>3680.13</v>
      </c>
      <c r="U219">
        <v>2967.46</v>
      </c>
      <c r="V219">
        <v>712.67</v>
      </c>
      <c r="W219" t="s">
        <v>31</v>
      </c>
      <c r="X219" t="s">
        <v>32</v>
      </c>
    </row>
    <row r="220" spans="1:24">
      <c r="A220" t="s">
        <v>1283</v>
      </c>
      <c r="B220" s="2">
        <v>45355</v>
      </c>
      <c r="C220" s="2">
        <v>45386</v>
      </c>
      <c r="D220" s="5">
        <f>C220-B220</f>
        <v>31</v>
      </c>
      <c r="E220" s="5" t="str">
        <f>IF(D220&lt;0,"INVALID","OK")</f>
        <v>OK</v>
      </c>
      <c r="F220" t="s">
        <v>1284</v>
      </c>
      <c r="G220" t="s">
        <v>263</v>
      </c>
      <c r="H220" t="s">
        <v>23</v>
      </c>
      <c r="I220" t="s">
        <v>62</v>
      </c>
      <c r="J220" t="s">
        <v>63</v>
      </c>
      <c r="K220" t="s">
        <v>64</v>
      </c>
      <c r="L220" t="s">
        <v>40</v>
      </c>
      <c r="M220" t="s">
        <v>56</v>
      </c>
      <c r="N220" t="s">
        <v>1285</v>
      </c>
      <c r="O220" t="s">
        <v>49</v>
      </c>
      <c r="P220">
        <v>7</v>
      </c>
      <c r="Q220">
        <v>3945.21</v>
      </c>
      <c r="R220">
        <v>0</v>
      </c>
      <c r="S220" t="str">
        <f t="shared" si="3"/>
        <v>OK</v>
      </c>
      <c r="T220">
        <v>27616.47</v>
      </c>
      <c r="U220">
        <v>21225.26</v>
      </c>
      <c r="V220">
        <v>6391.21</v>
      </c>
      <c r="W220" t="s">
        <v>31</v>
      </c>
      <c r="X220" t="s">
        <v>32</v>
      </c>
    </row>
    <row r="221" spans="1:24">
      <c r="A221" t="s">
        <v>1286</v>
      </c>
      <c r="B221" s="2">
        <v>45449</v>
      </c>
      <c r="C221" s="2">
        <v>45450</v>
      </c>
      <c r="D221" s="5">
        <f>C221-B221</f>
        <v>1</v>
      </c>
      <c r="E221" s="5" t="str">
        <f>IF(D221&lt;0,"INVALID","OK")</f>
        <v>OK</v>
      </c>
      <c r="F221" t="s">
        <v>1287</v>
      </c>
      <c r="G221" t="s">
        <v>117</v>
      </c>
      <c r="H221" t="s">
        <v>94</v>
      </c>
      <c r="I221" t="s">
        <v>53</v>
      </c>
      <c r="J221" t="s">
        <v>246</v>
      </c>
      <c r="K221" t="s">
        <v>247</v>
      </c>
      <c r="L221" t="s">
        <v>40</v>
      </c>
      <c r="M221" t="s">
        <v>41</v>
      </c>
      <c r="N221" t="s">
        <v>1288</v>
      </c>
      <c r="O221" t="s">
        <v>43</v>
      </c>
      <c r="P221">
        <v>7</v>
      </c>
      <c r="Q221">
        <v>861.91</v>
      </c>
      <c r="R221">
        <v>0.05</v>
      </c>
      <c r="S221" t="str">
        <f t="shared" si="3"/>
        <v>OK</v>
      </c>
      <c r="T221">
        <v>5731.7</v>
      </c>
      <c r="U221">
        <v>4115.5600000000004</v>
      </c>
      <c r="V221">
        <v>1616.14</v>
      </c>
      <c r="W221" t="s">
        <v>31</v>
      </c>
      <c r="X221" t="s">
        <v>32</v>
      </c>
    </row>
    <row r="222" spans="1:24">
      <c r="A222" t="s">
        <v>1295</v>
      </c>
      <c r="B222" s="2">
        <v>45492</v>
      </c>
      <c r="C222" s="2">
        <v>45499</v>
      </c>
      <c r="D222" s="5">
        <f>C222-B222</f>
        <v>7</v>
      </c>
      <c r="E222" s="5" t="str">
        <f>IF(D222&lt;0,"INVALID","OK")</f>
        <v>OK</v>
      </c>
      <c r="F222" t="s">
        <v>1296</v>
      </c>
      <c r="G222" t="s">
        <v>70</v>
      </c>
      <c r="H222" t="s">
        <v>89</v>
      </c>
      <c r="I222" t="s">
        <v>24</v>
      </c>
      <c r="J222" t="s">
        <v>121</v>
      </c>
      <c r="K222" t="s">
        <v>122</v>
      </c>
      <c r="L222" t="s">
        <v>73</v>
      </c>
      <c r="M222" t="s">
        <v>273</v>
      </c>
      <c r="N222" t="s">
        <v>1297</v>
      </c>
      <c r="O222" t="s">
        <v>43</v>
      </c>
      <c r="P222">
        <v>2</v>
      </c>
      <c r="Q222">
        <v>1263.6500000000001</v>
      </c>
      <c r="R222">
        <v>0.2</v>
      </c>
      <c r="S222" t="str">
        <f t="shared" si="3"/>
        <v>OK</v>
      </c>
      <c r="T222">
        <v>2021.84</v>
      </c>
      <c r="U222">
        <v>1355.22</v>
      </c>
      <c r="V222">
        <v>666.62</v>
      </c>
      <c r="W222" t="s">
        <v>31</v>
      </c>
      <c r="X222" t="s">
        <v>32</v>
      </c>
    </row>
    <row r="223" spans="1:24">
      <c r="A223" t="s">
        <v>1307</v>
      </c>
      <c r="B223" s="2">
        <v>45373</v>
      </c>
      <c r="C223" s="2">
        <v>45373</v>
      </c>
      <c r="D223" s="5">
        <f>C223-B223</f>
        <v>0</v>
      </c>
      <c r="E223" s="5" t="str">
        <f>IF(D223&lt;0,"INVALID","OK")</f>
        <v>OK</v>
      </c>
      <c r="F223" t="s">
        <v>1308</v>
      </c>
      <c r="G223" t="s">
        <v>113</v>
      </c>
      <c r="H223" t="s">
        <v>36</v>
      </c>
      <c r="I223" t="s">
        <v>53</v>
      </c>
      <c r="J223" t="s">
        <v>174</v>
      </c>
      <c r="K223" t="s">
        <v>175</v>
      </c>
      <c r="L223" t="s">
        <v>40</v>
      </c>
      <c r="M223" t="s">
        <v>41</v>
      </c>
      <c r="N223" t="s">
        <v>1309</v>
      </c>
      <c r="O223" t="s">
        <v>2762</v>
      </c>
      <c r="P223">
        <v>3</v>
      </c>
      <c r="Q223">
        <v>1365.26</v>
      </c>
      <c r="R223">
        <v>0</v>
      </c>
      <c r="S223" t="str">
        <f t="shared" si="3"/>
        <v>OK</v>
      </c>
      <c r="T223">
        <v>4095.78</v>
      </c>
      <c r="U223">
        <v>2807.77</v>
      </c>
      <c r="V223">
        <v>1288.01</v>
      </c>
      <c r="W223" t="s">
        <v>31</v>
      </c>
      <c r="X223" t="s">
        <v>32</v>
      </c>
    </row>
    <row r="224" spans="1:24">
      <c r="A224" t="s">
        <v>1310</v>
      </c>
      <c r="B224" s="2">
        <v>45565</v>
      </c>
      <c r="C224" s="2">
        <v>45392</v>
      </c>
      <c r="D224" s="5">
        <f>C224-B224</f>
        <v>-173</v>
      </c>
      <c r="E224" s="5" t="str">
        <f>IF(D224&lt;0,"INVALID","OK")</f>
        <v>INVALID</v>
      </c>
      <c r="F224" t="s">
        <v>1311</v>
      </c>
      <c r="G224" t="s">
        <v>52</v>
      </c>
      <c r="H224" t="s">
        <v>36</v>
      </c>
      <c r="I224" t="s">
        <v>53</v>
      </c>
      <c r="J224" t="s">
        <v>184</v>
      </c>
      <c r="K224" t="s">
        <v>185</v>
      </c>
      <c r="L224" t="s">
        <v>27</v>
      </c>
      <c r="M224" t="s">
        <v>28</v>
      </c>
      <c r="N224" t="s">
        <v>1312</v>
      </c>
      <c r="O224" t="s">
        <v>43</v>
      </c>
      <c r="P224">
        <v>5</v>
      </c>
      <c r="Q224">
        <v>3512.25</v>
      </c>
      <c r="R224">
        <v>0.05</v>
      </c>
      <c r="S224" t="str">
        <f t="shared" si="3"/>
        <v>OK</v>
      </c>
      <c r="T224">
        <v>16683.189999999999</v>
      </c>
      <c r="U224">
        <v>10301.16</v>
      </c>
      <c r="V224">
        <v>6382.03</v>
      </c>
      <c r="W224" t="s">
        <v>31</v>
      </c>
      <c r="X224" t="s">
        <v>102</v>
      </c>
    </row>
    <row r="225" spans="1:24">
      <c r="A225" t="s">
        <v>1313</v>
      </c>
      <c r="B225" s="2">
        <v>45318</v>
      </c>
      <c r="C225" s="2">
        <v>45325</v>
      </c>
      <c r="D225" s="5">
        <f>C225-B225</f>
        <v>7</v>
      </c>
      <c r="E225" s="5" t="str">
        <f>IF(D225&lt;0,"INVALID","OK")</f>
        <v>OK</v>
      </c>
      <c r="F225" t="s">
        <v>1314</v>
      </c>
      <c r="G225" t="s">
        <v>88</v>
      </c>
      <c r="H225" t="s">
        <v>89</v>
      </c>
      <c r="I225" t="s">
        <v>62</v>
      </c>
      <c r="J225" t="s">
        <v>25</v>
      </c>
      <c r="K225" t="s">
        <v>108</v>
      </c>
      <c r="L225" t="s">
        <v>40</v>
      </c>
      <c r="M225" t="s">
        <v>65</v>
      </c>
      <c r="N225" t="s">
        <v>1315</v>
      </c>
      <c r="O225" t="s">
        <v>43</v>
      </c>
      <c r="P225">
        <v>3</v>
      </c>
      <c r="Q225">
        <v>359.61</v>
      </c>
      <c r="R225">
        <v>0</v>
      </c>
      <c r="S225" t="str">
        <f t="shared" si="3"/>
        <v>OK</v>
      </c>
      <c r="T225">
        <v>1078.83</v>
      </c>
      <c r="U225">
        <v>926.35</v>
      </c>
      <c r="V225">
        <v>152.47999999999999</v>
      </c>
      <c r="W225" t="s">
        <v>31</v>
      </c>
      <c r="X225" t="s">
        <v>32</v>
      </c>
    </row>
    <row r="226" spans="1:24">
      <c r="A226" t="s">
        <v>1316</v>
      </c>
      <c r="B226" s="2">
        <v>45558</v>
      </c>
      <c r="C226" s="2">
        <v>45559</v>
      </c>
      <c r="D226" s="5">
        <f>C226-B226</f>
        <v>1</v>
      </c>
      <c r="E226" s="5" t="str">
        <f>IF(D226&lt;0,"INVALID","OK")</f>
        <v>OK</v>
      </c>
      <c r="F226" t="s">
        <v>1317</v>
      </c>
      <c r="G226" t="s">
        <v>88</v>
      </c>
      <c r="H226" t="s">
        <v>94</v>
      </c>
      <c r="I226" t="s">
        <v>62</v>
      </c>
      <c r="J226" t="s">
        <v>179</v>
      </c>
      <c r="K226" t="s">
        <v>180</v>
      </c>
      <c r="L226" t="s">
        <v>40</v>
      </c>
      <c r="M226" t="s">
        <v>157</v>
      </c>
      <c r="N226" t="s">
        <v>1318</v>
      </c>
      <c r="O226" t="s">
        <v>2762</v>
      </c>
      <c r="P226">
        <v>7</v>
      </c>
      <c r="Q226">
        <v>3878.01</v>
      </c>
      <c r="R226">
        <v>0.1</v>
      </c>
      <c r="S226" t="str">
        <f t="shared" si="3"/>
        <v>OK</v>
      </c>
      <c r="T226">
        <v>24431.46</v>
      </c>
      <c r="U226">
        <v>18202.36</v>
      </c>
      <c r="V226">
        <v>6229.1</v>
      </c>
      <c r="W226" t="s">
        <v>31</v>
      </c>
      <c r="X226" t="s">
        <v>32</v>
      </c>
    </row>
    <row r="227" spans="1:24">
      <c r="A227" t="s">
        <v>1322</v>
      </c>
      <c r="B227" s="2">
        <v>45424</v>
      </c>
      <c r="C227" s="2">
        <v>45425</v>
      </c>
      <c r="D227" s="5">
        <f>C227-B227</f>
        <v>1</v>
      </c>
      <c r="E227" s="5" t="str">
        <f>IF(D227&lt;0,"INVALID","OK")</f>
        <v>OK</v>
      </c>
      <c r="F227" t="s">
        <v>1323</v>
      </c>
      <c r="G227" t="s">
        <v>117</v>
      </c>
      <c r="H227" t="s">
        <v>89</v>
      </c>
      <c r="I227" t="s">
        <v>62</v>
      </c>
      <c r="J227" t="s">
        <v>189</v>
      </c>
      <c r="K227" t="s">
        <v>190</v>
      </c>
      <c r="L227" t="s">
        <v>27</v>
      </c>
      <c r="M227" t="s">
        <v>90</v>
      </c>
      <c r="N227" t="s">
        <v>1324</v>
      </c>
      <c r="O227" t="s">
        <v>30</v>
      </c>
      <c r="P227">
        <v>3</v>
      </c>
      <c r="Q227">
        <v>2644.55</v>
      </c>
      <c r="R227">
        <v>0</v>
      </c>
      <c r="S227" t="str">
        <f t="shared" si="3"/>
        <v>OK</v>
      </c>
      <c r="T227">
        <v>7933.65</v>
      </c>
      <c r="U227">
        <v>5698.42</v>
      </c>
      <c r="V227">
        <v>2235.23</v>
      </c>
      <c r="W227" t="s">
        <v>31</v>
      </c>
      <c r="X227" t="s">
        <v>32</v>
      </c>
    </row>
    <row r="228" spans="1:24">
      <c r="A228" t="s">
        <v>1331</v>
      </c>
      <c r="B228" s="2">
        <v>45394</v>
      </c>
      <c r="C228" s="2">
        <v>45402</v>
      </c>
      <c r="D228" s="5">
        <f>C228-B228</f>
        <v>8</v>
      </c>
      <c r="E228" s="5" t="str">
        <f>IF(D228&lt;0,"INVALID","OK")</f>
        <v>OK</v>
      </c>
      <c r="F228" t="s">
        <v>1332</v>
      </c>
      <c r="G228" t="s">
        <v>161</v>
      </c>
      <c r="H228" t="s">
        <v>23</v>
      </c>
      <c r="I228" t="s">
        <v>62</v>
      </c>
      <c r="J228" t="s">
        <v>189</v>
      </c>
      <c r="K228" t="s">
        <v>190</v>
      </c>
      <c r="L228" t="s">
        <v>40</v>
      </c>
      <c r="M228" t="s">
        <v>41</v>
      </c>
      <c r="N228" t="s">
        <v>1333</v>
      </c>
      <c r="O228" t="s">
        <v>49</v>
      </c>
      <c r="P228">
        <v>9</v>
      </c>
      <c r="Q228">
        <v>1302.6099999999999</v>
      </c>
      <c r="R228">
        <v>0.2</v>
      </c>
      <c r="S228" t="str">
        <f t="shared" si="3"/>
        <v>OK</v>
      </c>
      <c r="T228">
        <v>9378.7900000000009</v>
      </c>
      <c r="U228">
        <v>6774.48</v>
      </c>
      <c r="V228">
        <v>2604.31</v>
      </c>
      <c r="W228" t="s">
        <v>31</v>
      </c>
      <c r="X228" t="s">
        <v>32</v>
      </c>
    </row>
    <row r="229" spans="1:24">
      <c r="A229" t="s">
        <v>1337</v>
      </c>
      <c r="B229" s="2">
        <v>45313</v>
      </c>
      <c r="C229" s="2">
        <v>45321</v>
      </c>
      <c r="D229" s="5">
        <f>C229-B229</f>
        <v>8</v>
      </c>
      <c r="E229" s="5" t="str">
        <f>IF(D229&lt;0,"INVALID","OK")</f>
        <v>OK</v>
      </c>
      <c r="F229" t="s">
        <v>1338</v>
      </c>
      <c r="G229" t="s">
        <v>46</v>
      </c>
      <c r="H229" t="s">
        <v>89</v>
      </c>
      <c r="I229" t="s">
        <v>53</v>
      </c>
      <c r="J229" t="s">
        <v>174</v>
      </c>
      <c r="K229" t="s">
        <v>175</v>
      </c>
      <c r="L229" t="s">
        <v>40</v>
      </c>
      <c r="M229" t="s">
        <v>65</v>
      </c>
      <c r="N229" t="s">
        <v>1339</v>
      </c>
      <c r="O229" t="s">
        <v>43</v>
      </c>
      <c r="P229">
        <v>1</v>
      </c>
      <c r="Q229">
        <v>2111.39</v>
      </c>
      <c r="R229">
        <v>0.25</v>
      </c>
      <c r="S229" t="str">
        <f t="shared" si="3"/>
        <v>OK</v>
      </c>
      <c r="T229">
        <v>1583.54</v>
      </c>
      <c r="U229">
        <v>1014.19</v>
      </c>
      <c r="V229">
        <v>569.35</v>
      </c>
      <c r="W229" t="s">
        <v>31</v>
      </c>
      <c r="X229" t="s">
        <v>32</v>
      </c>
    </row>
    <row r="230" spans="1:24">
      <c r="A230" t="s">
        <v>1343</v>
      </c>
      <c r="B230" s="2">
        <v>45533</v>
      </c>
      <c r="C230" s="2">
        <v>45534</v>
      </c>
      <c r="D230" s="5">
        <f>C230-B230</f>
        <v>1</v>
      </c>
      <c r="E230" s="5" t="str">
        <f>IF(D230&lt;0,"INVALID","OK")</f>
        <v>OK</v>
      </c>
      <c r="F230" t="s">
        <v>1344</v>
      </c>
      <c r="G230" t="s">
        <v>52</v>
      </c>
      <c r="H230" t="s">
        <v>94</v>
      </c>
      <c r="I230" t="s">
        <v>37</v>
      </c>
      <c r="J230" t="s">
        <v>165</v>
      </c>
      <c r="K230" t="s">
        <v>166</v>
      </c>
      <c r="L230" t="s">
        <v>27</v>
      </c>
      <c r="M230" t="s">
        <v>123</v>
      </c>
      <c r="N230" t="s">
        <v>1345</v>
      </c>
      <c r="O230" t="s">
        <v>49</v>
      </c>
      <c r="P230">
        <v>4</v>
      </c>
      <c r="Q230">
        <v>2484.08</v>
      </c>
      <c r="R230">
        <v>0.05</v>
      </c>
      <c r="S230" t="str">
        <f t="shared" si="3"/>
        <v>OK</v>
      </c>
      <c r="T230">
        <v>9439.5</v>
      </c>
      <c r="U230">
        <v>5519.39</v>
      </c>
      <c r="V230">
        <v>3920.11</v>
      </c>
      <c r="W230" t="s">
        <v>31</v>
      </c>
      <c r="X230" t="s">
        <v>32</v>
      </c>
    </row>
    <row r="231" spans="1:24">
      <c r="A231" t="s">
        <v>1346</v>
      </c>
      <c r="B231" s="2">
        <v>45316</v>
      </c>
      <c r="C231" s="2">
        <v>45318</v>
      </c>
      <c r="D231" s="5">
        <f>C231-B231</f>
        <v>2</v>
      </c>
      <c r="E231" s="5" t="str">
        <f>IF(D231&lt;0,"INVALID","OK")</f>
        <v>OK</v>
      </c>
      <c r="F231" t="s">
        <v>1347</v>
      </c>
      <c r="G231" t="s">
        <v>127</v>
      </c>
      <c r="H231" t="s">
        <v>89</v>
      </c>
      <c r="I231" t="s">
        <v>53</v>
      </c>
      <c r="J231" t="s">
        <v>174</v>
      </c>
      <c r="K231" t="s">
        <v>175</v>
      </c>
      <c r="L231" t="s">
        <v>27</v>
      </c>
      <c r="M231" t="s">
        <v>123</v>
      </c>
      <c r="N231" t="s">
        <v>1348</v>
      </c>
      <c r="O231" t="s">
        <v>43</v>
      </c>
      <c r="P231">
        <v>7</v>
      </c>
      <c r="Q231">
        <v>1727.26</v>
      </c>
      <c r="R231">
        <v>0.15</v>
      </c>
      <c r="S231" t="str">
        <f t="shared" si="3"/>
        <v>OK</v>
      </c>
      <c r="T231">
        <v>10277.200000000001</v>
      </c>
      <c r="U231">
        <v>7906.5</v>
      </c>
      <c r="V231">
        <v>2370.6999999999998</v>
      </c>
      <c r="W231" t="s">
        <v>31</v>
      </c>
      <c r="X231" t="s">
        <v>102</v>
      </c>
    </row>
    <row r="232" spans="1:24">
      <c r="A232" t="s">
        <v>1355</v>
      </c>
      <c r="B232" s="2">
        <v>45605</v>
      </c>
      <c r="C232" s="2">
        <v>45613</v>
      </c>
      <c r="D232" s="5">
        <f>C232-B232</f>
        <v>8</v>
      </c>
      <c r="E232" s="5" t="str">
        <f>IF(D232&lt;0,"INVALID","OK")</f>
        <v>OK</v>
      </c>
      <c r="F232" t="s">
        <v>1356</v>
      </c>
      <c r="G232" t="s">
        <v>131</v>
      </c>
      <c r="H232" t="s">
        <v>89</v>
      </c>
      <c r="I232" t="s">
        <v>37</v>
      </c>
      <c r="J232" t="s">
        <v>38</v>
      </c>
      <c r="K232" t="s">
        <v>39</v>
      </c>
      <c r="L232" t="s">
        <v>73</v>
      </c>
      <c r="M232" t="s">
        <v>79</v>
      </c>
      <c r="N232" t="s">
        <v>1357</v>
      </c>
      <c r="O232" t="s">
        <v>58</v>
      </c>
      <c r="P232">
        <v>6</v>
      </c>
      <c r="Q232">
        <v>3660.4</v>
      </c>
      <c r="R232">
        <v>0</v>
      </c>
      <c r="S232" t="str">
        <f t="shared" si="3"/>
        <v>OK</v>
      </c>
      <c r="T232">
        <v>21962.400000000001</v>
      </c>
      <c r="U232">
        <v>15331.99</v>
      </c>
      <c r="V232">
        <v>6630.41</v>
      </c>
      <c r="W232" t="s">
        <v>154</v>
      </c>
      <c r="X232" t="s">
        <v>67</v>
      </c>
    </row>
    <row r="233" spans="1:24">
      <c r="A233" t="s">
        <v>1370</v>
      </c>
      <c r="B233" s="2">
        <v>45342</v>
      </c>
      <c r="C233" s="2">
        <v>45349</v>
      </c>
      <c r="D233" s="5">
        <f>C233-B233</f>
        <v>7</v>
      </c>
      <c r="E233" s="5" t="str">
        <f>IF(D233&lt;0,"INVALID","OK")</f>
        <v>OK</v>
      </c>
      <c r="F233" t="s">
        <v>1371</v>
      </c>
      <c r="G233" t="s">
        <v>161</v>
      </c>
      <c r="H233" t="s">
        <v>23</v>
      </c>
      <c r="I233" t="s">
        <v>53</v>
      </c>
      <c r="J233" t="s">
        <v>184</v>
      </c>
      <c r="K233" t="s">
        <v>185</v>
      </c>
      <c r="L233" t="s">
        <v>73</v>
      </c>
      <c r="M233" t="s">
        <v>74</v>
      </c>
      <c r="N233" t="s">
        <v>1372</v>
      </c>
      <c r="O233" t="s">
        <v>49</v>
      </c>
      <c r="P233">
        <v>9</v>
      </c>
      <c r="Q233">
        <v>3779.31</v>
      </c>
      <c r="R233">
        <v>0.2</v>
      </c>
      <c r="S233" t="str">
        <f t="shared" si="3"/>
        <v>OK</v>
      </c>
      <c r="T233">
        <v>27211.03</v>
      </c>
      <c r="U233">
        <v>17940.43</v>
      </c>
      <c r="V233">
        <v>9270.6</v>
      </c>
      <c r="W233" t="s">
        <v>31</v>
      </c>
      <c r="X233" t="s">
        <v>32</v>
      </c>
    </row>
    <row r="234" spans="1:24">
      <c r="A234" t="s">
        <v>1370</v>
      </c>
      <c r="B234" s="2">
        <v>45342</v>
      </c>
      <c r="C234" s="2">
        <v>45349</v>
      </c>
      <c r="D234" s="5">
        <f>C234-B234</f>
        <v>7</v>
      </c>
      <c r="E234" s="5" t="str">
        <f>IF(D234&lt;0,"INVALID","OK")</f>
        <v>OK</v>
      </c>
      <c r="F234" t="s">
        <v>1371</v>
      </c>
      <c r="G234" t="s">
        <v>161</v>
      </c>
      <c r="H234" t="s">
        <v>23</v>
      </c>
      <c r="I234" t="s">
        <v>53</v>
      </c>
      <c r="J234" t="s">
        <v>184</v>
      </c>
      <c r="K234" t="s">
        <v>185</v>
      </c>
      <c r="L234" t="s">
        <v>73</v>
      </c>
      <c r="M234" t="s">
        <v>74</v>
      </c>
      <c r="N234" t="s">
        <v>1372</v>
      </c>
      <c r="O234" t="s">
        <v>49</v>
      </c>
      <c r="P234">
        <v>9</v>
      </c>
      <c r="Q234">
        <v>3779.31</v>
      </c>
      <c r="R234">
        <v>0.2</v>
      </c>
      <c r="S234" t="str">
        <f t="shared" si="3"/>
        <v>OK</v>
      </c>
      <c r="T234">
        <v>27322.9</v>
      </c>
      <c r="U234">
        <v>17940.43</v>
      </c>
      <c r="V234">
        <v>9270.6</v>
      </c>
      <c r="W234" t="s">
        <v>31</v>
      </c>
      <c r="X234" t="s">
        <v>102</v>
      </c>
    </row>
    <row r="235" spans="1:24">
      <c r="A235" t="s">
        <v>1373</v>
      </c>
      <c r="B235" s="2">
        <v>45469</v>
      </c>
      <c r="C235" s="2">
        <v>45472</v>
      </c>
      <c r="D235" s="5">
        <f>C235-B235</f>
        <v>3</v>
      </c>
      <c r="E235" s="5" t="str">
        <f>IF(D235&lt;0,"INVALID","OK")</f>
        <v>OK</v>
      </c>
      <c r="F235" t="s">
        <v>1374</v>
      </c>
      <c r="G235" t="s">
        <v>78</v>
      </c>
      <c r="H235" t="s">
        <v>89</v>
      </c>
      <c r="I235" t="s">
        <v>24</v>
      </c>
      <c r="J235" t="s">
        <v>121</v>
      </c>
      <c r="K235" t="s">
        <v>122</v>
      </c>
      <c r="L235" t="s">
        <v>73</v>
      </c>
      <c r="M235" t="s">
        <v>170</v>
      </c>
      <c r="N235" t="s">
        <v>1375</v>
      </c>
      <c r="O235" t="s">
        <v>58</v>
      </c>
      <c r="P235">
        <v>8</v>
      </c>
      <c r="Q235">
        <v>804.52</v>
      </c>
      <c r="R235">
        <v>0</v>
      </c>
      <c r="S235" t="str">
        <f t="shared" si="3"/>
        <v>OK</v>
      </c>
      <c r="T235">
        <v>6436.16</v>
      </c>
      <c r="U235">
        <v>4263.83</v>
      </c>
      <c r="V235">
        <v>2172.33</v>
      </c>
      <c r="W235" t="s">
        <v>31</v>
      </c>
      <c r="X235" t="s">
        <v>32</v>
      </c>
    </row>
    <row r="236" spans="1:24">
      <c r="A236" t="s">
        <v>1376</v>
      </c>
      <c r="B236" s="2">
        <v>45561</v>
      </c>
      <c r="C236" s="2">
        <v>45562</v>
      </c>
      <c r="D236" s="5">
        <f>C236-B236</f>
        <v>1</v>
      </c>
      <c r="E236" s="5" t="str">
        <f>IF(D236&lt;0,"INVALID","OK")</f>
        <v>OK</v>
      </c>
      <c r="F236" t="s">
        <v>1377</v>
      </c>
      <c r="G236" t="s">
        <v>46</v>
      </c>
      <c r="H236" t="s">
        <v>94</v>
      </c>
      <c r="I236" t="s">
        <v>24</v>
      </c>
      <c r="J236" t="s">
        <v>349</v>
      </c>
      <c r="K236" t="s">
        <v>350</v>
      </c>
      <c r="L236" t="s">
        <v>27</v>
      </c>
      <c r="M236" t="s">
        <v>90</v>
      </c>
      <c r="N236" t="s">
        <v>1378</v>
      </c>
      <c r="O236" t="s">
        <v>49</v>
      </c>
      <c r="P236">
        <v>2</v>
      </c>
      <c r="Q236">
        <v>1065.69</v>
      </c>
      <c r="R236">
        <v>0.1</v>
      </c>
      <c r="S236" t="str">
        <f t="shared" si="3"/>
        <v>OK</v>
      </c>
      <c r="T236">
        <v>1918.24</v>
      </c>
      <c r="U236">
        <v>1373.52</v>
      </c>
      <c r="V236">
        <v>544.72</v>
      </c>
      <c r="W236" t="s">
        <v>101</v>
      </c>
      <c r="X236" t="s">
        <v>67</v>
      </c>
    </row>
    <row r="237" spans="1:24">
      <c r="A237" t="s">
        <v>1379</v>
      </c>
      <c r="B237" s="2">
        <v>45473</v>
      </c>
      <c r="C237" s="2">
        <v>45298</v>
      </c>
      <c r="D237" s="5">
        <f>C237-B237</f>
        <v>-175</v>
      </c>
      <c r="E237" s="5" t="str">
        <f>IF(D237&lt;0,"INVALID","OK")</f>
        <v>INVALID</v>
      </c>
      <c r="F237" t="s">
        <v>1380</v>
      </c>
      <c r="G237" t="s">
        <v>88</v>
      </c>
      <c r="H237" t="s">
        <v>23</v>
      </c>
      <c r="I237" t="s">
        <v>24</v>
      </c>
      <c r="J237" t="s">
        <v>235</v>
      </c>
      <c r="K237" t="s">
        <v>236</v>
      </c>
      <c r="L237" t="s">
        <v>73</v>
      </c>
      <c r="M237" t="s">
        <v>79</v>
      </c>
      <c r="N237" t="s">
        <v>1381</v>
      </c>
      <c r="O237" t="s">
        <v>43</v>
      </c>
      <c r="P237">
        <v>8</v>
      </c>
      <c r="Q237">
        <v>3756.66</v>
      </c>
      <c r="R237">
        <v>0.1</v>
      </c>
      <c r="S237" t="str">
        <f t="shared" si="3"/>
        <v>OK</v>
      </c>
      <c r="T237">
        <v>27047.95</v>
      </c>
      <c r="U237">
        <v>18431.330000000002</v>
      </c>
      <c r="V237">
        <v>8616.6200000000008</v>
      </c>
      <c r="W237" t="s">
        <v>31</v>
      </c>
      <c r="X237" t="s">
        <v>32</v>
      </c>
    </row>
    <row r="238" spans="1:24">
      <c r="A238" t="s">
        <v>1391</v>
      </c>
      <c r="B238" s="2">
        <v>45534</v>
      </c>
      <c r="C238" s="2">
        <v>45331</v>
      </c>
      <c r="D238" s="5">
        <f>C238-B238</f>
        <v>-203</v>
      </c>
      <c r="E238" s="5" t="str">
        <f>IF(D238&lt;0,"INVALID","OK")</f>
        <v>INVALID</v>
      </c>
      <c r="F238" t="s">
        <v>1392</v>
      </c>
      <c r="G238" t="s">
        <v>78</v>
      </c>
      <c r="H238" t="s">
        <v>36</v>
      </c>
      <c r="I238" t="s">
        <v>24</v>
      </c>
      <c r="J238" t="s">
        <v>235</v>
      </c>
      <c r="K238" t="s">
        <v>236</v>
      </c>
      <c r="L238" t="s">
        <v>27</v>
      </c>
      <c r="M238" t="s">
        <v>28</v>
      </c>
      <c r="N238" t="s">
        <v>1393</v>
      </c>
      <c r="O238" t="s">
        <v>30</v>
      </c>
      <c r="P238">
        <v>1</v>
      </c>
      <c r="Q238">
        <v>4320.84</v>
      </c>
      <c r="R238">
        <v>0.15</v>
      </c>
      <c r="S238" t="str">
        <f t="shared" si="3"/>
        <v>OK</v>
      </c>
      <c r="T238">
        <v>3672.71</v>
      </c>
      <c r="U238">
        <v>2714.23</v>
      </c>
      <c r="V238">
        <v>763.38</v>
      </c>
      <c r="W238" t="s">
        <v>31</v>
      </c>
      <c r="X238" t="s">
        <v>32</v>
      </c>
    </row>
    <row r="239" spans="1:24">
      <c r="A239" t="s">
        <v>1394</v>
      </c>
      <c r="B239" s="2">
        <v>45332</v>
      </c>
      <c r="C239" s="2">
        <v>45335</v>
      </c>
      <c r="D239" s="5">
        <f>C239-B239</f>
        <v>3</v>
      </c>
      <c r="E239" s="5" t="str">
        <f>IF(D239&lt;0,"INVALID","OK")</f>
        <v>OK</v>
      </c>
      <c r="F239" t="s">
        <v>1395</v>
      </c>
      <c r="G239" t="s">
        <v>22</v>
      </c>
      <c r="H239" t="s">
        <v>94</v>
      </c>
      <c r="I239" t="s">
        <v>62</v>
      </c>
      <c r="J239" t="s">
        <v>189</v>
      </c>
      <c r="K239" t="s">
        <v>190</v>
      </c>
      <c r="L239" t="s">
        <v>73</v>
      </c>
      <c r="M239" t="s">
        <v>273</v>
      </c>
      <c r="N239" t="s">
        <v>1396</v>
      </c>
      <c r="O239" t="s">
        <v>43</v>
      </c>
      <c r="P239">
        <v>2</v>
      </c>
      <c r="Q239">
        <v>4118.45</v>
      </c>
      <c r="R239">
        <v>0.25</v>
      </c>
      <c r="S239" t="str">
        <f t="shared" si="3"/>
        <v>OK</v>
      </c>
      <c r="T239">
        <v>6177.67</v>
      </c>
      <c r="U239">
        <v>4520.75</v>
      </c>
      <c r="V239">
        <v>1656.92</v>
      </c>
      <c r="W239" t="s">
        <v>31</v>
      </c>
      <c r="X239" t="s">
        <v>32</v>
      </c>
    </row>
    <row r="240" spans="1:24">
      <c r="A240" t="s">
        <v>1397</v>
      </c>
      <c r="B240" s="2">
        <v>45533</v>
      </c>
      <c r="C240" s="2">
        <v>45331</v>
      </c>
      <c r="D240" s="5">
        <f>C240-B240</f>
        <v>-202</v>
      </c>
      <c r="E240" s="5" t="str">
        <f>IF(D240&lt;0,"INVALID","OK")</f>
        <v>INVALID</v>
      </c>
      <c r="F240" t="s">
        <v>1398</v>
      </c>
      <c r="G240" t="s">
        <v>113</v>
      </c>
      <c r="H240" t="s">
        <v>36</v>
      </c>
      <c r="I240" t="s">
        <v>62</v>
      </c>
      <c r="J240" t="s">
        <v>63</v>
      </c>
      <c r="K240" t="s">
        <v>64</v>
      </c>
      <c r="L240" t="s">
        <v>40</v>
      </c>
      <c r="M240" t="s">
        <v>157</v>
      </c>
      <c r="N240" t="s">
        <v>1399</v>
      </c>
      <c r="O240" t="s">
        <v>58</v>
      </c>
      <c r="P240">
        <v>6</v>
      </c>
      <c r="Q240">
        <v>172.82</v>
      </c>
      <c r="R240">
        <v>0.05</v>
      </c>
      <c r="S240" t="str">
        <f t="shared" si="3"/>
        <v>OK</v>
      </c>
      <c r="T240">
        <v>985.07</v>
      </c>
      <c r="U240">
        <v>844.48</v>
      </c>
      <c r="V240">
        <v>140.59</v>
      </c>
      <c r="W240" t="s">
        <v>31</v>
      </c>
      <c r="X240" t="s">
        <v>32</v>
      </c>
    </row>
    <row r="241" spans="1:24">
      <c r="A241" t="s">
        <v>1400</v>
      </c>
      <c r="B241" s="2">
        <v>45401</v>
      </c>
      <c r="C241" s="2">
        <v>45402</v>
      </c>
      <c r="D241" s="5">
        <f>C241-B241</f>
        <v>1</v>
      </c>
      <c r="E241" s="5" t="str">
        <f>IF(D241&lt;0,"INVALID","OK")</f>
        <v>OK</v>
      </c>
      <c r="F241" t="s">
        <v>1401</v>
      </c>
      <c r="G241" t="s">
        <v>113</v>
      </c>
      <c r="H241" t="s">
        <v>89</v>
      </c>
      <c r="I241" t="s">
        <v>53</v>
      </c>
      <c r="J241" t="s">
        <v>184</v>
      </c>
      <c r="K241" t="s">
        <v>185</v>
      </c>
      <c r="L241" t="s">
        <v>27</v>
      </c>
      <c r="M241" t="s">
        <v>47</v>
      </c>
      <c r="N241" t="s">
        <v>1402</v>
      </c>
      <c r="O241" t="s">
        <v>30</v>
      </c>
      <c r="P241">
        <v>4</v>
      </c>
      <c r="Q241">
        <v>1540.22</v>
      </c>
      <c r="R241">
        <v>0</v>
      </c>
      <c r="S241" t="str">
        <f t="shared" si="3"/>
        <v>OK</v>
      </c>
      <c r="T241">
        <v>6160.88</v>
      </c>
      <c r="U241">
        <v>4938.7</v>
      </c>
      <c r="V241">
        <v>1222.18</v>
      </c>
      <c r="W241" t="s">
        <v>101</v>
      </c>
      <c r="X241" t="s">
        <v>102</v>
      </c>
    </row>
    <row r="242" spans="1:24">
      <c r="A242" t="s">
        <v>1409</v>
      </c>
      <c r="B242" s="2">
        <v>45459</v>
      </c>
      <c r="C242" s="2">
        <v>45464</v>
      </c>
      <c r="D242" s="5">
        <f>C242-B242</f>
        <v>5</v>
      </c>
      <c r="E242" s="5" t="str">
        <f>IF(D242&lt;0,"INVALID","OK")</f>
        <v>OK</v>
      </c>
      <c r="F242" t="s">
        <v>1410</v>
      </c>
      <c r="G242" t="s">
        <v>78</v>
      </c>
      <c r="H242" t="s">
        <v>23</v>
      </c>
      <c r="I242" t="s">
        <v>53</v>
      </c>
      <c r="J242" t="s">
        <v>184</v>
      </c>
      <c r="K242" t="s">
        <v>185</v>
      </c>
      <c r="L242" t="s">
        <v>40</v>
      </c>
      <c r="M242" t="s">
        <v>56</v>
      </c>
      <c r="N242" t="s">
        <v>1411</v>
      </c>
      <c r="O242" t="s">
        <v>43</v>
      </c>
      <c r="P242">
        <v>6</v>
      </c>
      <c r="Q242">
        <v>1156.78</v>
      </c>
      <c r="R242">
        <v>0.05</v>
      </c>
      <c r="S242" t="str">
        <f t="shared" si="3"/>
        <v>OK</v>
      </c>
      <c r="T242">
        <v>6593.65</v>
      </c>
      <c r="U242">
        <v>4359.3900000000003</v>
      </c>
      <c r="V242">
        <v>2234.2600000000002</v>
      </c>
      <c r="W242" t="s">
        <v>31</v>
      </c>
      <c r="X242" t="s">
        <v>102</v>
      </c>
    </row>
    <row r="243" spans="1:24">
      <c r="A243" t="s">
        <v>1412</v>
      </c>
      <c r="B243" s="2">
        <v>45337</v>
      </c>
      <c r="C243" s="2">
        <v>45340</v>
      </c>
      <c r="D243" s="5">
        <f>C243-B243</f>
        <v>3</v>
      </c>
      <c r="E243" s="5" t="str">
        <f>IF(D243&lt;0,"INVALID","OK")</f>
        <v>OK</v>
      </c>
      <c r="F243" t="s">
        <v>1413</v>
      </c>
      <c r="G243" t="s">
        <v>88</v>
      </c>
      <c r="H243" t="s">
        <v>36</v>
      </c>
      <c r="I243" t="s">
        <v>53</v>
      </c>
      <c r="J243" t="s">
        <v>184</v>
      </c>
      <c r="K243" t="s">
        <v>185</v>
      </c>
      <c r="L243" t="s">
        <v>73</v>
      </c>
      <c r="M243" t="s">
        <v>74</v>
      </c>
      <c r="N243" t="s">
        <v>1414</v>
      </c>
      <c r="O243" t="s">
        <v>43</v>
      </c>
      <c r="P243">
        <v>8</v>
      </c>
      <c r="Q243">
        <v>379.82</v>
      </c>
      <c r="R243">
        <v>0.05</v>
      </c>
      <c r="S243" t="str">
        <f t="shared" si="3"/>
        <v>OK</v>
      </c>
      <c r="T243">
        <v>2886.63</v>
      </c>
      <c r="U243">
        <v>1588.23</v>
      </c>
      <c r="V243">
        <v>1298.4000000000001</v>
      </c>
      <c r="W243" t="s">
        <v>154</v>
      </c>
      <c r="X243" t="s">
        <v>102</v>
      </c>
    </row>
    <row r="244" spans="1:24">
      <c r="A244" t="s">
        <v>1421</v>
      </c>
      <c r="B244" s="2">
        <v>45384</v>
      </c>
      <c r="C244" s="2">
        <v>45390</v>
      </c>
      <c r="D244" s="5">
        <f>C244-B244</f>
        <v>6</v>
      </c>
      <c r="E244" s="5" t="str">
        <f>IF(D244&lt;0,"INVALID","OK")</f>
        <v>OK</v>
      </c>
      <c r="F244" t="s">
        <v>269</v>
      </c>
      <c r="G244" t="s">
        <v>70</v>
      </c>
      <c r="H244" t="s">
        <v>89</v>
      </c>
      <c r="I244" t="s">
        <v>37</v>
      </c>
      <c r="J244" t="s">
        <v>38</v>
      </c>
      <c r="K244" t="s">
        <v>39</v>
      </c>
      <c r="L244" t="s">
        <v>73</v>
      </c>
      <c r="M244" t="s">
        <v>273</v>
      </c>
      <c r="N244" t="s">
        <v>1422</v>
      </c>
      <c r="O244" t="s">
        <v>30</v>
      </c>
      <c r="P244">
        <v>6</v>
      </c>
      <c r="Q244">
        <v>3722.84</v>
      </c>
      <c r="R244">
        <v>0.2</v>
      </c>
      <c r="S244" t="str">
        <f t="shared" si="3"/>
        <v>OK</v>
      </c>
      <c r="T244">
        <v>17869.63</v>
      </c>
      <c r="U244">
        <v>12163.8</v>
      </c>
      <c r="V244">
        <v>5705.83</v>
      </c>
      <c r="W244" t="s">
        <v>31</v>
      </c>
      <c r="X244" t="s">
        <v>32</v>
      </c>
    </row>
    <row r="245" spans="1:24">
      <c r="A245" t="s">
        <v>1423</v>
      </c>
      <c r="B245" s="2">
        <v>45361</v>
      </c>
      <c r="C245" s="2">
        <v>45568</v>
      </c>
      <c r="D245" s="5">
        <f>C245-B245</f>
        <v>207</v>
      </c>
      <c r="E245" s="5" t="str">
        <f>IF(D245&lt;0,"INVALID","OK")</f>
        <v>OK</v>
      </c>
      <c r="F245" t="s">
        <v>1424</v>
      </c>
      <c r="G245" t="s">
        <v>22</v>
      </c>
      <c r="H245" t="s">
        <v>23</v>
      </c>
      <c r="I245" t="s">
        <v>37</v>
      </c>
      <c r="J245" t="s">
        <v>144</v>
      </c>
      <c r="K245" t="s">
        <v>145</v>
      </c>
      <c r="L245" t="s">
        <v>40</v>
      </c>
      <c r="M245" t="s">
        <v>157</v>
      </c>
      <c r="N245" t="s">
        <v>1425</v>
      </c>
      <c r="O245" t="s">
        <v>58</v>
      </c>
      <c r="P245">
        <v>6</v>
      </c>
      <c r="Q245">
        <v>4217.49</v>
      </c>
      <c r="R245">
        <v>0</v>
      </c>
      <c r="S245" t="str">
        <f t="shared" si="3"/>
        <v>OK</v>
      </c>
      <c r="T245">
        <v>25304.94</v>
      </c>
      <c r="U245">
        <v>20771.95</v>
      </c>
      <c r="V245">
        <v>4532.99</v>
      </c>
      <c r="W245" t="s">
        <v>31</v>
      </c>
      <c r="X245" t="s">
        <v>67</v>
      </c>
    </row>
    <row r="246" spans="1:24">
      <c r="A246" t="s">
        <v>1429</v>
      </c>
      <c r="B246" s="2">
        <v>45386</v>
      </c>
      <c r="C246" s="2">
        <v>45389</v>
      </c>
      <c r="D246" s="5">
        <f>C246-B246</f>
        <v>3</v>
      </c>
      <c r="E246" s="5" t="str">
        <f>IF(D246&lt;0,"INVALID","OK")</f>
        <v>OK</v>
      </c>
      <c r="F246" t="s">
        <v>1430</v>
      </c>
      <c r="G246" t="s">
        <v>140</v>
      </c>
      <c r="H246" t="s">
        <v>94</v>
      </c>
      <c r="I246" t="s">
        <v>37</v>
      </c>
      <c r="J246" t="s">
        <v>38</v>
      </c>
      <c r="K246" t="s">
        <v>39</v>
      </c>
      <c r="L246" t="s">
        <v>40</v>
      </c>
      <c r="M246" t="s">
        <v>56</v>
      </c>
      <c r="N246" t="s">
        <v>1431</v>
      </c>
      <c r="O246" t="s">
        <v>49</v>
      </c>
      <c r="P246">
        <v>1</v>
      </c>
      <c r="Q246">
        <v>3683.75</v>
      </c>
      <c r="R246">
        <v>0.1</v>
      </c>
      <c r="S246" t="str">
        <f t="shared" si="3"/>
        <v>OK</v>
      </c>
      <c r="T246">
        <v>3315.38</v>
      </c>
      <c r="U246">
        <v>2347.6799999999998</v>
      </c>
      <c r="V246">
        <v>967.7</v>
      </c>
      <c r="W246" t="s">
        <v>31</v>
      </c>
      <c r="X246" t="s">
        <v>32</v>
      </c>
    </row>
    <row r="247" spans="1:24">
      <c r="A247" t="s">
        <v>1435</v>
      </c>
      <c r="B247" s="2">
        <v>45421</v>
      </c>
      <c r="C247" s="2">
        <v>45417</v>
      </c>
      <c r="D247" s="5">
        <f>C247-B247</f>
        <v>-4</v>
      </c>
      <c r="E247" s="5" t="str">
        <f>IF(D247&lt;0,"INVALID","OK")</f>
        <v>INVALID</v>
      </c>
      <c r="F247" t="s">
        <v>1436</v>
      </c>
      <c r="G247" t="s">
        <v>52</v>
      </c>
      <c r="H247" t="s">
        <v>23</v>
      </c>
      <c r="I247" t="s">
        <v>37</v>
      </c>
      <c r="J247" t="s">
        <v>165</v>
      </c>
      <c r="K247" t="s">
        <v>166</v>
      </c>
      <c r="L247" t="s">
        <v>40</v>
      </c>
      <c r="M247" t="s">
        <v>157</v>
      </c>
      <c r="N247" t="s">
        <v>1437</v>
      </c>
      <c r="O247" t="s">
        <v>43</v>
      </c>
      <c r="P247">
        <v>2</v>
      </c>
      <c r="Q247">
        <v>2111.23</v>
      </c>
      <c r="R247">
        <v>0.2</v>
      </c>
      <c r="S247" t="str">
        <f t="shared" si="3"/>
        <v>OK</v>
      </c>
      <c r="T247">
        <v>3377.97</v>
      </c>
      <c r="U247">
        <v>2496.29</v>
      </c>
      <c r="V247">
        <v>881.68</v>
      </c>
      <c r="W247" t="s">
        <v>31</v>
      </c>
      <c r="X247" t="s">
        <v>32</v>
      </c>
    </row>
    <row r="248" spans="1:24">
      <c r="A248" t="s">
        <v>1444</v>
      </c>
      <c r="B248" s="2">
        <v>45306</v>
      </c>
      <c r="C248" s="2">
        <v>45309</v>
      </c>
      <c r="D248" s="5">
        <f>C248-B248</f>
        <v>3</v>
      </c>
      <c r="E248" s="5" t="str">
        <f>IF(D248&lt;0,"INVALID","OK")</f>
        <v>OK</v>
      </c>
      <c r="F248" t="s">
        <v>1445</v>
      </c>
      <c r="G248" t="s">
        <v>35</v>
      </c>
      <c r="H248" t="s">
        <v>36</v>
      </c>
      <c r="I248" t="s">
        <v>53</v>
      </c>
      <c r="J248" t="s">
        <v>83</v>
      </c>
      <c r="K248" t="s">
        <v>84</v>
      </c>
      <c r="L248" t="s">
        <v>40</v>
      </c>
      <c r="M248" t="s">
        <v>65</v>
      </c>
      <c r="N248" t="s">
        <v>1446</v>
      </c>
      <c r="O248" t="s">
        <v>49</v>
      </c>
      <c r="P248">
        <v>2</v>
      </c>
      <c r="Q248">
        <v>201.21</v>
      </c>
      <c r="R248">
        <v>0.15</v>
      </c>
      <c r="S248" t="str">
        <f t="shared" si="3"/>
        <v>OK</v>
      </c>
      <c r="T248">
        <v>342.06</v>
      </c>
      <c r="U248">
        <v>244.57</v>
      </c>
      <c r="V248">
        <v>97.49</v>
      </c>
      <c r="W248" t="s">
        <v>31</v>
      </c>
      <c r="X248" t="s">
        <v>32</v>
      </c>
    </row>
    <row r="249" spans="1:24">
      <c r="A249" t="s">
        <v>1447</v>
      </c>
      <c r="B249" s="2">
        <v>45449</v>
      </c>
      <c r="C249" s="2">
        <v>45456</v>
      </c>
      <c r="D249" s="5">
        <f>C249-B249</f>
        <v>7</v>
      </c>
      <c r="E249" s="5" t="str">
        <f>IF(D249&lt;0,"INVALID","OK")</f>
        <v>OK</v>
      </c>
      <c r="F249" t="s">
        <v>1341</v>
      </c>
      <c r="G249" t="s">
        <v>88</v>
      </c>
      <c r="H249" t="s">
        <v>89</v>
      </c>
      <c r="I249" t="s">
        <v>37</v>
      </c>
      <c r="J249" t="s">
        <v>165</v>
      </c>
      <c r="K249" t="s">
        <v>166</v>
      </c>
      <c r="L249" t="s">
        <v>73</v>
      </c>
      <c r="M249" t="s">
        <v>273</v>
      </c>
      <c r="N249" t="s">
        <v>1448</v>
      </c>
      <c r="O249" t="s">
        <v>30</v>
      </c>
      <c r="P249">
        <v>6</v>
      </c>
      <c r="Q249">
        <v>3270.36</v>
      </c>
      <c r="R249">
        <v>0</v>
      </c>
      <c r="S249" t="str">
        <f t="shared" si="3"/>
        <v>OK</v>
      </c>
      <c r="T249">
        <v>19622.16</v>
      </c>
      <c r="U249">
        <v>14271.27</v>
      </c>
      <c r="V249">
        <v>5350.89</v>
      </c>
      <c r="W249" t="s">
        <v>31</v>
      </c>
      <c r="X249" t="s">
        <v>32</v>
      </c>
    </row>
    <row r="250" spans="1:24">
      <c r="A250" t="s">
        <v>1452</v>
      </c>
      <c r="B250" s="2">
        <v>45375</v>
      </c>
      <c r="C250" s="2">
        <v>45377</v>
      </c>
      <c r="D250" s="5">
        <f>C250-B250</f>
        <v>2</v>
      </c>
      <c r="E250" s="5" t="str">
        <f>IF(D250&lt;0,"INVALID","OK")</f>
        <v>OK</v>
      </c>
      <c r="F250" t="s">
        <v>1453</v>
      </c>
      <c r="G250" t="s">
        <v>140</v>
      </c>
      <c r="H250" t="s">
        <v>36</v>
      </c>
      <c r="I250" t="s">
        <v>24</v>
      </c>
      <c r="J250" t="s">
        <v>235</v>
      </c>
      <c r="K250" t="s">
        <v>236</v>
      </c>
      <c r="L250" t="s">
        <v>27</v>
      </c>
      <c r="M250" t="s">
        <v>28</v>
      </c>
      <c r="N250" t="s">
        <v>1454</v>
      </c>
      <c r="O250" t="s">
        <v>30</v>
      </c>
      <c r="P250">
        <v>8</v>
      </c>
      <c r="Q250">
        <v>1917.64</v>
      </c>
      <c r="R250">
        <v>0.15</v>
      </c>
      <c r="S250" t="str">
        <f t="shared" si="3"/>
        <v>OK</v>
      </c>
      <c r="T250">
        <v>13039.95</v>
      </c>
      <c r="U250">
        <v>11127.82</v>
      </c>
      <c r="V250">
        <v>1912.13</v>
      </c>
      <c r="W250" t="s">
        <v>31</v>
      </c>
      <c r="X250" t="s">
        <v>67</v>
      </c>
    </row>
    <row r="251" spans="1:24">
      <c r="A251" t="s">
        <v>1455</v>
      </c>
      <c r="B251" s="2">
        <v>45570</v>
      </c>
      <c r="C251" s="2">
        <v>45428</v>
      </c>
      <c r="D251" s="5">
        <f>C251-B251</f>
        <v>-142</v>
      </c>
      <c r="E251" s="5" t="str">
        <f>IF(D251&lt;0,"INVALID","OK")</f>
        <v>INVALID</v>
      </c>
      <c r="F251" t="s">
        <v>1456</v>
      </c>
      <c r="G251" t="s">
        <v>161</v>
      </c>
      <c r="H251" t="s">
        <v>94</v>
      </c>
      <c r="I251" t="s">
        <v>37</v>
      </c>
      <c r="J251" t="s">
        <v>227</v>
      </c>
      <c r="K251" t="s">
        <v>228</v>
      </c>
      <c r="L251" t="s">
        <v>73</v>
      </c>
      <c r="M251" t="s">
        <v>74</v>
      </c>
      <c r="N251" t="s">
        <v>1457</v>
      </c>
      <c r="O251" t="s">
        <v>30</v>
      </c>
      <c r="P251">
        <v>6</v>
      </c>
      <c r="Q251">
        <v>2013.33</v>
      </c>
      <c r="R251">
        <v>0.2</v>
      </c>
      <c r="S251" t="str">
        <f t="shared" si="3"/>
        <v>OK</v>
      </c>
      <c r="T251">
        <v>9663.98</v>
      </c>
      <c r="U251">
        <v>5628.93</v>
      </c>
      <c r="V251">
        <v>4035.05</v>
      </c>
      <c r="W251" t="s">
        <v>31</v>
      </c>
      <c r="X251" t="s">
        <v>32</v>
      </c>
    </row>
    <row r="252" spans="1:24">
      <c r="A252" t="s">
        <v>1464</v>
      </c>
      <c r="B252" s="2">
        <v>45491</v>
      </c>
      <c r="C252" s="2">
        <v>45495</v>
      </c>
      <c r="D252" s="5">
        <f>C252-B252</f>
        <v>4</v>
      </c>
      <c r="E252" s="5" t="str">
        <f>IF(D252&lt;0,"INVALID","OK")</f>
        <v>OK</v>
      </c>
      <c r="F252" t="s">
        <v>1465</v>
      </c>
      <c r="G252" t="s">
        <v>78</v>
      </c>
      <c r="H252" t="s">
        <v>36</v>
      </c>
      <c r="I252" t="s">
        <v>53</v>
      </c>
      <c r="J252" t="s">
        <v>54</v>
      </c>
      <c r="K252" t="s">
        <v>55</v>
      </c>
      <c r="L252" t="s">
        <v>27</v>
      </c>
      <c r="M252" t="s">
        <v>47</v>
      </c>
      <c r="N252" t="s">
        <v>1466</v>
      </c>
      <c r="O252" t="s">
        <v>58</v>
      </c>
      <c r="P252">
        <v>4</v>
      </c>
      <c r="Q252">
        <v>808.77</v>
      </c>
      <c r="R252">
        <v>0</v>
      </c>
      <c r="S252" t="str">
        <f t="shared" si="3"/>
        <v>OK</v>
      </c>
      <c r="T252">
        <v>3235.08</v>
      </c>
      <c r="U252">
        <v>1848.6</v>
      </c>
      <c r="V252">
        <v>1386.48</v>
      </c>
      <c r="W252" t="s">
        <v>31</v>
      </c>
      <c r="X252" t="s">
        <v>32</v>
      </c>
    </row>
    <row r="253" spans="1:24">
      <c r="A253" t="s">
        <v>1467</v>
      </c>
      <c r="B253" s="2">
        <v>45342</v>
      </c>
      <c r="C253" s="2">
        <v>45342</v>
      </c>
      <c r="D253" s="5">
        <f>C253-B253</f>
        <v>0</v>
      </c>
      <c r="E253" s="5" t="str">
        <f>IF(D253&lt;0,"INVALID","OK")</f>
        <v>OK</v>
      </c>
      <c r="F253" t="s">
        <v>1468</v>
      </c>
      <c r="G253" t="s">
        <v>78</v>
      </c>
      <c r="H253" t="s">
        <v>89</v>
      </c>
      <c r="I253" t="s">
        <v>24</v>
      </c>
      <c r="J253" t="s">
        <v>135</v>
      </c>
      <c r="K253" t="s">
        <v>136</v>
      </c>
      <c r="L253" t="s">
        <v>73</v>
      </c>
      <c r="M253" t="s">
        <v>74</v>
      </c>
      <c r="N253" t="s">
        <v>1469</v>
      </c>
      <c r="O253" t="s">
        <v>43</v>
      </c>
      <c r="P253">
        <v>5</v>
      </c>
      <c r="Q253">
        <v>2604.91</v>
      </c>
      <c r="R253">
        <v>0.15</v>
      </c>
      <c r="S253" t="str">
        <f t="shared" si="3"/>
        <v>OK</v>
      </c>
      <c r="T253">
        <v>11070.87</v>
      </c>
      <c r="U253">
        <v>6623.61</v>
      </c>
      <c r="V253">
        <v>4447.26</v>
      </c>
      <c r="W253" t="s">
        <v>31</v>
      </c>
      <c r="X253" t="s">
        <v>102</v>
      </c>
    </row>
    <row r="254" spans="1:24">
      <c r="A254" t="s">
        <v>1470</v>
      </c>
      <c r="B254" s="2">
        <v>45416</v>
      </c>
      <c r="C254" s="2">
        <v>45416</v>
      </c>
      <c r="D254" s="5">
        <f>C254-B254</f>
        <v>0</v>
      </c>
      <c r="E254" s="5" t="str">
        <f>IF(D254&lt;0,"INVALID","OK")</f>
        <v>OK</v>
      </c>
      <c r="F254" t="s">
        <v>1471</v>
      </c>
      <c r="G254" t="s">
        <v>35</v>
      </c>
      <c r="H254" t="s">
        <v>36</v>
      </c>
      <c r="I254" t="s">
        <v>62</v>
      </c>
      <c r="J254" t="s">
        <v>189</v>
      </c>
      <c r="K254" t="s">
        <v>190</v>
      </c>
      <c r="L254" t="s">
        <v>40</v>
      </c>
      <c r="M254" t="s">
        <v>41</v>
      </c>
      <c r="N254" t="s">
        <v>1472</v>
      </c>
      <c r="O254" t="s">
        <v>58</v>
      </c>
      <c r="P254">
        <v>7</v>
      </c>
      <c r="Q254">
        <v>2851.51</v>
      </c>
      <c r="R254">
        <v>0</v>
      </c>
      <c r="S254" t="str">
        <f t="shared" si="3"/>
        <v>OK</v>
      </c>
      <c r="T254">
        <v>19960.57</v>
      </c>
      <c r="U254">
        <v>16603.599999999999</v>
      </c>
      <c r="V254">
        <v>3356.97</v>
      </c>
      <c r="W254" t="s">
        <v>31</v>
      </c>
      <c r="X254" t="s">
        <v>32</v>
      </c>
    </row>
    <row r="255" spans="1:24">
      <c r="A255" t="s">
        <v>1473</v>
      </c>
      <c r="B255" s="2">
        <v>45332</v>
      </c>
      <c r="C255" s="2">
        <v>45333</v>
      </c>
      <c r="D255" s="5">
        <f>C255-B255</f>
        <v>1</v>
      </c>
      <c r="E255" s="5" t="str">
        <f>IF(D255&lt;0,"INVALID","OK")</f>
        <v>OK</v>
      </c>
      <c r="F255" t="s">
        <v>1474</v>
      </c>
      <c r="G255" t="s">
        <v>22</v>
      </c>
      <c r="H255" t="s">
        <v>89</v>
      </c>
      <c r="I255" t="s">
        <v>24</v>
      </c>
      <c r="J255" t="s">
        <v>25</v>
      </c>
      <c r="K255" t="s">
        <v>26</v>
      </c>
      <c r="L255" t="s">
        <v>73</v>
      </c>
      <c r="M255" t="s">
        <v>170</v>
      </c>
      <c r="N255" t="s">
        <v>1475</v>
      </c>
      <c r="O255" t="s">
        <v>30</v>
      </c>
      <c r="P255">
        <v>3</v>
      </c>
      <c r="Q255">
        <v>3183.72</v>
      </c>
      <c r="R255">
        <v>0.1</v>
      </c>
      <c r="S255" t="str">
        <f t="shared" si="3"/>
        <v>OK</v>
      </c>
      <c r="T255">
        <v>8596.0400000000009</v>
      </c>
      <c r="U255">
        <v>5378.16</v>
      </c>
      <c r="V255">
        <v>3217.88</v>
      </c>
      <c r="W255" t="s">
        <v>31</v>
      </c>
      <c r="X255" t="s">
        <v>32</v>
      </c>
    </row>
    <row r="256" spans="1:24">
      <c r="A256" t="s">
        <v>1476</v>
      </c>
      <c r="B256" s="2">
        <v>45379</v>
      </c>
      <c r="C256" s="2">
        <v>45386</v>
      </c>
      <c r="D256" s="5">
        <f>C256-B256</f>
        <v>7</v>
      </c>
      <c r="E256" s="5" t="str">
        <f>IF(D256&lt;0,"INVALID","OK")</f>
        <v>OK</v>
      </c>
      <c r="F256" t="s">
        <v>1477</v>
      </c>
      <c r="G256" t="s">
        <v>61</v>
      </c>
      <c r="H256" t="s">
        <v>94</v>
      </c>
      <c r="I256" t="s">
        <v>62</v>
      </c>
      <c r="J256" t="s">
        <v>189</v>
      </c>
      <c r="K256" t="s">
        <v>190</v>
      </c>
      <c r="L256" t="s">
        <v>27</v>
      </c>
      <c r="M256" t="s">
        <v>28</v>
      </c>
      <c r="N256" t="s">
        <v>1478</v>
      </c>
      <c r="O256" t="s">
        <v>49</v>
      </c>
      <c r="P256">
        <v>3</v>
      </c>
      <c r="Q256">
        <v>1150.92</v>
      </c>
      <c r="R256">
        <v>0</v>
      </c>
      <c r="S256" t="str">
        <f t="shared" si="3"/>
        <v>OK</v>
      </c>
      <c r="T256">
        <v>3452.76</v>
      </c>
      <c r="U256">
        <v>2077.96</v>
      </c>
      <c r="V256">
        <v>1374.8</v>
      </c>
      <c r="W256" t="s">
        <v>31</v>
      </c>
      <c r="X256" t="s">
        <v>32</v>
      </c>
    </row>
    <row r="257" spans="1:24">
      <c r="A257" t="s">
        <v>1485</v>
      </c>
      <c r="B257" s="2">
        <v>45558</v>
      </c>
      <c r="C257" s="2">
        <v>45560</v>
      </c>
      <c r="D257" s="5">
        <f>C257-B257</f>
        <v>2</v>
      </c>
      <c r="E257" s="5" t="str">
        <f>IF(D257&lt;0,"INVALID","OK")</f>
        <v>OK</v>
      </c>
      <c r="F257" t="s">
        <v>1486</v>
      </c>
      <c r="G257" t="s">
        <v>127</v>
      </c>
      <c r="H257" t="s">
        <v>94</v>
      </c>
      <c r="I257" t="s">
        <v>24</v>
      </c>
      <c r="J257" t="s">
        <v>349</v>
      </c>
      <c r="K257" t="s">
        <v>350</v>
      </c>
      <c r="L257" t="s">
        <v>27</v>
      </c>
      <c r="M257" t="s">
        <v>152</v>
      </c>
      <c r="N257" t="s">
        <v>1487</v>
      </c>
      <c r="O257" t="s">
        <v>49</v>
      </c>
      <c r="P257">
        <v>2</v>
      </c>
      <c r="Q257">
        <v>1275.1400000000001</v>
      </c>
      <c r="R257">
        <v>0.2</v>
      </c>
      <c r="S257" t="str">
        <f t="shared" si="3"/>
        <v>OK</v>
      </c>
      <c r="T257">
        <v>2040.22</v>
      </c>
      <c r="U257">
        <v>1395.71</v>
      </c>
      <c r="V257">
        <v>644.51</v>
      </c>
      <c r="W257" t="s">
        <v>31</v>
      </c>
      <c r="X257" t="s">
        <v>32</v>
      </c>
    </row>
    <row r="258" spans="1:24">
      <c r="A258" t="s">
        <v>1494</v>
      </c>
      <c r="B258" s="2">
        <v>45320</v>
      </c>
      <c r="C258" s="2">
        <v>45328</v>
      </c>
      <c r="D258" s="5">
        <f>C258-B258</f>
        <v>8</v>
      </c>
      <c r="E258" s="5" t="str">
        <f>IF(D258&lt;0,"INVALID","OK")</f>
        <v>OK</v>
      </c>
      <c r="F258" t="s">
        <v>1495</v>
      </c>
      <c r="G258" t="s">
        <v>127</v>
      </c>
      <c r="H258" t="s">
        <v>36</v>
      </c>
      <c r="I258" t="s">
        <v>62</v>
      </c>
      <c r="J258" t="s">
        <v>71</v>
      </c>
      <c r="K258" t="s">
        <v>72</v>
      </c>
      <c r="L258" t="s">
        <v>27</v>
      </c>
      <c r="M258" t="s">
        <v>90</v>
      </c>
      <c r="N258" t="s">
        <v>1496</v>
      </c>
      <c r="O258" t="s">
        <v>58</v>
      </c>
      <c r="P258">
        <v>2</v>
      </c>
      <c r="Q258">
        <v>1258.9000000000001</v>
      </c>
      <c r="R258">
        <v>0</v>
      </c>
      <c r="S258" t="str">
        <f t="shared" si="3"/>
        <v>OK</v>
      </c>
      <c r="T258">
        <v>2517.8000000000002</v>
      </c>
      <c r="U258">
        <v>1478.54</v>
      </c>
      <c r="V258">
        <v>1039.26</v>
      </c>
      <c r="W258" t="s">
        <v>31</v>
      </c>
      <c r="X258" t="s">
        <v>32</v>
      </c>
    </row>
    <row r="259" spans="1:24">
      <c r="A259" t="s">
        <v>1497</v>
      </c>
      <c r="B259" s="2">
        <v>45383</v>
      </c>
      <c r="C259" s="2">
        <v>45299</v>
      </c>
      <c r="D259" s="5">
        <f>C259-B259</f>
        <v>-84</v>
      </c>
      <c r="E259" s="5" t="str">
        <f>IF(D259&lt;0,"INVALID","OK")</f>
        <v>INVALID</v>
      </c>
      <c r="F259" t="s">
        <v>1498</v>
      </c>
      <c r="G259" t="s">
        <v>35</v>
      </c>
      <c r="H259" t="s">
        <v>36</v>
      </c>
      <c r="I259" t="s">
        <v>37</v>
      </c>
      <c r="J259" t="s">
        <v>144</v>
      </c>
      <c r="K259" t="s">
        <v>145</v>
      </c>
      <c r="L259" t="s">
        <v>73</v>
      </c>
      <c r="M259" t="s">
        <v>74</v>
      </c>
      <c r="N259" t="s">
        <v>1499</v>
      </c>
      <c r="O259" t="s">
        <v>43</v>
      </c>
      <c r="P259">
        <v>9</v>
      </c>
      <c r="Q259">
        <v>1591.96</v>
      </c>
      <c r="R259">
        <v>0.2</v>
      </c>
      <c r="S259" t="str">
        <f t="shared" ref="S259:S322" si="4">IF(R259&lt;0,"INVALID",IF(R259&gt;0.5,"INVALID","OK"))</f>
        <v>OK</v>
      </c>
      <c r="T259">
        <v>11462.11</v>
      </c>
      <c r="U259">
        <v>7105.48</v>
      </c>
      <c r="V259">
        <v>4356.63</v>
      </c>
      <c r="W259" t="s">
        <v>31</v>
      </c>
      <c r="X259" t="s">
        <v>32</v>
      </c>
    </row>
    <row r="260" spans="1:24">
      <c r="A260" t="s">
        <v>1500</v>
      </c>
      <c r="B260" s="2">
        <v>45524</v>
      </c>
      <c r="C260" s="2">
        <v>45525</v>
      </c>
      <c r="D260" s="5">
        <f>C260-B260</f>
        <v>1</v>
      </c>
      <c r="E260" s="5" t="str">
        <f>IF(D260&lt;0,"INVALID","OK")</f>
        <v>OK</v>
      </c>
      <c r="F260" t="s">
        <v>1501</v>
      </c>
      <c r="G260" t="s">
        <v>88</v>
      </c>
      <c r="H260" t="s">
        <v>89</v>
      </c>
      <c r="I260" t="s">
        <v>37</v>
      </c>
      <c r="J260" t="s">
        <v>38</v>
      </c>
      <c r="K260" t="s">
        <v>39</v>
      </c>
      <c r="L260" t="s">
        <v>73</v>
      </c>
      <c r="M260" t="s">
        <v>79</v>
      </c>
      <c r="N260" t="s">
        <v>1502</v>
      </c>
      <c r="O260" t="s">
        <v>49</v>
      </c>
      <c r="P260">
        <v>5</v>
      </c>
      <c r="Q260">
        <v>4288.33</v>
      </c>
      <c r="R260">
        <v>0.1</v>
      </c>
      <c r="S260" t="str">
        <f t="shared" si="4"/>
        <v>OK</v>
      </c>
      <c r="T260">
        <v>19297.490000000002</v>
      </c>
      <c r="U260">
        <v>15451.66</v>
      </c>
      <c r="V260">
        <v>3845.83</v>
      </c>
      <c r="W260" t="s">
        <v>101</v>
      </c>
      <c r="X260" t="s">
        <v>67</v>
      </c>
    </row>
    <row r="261" spans="1:24">
      <c r="A261" t="s">
        <v>1506</v>
      </c>
      <c r="B261" s="2">
        <v>45310</v>
      </c>
      <c r="C261" s="2">
        <v>45316</v>
      </c>
      <c r="D261" s="5">
        <f>C261-B261</f>
        <v>6</v>
      </c>
      <c r="E261" s="5" t="str">
        <f>IF(D261&lt;0,"INVALID","OK")</f>
        <v>OK</v>
      </c>
      <c r="F261" t="s">
        <v>1507</v>
      </c>
      <c r="G261" t="s">
        <v>88</v>
      </c>
      <c r="H261" t="s">
        <v>89</v>
      </c>
      <c r="I261" t="s">
        <v>62</v>
      </c>
      <c r="J261" t="s">
        <v>189</v>
      </c>
      <c r="K261" t="s">
        <v>190</v>
      </c>
      <c r="L261" t="s">
        <v>73</v>
      </c>
      <c r="M261" t="s">
        <v>79</v>
      </c>
      <c r="N261" t="s">
        <v>1508</v>
      </c>
      <c r="O261" t="s">
        <v>49</v>
      </c>
      <c r="P261">
        <v>3</v>
      </c>
      <c r="Q261">
        <v>1041.6600000000001</v>
      </c>
      <c r="R261">
        <v>0.1</v>
      </c>
      <c r="S261" t="str">
        <f t="shared" si="4"/>
        <v>OK</v>
      </c>
      <c r="T261">
        <v>2812.48</v>
      </c>
      <c r="U261">
        <v>2282.12</v>
      </c>
      <c r="V261">
        <v>530.36</v>
      </c>
      <c r="W261" t="s">
        <v>31</v>
      </c>
      <c r="X261" t="s">
        <v>32</v>
      </c>
    </row>
    <row r="262" spans="1:24">
      <c r="A262" t="s">
        <v>1509</v>
      </c>
      <c r="B262" s="2">
        <v>45501</v>
      </c>
      <c r="C262" s="2">
        <v>45504</v>
      </c>
      <c r="D262" s="5">
        <f>C262-B262</f>
        <v>3</v>
      </c>
      <c r="E262" s="5" t="str">
        <f>IF(D262&lt;0,"INVALID","OK")</f>
        <v>OK</v>
      </c>
      <c r="F262" t="s">
        <v>1510</v>
      </c>
      <c r="G262" t="s">
        <v>88</v>
      </c>
      <c r="H262" t="s">
        <v>23</v>
      </c>
      <c r="I262" t="s">
        <v>24</v>
      </c>
      <c r="J262" t="s">
        <v>25</v>
      </c>
      <c r="K262" t="s">
        <v>26</v>
      </c>
      <c r="L262" t="s">
        <v>40</v>
      </c>
      <c r="M262" t="s">
        <v>41</v>
      </c>
      <c r="N262" t="s">
        <v>1511</v>
      </c>
      <c r="O262" t="s">
        <v>43</v>
      </c>
      <c r="P262">
        <v>2</v>
      </c>
      <c r="Q262">
        <v>4424.78</v>
      </c>
      <c r="R262">
        <v>0.2</v>
      </c>
      <c r="S262" t="str">
        <f t="shared" si="4"/>
        <v>OK</v>
      </c>
      <c r="T262">
        <v>7079.65</v>
      </c>
      <c r="U262">
        <v>4465.91</v>
      </c>
      <c r="V262">
        <v>2613.7399999999998</v>
      </c>
      <c r="W262" t="s">
        <v>31</v>
      </c>
      <c r="X262" t="s">
        <v>32</v>
      </c>
    </row>
    <row r="263" spans="1:24">
      <c r="A263" t="s">
        <v>1512</v>
      </c>
      <c r="B263" s="2">
        <v>45598</v>
      </c>
      <c r="C263" s="2">
        <v>45337</v>
      </c>
      <c r="D263" s="5">
        <f>C263-B263</f>
        <v>-261</v>
      </c>
      <c r="E263" s="5" t="str">
        <f>IF(D263&lt;0,"INVALID","OK")</f>
        <v>INVALID</v>
      </c>
      <c r="F263" t="s">
        <v>1513</v>
      </c>
      <c r="G263" t="s">
        <v>263</v>
      </c>
      <c r="H263" t="s">
        <v>23</v>
      </c>
      <c r="I263" t="s">
        <v>53</v>
      </c>
      <c r="J263" t="s">
        <v>54</v>
      </c>
      <c r="K263" t="s">
        <v>55</v>
      </c>
      <c r="L263" t="s">
        <v>27</v>
      </c>
      <c r="M263" t="s">
        <v>152</v>
      </c>
      <c r="N263" t="s">
        <v>1514</v>
      </c>
      <c r="O263" t="s">
        <v>58</v>
      </c>
      <c r="P263">
        <v>3</v>
      </c>
      <c r="Q263">
        <v>3019.14</v>
      </c>
      <c r="R263">
        <v>0.25</v>
      </c>
      <c r="S263" t="str">
        <f t="shared" si="4"/>
        <v>OK</v>
      </c>
      <c r="T263">
        <v>6793.07</v>
      </c>
      <c r="U263">
        <v>4985.22</v>
      </c>
      <c r="V263">
        <v>1807.85</v>
      </c>
      <c r="W263" t="s">
        <v>31</v>
      </c>
      <c r="X263" t="s">
        <v>32</v>
      </c>
    </row>
    <row r="264" spans="1:24">
      <c r="A264" t="s">
        <v>1515</v>
      </c>
      <c r="B264" s="2">
        <v>45325</v>
      </c>
      <c r="C264" s="2">
        <v>45358</v>
      </c>
      <c r="D264" s="5">
        <f>C264-B264</f>
        <v>33</v>
      </c>
      <c r="E264" s="5" t="str">
        <f>IF(D264&lt;0,"INVALID","OK")</f>
        <v>OK</v>
      </c>
      <c r="F264" t="s">
        <v>1516</v>
      </c>
      <c r="G264" t="s">
        <v>140</v>
      </c>
      <c r="H264" t="s">
        <v>89</v>
      </c>
      <c r="I264" t="s">
        <v>37</v>
      </c>
      <c r="J264" t="s">
        <v>38</v>
      </c>
      <c r="K264" t="s">
        <v>39</v>
      </c>
      <c r="L264" t="s">
        <v>27</v>
      </c>
      <c r="M264" t="s">
        <v>123</v>
      </c>
      <c r="N264" t="s">
        <v>1517</v>
      </c>
      <c r="O264" t="s">
        <v>58</v>
      </c>
      <c r="P264">
        <v>7</v>
      </c>
      <c r="Q264">
        <v>263.45999999999998</v>
      </c>
      <c r="R264">
        <v>0</v>
      </c>
      <c r="S264" t="str">
        <f t="shared" si="4"/>
        <v>OK</v>
      </c>
      <c r="T264">
        <v>1844.22</v>
      </c>
      <c r="U264">
        <v>1094.21</v>
      </c>
      <c r="V264">
        <v>750.01</v>
      </c>
      <c r="W264" t="s">
        <v>31</v>
      </c>
      <c r="X264" t="s">
        <v>32</v>
      </c>
    </row>
    <row r="265" spans="1:24">
      <c r="A265" t="s">
        <v>1518</v>
      </c>
      <c r="B265" s="2">
        <v>45609</v>
      </c>
      <c r="C265" s="2">
        <v>45609</v>
      </c>
      <c r="D265" s="5">
        <f>C265-B265</f>
        <v>0</v>
      </c>
      <c r="E265" s="5" t="str">
        <f>IF(D265&lt;0,"INVALID","OK")</f>
        <v>OK</v>
      </c>
      <c r="F265" t="s">
        <v>1519</v>
      </c>
      <c r="G265" t="s">
        <v>113</v>
      </c>
      <c r="H265" t="s">
        <v>23</v>
      </c>
      <c r="I265" t="s">
        <v>62</v>
      </c>
      <c r="J265" t="s">
        <v>189</v>
      </c>
      <c r="K265" t="s">
        <v>190</v>
      </c>
      <c r="L265" t="s">
        <v>73</v>
      </c>
      <c r="M265" t="s">
        <v>79</v>
      </c>
      <c r="N265" t="s">
        <v>1520</v>
      </c>
      <c r="O265" t="s">
        <v>58</v>
      </c>
      <c r="P265">
        <v>6</v>
      </c>
      <c r="Q265">
        <v>191.45</v>
      </c>
      <c r="R265">
        <v>0.2</v>
      </c>
      <c r="S265" t="str">
        <f t="shared" si="4"/>
        <v>OK</v>
      </c>
      <c r="T265">
        <v>918.96</v>
      </c>
      <c r="U265">
        <v>554.17999999999995</v>
      </c>
      <c r="V265">
        <v>364.78</v>
      </c>
      <c r="W265" t="s">
        <v>31</v>
      </c>
      <c r="X265" t="s">
        <v>32</v>
      </c>
    </row>
    <row r="266" spans="1:24">
      <c r="A266" t="s">
        <v>1521</v>
      </c>
      <c r="B266" s="2">
        <v>45357</v>
      </c>
      <c r="C266" s="2">
        <v>45453</v>
      </c>
      <c r="D266" s="5">
        <f>C266-B266</f>
        <v>96</v>
      </c>
      <c r="E266" s="5" t="str">
        <f>IF(D266&lt;0,"INVALID","OK")</f>
        <v>OK</v>
      </c>
      <c r="F266" t="s">
        <v>1522</v>
      </c>
      <c r="G266" t="s">
        <v>161</v>
      </c>
      <c r="H266" t="s">
        <v>89</v>
      </c>
      <c r="I266" t="s">
        <v>24</v>
      </c>
      <c r="J266" t="s">
        <v>121</v>
      </c>
      <c r="K266" t="s">
        <v>122</v>
      </c>
      <c r="L266" t="s">
        <v>40</v>
      </c>
      <c r="M266" t="s">
        <v>56</v>
      </c>
      <c r="N266" t="s">
        <v>1523</v>
      </c>
      <c r="O266" t="s">
        <v>58</v>
      </c>
      <c r="P266">
        <v>3</v>
      </c>
      <c r="Q266">
        <v>1633.57</v>
      </c>
      <c r="R266">
        <v>0</v>
      </c>
      <c r="S266" t="str">
        <f t="shared" si="4"/>
        <v>OK</v>
      </c>
      <c r="T266">
        <v>4900.71</v>
      </c>
      <c r="U266">
        <v>2713.9</v>
      </c>
      <c r="V266">
        <v>2186.81</v>
      </c>
      <c r="W266" t="s">
        <v>31</v>
      </c>
      <c r="X266" t="s">
        <v>32</v>
      </c>
    </row>
    <row r="267" spans="1:24">
      <c r="A267" t="s">
        <v>1527</v>
      </c>
      <c r="B267" s="2">
        <v>45419</v>
      </c>
      <c r="C267" s="2">
        <v>45426</v>
      </c>
      <c r="D267" s="5">
        <f>C267-B267</f>
        <v>7</v>
      </c>
      <c r="E267" s="5" t="str">
        <f>IF(D267&lt;0,"INVALID","OK")</f>
        <v>OK</v>
      </c>
      <c r="F267" t="s">
        <v>1528</v>
      </c>
      <c r="G267" t="s">
        <v>131</v>
      </c>
      <c r="H267" t="s">
        <v>36</v>
      </c>
      <c r="I267" t="s">
        <v>24</v>
      </c>
      <c r="J267" t="s">
        <v>25</v>
      </c>
      <c r="K267" t="s">
        <v>26</v>
      </c>
      <c r="L267" t="s">
        <v>27</v>
      </c>
      <c r="M267" t="s">
        <v>123</v>
      </c>
      <c r="N267" t="s">
        <v>1529</v>
      </c>
      <c r="O267" t="s">
        <v>49</v>
      </c>
      <c r="P267">
        <v>3</v>
      </c>
      <c r="Q267">
        <v>383.58</v>
      </c>
      <c r="R267">
        <v>0.1</v>
      </c>
      <c r="S267" t="str">
        <f t="shared" si="4"/>
        <v>OK</v>
      </c>
      <c r="T267">
        <v>1035.67</v>
      </c>
      <c r="U267">
        <v>595.41999999999996</v>
      </c>
      <c r="V267">
        <v>440.25</v>
      </c>
      <c r="W267" t="s">
        <v>31</v>
      </c>
      <c r="X267" t="s">
        <v>32</v>
      </c>
    </row>
    <row r="268" spans="1:24">
      <c r="A268" t="s">
        <v>1533</v>
      </c>
      <c r="B268" s="2">
        <v>45452</v>
      </c>
      <c r="C268" s="2">
        <v>45456</v>
      </c>
      <c r="D268" s="5">
        <f>C268-B268</f>
        <v>4</v>
      </c>
      <c r="E268" s="5" t="str">
        <f>IF(D268&lt;0,"INVALID","OK")</f>
        <v>OK</v>
      </c>
      <c r="F268" t="s">
        <v>1534</v>
      </c>
      <c r="G268" t="s">
        <v>35</v>
      </c>
      <c r="H268" t="s">
        <v>94</v>
      </c>
      <c r="I268" t="s">
        <v>2762</v>
      </c>
      <c r="J268" t="s">
        <v>135</v>
      </c>
      <c r="K268" t="s">
        <v>136</v>
      </c>
      <c r="L268" t="s">
        <v>73</v>
      </c>
      <c r="M268" t="s">
        <v>273</v>
      </c>
      <c r="N268" t="s">
        <v>1535</v>
      </c>
      <c r="O268" t="s">
        <v>43</v>
      </c>
      <c r="P268">
        <v>7</v>
      </c>
      <c r="Q268">
        <v>4079.71</v>
      </c>
      <c r="R268">
        <v>0.1</v>
      </c>
      <c r="S268" t="str">
        <f t="shared" si="4"/>
        <v>OK</v>
      </c>
      <c r="T268">
        <v>25702.17</v>
      </c>
      <c r="U268">
        <v>14571.48</v>
      </c>
      <c r="V268">
        <v>11130.69</v>
      </c>
      <c r="W268" t="s">
        <v>101</v>
      </c>
      <c r="X268" t="s">
        <v>102</v>
      </c>
    </row>
    <row r="269" spans="1:24">
      <c r="A269" t="s">
        <v>1536</v>
      </c>
      <c r="B269" s="2">
        <v>45345</v>
      </c>
      <c r="C269" s="2">
        <v>45342</v>
      </c>
      <c r="D269" s="5">
        <f>C269-B269</f>
        <v>-3</v>
      </c>
      <c r="E269" s="5" t="str">
        <f>IF(D269&lt;0,"INVALID","OK")</f>
        <v>INVALID</v>
      </c>
      <c r="F269" t="s">
        <v>1537</v>
      </c>
      <c r="G269" t="s">
        <v>52</v>
      </c>
      <c r="H269" t="s">
        <v>89</v>
      </c>
      <c r="I269" t="s">
        <v>37</v>
      </c>
      <c r="J269" t="s">
        <v>38</v>
      </c>
      <c r="K269" t="s">
        <v>39</v>
      </c>
      <c r="L269" t="s">
        <v>40</v>
      </c>
      <c r="M269" t="s">
        <v>65</v>
      </c>
      <c r="N269" t="s">
        <v>1538</v>
      </c>
      <c r="O269" t="s">
        <v>30</v>
      </c>
      <c r="P269">
        <v>1</v>
      </c>
      <c r="Q269">
        <v>2202.5500000000002</v>
      </c>
      <c r="R269">
        <v>0</v>
      </c>
      <c r="S269" t="str">
        <f t="shared" si="4"/>
        <v>OK</v>
      </c>
      <c r="T269">
        <v>1651.91</v>
      </c>
      <c r="U269">
        <v>1034.57</v>
      </c>
      <c r="V269">
        <v>617.34</v>
      </c>
      <c r="W269" t="s">
        <v>31</v>
      </c>
      <c r="X269" t="s">
        <v>32</v>
      </c>
    </row>
    <row r="270" spans="1:24">
      <c r="A270" t="s">
        <v>1545</v>
      </c>
      <c r="B270" s="2">
        <v>45495</v>
      </c>
      <c r="C270" s="2">
        <v>45495</v>
      </c>
      <c r="D270" s="5">
        <f>C270-B270</f>
        <v>0</v>
      </c>
      <c r="E270" s="5" t="str">
        <f>IF(D270&lt;0,"INVALID","OK")</f>
        <v>OK</v>
      </c>
      <c r="F270" t="s">
        <v>1546</v>
      </c>
      <c r="G270" t="s">
        <v>113</v>
      </c>
      <c r="H270" t="s">
        <v>23</v>
      </c>
      <c r="I270" t="s">
        <v>53</v>
      </c>
      <c r="J270" t="s">
        <v>174</v>
      </c>
      <c r="K270" t="s">
        <v>175</v>
      </c>
      <c r="L270" t="s">
        <v>73</v>
      </c>
      <c r="M270" t="s">
        <v>74</v>
      </c>
      <c r="N270" t="s">
        <v>1547</v>
      </c>
      <c r="O270" t="s">
        <v>30</v>
      </c>
      <c r="P270">
        <v>3</v>
      </c>
      <c r="Q270">
        <v>1286.22</v>
      </c>
      <c r="R270">
        <v>0.25</v>
      </c>
      <c r="S270" t="str">
        <f t="shared" si="4"/>
        <v>OK</v>
      </c>
      <c r="T270">
        <v>2893.99</v>
      </c>
      <c r="U270">
        <v>1856.03</v>
      </c>
      <c r="V270">
        <v>1037.96</v>
      </c>
      <c r="W270" t="s">
        <v>31</v>
      </c>
      <c r="X270" t="s">
        <v>32</v>
      </c>
    </row>
    <row r="271" spans="1:24">
      <c r="A271" t="s">
        <v>1548</v>
      </c>
      <c r="B271" s="2">
        <v>45651</v>
      </c>
      <c r="C271" s="2">
        <v>45651</v>
      </c>
      <c r="D271" s="5">
        <f>C271-B271</f>
        <v>0</v>
      </c>
      <c r="E271" s="5" t="str">
        <f>IF(D271&lt;0,"INVALID","OK")</f>
        <v>OK</v>
      </c>
      <c r="F271" t="s">
        <v>1549</v>
      </c>
      <c r="G271" t="s">
        <v>35</v>
      </c>
      <c r="H271" t="s">
        <v>89</v>
      </c>
      <c r="I271" t="s">
        <v>37</v>
      </c>
      <c r="J271" t="s">
        <v>144</v>
      </c>
      <c r="K271" t="s">
        <v>145</v>
      </c>
      <c r="L271" t="s">
        <v>73</v>
      </c>
      <c r="M271" t="s">
        <v>79</v>
      </c>
      <c r="N271" t="s">
        <v>1550</v>
      </c>
      <c r="O271" t="s">
        <v>58</v>
      </c>
      <c r="P271">
        <v>1</v>
      </c>
      <c r="Q271">
        <v>829.66</v>
      </c>
      <c r="R271">
        <v>0.15</v>
      </c>
      <c r="S271" t="str">
        <f t="shared" si="4"/>
        <v>OK</v>
      </c>
      <c r="T271">
        <v>705.21</v>
      </c>
      <c r="U271">
        <v>438.32</v>
      </c>
      <c r="V271">
        <v>266.89</v>
      </c>
      <c r="W271" t="s">
        <v>31</v>
      </c>
      <c r="X271" t="s">
        <v>32</v>
      </c>
    </row>
    <row r="272" spans="1:24">
      <c r="A272" t="s">
        <v>1551</v>
      </c>
      <c r="B272" s="2">
        <v>45654</v>
      </c>
      <c r="C272" s="2">
        <v>45657</v>
      </c>
      <c r="D272" s="5">
        <f>C272-B272</f>
        <v>3</v>
      </c>
      <c r="E272" s="5" t="str">
        <f>IF(D272&lt;0,"INVALID","OK")</f>
        <v>OK</v>
      </c>
      <c r="F272" t="s">
        <v>1552</v>
      </c>
      <c r="G272" t="s">
        <v>35</v>
      </c>
      <c r="H272" t="s">
        <v>36</v>
      </c>
      <c r="I272" t="s">
        <v>53</v>
      </c>
      <c r="J272" t="s">
        <v>83</v>
      </c>
      <c r="K272" t="s">
        <v>84</v>
      </c>
      <c r="L272" t="s">
        <v>40</v>
      </c>
      <c r="M272" t="s">
        <v>56</v>
      </c>
      <c r="N272" t="s">
        <v>1553</v>
      </c>
      <c r="O272" t="s">
        <v>49</v>
      </c>
      <c r="P272">
        <v>6</v>
      </c>
      <c r="Q272">
        <v>3641.22</v>
      </c>
      <c r="R272">
        <v>0.25</v>
      </c>
      <c r="S272" t="str">
        <f t="shared" si="4"/>
        <v>OK</v>
      </c>
      <c r="T272">
        <v>16385.490000000002</v>
      </c>
      <c r="U272">
        <v>13679.24</v>
      </c>
      <c r="V272">
        <v>2706.25</v>
      </c>
      <c r="W272" t="s">
        <v>31</v>
      </c>
      <c r="X272" t="s">
        <v>32</v>
      </c>
    </row>
    <row r="273" spans="1:24">
      <c r="A273" t="s">
        <v>1563</v>
      </c>
      <c r="B273" s="2">
        <v>45579</v>
      </c>
      <c r="C273" s="2">
        <v>45585</v>
      </c>
      <c r="D273" s="5">
        <f>C273-B273</f>
        <v>6</v>
      </c>
      <c r="E273" s="5" t="str">
        <f>IF(D273&lt;0,"INVALID","OK")</f>
        <v>OK</v>
      </c>
      <c r="F273" t="s">
        <v>1564</v>
      </c>
      <c r="G273" t="s">
        <v>88</v>
      </c>
      <c r="H273" t="s">
        <v>36</v>
      </c>
      <c r="I273" t="s">
        <v>24</v>
      </c>
      <c r="J273" t="s">
        <v>25</v>
      </c>
      <c r="K273" t="s">
        <v>26</v>
      </c>
      <c r="L273" t="s">
        <v>40</v>
      </c>
      <c r="M273" t="s">
        <v>41</v>
      </c>
      <c r="N273" t="s">
        <v>1565</v>
      </c>
      <c r="O273" t="s">
        <v>43</v>
      </c>
      <c r="P273">
        <v>7</v>
      </c>
      <c r="Q273">
        <v>1547.6</v>
      </c>
      <c r="R273">
        <v>0.2</v>
      </c>
      <c r="S273" t="str">
        <f t="shared" si="4"/>
        <v>OK</v>
      </c>
      <c r="T273">
        <v>8666.56</v>
      </c>
      <c r="U273">
        <v>5967.44</v>
      </c>
      <c r="V273">
        <v>2699.12</v>
      </c>
      <c r="W273" t="s">
        <v>31</v>
      </c>
      <c r="X273" t="s">
        <v>32</v>
      </c>
    </row>
    <row r="274" spans="1:24">
      <c r="A274" t="s">
        <v>1566</v>
      </c>
      <c r="B274" s="2">
        <v>45329</v>
      </c>
      <c r="C274" s="2">
        <v>45334</v>
      </c>
      <c r="D274" s="5">
        <f>C274-B274</f>
        <v>5</v>
      </c>
      <c r="E274" s="5" t="str">
        <f>IF(D274&lt;0,"INVALID","OK")</f>
        <v>OK</v>
      </c>
      <c r="F274" t="s">
        <v>1567</v>
      </c>
      <c r="G274" t="s">
        <v>52</v>
      </c>
      <c r="H274" t="s">
        <v>94</v>
      </c>
      <c r="I274" t="s">
        <v>37</v>
      </c>
      <c r="J274" t="s">
        <v>98</v>
      </c>
      <c r="K274" t="s">
        <v>99</v>
      </c>
      <c r="L274" t="s">
        <v>73</v>
      </c>
      <c r="M274" t="s">
        <v>74</v>
      </c>
      <c r="N274" t="s">
        <v>1568</v>
      </c>
      <c r="O274" t="s">
        <v>30</v>
      </c>
      <c r="P274">
        <v>1</v>
      </c>
      <c r="Q274">
        <v>452.19</v>
      </c>
      <c r="R274">
        <v>0.2</v>
      </c>
      <c r="S274" t="str">
        <f t="shared" si="4"/>
        <v>OK</v>
      </c>
      <c r="T274">
        <v>361.75</v>
      </c>
      <c r="U274">
        <v>262.52999999999997</v>
      </c>
      <c r="V274">
        <v>99.22</v>
      </c>
      <c r="W274" t="s">
        <v>31</v>
      </c>
      <c r="X274" t="s">
        <v>32</v>
      </c>
    </row>
    <row r="275" spans="1:24">
      <c r="A275" t="s">
        <v>1569</v>
      </c>
      <c r="B275" s="2">
        <v>45551</v>
      </c>
      <c r="C275" s="2">
        <v>45554</v>
      </c>
      <c r="D275" s="5">
        <f>C275-B275</f>
        <v>3</v>
      </c>
      <c r="E275" s="5" t="str">
        <f>IF(D275&lt;0,"INVALID","OK")</f>
        <v>OK</v>
      </c>
      <c r="F275" t="s">
        <v>1570</v>
      </c>
      <c r="G275" t="s">
        <v>88</v>
      </c>
      <c r="H275" t="s">
        <v>23</v>
      </c>
      <c r="I275" t="s">
        <v>62</v>
      </c>
      <c r="J275" t="s">
        <v>25</v>
      </c>
      <c r="K275" t="s">
        <v>108</v>
      </c>
      <c r="L275" t="s">
        <v>27</v>
      </c>
      <c r="M275" t="s">
        <v>152</v>
      </c>
      <c r="N275" t="s">
        <v>1571</v>
      </c>
      <c r="O275" t="s">
        <v>49</v>
      </c>
      <c r="P275">
        <v>7</v>
      </c>
      <c r="Q275">
        <v>406.42</v>
      </c>
      <c r="R275">
        <v>0.15</v>
      </c>
      <c r="S275" t="str">
        <f t="shared" si="4"/>
        <v>OK</v>
      </c>
      <c r="T275">
        <v>2418.1999999999998</v>
      </c>
      <c r="U275">
        <v>1613.82</v>
      </c>
      <c r="V275">
        <v>804.38</v>
      </c>
      <c r="W275" t="s">
        <v>31</v>
      </c>
      <c r="X275" t="s">
        <v>32</v>
      </c>
    </row>
    <row r="276" spans="1:24">
      <c r="A276" t="s">
        <v>1581</v>
      </c>
      <c r="B276" s="2">
        <v>45610</v>
      </c>
      <c r="C276" s="2">
        <v>45618</v>
      </c>
      <c r="D276" s="5">
        <f>C276-B276</f>
        <v>8</v>
      </c>
      <c r="E276" s="5" t="str">
        <f>IF(D276&lt;0,"INVALID","OK")</f>
        <v>OK</v>
      </c>
      <c r="F276" t="s">
        <v>1582</v>
      </c>
      <c r="G276" t="s">
        <v>46</v>
      </c>
      <c r="H276" t="s">
        <v>23</v>
      </c>
      <c r="I276" t="s">
        <v>62</v>
      </c>
      <c r="J276" t="s">
        <v>71</v>
      </c>
      <c r="K276" t="s">
        <v>72</v>
      </c>
      <c r="L276" t="s">
        <v>73</v>
      </c>
      <c r="M276" t="s">
        <v>170</v>
      </c>
      <c r="N276" t="s">
        <v>1583</v>
      </c>
      <c r="O276" t="s">
        <v>58</v>
      </c>
      <c r="P276">
        <v>3</v>
      </c>
      <c r="Q276">
        <v>671.68</v>
      </c>
      <c r="R276">
        <v>-0.13</v>
      </c>
      <c r="S276" t="str">
        <f t="shared" si="4"/>
        <v>INVALID</v>
      </c>
      <c r="T276">
        <v>1712.78</v>
      </c>
      <c r="U276">
        <v>1569.38</v>
      </c>
      <c r="V276">
        <v>360.66</v>
      </c>
      <c r="W276" t="s">
        <v>154</v>
      </c>
      <c r="X276" t="s">
        <v>67</v>
      </c>
    </row>
    <row r="277" spans="1:24">
      <c r="A277" t="s">
        <v>1584</v>
      </c>
      <c r="B277" s="2">
        <v>45421</v>
      </c>
      <c r="C277" s="2">
        <v>45427</v>
      </c>
      <c r="D277" s="5">
        <f>C277-B277</f>
        <v>6</v>
      </c>
      <c r="E277" s="5" t="str">
        <f>IF(D277&lt;0,"INVALID","OK")</f>
        <v>OK</v>
      </c>
      <c r="F277" t="s">
        <v>1585</v>
      </c>
      <c r="G277" t="s">
        <v>35</v>
      </c>
      <c r="H277" t="s">
        <v>36</v>
      </c>
      <c r="I277" t="s">
        <v>37</v>
      </c>
      <c r="J277" t="s">
        <v>165</v>
      </c>
      <c r="K277" t="s">
        <v>166</v>
      </c>
      <c r="L277" t="s">
        <v>73</v>
      </c>
      <c r="M277" t="s">
        <v>170</v>
      </c>
      <c r="N277" t="s">
        <v>1586</v>
      </c>
      <c r="O277" t="s">
        <v>30</v>
      </c>
      <c r="P277">
        <v>4</v>
      </c>
      <c r="Q277">
        <v>995.98</v>
      </c>
      <c r="R277">
        <v>0.05</v>
      </c>
      <c r="S277" t="str">
        <f t="shared" si="4"/>
        <v>OK</v>
      </c>
      <c r="T277">
        <v>3784.72</v>
      </c>
      <c r="U277">
        <v>2419.2399999999998</v>
      </c>
      <c r="V277">
        <v>1365.48</v>
      </c>
      <c r="W277" t="s">
        <v>101</v>
      </c>
      <c r="X277" t="s">
        <v>102</v>
      </c>
    </row>
    <row r="278" spans="1:24">
      <c r="A278" t="s">
        <v>1590</v>
      </c>
      <c r="B278" s="2">
        <v>45533</v>
      </c>
      <c r="C278" s="2">
        <v>45533</v>
      </c>
      <c r="D278" s="5">
        <f>C278-B278</f>
        <v>0</v>
      </c>
      <c r="E278" s="5" t="str">
        <f>IF(D278&lt;0,"INVALID","OK")</f>
        <v>OK</v>
      </c>
      <c r="F278" t="s">
        <v>1591</v>
      </c>
      <c r="G278" t="s">
        <v>131</v>
      </c>
      <c r="H278" t="s">
        <v>36</v>
      </c>
      <c r="I278" t="s">
        <v>24</v>
      </c>
      <c r="J278" t="s">
        <v>135</v>
      </c>
      <c r="K278" t="s">
        <v>136</v>
      </c>
      <c r="L278" t="s">
        <v>73</v>
      </c>
      <c r="M278" t="s">
        <v>74</v>
      </c>
      <c r="N278" t="s">
        <v>1592</v>
      </c>
      <c r="O278" t="s">
        <v>30</v>
      </c>
      <c r="P278">
        <v>1</v>
      </c>
      <c r="Q278">
        <v>3106.88</v>
      </c>
      <c r="R278">
        <v>0.2</v>
      </c>
      <c r="S278" t="str">
        <f t="shared" si="4"/>
        <v>OK</v>
      </c>
      <c r="T278">
        <v>2485.5</v>
      </c>
      <c r="U278">
        <v>2028.43</v>
      </c>
      <c r="V278">
        <v>457.07</v>
      </c>
      <c r="W278" t="s">
        <v>31</v>
      </c>
      <c r="X278" t="s">
        <v>67</v>
      </c>
    </row>
    <row r="279" spans="1:24">
      <c r="A279" t="s">
        <v>1596</v>
      </c>
      <c r="B279" s="2">
        <v>45648</v>
      </c>
      <c r="C279" s="2">
        <v>45652</v>
      </c>
      <c r="D279" s="5">
        <f>C279-B279</f>
        <v>4</v>
      </c>
      <c r="E279" s="5" t="str">
        <f>IF(D279&lt;0,"INVALID","OK")</f>
        <v>OK</v>
      </c>
      <c r="F279" t="s">
        <v>1597</v>
      </c>
      <c r="G279" t="s">
        <v>117</v>
      </c>
      <c r="H279" t="s">
        <v>94</v>
      </c>
      <c r="I279" t="s">
        <v>24</v>
      </c>
      <c r="J279" t="s">
        <v>135</v>
      </c>
      <c r="K279" t="s">
        <v>136</v>
      </c>
      <c r="L279" t="s">
        <v>40</v>
      </c>
      <c r="M279" t="s">
        <v>65</v>
      </c>
      <c r="N279" t="s">
        <v>1598</v>
      </c>
      <c r="O279" t="s">
        <v>58</v>
      </c>
      <c r="P279">
        <v>9</v>
      </c>
      <c r="Q279">
        <v>1110.8699999999999</v>
      </c>
      <c r="R279">
        <v>0</v>
      </c>
      <c r="S279" t="str">
        <f t="shared" si="4"/>
        <v>OK</v>
      </c>
      <c r="T279">
        <v>7498.37</v>
      </c>
      <c r="U279">
        <v>6059.07</v>
      </c>
      <c r="V279">
        <v>1439.3</v>
      </c>
      <c r="W279" t="s">
        <v>31</v>
      </c>
      <c r="X279" t="s">
        <v>67</v>
      </c>
    </row>
    <row r="280" spans="1:24">
      <c r="A280" t="s">
        <v>1599</v>
      </c>
      <c r="B280" s="2">
        <v>45429</v>
      </c>
      <c r="C280" s="2">
        <v>45434</v>
      </c>
      <c r="D280" s="5">
        <f>C280-B280</f>
        <v>5</v>
      </c>
      <c r="E280" s="5" t="str">
        <f>IF(D280&lt;0,"INVALID","OK")</f>
        <v>OK</v>
      </c>
      <c r="F280" t="s">
        <v>1600</v>
      </c>
      <c r="G280" t="s">
        <v>131</v>
      </c>
      <c r="H280" t="s">
        <v>23</v>
      </c>
      <c r="I280" t="s">
        <v>53</v>
      </c>
      <c r="J280" t="s">
        <v>184</v>
      </c>
      <c r="K280" t="s">
        <v>185</v>
      </c>
      <c r="L280" t="s">
        <v>73</v>
      </c>
      <c r="M280" t="s">
        <v>170</v>
      </c>
      <c r="N280" t="s">
        <v>1601</v>
      </c>
      <c r="O280" t="s">
        <v>43</v>
      </c>
      <c r="P280">
        <v>9</v>
      </c>
      <c r="Q280">
        <v>3795.99</v>
      </c>
      <c r="R280" t="s">
        <v>766</v>
      </c>
      <c r="S280" t="str">
        <f t="shared" si="4"/>
        <v>INVALID</v>
      </c>
      <c r="T280">
        <v>34163.910000000003</v>
      </c>
      <c r="U280">
        <v>28577.15</v>
      </c>
      <c r="V280">
        <v>5586.76</v>
      </c>
      <c r="W280" t="s">
        <v>31</v>
      </c>
      <c r="X280" t="s">
        <v>32</v>
      </c>
    </row>
    <row r="281" spans="1:24">
      <c r="A281" t="s">
        <v>1602</v>
      </c>
      <c r="B281" s="2">
        <v>45515</v>
      </c>
      <c r="C281" s="2">
        <v>45521</v>
      </c>
      <c r="D281" s="5">
        <f>C281-B281</f>
        <v>6</v>
      </c>
      <c r="E281" s="5" t="str">
        <f>IF(D281&lt;0,"INVALID","OK")</f>
        <v>OK</v>
      </c>
      <c r="F281" t="s">
        <v>807</v>
      </c>
      <c r="G281" t="s">
        <v>78</v>
      </c>
      <c r="H281" t="s">
        <v>23</v>
      </c>
      <c r="I281" t="s">
        <v>37</v>
      </c>
      <c r="J281" t="s">
        <v>227</v>
      </c>
      <c r="K281" t="s">
        <v>228</v>
      </c>
      <c r="L281" t="s">
        <v>27</v>
      </c>
      <c r="M281" t="s">
        <v>47</v>
      </c>
      <c r="N281" t="s">
        <v>1603</v>
      </c>
      <c r="O281" t="s">
        <v>30</v>
      </c>
      <c r="P281">
        <v>6</v>
      </c>
      <c r="Q281">
        <v>3497.54</v>
      </c>
      <c r="R281">
        <v>0.15</v>
      </c>
      <c r="S281" t="str">
        <f t="shared" si="4"/>
        <v>OK</v>
      </c>
      <c r="T281">
        <v>17837.45</v>
      </c>
      <c r="U281">
        <v>13627.02</v>
      </c>
      <c r="V281">
        <v>4210.43</v>
      </c>
      <c r="W281" t="s">
        <v>31</v>
      </c>
      <c r="X281" t="s">
        <v>32</v>
      </c>
    </row>
    <row r="282" spans="1:24">
      <c r="A282" t="s">
        <v>1604</v>
      </c>
      <c r="B282" s="2">
        <v>45383</v>
      </c>
      <c r="C282" s="2">
        <v>45391</v>
      </c>
      <c r="D282" s="5">
        <f>C282-B282</f>
        <v>8</v>
      </c>
      <c r="E282" s="5" t="str">
        <f>IF(D282&lt;0,"INVALID","OK")</f>
        <v>OK</v>
      </c>
      <c r="F282" t="s">
        <v>1605</v>
      </c>
      <c r="G282" t="s">
        <v>113</v>
      </c>
      <c r="H282" t="s">
        <v>36</v>
      </c>
      <c r="I282" t="s">
        <v>37</v>
      </c>
      <c r="J282" t="s">
        <v>38</v>
      </c>
      <c r="K282" t="s">
        <v>39</v>
      </c>
      <c r="L282" t="s">
        <v>73</v>
      </c>
      <c r="M282" t="s">
        <v>79</v>
      </c>
      <c r="N282" t="s">
        <v>1606</v>
      </c>
      <c r="O282" t="s">
        <v>30</v>
      </c>
      <c r="P282">
        <v>6</v>
      </c>
      <c r="Q282">
        <v>826.93</v>
      </c>
      <c r="R282">
        <v>0.1</v>
      </c>
      <c r="S282" t="str">
        <f t="shared" si="4"/>
        <v>OK</v>
      </c>
      <c r="T282">
        <v>4465.42</v>
      </c>
      <c r="U282">
        <v>3377.1</v>
      </c>
      <c r="V282">
        <v>1088.32</v>
      </c>
      <c r="W282" t="s">
        <v>31</v>
      </c>
      <c r="X282" t="s">
        <v>32</v>
      </c>
    </row>
    <row r="283" spans="1:24">
      <c r="A283" t="s">
        <v>1607</v>
      </c>
      <c r="B283" s="2">
        <v>45563</v>
      </c>
      <c r="C283" s="2">
        <v>45570</v>
      </c>
      <c r="D283" s="5">
        <f>C283-B283</f>
        <v>7</v>
      </c>
      <c r="E283" s="5" t="str">
        <f>IF(D283&lt;0,"INVALID","OK")</f>
        <v>OK</v>
      </c>
      <c r="F283" t="s">
        <v>1608</v>
      </c>
      <c r="G283" t="s">
        <v>127</v>
      </c>
      <c r="H283" t="s">
        <v>23</v>
      </c>
      <c r="I283" t="s">
        <v>53</v>
      </c>
      <c r="J283" t="s">
        <v>246</v>
      </c>
      <c r="K283" t="s">
        <v>247</v>
      </c>
      <c r="L283" t="s">
        <v>73</v>
      </c>
      <c r="M283" t="s">
        <v>170</v>
      </c>
      <c r="N283" t="s">
        <v>1609</v>
      </c>
      <c r="O283" t="s">
        <v>58</v>
      </c>
      <c r="P283">
        <v>7</v>
      </c>
      <c r="Q283">
        <v>1681.6</v>
      </c>
      <c r="R283">
        <v>0.1</v>
      </c>
      <c r="S283" t="str">
        <f t="shared" si="4"/>
        <v>OK</v>
      </c>
      <c r="T283">
        <v>10594.08</v>
      </c>
      <c r="U283">
        <v>7160.31</v>
      </c>
      <c r="V283">
        <v>3433.77</v>
      </c>
      <c r="W283" t="s">
        <v>31</v>
      </c>
      <c r="X283" t="s">
        <v>32</v>
      </c>
    </row>
    <row r="284" spans="1:24">
      <c r="A284" t="s">
        <v>1613</v>
      </c>
      <c r="B284" s="2">
        <v>45605</v>
      </c>
      <c r="C284" s="2">
        <v>45610</v>
      </c>
      <c r="D284" s="5">
        <f>C284-B284</f>
        <v>5</v>
      </c>
      <c r="E284" s="5" t="str">
        <f>IF(D284&lt;0,"INVALID","OK")</f>
        <v>OK</v>
      </c>
      <c r="F284" t="s">
        <v>1614</v>
      </c>
      <c r="G284" t="s">
        <v>78</v>
      </c>
      <c r="H284" t="s">
        <v>89</v>
      </c>
      <c r="I284" t="s">
        <v>62</v>
      </c>
      <c r="J284" t="s">
        <v>71</v>
      </c>
      <c r="K284" t="s">
        <v>72</v>
      </c>
      <c r="L284" t="s">
        <v>27</v>
      </c>
      <c r="M284" t="s">
        <v>47</v>
      </c>
      <c r="N284" t="s">
        <v>1615</v>
      </c>
      <c r="O284" t="s">
        <v>49</v>
      </c>
      <c r="P284">
        <v>9</v>
      </c>
      <c r="Q284">
        <v>2438.29</v>
      </c>
      <c r="R284">
        <v>0.2</v>
      </c>
      <c r="S284" t="str">
        <f t="shared" si="4"/>
        <v>OK</v>
      </c>
      <c r="T284">
        <v>17555.689999999999</v>
      </c>
      <c r="U284">
        <v>13293.2</v>
      </c>
      <c r="V284">
        <v>4262.49</v>
      </c>
      <c r="W284" t="s">
        <v>31</v>
      </c>
      <c r="X284" t="s">
        <v>67</v>
      </c>
    </row>
    <row r="285" spans="1:24">
      <c r="A285" t="s">
        <v>1616</v>
      </c>
      <c r="B285" s="2">
        <v>45641</v>
      </c>
      <c r="C285" s="2">
        <v>45641</v>
      </c>
      <c r="D285" s="5">
        <f>C285-B285</f>
        <v>0</v>
      </c>
      <c r="E285" s="5" t="str">
        <f>IF(D285&lt;0,"INVALID","OK")</f>
        <v>OK</v>
      </c>
      <c r="F285" t="s">
        <v>1617</v>
      </c>
      <c r="G285" t="s">
        <v>127</v>
      </c>
      <c r="H285" t="s">
        <v>36</v>
      </c>
      <c r="I285" t="s">
        <v>24</v>
      </c>
      <c r="J285" t="s">
        <v>121</v>
      </c>
      <c r="K285" t="s">
        <v>122</v>
      </c>
      <c r="L285" t="s">
        <v>40</v>
      </c>
      <c r="M285" t="s">
        <v>56</v>
      </c>
      <c r="N285" t="s">
        <v>1618</v>
      </c>
      <c r="O285" t="s">
        <v>49</v>
      </c>
      <c r="P285">
        <v>2</v>
      </c>
      <c r="Q285">
        <v>669.8</v>
      </c>
      <c r="R285">
        <v>0.1</v>
      </c>
      <c r="S285" t="str">
        <f t="shared" si="4"/>
        <v>OK</v>
      </c>
      <c r="T285">
        <v>1205.6400000000001</v>
      </c>
      <c r="U285">
        <v>842.07</v>
      </c>
      <c r="V285">
        <v>363.57</v>
      </c>
      <c r="W285" t="s">
        <v>101</v>
      </c>
      <c r="X285" t="s">
        <v>102</v>
      </c>
    </row>
    <row r="286" spans="1:24">
      <c r="A286" t="s">
        <v>1622</v>
      </c>
      <c r="B286" s="2">
        <v>45382</v>
      </c>
      <c r="C286" s="2">
        <v>45477</v>
      </c>
      <c r="D286" s="5">
        <f>C286-B286</f>
        <v>95</v>
      </c>
      <c r="E286" s="5" t="str">
        <f>IF(D286&lt;0,"INVALID","OK")</f>
        <v>OK</v>
      </c>
      <c r="F286" t="s">
        <v>1623</v>
      </c>
      <c r="G286" t="s">
        <v>46</v>
      </c>
      <c r="H286" t="s">
        <v>36</v>
      </c>
      <c r="I286" t="s">
        <v>24</v>
      </c>
      <c r="J286" t="s">
        <v>235</v>
      </c>
      <c r="K286" t="s">
        <v>236</v>
      </c>
      <c r="L286" t="s">
        <v>73</v>
      </c>
      <c r="M286" t="s">
        <v>273</v>
      </c>
      <c r="N286" t="s">
        <v>1624</v>
      </c>
      <c r="O286" t="s">
        <v>30</v>
      </c>
      <c r="P286">
        <v>4</v>
      </c>
      <c r="Q286">
        <v>1831</v>
      </c>
      <c r="R286">
        <v>0</v>
      </c>
      <c r="S286" t="str">
        <f t="shared" si="4"/>
        <v>OK</v>
      </c>
      <c r="T286">
        <v>7324</v>
      </c>
      <c r="U286">
        <v>4179.63</v>
      </c>
      <c r="V286">
        <v>3144.37</v>
      </c>
      <c r="W286" t="s">
        <v>31</v>
      </c>
      <c r="X286" t="s">
        <v>32</v>
      </c>
    </row>
    <row r="287" spans="1:24">
      <c r="A287" t="s">
        <v>1628</v>
      </c>
      <c r="B287" s="2">
        <v>45583</v>
      </c>
      <c r="C287" s="2">
        <v>45586</v>
      </c>
      <c r="D287" s="5">
        <f>C287-B287</f>
        <v>3</v>
      </c>
      <c r="E287" s="5" t="str">
        <f>IF(D287&lt;0,"INVALID","OK")</f>
        <v>OK</v>
      </c>
      <c r="F287" t="s">
        <v>1629</v>
      </c>
      <c r="G287" t="s">
        <v>127</v>
      </c>
      <c r="H287" t="s">
        <v>23</v>
      </c>
      <c r="I287" t="s">
        <v>53</v>
      </c>
      <c r="J287" t="s">
        <v>174</v>
      </c>
      <c r="K287" t="s">
        <v>175</v>
      </c>
      <c r="L287" t="s">
        <v>27</v>
      </c>
      <c r="M287" t="s">
        <v>123</v>
      </c>
      <c r="N287" t="s">
        <v>1630</v>
      </c>
      <c r="O287" t="s">
        <v>30</v>
      </c>
      <c r="P287">
        <v>2</v>
      </c>
      <c r="Q287">
        <v>4238.51</v>
      </c>
      <c r="R287">
        <v>0</v>
      </c>
      <c r="S287" t="str">
        <f t="shared" si="4"/>
        <v>OK</v>
      </c>
      <c r="T287">
        <v>8477.02</v>
      </c>
      <c r="U287">
        <v>6884.96</v>
      </c>
      <c r="V287">
        <v>1592.06</v>
      </c>
      <c r="W287" t="s">
        <v>31</v>
      </c>
      <c r="X287" t="s">
        <v>32</v>
      </c>
    </row>
    <row r="288" spans="1:24">
      <c r="A288" t="s">
        <v>1631</v>
      </c>
      <c r="B288" s="2">
        <v>45588</v>
      </c>
      <c r="C288" s="2">
        <v>45591</v>
      </c>
      <c r="D288" s="5">
        <f>C288-B288</f>
        <v>3</v>
      </c>
      <c r="E288" s="5" t="str">
        <f>IF(D288&lt;0,"INVALID","OK")</f>
        <v>OK</v>
      </c>
      <c r="F288" t="s">
        <v>1632</v>
      </c>
      <c r="G288" t="s">
        <v>131</v>
      </c>
      <c r="H288" t="s">
        <v>23</v>
      </c>
      <c r="I288" t="s">
        <v>62</v>
      </c>
      <c r="J288" t="s">
        <v>71</v>
      </c>
      <c r="K288" t="s">
        <v>72</v>
      </c>
      <c r="L288" t="s">
        <v>40</v>
      </c>
      <c r="M288" t="s">
        <v>157</v>
      </c>
      <c r="N288" t="s">
        <v>1633</v>
      </c>
      <c r="O288" t="s">
        <v>58</v>
      </c>
      <c r="P288">
        <v>9</v>
      </c>
      <c r="Q288">
        <v>544.27</v>
      </c>
      <c r="R288">
        <v>0.25</v>
      </c>
      <c r="S288" t="str">
        <f t="shared" si="4"/>
        <v>OK</v>
      </c>
      <c r="T288">
        <v>3673.82</v>
      </c>
      <c r="U288">
        <v>2088.15</v>
      </c>
      <c r="V288">
        <v>1585.67</v>
      </c>
      <c r="W288" t="s">
        <v>31</v>
      </c>
      <c r="X288" t="s">
        <v>32</v>
      </c>
    </row>
    <row r="289" spans="1:24">
      <c r="A289" t="s">
        <v>1639</v>
      </c>
      <c r="B289" s="2">
        <v>45614</v>
      </c>
      <c r="C289" s="2">
        <v>45618</v>
      </c>
      <c r="D289" s="5">
        <f>C289-B289</f>
        <v>4</v>
      </c>
      <c r="E289" s="5" t="str">
        <f>IF(D289&lt;0,"INVALID","OK")</f>
        <v>OK</v>
      </c>
      <c r="F289" t="s">
        <v>1640</v>
      </c>
      <c r="G289" t="s">
        <v>22</v>
      </c>
      <c r="H289" t="s">
        <v>94</v>
      </c>
      <c r="I289" t="s">
        <v>53</v>
      </c>
      <c r="J289" t="s">
        <v>184</v>
      </c>
      <c r="K289" t="s">
        <v>185</v>
      </c>
      <c r="L289" t="s">
        <v>73</v>
      </c>
      <c r="M289" t="s">
        <v>74</v>
      </c>
      <c r="N289" t="s">
        <v>1641</v>
      </c>
      <c r="O289" t="s">
        <v>58</v>
      </c>
      <c r="P289">
        <v>6</v>
      </c>
      <c r="Q289">
        <v>3872.94</v>
      </c>
      <c r="R289">
        <v>0.1</v>
      </c>
      <c r="S289" t="str">
        <f t="shared" si="4"/>
        <v>OK</v>
      </c>
      <c r="T289">
        <v>20913.88</v>
      </c>
      <c r="U289">
        <v>11684.68</v>
      </c>
      <c r="V289">
        <v>9229.2000000000007</v>
      </c>
      <c r="W289" t="s">
        <v>31</v>
      </c>
      <c r="X289" t="s">
        <v>32</v>
      </c>
    </row>
    <row r="290" spans="1:24">
      <c r="A290" t="s">
        <v>1645</v>
      </c>
      <c r="B290" s="2">
        <v>45563</v>
      </c>
      <c r="C290" s="2">
        <v>45569</v>
      </c>
      <c r="D290" s="5">
        <f>C290-B290</f>
        <v>6</v>
      </c>
      <c r="E290" s="5" t="str">
        <f>IF(D290&lt;0,"INVALID","OK")</f>
        <v>OK</v>
      </c>
      <c r="F290" t="s">
        <v>1646</v>
      </c>
      <c r="G290" t="s">
        <v>263</v>
      </c>
      <c r="H290" t="s">
        <v>94</v>
      </c>
      <c r="I290" t="s">
        <v>24</v>
      </c>
      <c r="J290" t="s">
        <v>349</v>
      </c>
      <c r="K290" t="s">
        <v>350</v>
      </c>
      <c r="L290" t="s">
        <v>73</v>
      </c>
      <c r="M290" t="s">
        <v>79</v>
      </c>
      <c r="N290" t="s">
        <v>1647</v>
      </c>
      <c r="O290" t="s">
        <v>58</v>
      </c>
      <c r="P290">
        <v>1</v>
      </c>
      <c r="Q290">
        <v>2233.1799999999998</v>
      </c>
      <c r="R290">
        <v>0</v>
      </c>
      <c r="S290" t="str">
        <f t="shared" si="4"/>
        <v>OK</v>
      </c>
      <c r="T290">
        <v>2233.1799999999998</v>
      </c>
      <c r="U290">
        <v>1585.82</v>
      </c>
      <c r="V290">
        <v>647.36</v>
      </c>
      <c r="W290" t="s">
        <v>154</v>
      </c>
      <c r="X290" t="s">
        <v>102</v>
      </c>
    </row>
    <row r="291" spans="1:24">
      <c r="A291" t="s">
        <v>1657</v>
      </c>
      <c r="B291" s="2">
        <v>45489</v>
      </c>
      <c r="C291" s="2">
        <v>45496</v>
      </c>
      <c r="D291" s="5">
        <f>C291-B291</f>
        <v>7</v>
      </c>
      <c r="E291" s="5" t="str">
        <f>IF(D291&lt;0,"INVALID","OK")</f>
        <v>OK</v>
      </c>
      <c r="F291" t="s">
        <v>1658</v>
      </c>
      <c r="G291" t="s">
        <v>127</v>
      </c>
      <c r="H291" t="s">
        <v>94</v>
      </c>
      <c r="I291" t="s">
        <v>53</v>
      </c>
      <c r="J291" t="s">
        <v>174</v>
      </c>
      <c r="K291" t="s">
        <v>175</v>
      </c>
      <c r="L291" t="s">
        <v>73</v>
      </c>
      <c r="M291" t="s">
        <v>273</v>
      </c>
      <c r="N291" t="s">
        <v>1659</v>
      </c>
      <c r="O291" t="s">
        <v>43</v>
      </c>
      <c r="P291">
        <v>1</v>
      </c>
      <c r="Q291">
        <v>1695.91</v>
      </c>
      <c r="R291">
        <v>0.05</v>
      </c>
      <c r="S291" t="str">
        <f t="shared" si="4"/>
        <v>OK</v>
      </c>
      <c r="T291">
        <v>1611.11</v>
      </c>
      <c r="U291">
        <v>895.15</v>
      </c>
      <c r="V291">
        <v>715.96</v>
      </c>
      <c r="W291" t="s">
        <v>31</v>
      </c>
      <c r="X291" t="s">
        <v>32</v>
      </c>
    </row>
    <row r="292" spans="1:24">
      <c r="A292" t="s">
        <v>1666</v>
      </c>
      <c r="B292" s="2">
        <v>45326</v>
      </c>
      <c r="C292" s="2">
        <v>45385</v>
      </c>
      <c r="D292" s="5">
        <f>C292-B292</f>
        <v>59</v>
      </c>
      <c r="E292" s="5" t="str">
        <f>IF(D292&lt;0,"INVALID","OK")</f>
        <v>OK</v>
      </c>
      <c r="F292" t="s">
        <v>1667</v>
      </c>
      <c r="G292" t="s">
        <v>263</v>
      </c>
      <c r="H292" t="s">
        <v>94</v>
      </c>
      <c r="I292" t="s">
        <v>62</v>
      </c>
      <c r="J292" t="s">
        <v>189</v>
      </c>
      <c r="K292" t="s">
        <v>190</v>
      </c>
      <c r="L292" t="s">
        <v>27</v>
      </c>
      <c r="M292" t="s">
        <v>28</v>
      </c>
      <c r="N292" t="s">
        <v>1668</v>
      </c>
      <c r="O292" t="s">
        <v>30</v>
      </c>
      <c r="P292">
        <v>2</v>
      </c>
      <c r="Q292">
        <v>2902.63</v>
      </c>
      <c r="R292">
        <v>0</v>
      </c>
      <c r="S292" t="str">
        <f t="shared" si="4"/>
        <v>OK</v>
      </c>
      <c r="T292">
        <v>5805.26</v>
      </c>
      <c r="U292">
        <v>4654.3599999999997</v>
      </c>
      <c r="V292">
        <v>1150.9000000000001</v>
      </c>
      <c r="W292" t="s">
        <v>31</v>
      </c>
      <c r="X292" t="s">
        <v>102</v>
      </c>
    </row>
    <row r="293" spans="1:24">
      <c r="A293" t="s">
        <v>1669</v>
      </c>
      <c r="B293" s="2">
        <v>45626</v>
      </c>
      <c r="C293" s="2">
        <v>45627</v>
      </c>
      <c r="D293" s="5">
        <f>C293-B293</f>
        <v>1</v>
      </c>
      <c r="E293" s="5" t="str">
        <f>IF(D293&lt;0,"INVALID","OK")</f>
        <v>OK</v>
      </c>
      <c r="F293" t="s">
        <v>1670</v>
      </c>
      <c r="G293" t="s">
        <v>61</v>
      </c>
      <c r="H293" t="s">
        <v>89</v>
      </c>
      <c r="I293" t="s">
        <v>62</v>
      </c>
      <c r="J293" t="s">
        <v>179</v>
      </c>
      <c r="K293" t="s">
        <v>180</v>
      </c>
      <c r="L293" t="s">
        <v>40</v>
      </c>
      <c r="M293" t="s">
        <v>65</v>
      </c>
      <c r="N293" t="s">
        <v>1671</v>
      </c>
      <c r="O293" t="s">
        <v>49</v>
      </c>
      <c r="P293">
        <v>9</v>
      </c>
      <c r="Q293">
        <v>4207.3599999999997</v>
      </c>
      <c r="R293">
        <v>0.1</v>
      </c>
      <c r="S293" t="str">
        <f t="shared" si="4"/>
        <v>OK</v>
      </c>
      <c r="T293">
        <v>34079.620000000003</v>
      </c>
      <c r="U293">
        <v>21871.39</v>
      </c>
      <c r="V293">
        <v>12208.23</v>
      </c>
      <c r="W293" t="s">
        <v>31</v>
      </c>
      <c r="X293" t="s">
        <v>32</v>
      </c>
    </row>
    <row r="294" spans="1:24">
      <c r="A294" t="s">
        <v>1672</v>
      </c>
      <c r="B294" s="2">
        <v>45582</v>
      </c>
      <c r="C294" s="2">
        <v>45582</v>
      </c>
      <c r="D294" s="5">
        <f>C294-B294</f>
        <v>0</v>
      </c>
      <c r="E294" s="5" t="str">
        <f>IF(D294&lt;0,"INVALID","OK")</f>
        <v>OK</v>
      </c>
      <c r="F294" t="s">
        <v>1673</v>
      </c>
      <c r="G294" t="s">
        <v>113</v>
      </c>
      <c r="H294" t="s">
        <v>94</v>
      </c>
      <c r="I294" t="s">
        <v>37</v>
      </c>
      <c r="J294" t="s">
        <v>98</v>
      </c>
      <c r="K294" t="s">
        <v>99</v>
      </c>
      <c r="L294" t="s">
        <v>40</v>
      </c>
      <c r="M294" t="s">
        <v>65</v>
      </c>
      <c r="N294" t="s">
        <v>1674</v>
      </c>
      <c r="O294" t="s">
        <v>58</v>
      </c>
      <c r="P294">
        <v>5</v>
      </c>
      <c r="Q294">
        <v>2524.4</v>
      </c>
      <c r="R294">
        <v>0.1</v>
      </c>
      <c r="S294" t="str">
        <f t="shared" si="4"/>
        <v>OK</v>
      </c>
      <c r="T294">
        <v>11359.8</v>
      </c>
      <c r="U294">
        <v>7062.44</v>
      </c>
      <c r="V294">
        <v>4297.3599999999997</v>
      </c>
      <c r="W294" t="s">
        <v>31</v>
      </c>
      <c r="X294" t="s">
        <v>32</v>
      </c>
    </row>
    <row r="295" spans="1:24">
      <c r="A295" t="s">
        <v>1681</v>
      </c>
      <c r="B295" s="2">
        <v>45572</v>
      </c>
      <c r="C295" s="2">
        <v>45545</v>
      </c>
      <c r="D295" s="5">
        <f>C295-B295</f>
        <v>-27</v>
      </c>
      <c r="E295" s="5" t="str">
        <f>IF(D295&lt;0,"INVALID","OK")</f>
        <v>INVALID</v>
      </c>
      <c r="F295" t="s">
        <v>1682</v>
      </c>
      <c r="G295" t="s">
        <v>161</v>
      </c>
      <c r="H295" t="s">
        <v>23</v>
      </c>
      <c r="I295" t="s">
        <v>53</v>
      </c>
      <c r="J295" t="s">
        <v>246</v>
      </c>
      <c r="K295" t="s">
        <v>247</v>
      </c>
      <c r="L295" t="s">
        <v>27</v>
      </c>
      <c r="M295" t="s">
        <v>152</v>
      </c>
      <c r="N295" t="s">
        <v>1683</v>
      </c>
      <c r="O295" t="s">
        <v>58</v>
      </c>
      <c r="P295">
        <v>9</v>
      </c>
      <c r="Q295">
        <v>3457.09</v>
      </c>
      <c r="R295">
        <v>0.05</v>
      </c>
      <c r="S295" t="str">
        <f t="shared" si="4"/>
        <v>OK</v>
      </c>
      <c r="T295">
        <v>29558.12</v>
      </c>
      <c r="U295">
        <v>21302.13</v>
      </c>
      <c r="V295">
        <v>8255.99</v>
      </c>
      <c r="W295" t="s">
        <v>110</v>
      </c>
      <c r="X295" t="s">
        <v>102</v>
      </c>
    </row>
    <row r="296" spans="1:24">
      <c r="A296" t="s">
        <v>1684</v>
      </c>
      <c r="B296" s="2">
        <v>45328</v>
      </c>
      <c r="C296" s="2">
        <v>45330</v>
      </c>
      <c r="D296" s="5">
        <f>C296-B296</f>
        <v>2</v>
      </c>
      <c r="E296" s="5" t="str">
        <f>IF(D296&lt;0,"INVALID","OK")</f>
        <v>OK</v>
      </c>
      <c r="F296" t="s">
        <v>728</v>
      </c>
      <c r="G296" t="s">
        <v>22</v>
      </c>
      <c r="H296" t="s">
        <v>23</v>
      </c>
      <c r="I296" t="s">
        <v>37</v>
      </c>
      <c r="J296" t="s">
        <v>227</v>
      </c>
      <c r="K296" t="s">
        <v>228</v>
      </c>
      <c r="L296" t="s">
        <v>40</v>
      </c>
      <c r="M296" t="s">
        <v>157</v>
      </c>
      <c r="N296" t="s">
        <v>1685</v>
      </c>
      <c r="O296" t="s">
        <v>30</v>
      </c>
      <c r="P296">
        <v>9</v>
      </c>
      <c r="Q296">
        <v>1822.25</v>
      </c>
      <c r="R296">
        <v>0</v>
      </c>
      <c r="S296" t="str">
        <f t="shared" si="4"/>
        <v>OK</v>
      </c>
      <c r="T296">
        <v>16400.25</v>
      </c>
      <c r="U296">
        <v>12146.96</v>
      </c>
      <c r="V296">
        <v>4253.29</v>
      </c>
      <c r="W296" t="s">
        <v>31</v>
      </c>
      <c r="X296" t="s">
        <v>32</v>
      </c>
    </row>
    <row r="297" spans="1:24">
      <c r="A297" t="s">
        <v>1689</v>
      </c>
      <c r="B297" s="2">
        <v>45505</v>
      </c>
      <c r="C297" s="2">
        <v>45512</v>
      </c>
      <c r="D297" s="5">
        <f>C297-B297</f>
        <v>7</v>
      </c>
      <c r="E297" s="5" t="str">
        <f>IF(D297&lt;0,"INVALID","OK")</f>
        <v>OK</v>
      </c>
      <c r="F297" t="s">
        <v>1690</v>
      </c>
      <c r="G297" t="s">
        <v>161</v>
      </c>
      <c r="H297" t="s">
        <v>36</v>
      </c>
      <c r="I297" t="s">
        <v>62</v>
      </c>
      <c r="J297" t="s">
        <v>63</v>
      </c>
      <c r="K297" t="s">
        <v>64</v>
      </c>
      <c r="L297" t="s">
        <v>27</v>
      </c>
      <c r="M297" t="s">
        <v>123</v>
      </c>
      <c r="N297" t="s">
        <v>1691</v>
      </c>
      <c r="O297" t="s">
        <v>2762</v>
      </c>
      <c r="P297">
        <v>1</v>
      </c>
      <c r="Q297">
        <v>442.97</v>
      </c>
      <c r="R297">
        <v>0.1</v>
      </c>
      <c r="S297" t="str">
        <f t="shared" si="4"/>
        <v>OK</v>
      </c>
      <c r="T297">
        <v>398.67</v>
      </c>
      <c r="U297">
        <v>311.66000000000003</v>
      </c>
      <c r="V297">
        <v>87.01</v>
      </c>
      <c r="W297" t="s">
        <v>31</v>
      </c>
      <c r="X297" t="s">
        <v>32</v>
      </c>
    </row>
    <row r="298" spans="1:24">
      <c r="A298" t="s">
        <v>1695</v>
      </c>
      <c r="B298" s="2">
        <v>45529</v>
      </c>
      <c r="C298" s="2">
        <v>45536</v>
      </c>
      <c r="D298" s="5">
        <f>C298-B298</f>
        <v>7</v>
      </c>
      <c r="E298" s="5" t="str">
        <f>IF(D298&lt;0,"INVALID","OK")</f>
        <v>OK</v>
      </c>
      <c r="F298" t="s">
        <v>1696</v>
      </c>
      <c r="G298" t="s">
        <v>46</v>
      </c>
      <c r="H298" t="s">
        <v>94</v>
      </c>
      <c r="I298" t="s">
        <v>24</v>
      </c>
      <c r="J298" t="s">
        <v>25</v>
      </c>
      <c r="K298" t="s">
        <v>26</v>
      </c>
      <c r="L298" t="s">
        <v>40</v>
      </c>
      <c r="M298" t="s">
        <v>41</v>
      </c>
      <c r="N298" t="s">
        <v>1697</v>
      </c>
      <c r="O298" t="s">
        <v>43</v>
      </c>
      <c r="P298">
        <v>6</v>
      </c>
      <c r="Q298">
        <v>481.3</v>
      </c>
      <c r="R298">
        <v>0.25</v>
      </c>
      <c r="S298" t="str">
        <f t="shared" si="4"/>
        <v>OK</v>
      </c>
      <c r="T298">
        <v>2165.85</v>
      </c>
      <c r="U298">
        <v>2124.48</v>
      </c>
      <c r="V298">
        <v>430.45</v>
      </c>
      <c r="W298" t="s">
        <v>31</v>
      </c>
      <c r="X298" t="s">
        <v>32</v>
      </c>
    </row>
    <row r="299" spans="1:24">
      <c r="A299" t="s">
        <v>1701</v>
      </c>
      <c r="B299" s="2">
        <v>45431</v>
      </c>
      <c r="C299" s="2">
        <v>45433</v>
      </c>
      <c r="D299" s="5">
        <f>C299-B299</f>
        <v>2</v>
      </c>
      <c r="E299" s="5" t="str">
        <f>IF(D299&lt;0,"INVALID","OK")</f>
        <v>OK</v>
      </c>
      <c r="F299" t="s">
        <v>1702</v>
      </c>
      <c r="G299" t="s">
        <v>161</v>
      </c>
      <c r="H299" t="s">
        <v>36</v>
      </c>
      <c r="I299" t="s">
        <v>62</v>
      </c>
      <c r="J299" t="s">
        <v>63</v>
      </c>
      <c r="K299" t="s">
        <v>64</v>
      </c>
      <c r="L299" t="s">
        <v>73</v>
      </c>
      <c r="M299" t="s">
        <v>79</v>
      </c>
      <c r="N299" t="s">
        <v>1703</v>
      </c>
      <c r="O299" t="s">
        <v>49</v>
      </c>
      <c r="P299">
        <v>3</v>
      </c>
      <c r="Q299">
        <v>4000.98</v>
      </c>
      <c r="R299">
        <v>0.2</v>
      </c>
      <c r="S299" t="str">
        <f t="shared" si="4"/>
        <v>OK</v>
      </c>
      <c r="T299">
        <v>9602.35</v>
      </c>
      <c r="U299">
        <v>7387.57</v>
      </c>
      <c r="V299">
        <v>2214.7800000000002</v>
      </c>
      <c r="W299" t="s">
        <v>31</v>
      </c>
      <c r="X299" t="s">
        <v>32</v>
      </c>
    </row>
    <row r="300" spans="1:24">
      <c r="A300" t="s">
        <v>1707</v>
      </c>
      <c r="B300" s="2">
        <v>45313</v>
      </c>
      <c r="C300" s="2">
        <v>45321</v>
      </c>
      <c r="D300" s="5">
        <f>C300-B300</f>
        <v>8</v>
      </c>
      <c r="E300" s="5" t="str">
        <f>IF(D300&lt;0,"INVALID","OK")</f>
        <v>OK</v>
      </c>
      <c r="F300" t="s">
        <v>1708</v>
      </c>
      <c r="G300" t="s">
        <v>61</v>
      </c>
      <c r="H300" t="s">
        <v>36</v>
      </c>
      <c r="I300" t="s">
        <v>24</v>
      </c>
      <c r="J300" t="s">
        <v>235</v>
      </c>
      <c r="K300" t="s">
        <v>236</v>
      </c>
      <c r="L300" t="s">
        <v>27</v>
      </c>
      <c r="M300" t="s">
        <v>47</v>
      </c>
      <c r="N300" t="s">
        <v>1709</v>
      </c>
      <c r="O300" t="s">
        <v>43</v>
      </c>
      <c r="P300">
        <v>3</v>
      </c>
      <c r="Q300">
        <v>676.37</v>
      </c>
      <c r="R300">
        <v>0.05</v>
      </c>
      <c r="S300" t="str">
        <f t="shared" si="4"/>
        <v>OK</v>
      </c>
      <c r="T300">
        <v>1927.65</v>
      </c>
      <c r="U300">
        <v>1460.6</v>
      </c>
      <c r="V300">
        <v>467.05</v>
      </c>
      <c r="W300" t="s">
        <v>154</v>
      </c>
      <c r="X300" t="s">
        <v>67</v>
      </c>
    </row>
    <row r="301" spans="1:24">
      <c r="A301" t="s">
        <v>1710</v>
      </c>
      <c r="B301" s="2">
        <v>45560</v>
      </c>
      <c r="C301" s="2">
        <v>45301</v>
      </c>
      <c r="D301" s="5">
        <f>C301-B301</f>
        <v>-259</v>
      </c>
      <c r="E301" s="5" t="str">
        <f>IF(D301&lt;0,"INVALID","OK")</f>
        <v>INVALID</v>
      </c>
      <c r="F301" t="s">
        <v>1711</v>
      </c>
      <c r="G301" t="s">
        <v>161</v>
      </c>
      <c r="H301" t="s">
        <v>36</v>
      </c>
      <c r="I301" t="s">
        <v>37</v>
      </c>
      <c r="J301" t="s">
        <v>227</v>
      </c>
      <c r="K301" t="s">
        <v>228</v>
      </c>
      <c r="L301" t="s">
        <v>40</v>
      </c>
      <c r="M301" t="s">
        <v>41</v>
      </c>
      <c r="N301" t="s">
        <v>1712</v>
      </c>
      <c r="O301" t="s">
        <v>30</v>
      </c>
      <c r="P301">
        <v>9</v>
      </c>
      <c r="Q301">
        <v>3908.6</v>
      </c>
      <c r="R301">
        <v>0.15</v>
      </c>
      <c r="S301" t="str">
        <f t="shared" si="4"/>
        <v>OK</v>
      </c>
      <c r="T301">
        <v>29900.79</v>
      </c>
      <c r="U301">
        <v>24650.67</v>
      </c>
      <c r="V301">
        <v>5250.12</v>
      </c>
      <c r="W301" t="s">
        <v>31</v>
      </c>
      <c r="X301" t="s">
        <v>32</v>
      </c>
    </row>
    <row r="302" spans="1:24">
      <c r="A302" t="s">
        <v>1716</v>
      </c>
      <c r="B302" s="2">
        <v>45348</v>
      </c>
      <c r="C302" s="2">
        <v>45345</v>
      </c>
      <c r="D302" s="5">
        <f>C302-B302</f>
        <v>-3</v>
      </c>
      <c r="E302" s="5" t="str">
        <f>IF(D302&lt;0,"INVALID","OK")</f>
        <v>INVALID</v>
      </c>
      <c r="F302" t="s">
        <v>1717</v>
      </c>
      <c r="G302" t="s">
        <v>263</v>
      </c>
      <c r="H302" t="s">
        <v>23</v>
      </c>
      <c r="I302" t="s">
        <v>62</v>
      </c>
      <c r="J302" t="s">
        <v>179</v>
      </c>
      <c r="K302" t="s">
        <v>180</v>
      </c>
      <c r="L302" t="s">
        <v>40</v>
      </c>
      <c r="M302" t="s">
        <v>56</v>
      </c>
      <c r="N302" t="s">
        <v>1718</v>
      </c>
      <c r="O302" t="s">
        <v>58</v>
      </c>
      <c r="P302">
        <v>7</v>
      </c>
      <c r="Q302">
        <v>3852.07</v>
      </c>
      <c r="R302">
        <v>0.2</v>
      </c>
      <c r="S302" t="str">
        <f t="shared" si="4"/>
        <v>OK</v>
      </c>
      <c r="T302">
        <v>21571.59</v>
      </c>
      <c r="U302">
        <v>17118.07</v>
      </c>
      <c r="V302">
        <v>4453.5200000000004</v>
      </c>
      <c r="W302" t="s">
        <v>31</v>
      </c>
      <c r="X302" t="s">
        <v>32</v>
      </c>
    </row>
    <row r="303" spans="1:24">
      <c r="A303" t="s">
        <v>1722</v>
      </c>
      <c r="B303" s="2">
        <v>45552</v>
      </c>
      <c r="C303" s="2">
        <v>45558</v>
      </c>
      <c r="D303" s="5">
        <f>C303-B303</f>
        <v>6</v>
      </c>
      <c r="E303" s="5" t="str">
        <f>IF(D303&lt;0,"INVALID","OK")</f>
        <v>OK</v>
      </c>
      <c r="F303" t="s">
        <v>1723</v>
      </c>
      <c r="G303" t="s">
        <v>117</v>
      </c>
      <c r="H303" t="s">
        <v>94</v>
      </c>
      <c r="I303" t="s">
        <v>53</v>
      </c>
      <c r="J303" t="s">
        <v>184</v>
      </c>
      <c r="K303" t="s">
        <v>185</v>
      </c>
      <c r="L303" t="s">
        <v>40</v>
      </c>
      <c r="M303" t="s">
        <v>157</v>
      </c>
      <c r="N303" t="s">
        <v>1724</v>
      </c>
      <c r="O303" t="s">
        <v>30</v>
      </c>
      <c r="P303">
        <v>3</v>
      </c>
      <c r="Q303">
        <v>4067.62</v>
      </c>
      <c r="R303">
        <v>0.2</v>
      </c>
      <c r="S303" t="str">
        <f t="shared" si="4"/>
        <v>OK</v>
      </c>
      <c r="T303">
        <v>9988.5300000000007</v>
      </c>
      <c r="U303">
        <v>8368.24</v>
      </c>
      <c r="V303">
        <v>1394.05</v>
      </c>
      <c r="W303" t="s">
        <v>31</v>
      </c>
      <c r="X303" t="s">
        <v>67</v>
      </c>
    </row>
    <row r="304" spans="1:24">
      <c r="A304" t="s">
        <v>1725</v>
      </c>
      <c r="B304" s="2">
        <v>45487</v>
      </c>
      <c r="C304" s="2">
        <v>45493</v>
      </c>
      <c r="D304" s="5">
        <f>C304-B304</f>
        <v>6</v>
      </c>
      <c r="E304" s="5" t="str">
        <f>IF(D304&lt;0,"INVALID","OK")</f>
        <v>OK</v>
      </c>
      <c r="F304" t="s">
        <v>1726</v>
      </c>
      <c r="G304" t="s">
        <v>35</v>
      </c>
      <c r="H304" t="s">
        <v>23</v>
      </c>
      <c r="I304" t="s">
        <v>37</v>
      </c>
      <c r="J304" t="s">
        <v>144</v>
      </c>
      <c r="K304" t="s">
        <v>145</v>
      </c>
      <c r="L304" t="s">
        <v>73</v>
      </c>
      <c r="M304" t="s">
        <v>79</v>
      </c>
      <c r="N304" t="s">
        <v>1727</v>
      </c>
      <c r="O304" t="s">
        <v>43</v>
      </c>
      <c r="P304">
        <v>1</v>
      </c>
      <c r="Q304">
        <v>492.67</v>
      </c>
      <c r="R304">
        <v>0.15</v>
      </c>
      <c r="S304" t="str">
        <f t="shared" si="4"/>
        <v>OK</v>
      </c>
      <c r="T304">
        <v>418.77</v>
      </c>
      <c r="U304">
        <v>313.72000000000003</v>
      </c>
      <c r="V304">
        <v>105.05</v>
      </c>
      <c r="W304" t="s">
        <v>31</v>
      </c>
      <c r="X304" t="s">
        <v>32</v>
      </c>
    </row>
    <row r="305" spans="1:24">
      <c r="A305" t="s">
        <v>1731</v>
      </c>
      <c r="B305" s="2">
        <v>45439</v>
      </c>
      <c r="C305" s="2">
        <v>45442</v>
      </c>
      <c r="D305" s="5">
        <f>C305-B305</f>
        <v>3</v>
      </c>
      <c r="E305" s="5" t="str">
        <f>IF(D305&lt;0,"INVALID","OK")</f>
        <v>OK</v>
      </c>
      <c r="F305" t="s">
        <v>1732</v>
      </c>
      <c r="G305" t="s">
        <v>263</v>
      </c>
      <c r="H305" t="s">
        <v>36</v>
      </c>
      <c r="I305" t="s">
        <v>37</v>
      </c>
      <c r="J305" t="s">
        <v>227</v>
      </c>
      <c r="K305" t="s">
        <v>228</v>
      </c>
      <c r="L305" t="s">
        <v>27</v>
      </c>
      <c r="M305" t="s">
        <v>123</v>
      </c>
      <c r="N305" t="s">
        <v>1733</v>
      </c>
      <c r="O305" t="s">
        <v>43</v>
      </c>
      <c r="P305">
        <v>7</v>
      </c>
      <c r="Q305">
        <v>2900.86</v>
      </c>
      <c r="R305">
        <v>0.15</v>
      </c>
      <c r="S305" t="str">
        <f t="shared" si="4"/>
        <v>OK</v>
      </c>
      <c r="T305">
        <v>17260.12</v>
      </c>
      <c r="U305">
        <v>13513.51</v>
      </c>
      <c r="V305">
        <v>3746.61</v>
      </c>
      <c r="W305" t="s">
        <v>31</v>
      </c>
      <c r="X305" t="s">
        <v>32</v>
      </c>
    </row>
    <row r="306" spans="1:24">
      <c r="A306" t="s">
        <v>1737</v>
      </c>
      <c r="B306" s="2">
        <v>45428</v>
      </c>
      <c r="C306" s="2">
        <v>45435</v>
      </c>
      <c r="D306" s="5">
        <f>C306-B306</f>
        <v>7</v>
      </c>
      <c r="E306" s="5" t="str">
        <f>IF(D306&lt;0,"INVALID","OK")</f>
        <v>OK</v>
      </c>
      <c r="F306" t="s">
        <v>1738</v>
      </c>
      <c r="G306" t="s">
        <v>78</v>
      </c>
      <c r="H306" t="s">
        <v>36</v>
      </c>
      <c r="I306" t="s">
        <v>24</v>
      </c>
      <c r="J306" t="s">
        <v>135</v>
      </c>
      <c r="K306" t="s">
        <v>136</v>
      </c>
      <c r="L306" t="s">
        <v>73</v>
      </c>
      <c r="M306" t="s">
        <v>79</v>
      </c>
      <c r="N306" t="s">
        <v>1739</v>
      </c>
      <c r="O306" t="s">
        <v>58</v>
      </c>
      <c r="P306">
        <v>9</v>
      </c>
      <c r="Q306">
        <v>3722.09</v>
      </c>
      <c r="R306">
        <v>0.1</v>
      </c>
      <c r="S306" t="str">
        <f t="shared" si="4"/>
        <v>OK</v>
      </c>
      <c r="T306">
        <v>30148.93</v>
      </c>
      <c r="U306">
        <v>25155.07</v>
      </c>
      <c r="V306">
        <v>4993.8599999999997</v>
      </c>
      <c r="W306" t="s">
        <v>31</v>
      </c>
      <c r="X306" t="s">
        <v>32</v>
      </c>
    </row>
    <row r="307" spans="1:24">
      <c r="A307" t="s">
        <v>1740</v>
      </c>
      <c r="B307" s="2">
        <v>45441</v>
      </c>
      <c r="C307" s="2">
        <v>45441</v>
      </c>
      <c r="D307" s="5">
        <f>C307-B307</f>
        <v>0</v>
      </c>
      <c r="E307" s="5" t="str">
        <f>IF(D307&lt;0,"INVALID","OK")</f>
        <v>OK</v>
      </c>
      <c r="F307" t="s">
        <v>1741</v>
      </c>
      <c r="G307" t="s">
        <v>140</v>
      </c>
      <c r="H307" t="s">
        <v>89</v>
      </c>
      <c r="I307" t="s">
        <v>37</v>
      </c>
      <c r="J307" t="s">
        <v>144</v>
      </c>
      <c r="K307" t="s">
        <v>145</v>
      </c>
      <c r="L307" t="s">
        <v>40</v>
      </c>
      <c r="M307" t="s">
        <v>157</v>
      </c>
      <c r="N307" t="s">
        <v>1742</v>
      </c>
      <c r="O307" t="s">
        <v>43</v>
      </c>
      <c r="P307">
        <v>1</v>
      </c>
      <c r="Q307">
        <v>1072.01</v>
      </c>
      <c r="R307">
        <v>0</v>
      </c>
      <c r="S307" t="str">
        <f t="shared" si="4"/>
        <v>OK</v>
      </c>
      <c r="T307">
        <v>1072.01</v>
      </c>
      <c r="U307">
        <v>852.62</v>
      </c>
      <c r="V307">
        <v>219.39</v>
      </c>
      <c r="W307" t="s">
        <v>110</v>
      </c>
      <c r="X307" t="s">
        <v>67</v>
      </c>
    </row>
    <row r="308" spans="1:24">
      <c r="A308" t="s">
        <v>1746</v>
      </c>
      <c r="B308" s="2">
        <v>45330</v>
      </c>
      <c r="C308" s="2">
        <v>45514</v>
      </c>
      <c r="D308" s="5">
        <f>C308-B308</f>
        <v>184</v>
      </c>
      <c r="E308" s="5" t="str">
        <f>IF(D308&lt;0,"INVALID","OK")</f>
        <v>OK</v>
      </c>
      <c r="F308" t="s">
        <v>1747</v>
      </c>
      <c r="G308" t="s">
        <v>35</v>
      </c>
      <c r="H308" t="s">
        <v>94</v>
      </c>
      <c r="I308" t="s">
        <v>37</v>
      </c>
      <c r="J308" t="s">
        <v>38</v>
      </c>
      <c r="K308" t="s">
        <v>39</v>
      </c>
      <c r="L308" t="s">
        <v>73</v>
      </c>
      <c r="M308" t="s">
        <v>74</v>
      </c>
      <c r="N308" t="s">
        <v>1748</v>
      </c>
      <c r="O308" t="s">
        <v>58</v>
      </c>
      <c r="P308">
        <v>6</v>
      </c>
      <c r="Q308">
        <v>2126.44</v>
      </c>
      <c r="R308">
        <v>0.2</v>
      </c>
      <c r="S308" t="str">
        <f t="shared" si="4"/>
        <v>OK</v>
      </c>
      <c r="T308">
        <v>10206.91</v>
      </c>
      <c r="U308">
        <v>6764.53</v>
      </c>
      <c r="V308">
        <v>3442.38</v>
      </c>
      <c r="W308" t="s">
        <v>31</v>
      </c>
      <c r="X308" t="s">
        <v>32</v>
      </c>
    </row>
    <row r="309" spans="1:24">
      <c r="A309" t="s">
        <v>1749</v>
      </c>
      <c r="B309" s="2">
        <v>45349</v>
      </c>
      <c r="C309" s="2">
        <v>45349</v>
      </c>
      <c r="D309" s="5">
        <f>C309-B309</f>
        <v>0</v>
      </c>
      <c r="E309" s="5" t="str">
        <f>IF(D309&lt;0,"INVALID","OK")</f>
        <v>OK</v>
      </c>
      <c r="F309" t="s">
        <v>1750</v>
      </c>
      <c r="G309" t="s">
        <v>131</v>
      </c>
      <c r="H309" t="s">
        <v>23</v>
      </c>
      <c r="I309" t="s">
        <v>37</v>
      </c>
      <c r="J309" t="s">
        <v>227</v>
      </c>
      <c r="K309" t="s">
        <v>228</v>
      </c>
      <c r="L309" t="s">
        <v>40</v>
      </c>
      <c r="M309" t="s">
        <v>65</v>
      </c>
      <c r="N309" t="s">
        <v>1751</v>
      </c>
      <c r="O309" t="s">
        <v>30</v>
      </c>
      <c r="P309">
        <v>3</v>
      </c>
      <c r="Q309">
        <v>3148.09</v>
      </c>
      <c r="R309">
        <v>0.15</v>
      </c>
      <c r="S309" t="str">
        <f t="shared" si="4"/>
        <v>OK</v>
      </c>
      <c r="T309">
        <v>8027.63</v>
      </c>
      <c r="U309">
        <v>5496.09</v>
      </c>
      <c r="V309">
        <v>2531.54</v>
      </c>
      <c r="W309" t="s">
        <v>31</v>
      </c>
      <c r="X309" t="s">
        <v>32</v>
      </c>
    </row>
    <row r="310" spans="1:24">
      <c r="A310" t="s">
        <v>1758</v>
      </c>
      <c r="B310" s="2">
        <v>45577</v>
      </c>
      <c r="C310" s="2">
        <v>45582</v>
      </c>
      <c r="D310" s="5">
        <f>C310-B310</f>
        <v>5</v>
      </c>
      <c r="E310" s="5" t="str">
        <f>IF(D310&lt;0,"INVALID","OK")</f>
        <v>OK</v>
      </c>
      <c r="F310" t="s">
        <v>1759</v>
      </c>
      <c r="G310" t="s">
        <v>52</v>
      </c>
      <c r="H310" t="s">
        <v>23</v>
      </c>
      <c r="I310" t="s">
        <v>2762</v>
      </c>
      <c r="J310" t="s">
        <v>227</v>
      </c>
      <c r="K310" t="s">
        <v>228</v>
      </c>
      <c r="L310" t="s">
        <v>40</v>
      </c>
      <c r="M310" t="s">
        <v>56</v>
      </c>
      <c r="N310" t="s">
        <v>1760</v>
      </c>
      <c r="O310" t="s">
        <v>58</v>
      </c>
      <c r="P310">
        <v>4</v>
      </c>
      <c r="Q310">
        <v>1071.22</v>
      </c>
      <c r="R310">
        <v>0.05</v>
      </c>
      <c r="S310" t="str">
        <f t="shared" si="4"/>
        <v>OK</v>
      </c>
      <c r="T310">
        <v>4070.64</v>
      </c>
      <c r="U310">
        <v>2831.62</v>
      </c>
      <c r="V310">
        <v>1239.02</v>
      </c>
      <c r="W310" t="s">
        <v>31</v>
      </c>
      <c r="X310" t="s">
        <v>32</v>
      </c>
    </row>
    <row r="311" spans="1:24">
      <c r="A311" t="s">
        <v>1764</v>
      </c>
      <c r="B311" s="2">
        <v>45466</v>
      </c>
      <c r="C311" s="2">
        <v>45472</v>
      </c>
      <c r="D311" s="5">
        <f>C311-B311</f>
        <v>6</v>
      </c>
      <c r="E311" s="5" t="str">
        <f>IF(D311&lt;0,"INVALID","OK")</f>
        <v>OK</v>
      </c>
      <c r="F311" t="s">
        <v>1765</v>
      </c>
      <c r="G311" t="s">
        <v>78</v>
      </c>
      <c r="H311" t="s">
        <v>23</v>
      </c>
      <c r="I311" t="s">
        <v>24</v>
      </c>
      <c r="J311" t="s">
        <v>235</v>
      </c>
      <c r="K311" t="s">
        <v>236</v>
      </c>
      <c r="L311" t="s">
        <v>40</v>
      </c>
      <c r="M311" t="s">
        <v>41</v>
      </c>
      <c r="N311" t="s">
        <v>1766</v>
      </c>
      <c r="O311" t="s">
        <v>49</v>
      </c>
      <c r="P311">
        <v>1</v>
      </c>
      <c r="Q311">
        <v>4426.66</v>
      </c>
      <c r="R311">
        <v>0</v>
      </c>
      <c r="S311" t="str">
        <f t="shared" si="4"/>
        <v>OK</v>
      </c>
      <c r="T311">
        <v>4426.66</v>
      </c>
      <c r="U311">
        <v>3035.2</v>
      </c>
      <c r="V311">
        <v>1816.23</v>
      </c>
      <c r="W311" t="s">
        <v>31</v>
      </c>
      <c r="X311" t="s">
        <v>102</v>
      </c>
    </row>
    <row r="312" spans="1:24">
      <c r="A312" t="s">
        <v>1767</v>
      </c>
      <c r="B312" s="2">
        <v>45420</v>
      </c>
      <c r="C312" s="2">
        <v>45426</v>
      </c>
      <c r="D312" s="5">
        <f>C312-B312</f>
        <v>6</v>
      </c>
      <c r="E312" s="5" t="str">
        <f>IF(D312&lt;0,"INVALID","OK")</f>
        <v>OK</v>
      </c>
      <c r="F312" t="s">
        <v>1768</v>
      </c>
      <c r="G312" t="s">
        <v>70</v>
      </c>
      <c r="H312" t="s">
        <v>94</v>
      </c>
      <c r="I312" t="s">
        <v>24</v>
      </c>
      <c r="J312" t="s">
        <v>235</v>
      </c>
      <c r="K312" t="s">
        <v>236</v>
      </c>
      <c r="L312" t="s">
        <v>73</v>
      </c>
      <c r="M312" t="s">
        <v>170</v>
      </c>
      <c r="N312" t="s">
        <v>1769</v>
      </c>
      <c r="O312" t="s">
        <v>49</v>
      </c>
      <c r="P312">
        <v>9</v>
      </c>
      <c r="Q312">
        <v>3769.46</v>
      </c>
      <c r="R312">
        <v>0.05</v>
      </c>
      <c r="S312" t="str">
        <f t="shared" si="4"/>
        <v>OK</v>
      </c>
      <c r="T312">
        <v>32228.880000000001</v>
      </c>
      <c r="U312">
        <v>24971.360000000001</v>
      </c>
      <c r="V312">
        <v>7257.52</v>
      </c>
      <c r="W312" t="s">
        <v>31</v>
      </c>
      <c r="X312" t="s">
        <v>67</v>
      </c>
    </row>
    <row r="313" spans="1:24">
      <c r="A313" t="s">
        <v>1776</v>
      </c>
      <c r="B313" s="2">
        <v>45307</v>
      </c>
      <c r="C313" s="2">
        <v>45313</v>
      </c>
      <c r="D313" s="5">
        <f>C313-B313</f>
        <v>6</v>
      </c>
      <c r="E313" s="5" t="str">
        <f>IF(D313&lt;0,"INVALID","OK")</f>
        <v>OK</v>
      </c>
      <c r="F313" t="s">
        <v>1777</v>
      </c>
      <c r="G313" t="s">
        <v>52</v>
      </c>
      <c r="H313" t="s">
        <v>23</v>
      </c>
      <c r="I313" t="s">
        <v>62</v>
      </c>
      <c r="J313" t="s">
        <v>189</v>
      </c>
      <c r="K313" t="s">
        <v>190</v>
      </c>
      <c r="L313" t="s">
        <v>27</v>
      </c>
      <c r="M313" t="s">
        <v>123</v>
      </c>
      <c r="N313" t="s">
        <v>1778</v>
      </c>
      <c r="O313" t="s">
        <v>58</v>
      </c>
      <c r="P313">
        <v>4</v>
      </c>
      <c r="Q313">
        <v>282.52999999999997</v>
      </c>
      <c r="R313">
        <v>0</v>
      </c>
      <c r="S313" t="str">
        <f t="shared" si="4"/>
        <v>OK</v>
      </c>
      <c r="T313">
        <v>1130.1199999999999</v>
      </c>
      <c r="U313">
        <v>848.62</v>
      </c>
      <c r="V313">
        <v>281.5</v>
      </c>
      <c r="W313" t="s">
        <v>31</v>
      </c>
      <c r="X313" t="s">
        <v>67</v>
      </c>
    </row>
    <row r="314" spans="1:24">
      <c r="A314" t="s">
        <v>1782</v>
      </c>
      <c r="B314" s="2">
        <v>45422</v>
      </c>
      <c r="C314" s="2">
        <v>45428</v>
      </c>
      <c r="D314" s="5">
        <f>C314-B314</f>
        <v>6</v>
      </c>
      <c r="E314" s="5" t="str">
        <f>IF(D314&lt;0,"INVALID","OK")</f>
        <v>OK</v>
      </c>
      <c r="F314" t="s">
        <v>1783</v>
      </c>
      <c r="G314" t="s">
        <v>22</v>
      </c>
      <c r="H314" t="s">
        <v>23</v>
      </c>
      <c r="I314" t="s">
        <v>24</v>
      </c>
      <c r="J314" t="s">
        <v>121</v>
      </c>
      <c r="K314" t="s">
        <v>122</v>
      </c>
      <c r="L314" t="s">
        <v>27</v>
      </c>
      <c r="M314" t="s">
        <v>152</v>
      </c>
      <c r="N314" t="s">
        <v>1784</v>
      </c>
      <c r="O314" t="s">
        <v>43</v>
      </c>
      <c r="P314">
        <v>7</v>
      </c>
      <c r="Q314">
        <v>121.54</v>
      </c>
      <c r="R314">
        <v>0.2</v>
      </c>
      <c r="S314" t="str">
        <f t="shared" si="4"/>
        <v>OK</v>
      </c>
      <c r="T314">
        <v>680.62</v>
      </c>
      <c r="U314">
        <v>463.49</v>
      </c>
      <c r="V314">
        <v>217.13</v>
      </c>
      <c r="W314" t="s">
        <v>154</v>
      </c>
      <c r="X314" t="s">
        <v>102</v>
      </c>
    </row>
    <row r="315" spans="1:24">
      <c r="A315" t="s">
        <v>1785</v>
      </c>
      <c r="B315" s="2">
        <v>45418</v>
      </c>
      <c r="C315" s="2">
        <v>45631</v>
      </c>
      <c r="D315" s="5">
        <f>C315-B315</f>
        <v>213</v>
      </c>
      <c r="E315" s="5" t="str">
        <f>IF(D315&lt;0,"INVALID","OK")</f>
        <v>OK</v>
      </c>
      <c r="F315" t="s">
        <v>1786</v>
      </c>
      <c r="G315" t="s">
        <v>52</v>
      </c>
      <c r="H315" t="s">
        <v>89</v>
      </c>
      <c r="I315" t="s">
        <v>62</v>
      </c>
      <c r="J315" t="s">
        <v>189</v>
      </c>
      <c r="K315" t="s">
        <v>190</v>
      </c>
      <c r="L315" t="s">
        <v>40</v>
      </c>
      <c r="M315" t="s">
        <v>41</v>
      </c>
      <c r="N315" t="s">
        <v>1787</v>
      </c>
      <c r="O315" t="s">
        <v>58</v>
      </c>
      <c r="P315">
        <v>9</v>
      </c>
      <c r="Q315">
        <v>790.97</v>
      </c>
      <c r="R315">
        <v>0.2</v>
      </c>
      <c r="S315" t="str">
        <f t="shared" si="4"/>
        <v>OK</v>
      </c>
      <c r="T315">
        <v>5694.98</v>
      </c>
      <c r="U315">
        <v>4618.33</v>
      </c>
      <c r="V315">
        <v>1076.6500000000001</v>
      </c>
      <c r="W315" t="s">
        <v>110</v>
      </c>
      <c r="X315" t="s">
        <v>67</v>
      </c>
    </row>
    <row r="316" spans="1:24">
      <c r="A316" t="s">
        <v>1788</v>
      </c>
      <c r="B316" s="2">
        <v>45606</v>
      </c>
      <c r="C316" s="2">
        <v>45610</v>
      </c>
      <c r="D316" s="5">
        <f>C316-B316</f>
        <v>4</v>
      </c>
      <c r="E316" s="5" t="str">
        <f>IF(D316&lt;0,"INVALID","OK")</f>
        <v>OK</v>
      </c>
      <c r="F316" t="s">
        <v>1789</v>
      </c>
      <c r="G316" t="s">
        <v>131</v>
      </c>
      <c r="H316" t="s">
        <v>89</v>
      </c>
      <c r="I316" t="s">
        <v>53</v>
      </c>
      <c r="J316" t="s">
        <v>83</v>
      </c>
      <c r="K316" t="s">
        <v>84</v>
      </c>
      <c r="L316" t="s">
        <v>40</v>
      </c>
      <c r="M316" t="s">
        <v>41</v>
      </c>
      <c r="N316" t="s">
        <v>1790</v>
      </c>
      <c r="O316" t="s">
        <v>49</v>
      </c>
      <c r="P316">
        <v>2</v>
      </c>
      <c r="Q316">
        <v>921.34</v>
      </c>
      <c r="R316">
        <v>0.2</v>
      </c>
      <c r="S316" t="str">
        <f t="shared" si="4"/>
        <v>OK</v>
      </c>
      <c r="T316">
        <v>1474.14</v>
      </c>
      <c r="U316">
        <v>968.46</v>
      </c>
      <c r="V316">
        <v>505.68</v>
      </c>
      <c r="W316" t="s">
        <v>31</v>
      </c>
      <c r="X316" t="s">
        <v>32</v>
      </c>
    </row>
    <row r="317" spans="1:24">
      <c r="A317" t="s">
        <v>1794</v>
      </c>
      <c r="B317" s="2">
        <v>45515</v>
      </c>
      <c r="C317" s="2">
        <v>45523</v>
      </c>
      <c r="D317" s="5">
        <f>C317-B317</f>
        <v>8</v>
      </c>
      <c r="E317" s="5" t="str">
        <f>IF(D317&lt;0,"INVALID","OK")</f>
        <v>OK</v>
      </c>
      <c r="F317" t="s">
        <v>1795</v>
      </c>
      <c r="G317" t="s">
        <v>131</v>
      </c>
      <c r="H317" t="s">
        <v>36</v>
      </c>
      <c r="I317" t="s">
        <v>62</v>
      </c>
      <c r="J317" t="s">
        <v>63</v>
      </c>
      <c r="K317" t="s">
        <v>64</v>
      </c>
      <c r="L317" t="s">
        <v>27</v>
      </c>
      <c r="M317" t="s">
        <v>28</v>
      </c>
      <c r="N317" t="s">
        <v>1796</v>
      </c>
      <c r="O317" t="s">
        <v>43</v>
      </c>
      <c r="P317">
        <v>2</v>
      </c>
      <c r="Q317">
        <v>2617.89</v>
      </c>
      <c r="R317">
        <v>0.1</v>
      </c>
      <c r="S317" t="str">
        <f t="shared" si="4"/>
        <v>OK</v>
      </c>
      <c r="T317">
        <v>4712.2</v>
      </c>
      <c r="U317">
        <v>3851.91</v>
      </c>
      <c r="V317">
        <v>860.29</v>
      </c>
      <c r="W317" t="s">
        <v>154</v>
      </c>
      <c r="X317" t="s">
        <v>102</v>
      </c>
    </row>
    <row r="318" spans="1:24">
      <c r="A318" t="s">
        <v>1797</v>
      </c>
      <c r="B318" s="2">
        <v>45328</v>
      </c>
      <c r="C318" s="2">
        <v>45567</v>
      </c>
      <c r="D318" s="5">
        <f>C318-B318</f>
        <v>239</v>
      </c>
      <c r="E318" s="5" t="str">
        <f>IF(D318&lt;0,"INVALID","OK")</f>
        <v>OK</v>
      </c>
      <c r="F318" t="s">
        <v>1798</v>
      </c>
      <c r="G318" t="s">
        <v>52</v>
      </c>
      <c r="H318" t="s">
        <v>94</v>
      </c>
      <c r="I318" t="s">
        <v>24</v>
      </c>
      <c r="J318" t="s">
        <v>135</v>
      </c>
      <c r="K318" t="s">
        <v>136</v>
      </c>
      <c r="L318" t="s">
        <v>40</v>
      </c>
      <c r="M318" t="s">
        <v>56</v>
      </c>
      <c r="N318" t="s">
        <v>596</v>
      </c>
      <c r="O318" t="s">
        <v>43</v>
      </c>
      <c r="P318">
        <v>1</v>
      </c>
      <c r="Q318">
        <v>1374.06</v>
      </c>
      <c r="R318">
        <v>0.05</v>
      </c>
      <c r="S318" t="str">
        <f t="shared" si="4"/>
        <v>OK</v>
      </c>
      <c r="T318">
        <v>1305.3599999999999</v>
      </c>
      <c r="U318">
        <v>731.89</v>
      </c>
      <c r="V318">
        <v>573.47</v>
      </c>
      <c r="W318" t="s">
        <v>31</v>
      </c>
      <c r="X318" t="s">
        <v>32</v>
      </c>
    </row>
    <row r="319" spans="1:24">
      <c r="A319" t="s">
        <v>1799</v>
      </c>
      <c r="B319" s="2">
        <v>45312</v>
      </c>
      <c r="C319" s="2">
        <v>45315</v>
      </c>
      <c r="D319" s="5">
        <f>C319-B319</f>
        <v>3</v>
      </c>
      <c r="E319" s="5" t="str">
        <f>IF(D319&lt;0,"INVALID","OK")</f>
        <v>OK</v>
      </c>
      <c r="F319" t="s">
        <v>1800</v>
      </c>
      <c r="G319" t="s">
        <v>263</v>
      </c>
      <c r="H319" t="s">
        <v>89</v>
      </c>
      <c r="I319" t="s">
        <v>24</v>
      </c>
      <c r="J319" t="s">
        <v>121</v>
      </c>
      <c r="K319" t="s">
        <v>122</v>
      </c>
      <c r="L319" t="s">
        <v>73</v>
      </c>
      <c r="M319" t="s">
        <v>273</v>
      </c>
      <c r="N319" t="s">
        <v>1801</v>
      </c>
      <c r="O319" t="s">
        <v>43</v>
      </c>
      <c r="P319">
        <v>1</v>
      </c>
      <c r="Q319">
        <v>3806.3</v>
      </c>
      <c r="R319">
        <v>0.25</v>
      </c>
      <c r="S319" t="str">
        <f t="shared" si="4"/>
        <v>OK</v>
      </c>
      <c r="T319">
        <v>2854.73</v>
      </c>
      <c r="U319">
        <v>1968.12</v>
      </c>
      <c r="V319">
        <v>886.61</v>
      </c>
      <c r="W319" t="s">
        <v>31</v>
      </c>
      <c r="X319" t="s">
        <v>32</v>
      </c>
    </row>
    <row r="320" spans="1:24">
      <c r="A320" t="s">
        <v>1811</v>
      </c>
      <c r="B320" s="2">
        <v>45293</v>
      </c>
      <c r="C320" s="2">
        <v>45536</v>
      </c>
      <c r="D320" s="5">
        <f>C320-B320</f>
        <v>243</v>
      </c>
      <c r="E320" s="5" t="str">
        <f>IF(D320&lt;0,"INVALID","OK")</f>
        <v>OK</v>
      </c>
      <c r="F320" t="s">
        <v>1812</v>
      </c>
      <c r="G320" t="s">
        <v>161</v>
      </c>
      <c r="H320" t="s">
        <v>89</v>
      </c>
      <c r="I320" t="s">
        <v>24</v>
      </c>
      <c r="J320" t="s">
        <v>349</v>
      </c>
      <c r="K320" t="s">
        <v>350</v>
      </c>
      <c r="L320" t="s">
        <v>73</v>
      </c>
      <c r="M320" t="s">
        <v>170</v>
      </c>
      <c r="N320" t="s">
        <v>1813</v>
      </c>
      <c r="O320" t="s">
        <v>58</v>
      </c>
      <c r="P320">
        <v>3</v>
      </c>
      <c r="Q320">
        <v>739.56</v>
      </c>
      <c r="R320">
        <v>0.2</v>
      </c>
      <c r="S320" t="str">
        <f t="shared" si="4"/>
        <v>OK</v>
      </c>
      <c r="T320">
        <v>1774.94</v>
      </c>
      <c r="U320">
        <v>1007.4</v>
      </c>
      <c r="V320">
        <v>767.54</v>
      </c>
      <c r="W320" t="s">
        <v>31</v>
      </c>
      <c r="X320" t="s">
        <v>32</v>
      </c>
    </row>
    <row r="321" spans="1:24">
      <c r="A321" t="s">
        <v>1817</v>
      </c>
      <c r="B321" s="2">
        <v>45342</v>
      </c>
      <c r="C321" s="2">
        <v>45347</v>
      </c>
      <c r="D321" s="5">
        <f>C321-B321</f>
        <v>5</v>
      </c>
      <c r="E321" s="5" t="str">
        <f>IF(D321&lt;0,"INVALID","OK")</f>
        <v>OK</v>
      </c>
      <c r="F321" t="s">
        <v>801</v>
      </c>
      <c r="G321" t="s">
        <v>161</v>
      </c>
      <c r="H321" t="s">
        <v>94</v>
      </c>
      <c r="I321" t="s">
        <v>24</v>
      </c>
      <c r="J321" t="s">
        <v>121</v>
      </c>
      <c r="K321" t="s">
        <v>122</v>
      </c>
      <c r="L321" t="s">
        <v>73</v>
      </c>
      <c r="M321" t="s">
        <v>273</v>
      </c>
      <c r="N321" t="s">
        <v>1818</v>
      </c>
      <c r="O321" t="s">
        <v>58</v>
      </c>
      <c r="P321">
        <v>4</v>
      </c>
      <c r="Q321">
        <v>1355.8</v>
      </c>
      <c r="R321">
        <v>0</v>
      </c>
      <c r="S321" t="str">
        <f t="shared" si="4"/>
        <v>OK</v>
      </c>
      <c r="T321">
        <v>5423.2</v>
      </c>
      <c r="U321">
        <v>4072.44</v>
      </c>
      <c r="V321">
        <v>1350.76</v>
      </c>
      <c r="W321" t="s">
        <v>31</v>
      </c>
      <c r="X321" t="s">
        <v>32</v>
      </c>
    </row>
    <row r="322" spans="1:24">
      <c r="A322" t="s">
        <v>1822</v>
      </c>
      <c r="B322" s="2">
        <v>45339</v>
      </c>
      <c r="C322" s="2">
        <v>45345</v>
      </c>
      <c r="D322" s="5">
        <f>C322-B322</f>
        <v>6</v>
      </c>
      <c r="E322" s="5" t="str">
        <f>IF(D322&lt;0,"INVALID","OK")</f>
        <v>OK</v>
      </c>
      <c r="F322" t="s">
        <v>1823</v>
      </c>
      <c r="G322" t="s">
        <v>140</v>
      </c>
      <c r="H322" t="s">
        <v>94</v>
      </c>
      <c r="I322" t="s">
        <v>2762</v>
      </c>
      <c r="J322" t="s">
        <v>144</v>
      </c>
      <c r="K322" t="s">
        <v>145</v>
      </c>
      <c r="L322" t="s">
        <v>27</v>
      </c>
      <c r="M322" t="s">
        <v>152</v>
      </c>
      <c r="N322" t="s">
        <v>1824</v>
      </c>
      <c r="O322" t="s">
        <v>58</v>
      </c>
      <c r="P322">
        <v>9</v>
      </c>
      <c r="Q322">
        <v>2614.46</v>
      </c>
      <c r="R322">
        <v>0</v>
      </c>
      <c r="S322" t="str">
        <f t="shared" si="4"/>
        <v>OK</v>
      </c>
      <c r="T322">
        <v>23530.14</v>
      </c>
      <c r="U322">
        <v>19537.79</v>
      </c>
      <c r="V322">
        <v>3992.35</v>
      </c>
      <c r="W322" t="s">
        <v>101</v>
      </c>
      <c r="X322" t="s">
        <v>102</v>
      </c>
    </row>
    <row r="323" spans="1:24">
      <c r="A323" t="s">
        <v>1828</v>
      </c>
      <c r="B323" s="2">
        <v>45343</v>
      </c>
      <c r="C323" s="2">
        <v>45345</v>
      </c>
      <c r="D323" s="5">
        <f>C323-B323</f>
        <v>2</v>
      </c>
      <c r="E323" s="5" t="str">
        <f>IF(D323&lt;0,"INVALID","OK")</f>
        <v>OK</v>
      </c>
      <c r="F323" t="s">
        <v>294</v>
      </c>
      <c r="G323" t="s">
        <v>78</v>
      </c>
      <c r="H323" t="s">
        <v>36</v>
      </c>
      <c r="I323" t="s">
        <v>62</v>
      </c>
      <c r="J323" t="s">
        <v>179</v>
      </c>
      <c r="K323" t="s">
        <v>180</v>
      </c>
      <c r="L323" t="s">
        <v>73</v>
      </c>
      <c r="M323" t="s">
        <v>79</v>
      </c>
      <c r="N323" t="s">
        <v>1829</v>
      </c>
      <c r="O323" t="s">
        <v>49</v>
      </c>
      <c r="P323">
        <v>6</v>
      </c>
      <c r="Q323">
        <v>2633.65</v>
      </c>
      <c r="R323">
        <v>0.05</v>
      </c>
      <c r="S323" t="str">
        <f t="shared" ref="S323:S386" si="5">IF(R323&lt;0,"INVALID",IF(R323&gt;0.5,"INVALID","OK"))</f>
        <v>OK</v>
      </c>
      <c r="T323">
        <v>15011.81</v>
      </c>
      <c r="U323">
        <v>9660.36</v>
      </c>
      <c r="V323">
        <v>5351.45</v>
      </c>
      <c r="W323" t="s">
        <v>31</v>
      </c>
      <c r="X323" t="s">
        <v>32</v>
      </c>
    </row>
    <row r="324" spans="1:24">
      <c r="A324" t="s">
        <v>1830</v>
      </c>
      <c r="B324" s="2">
        <v>45462</v>
      </c>
      <c r="C324" s="2">
        <v>45467</v>
      </c>
      <c r="D324" s="5">
        <f>C324-B324</f>
        <v>5</v>
      </c>
      <c r="E324" s="5" t="str">
        <f>IF(D324&lt;0,"INVALID","OK")</f>
        <v>OK</v>
      </c>
      <c r="F324" t="s">
        <v>1831</v>
      </c>
      <c r="G324" t="s">
        <v>127</v>
      </c>
      <c r="H324" t="s">
        <v>36</v>
      </c>
      <c r="I324" t="s">
        <v>53</v>
      </c>
      <c r="J324" t="s">
        <v>246</v>
      </c>
      <c r="K324" t="s">
        <v>247</v>
      </c>
      <c r="L324" t="s">
        <v>27</v>
      </c>
      <c r="M324" t="s">
        <v>123</v>
      </c>
      <c r="N324" t="s">
        <v>1832</v>
      </c>
      <c r="O324" t="s">
        <v>43</v>
      </c>
      <c r="P324">
        <v>1</v>
      </c>
      <c r="Q324">
        <v>3202.41</v>
      </c>
      <c r="R324">
        <v>0</v>
      </c>
      <c r="S324" t="str">
        <f t="shared" si="5"/>
        <v>OK</v>
      </c>
      <c r="T324">
        <v>3202.41</v>
      </c>
      <c r="U324">
        <v>2608.44</v>
      </c>
      <c r="V324">
        <v>593.97</v>
      </c>
      <c r="W324" t="s">
        <v>31</v>
      </c>
      <c r="X324" t="s">
        <v>32</v>
      </c>
    </row>
    <row r="325" spans="1:24">
      <c r="A325" t="s">
        <v>1839</v>
      </c>
      <c r="B325" s="2">
        <v>45580</v>
      </c>
      <c r="C325" s="2">
        <v>45585</v>
      </c>
      <c r="D325" s="5">
        <f>C325-B325</f>
        <v>5</v>
      </c>
      <c r="E325" s="5" t="str">
        <f>IF(D325&lt;0,"INVALID","OK")</f>
        <v>OK</v>
      </c>
      <c r="F325" t="s">
        <v>1840</v>
      </c>
      <c r="G325" t="s">
        <v>61</v>
      </c>
      <c r="H325" t="s">
        <v>23</v>
      </c>
      <c r="I325" t="s">
        <v>37</v>
      </c>
      <c r="J325" t="s">
        <v>38</v>
      </c>
      <c r="K325" t="s">
        <v>39</v>
      </c>
      <c r="L325" t="s">
        <v>27</v>
      </c>
      <c r="M325" t="s">
        <v>47</v>
      </c>
      <c r="N325" t="s">
        <v>1841</v>
      </c>
      <c r="O325" t="s">
        <v>49</v>
      </c>
      <c r="P325">
        <v>5</v>
      </c>
      <c r="Q325">
        <v>671.24</v>
      </c>
      <c r="R325">
        <v>0</v>
      </c>
      <c r="S325" t="str">
        <f t="shared" si="5"/>
        <v>OK</v>
      </c>
      <c r="T325">
        <v>3356.2</v>
      </c>
      <c r="U325">
        <v>2205.7199999999998</v>
      </c>
      <c r="V325">
        <v>1150.48</v>
      </c>
      <c r="W325" t="s">
        <v>110</v>
      </c>
      <c r="X325" t="s">
        <v>102</v>
      </c>
    </row>
    <row r="326" spans="1:24">
      <c r="A326" t="s">
        <v>1842</v>
      </c>
      <c r="B326" s="2">
        <v>45350</v>
      </c>
      <c r="C326" s="2">
        <v>45350</v>
      </c>
      <c r="D326" s="5">
        <f>C326-B326</f>
        <v>0</v>
      </c>
      <c r="E326" s="5" t="str">
        <f>IF(D326&lt;0,"INVALID","OK")</f>
        <v>OK</v>
      </c>
      <c r="F326" t="s">
        <v>1843</v>
      </c>
      <c r="G326" t="s">
        <v>140</v>
      </c>
      <c r="H326" t="s">
        <v>36</v>
      </c>
      <c r="I326" t="s">
        <v>37</v>
      </c>
      <c r="J326" t="s">
        <v>98</v>
      </c>
      <c r="K326" t="s">
        <v>99</v>
      </c>
      <c r="L326" t="s">
        <v>27</v>
      </c>
      <c r="M326" t="s">
        <v>123</v>
      </c>
      <c r="N326" t="s">
        <v>1844</v>
      </c>
      <c r="O326" t="s">
        <v>49</v>
      </c>
      <c r="P326">
        <v>1</v>
      </c>
      <c r="Q326">
        <v>2626.84</v>
      </c>
      <c r="R326">
        <v>0.2</v>
      </c>
      <c r="S326" t="str">
        <f t="shared" si="5"/>
        <v>OK</v>
      </c>
      <c r="T326">
        <v>2101.4699999999998</v>
      </c>
      <c r="U326">
        <v>1217.83</v>
      </c>
      <c r="V326">
        <v>883.64</v>
      </c>
      <c r="W326" t="s">
        <v>154</v>
      </c>
      <c r="X326" t="s">
        <v>102</v>
      </c>
    </row>
    <row r="327" spans="1:24">
      <c r="A327" t="s">
        <v>1845</v>
      </c>
      <c r="B327" s="2">
        <v>45508</v>
      </c>
      <c r="C327" s="2">
        <v>45573</v>
      </c>
      <c r="D327" s="5">
        <f>C327-B327</f>
        <v>65</v>
      </c>
      <c r="E327" s="5" t="str">
        <f>IF(D327&lt;0,"INVALID","OK")</f>
        <v>OK</v>
      </c>
      <c r="F327" t="s">
        <v>1846</v>
      </c>
      <c r="G327" t="s">
        <v>70</v>
      </c>
      <c r="H327" t="s">
        <v>23</v>
      </c>
      <c r="I327" t="s">
        <v>37</v>
      </c>
      <c r="J327" t="s">
        <v>144</v>
      </c>
      <c r="K327" t="s">
        <v>145</v>
      </c>
      <c r="L327" t="s">
        <v>27</v>
      </c>
      <c r="M327" t="s">
        <v>47</v>
      </c>
      <c r="N327" t="s">
        <v>1847</v>
      </c>
      <c r="O327" t="s">
        <v>43</v>
      </c>
      <c r="P327">
        <v>1</v>
      </c>
      <c r="Q327">
        <v>984.93</v>
      </c>
      <c r="R327">
        <v>0.15</v>
      </c>
      <c r="S327" t="str">
        <f t="shared" si="5"/>
        <v>OK</v>
      </c>
      <c r="T327">
        <v>837.19</v>
      </c>
      <c r="U327">
        <v>583.79</v>
      </c>
      <c r="V327">
        <v>253.4</v>
      </c>
      <c r="W327" t="s">
        <v>110</v>
      </c>
      <c r="X327" t="s">
        <v>102</v>
      </c>
    </row>
    <row r="328" spans="1:24">
      <c r="A328" t="s">
        <v>1860</v>
      </c>
      <c r="B328" s="2">
        <v>45632</v>
      </c>
      <c r="C328" s="2">
        <v>45638</v>
      </c>
      <c r="D328" s="5">
        <f>C328-B328</f>
        <v>6</v>
      </c>
      <c r="E328" s="5" t="str">
        <f>IF(D328&lt;0,"INVALID","OK")</f>
        <v>OK</v>
      </c>
      <c r="F328" t="s">
        <v>1861</v>
      </c>
      <c r="G328" t="s">
        <v>140</v>
      </c>
      <c r="H328" t="s">
        <v>89</v>
      </c>
      <c r="I328" t="s">
        <v>24</v>
      </c>
      <c r="J328" t="s">
        <v>135</v>
      </c>
      <c r="K328" t="s">
        <v>136</v>
      </c>
      <c r="L328" t="s">
        <v>73</v>
      </c>
      <c r="M328" t="s">
        <v>170</v>
      </c>
      <c r="N328" t="s">
        <v>1862</v>
      </c>
      <c r="O328" t="s">
        <v>49</v>
      </c>
      <c r="P328">
        <v>3</v>
      </c>
      <c r="Q328">
        <v>524.75</v>
      </c>
      <c r="R328">
        <v>0</v>
      </c>
      <c r="S328" t="str">
        <f t="shared" si="5"/>
        <v>OK</v>
      </c>
      <c r="T328">
        <v>1574.25</v>
      </c>
      <c r="U328">
        <v>1326.12</v>
      </c>
      <c r="V328">
        <v>248.13</v>
      </c>
      <c r="W328" t="s">
        <v>31</v>
      </c>
      <c r="X328" t="s">
        <v>32</v>
      </c>
    </row>
    <row r="329" spans="1:24">
      <c r="A329" t="s">
        <v>1863</v>
      </c>
      <c r="B329" s="2">
        <v>45441</v>
      </c>
      <c r="C329" s="2">
        <v>45441</v>
      </c>
      <c r="D329" s="5">
        <f>C329-B329</f>
        <v>0</v>
      </c>
      <c r="E329" s="5" t="str">
        <f>IF(D329&lt;0,"INVALID","OK")</f>
        <v>OK</v>
      </c>
      <c r="F329" t="s">
        <v>1864</v>
      </c>
      <c r="G329" t="s">
        <v>127</v>
      </c>
      <c r="H329" t="s">
        <v>94</v>
      </c>
      <c r="I329" t="s">
        <v>24</v>
      </c>
      <c r="J329" t="s">
        <v>349</v>
      </c>
      <c r="K329" t="s">
        <v>350</v>
      </c>
      <c r="L329" t="s">
        <v>40</v>
      </c>
      <c r="M329" t="s">
        <v>65</v>
      </c>
      <c r="N329" t="s">
        <v>1865</v>
      </c>
      <c r="O329" t="s">
        <v>43</v>
      </c>
      <c r="P329">
        <v>6</v>
      </c>
      <c r="Q329">
        <v>3430.35</v>
      </c>
      <c r="R329">
        <v>0</v>
      </c>
      <c r="S329" t="str">
        <f t="shared" si="5"/>
        <v>OK</v>
      </c>
      <c r="T329">
        <v>20582.099999999999</v>
      </c>
      <c r="U329">
        <v>15897.65</v>
      </c>
      <c r="V329">
        <v>4684.45</v>
      </c>
      <c r="W329" t="s">
        <v>110</v>
      </c>
      <c r="X329" t="s">
        <v>67</v>
      </c>
    </row>
    <row r="330" spans="1:24">
      <c r="A330" t="s">
        <v>1866</v>
      </c>
      <c r="B330" s="2">
        <v>45344</v>
      </c>
      <c r="C330" s="2">
        <v>45346</v>
      </c>
      <c r="D330" s="5">
        <f>C330-B330</f>
        <v>2</v>
      </c>
      <c r="E330" s="5" t="str">
        <f>IF(D330&lt;0,"INVALID","OK")</f>
        <v>OK</v>
      </c>
      <c r="F330" t="s">
        <v>1867</v>
      </c>
      <c r="G330" t="s">
        <v>131</v>
      </c>
      <c r="H330" t="s">
        <v>23</v>
      </c>
      <c r="I330" t="s">
        <v>53</v>
      </c>
      <c r="J330" t="s">
        <v>174</v>
      </c>
      <c r="K330" t="s">
        <v>175</v>
      </c>
      <c r="L330" t="s">
        <v>73</v>
      </c>
      <c r="M330" t="s">
        <v>79</v>
      </c>
      <c r="N330" t="s">
        <v>1868</v>
      </c>
      <c r="O330" t="s">
        <v>49</v>
      </c>
      <c r="P330">
        <v>3</v>
      </c>
      <c r="Q330">
        <v>3545.08</v>
      </c>
      <c r="R330">
        <v>0</v>
      </c>
      <c r="S330" t="str">
        <f t="shared" si="5"/>
        <v>OK</v>
      </c>
      <c r="T330">
        <v>10635.24</v>
      </c>
      <c r="U330">
        <v>6031.88</v>
      </c>
      <c r="V330">
        <v>4603.3599999999997</v>
      </c>
      <c r="W330" t="s">
        <v>154</v>
      </c>
      <c r="X330" t="s">
        <v>102</v>
      </c>
    </row>
    <row r="331" spans="1:24">
      <c r="A331" t="s">
        <v>1869</v>
      </c>
      <c r="B331" s="2">
        <v>45385</v>
      </c>
      <c r="C331" s="2">
        <v>45360</v>
      </c>
      <c r="D331" s="5">
        <f>C331-B331</f>
        <v>-25</v>
      </c>
      <c r="E331" s="5" t="str">
        <f>IF(D331&lt;0,"INVALID","OK")</f>
        <v>INVALID</v>
      </c>
      <c r="F331" t="s">
        <v>1870</v>
      </c>
      <c r="G331" t="s">
        <v>35</v>
      </c>
      <c r="H331" t="s">
        <v>23</v>
      </c>
      <c r="I331" t="s">
        <v>37</v>
      </c>
      <c r="J331" t="s">
        <v>98</v>
      </c>
      <c r="K331" t="s">
        <v>99</v>
      </c>
      <c r="L331" t="s">
        <v>73</v>
      </c>
      <c r="M331" t="s">
        <v>74</v>
      </c>
      <c r="N331" t="s">
        <v>1871</v>
      </c>
      <c r="O331" t="s">
        <v>43</v>
      </c>
      <c r="P331">
        <v>8</v>
      </c>
      <c r="Q331">
        <v>4401.41</v>
      </c>
      <c r="R331">
        <v>0.15</v>
      </c>
      <c r="S331" t="str">
        <f t="shared" si="5"/>
        <v>OK</v>
      </c>
      <c r="T331">
        <v>29929.59</v>
      </c>
      <c r="U331">
        <v>22436.03</v>
      </c>
      <c r="V331">
        <v>7493.56</v>
      </c>
      <c r="W331" t="s">
        <v>31</v>
      </c>
      <c r="X331" t="s">
        <v>32</v>
      </c>
    </row>
    <row r="332" spans="1:24">
      <c r="A332" t="s">
        <v>1874</v>
      </c>
      <c r="B332" s="2">
        <v>45554</v>
      </c>
      <c r="C332" s="2">
        <v>45556</v>
      </c>
      <c r="D332" s="5">
        <f>C332-B332</f>
        <v>2</v>
      </c>
      <c r="E332" s="5" t="str">
        <f>IF(D332&lt;0,"INVALID","OK")</f>
        <v>OK</v>
      </c>
      <c r="F332" t="s">
        <v>1875</v>
      </c>
      <c r="G332" t="s">
        <v>22</v>
      </c>
      <c r="H332" t="s">
        <v>36</v>
      </c>
      <c r="I332" t="s">
        <v>37</v>
      </c>
      <c r="J332" t="s">
        <v>98</v>
      </c>
      <c r="K332" t="s">
        <v>99</v>
      </c>
      <c r="L332" t="s">
        <v>40</v>
      </c>
      <c r="M332" t="s">
        <v>65</v>
      </c>
      <c r="N332" t="s">
        <v>1876</v>
      </c>
      <c r="O332" t="s">
        <v>49</v>
      </c>
      <c r="P332">
        <v>3</v>
      </c>
      <c r="Q332">
        <v>3981.76</v>
      </c>
      <c r="R332">
        <v>0</v>
      </c>
      <c r="S332" t="str">
        <f t="shared" si="5"/>
        <v>OK</v>
      </c>
      <c r="T332">
        <v>11945.28</v>
      </c>
      <c r="U332">
        <v>9700.31</v>
      </c>
      <c r="V332">
        <v>2244.9699999999998</v>
      </c>
      <c r="W332" t="s">
        <v>31</v>
      </c>
      <c r="X332" t="s">
        <v>32</v>
      </c>
    </row>
    <row r="333" spans="1:24">
      <c r="A333" t="s">
        <v>1880</v>
      </c>
      <c r="B333" s="2">
        <v>45392</v>
      </c>
      <c r="C333" s="2">
        <v>45398</v>
      </c>
      <c r="D333" s="5">
        <f>C333-B333</f>
        <v>6</v>
      </c>
      <c r="E333" s="5" t="str">
        <f>IF(D333&lt;0,"INVALID","OK")</f>
        <v>OK</v>
      </c>
      <c r="F333" t="s">
        <v>1881</v>
      </c>
      <c r="G333" t="s">
        <v>88</v>
      </c>
      <c r="H333" t="s">
        <v>23</v>
      </c>
      <c r="I333" t="s">
        <v>53</v>
      </c>
      <c r="J333" t="s">
        <v>184</v>
      </c>
      <c r="K333" t="s">
        <v>185</v>
      </c>
      <c r="L333" t="s">
        <v>40</v>
      </c>
      <c r="M333" t="s">
        <v>65</v>
      </c>
      <c r="N333" t="s">
        <v>1882</v>
      </c>
      <c r="O333" t="s">
        <v>30</v>
      </c>
      <c r="P333">
        <v>9</v>
      </c>
      <c r="Q333">
        <v>2723.26</v>
      </c>
      <c r="R333">
        <v>0.25</v>
      </c>
      <c r="S333" t="str">
        <f t="shared" si="5"/>
        <v>OK</v>
      </c>
      <c r="T333">
        <v>18382.009999999998</v>
      </c>
      <c r="U333">
        <v>13108.2</v>
      </c>
      <c r="V333">
        <v>5273.81</v>
      </c>
      <c r="W333" t="s">
        <v>31</v>
      </c>
      <c r="X333" t="s">
        <v>32</v>
      </c>
    </row>
    <row r="334" spans="1:24">
      <c r="A334" t="s">
        <v>1886</v>
      </c>
      <c r="B334" s="2">
        <v>45521</v>
      </c>
      <c r="C334" s="2">
        <v>45528</v>
      </c>
      <c r="D334" s="5">
        <f>C334-B334</f>
        <v>7</v>
      </c>
      <c r="E334" s="5" t="str">
        <f>IF(D334&lt;0,"INVALID","OK")</f>
        <v>OK</v>
      </c>
      <c r="F334" t="s">
        <v>1887</v>
      </c>
      <c r="G334" t="s">
        <v>61</v>
      </c>
      <c r="H334" t="s">
        <v>89</v>
      </c>
      <c r="I334" t="s">
        <v>37</v>
      </c>
      <c r="J334" t="s">
        <v>98</v>
      </c>
      <c r="K334" t="s">
        <v>99</v>
      </c>
      <c r="L334" t="s">
        <v>73</v>
      </c>
      <c r="M334" t="s">
        <v>79</v>
      </c>
      <c r="N334" t="s">
        <v>1888</v>
      </c>
      <c r="O334" t="s">
        <v>43</v>
      </c>
      <c r="P334">
        <v>3</v>
      </c>
      <c r="Q334">
        <v>1490.69</v>
      </c>
      <c r="R334">
        <v>0.25</v>
      </c>
      <c r="S334" t="str">
        <f t="shared" si="5"/>
        <v>OK</v>
      </c>
      <c r="T334">
        <v>3354.05</v>
      </c>
      <c r="U334">
        <v>2672.67</v>
      </c>
      <c r="V334">
        <v>681.38</v>
      </c>
      <c r="W334" t="s">
        <v>31</v>
      </c>
      <c r="X334" t="s">
        <v>32</v>
      </c>
    </row>
    <row r="335" spans="1:24">
      <c r="A335" t="s">
        <v>1889</v>
      </c>
      <c r="B335" s="2">
        <v>45523</v>
      </c>
      <c r="C335" s="2">
        <v>45525</v>
      </c>
      <c r="D335" s="5">
        <f>C335-B335</f>
        <v>2</v>
      </c>
      <c r="E335" s="5" t="str">
        <f>IF(D335&lt;0,"INVALID","OK")</f>
        <v>OK</v>
      </c>
      <c r="F335" t="s">
        <v>1890</v>
      </c>
      <c r="G335" t="s">
        <v>52</v>
      </c>
      <c r="H335" t="s">
        <v>23</v>
      </c>
      <c r="I335" t="s">
        <v>24</v>
      </c>
      <c r="J335" t="s">
        <v>121</v>
      </c>
      <c r="K335" t="s">
        <v>122</v>
      </c>
      <c r="L335" t="s">
        <v>73</v>
      </c>
      <c r="M335" t="s">
        <v>170</v>
      </c>
      <c r="N335" t="s">
        <v>1891</v>
      </c>
      <c r="O335" t="s">
        <v>49</v>
      </c>
      <c r="P335">
        <v>3</v>
      </c>
      <c r="Q335">
        <v>1103.54</v>
      </c>
      <c r="R335">
        <v>0.25</v>
      </c>
      <c r="S335" t="str">
        <f t="shared" si="5"/>
        <v>OK</v>
      </c>
      <c r="T335">
        <v>2482.9699999999998</v>
      </c>
      <c r="U335">
        <v>1621.72</v>
      </c>
      <c r="V335">
        <v>861.25</v>
      </c>
      <c r="W335" t="s">
        <v>31</v>
      </c>
      <c r="X335" t="s">
        <v>32</v>
      </c>
    </row>
    <row r="336" spans="1:24">
      <c r="A336" t="s">
        <v>1895</v>
      </c>
      <c r="B336" s="2">
        <v>45317</v>
      </c>
      <c r="C336" s="2">
        <v>45322</v>
      </c>
      <c r="D336" s="5">
        <f>C336-B336</f>
        <v>5</v>
      </c>
      <c r="E336" s="5" t="str">
        <f>IF(D336&lt;0,"INVALID","OK")</f>
        <v>OK</v>
      </c>
      <c r="F336" t="s">
        <v>1896</v>
      </c>
      <c r="G336" t="s">
        <v>61</v>
      </c>
      <c r="H336" t="s">
        <v>94</v>
      </c>
      <c r="I336" t="s">
        <v>37</v>
      </c>
      <c r="J336" t="s">
        <v>98</v>
      </c>
      <c r="K336" t="s">
        <v>99</v>
      </c>
      <c r="L336" t="s">
        <v>27</v>
      </c>
      <c r="M336" t="s">
        <v>28</v>
      </c>
      <c r="N336" t="s">
        <v>1897</v>
      </c>
      <c r="O336" t="s">
        <v>30</v>
      </c>
      <c r="P336">
        <v>5</v>
      </c>
      <c r="Q336">
        <v>1615.03</v>
      </c>
      <c r="R336">
        <v>0.2</v>
      </c>
      <c r="S336" t="str">
        <f t="shared" si="5"/>
        <v>OK</v>
      </c>
      <c r="T336">
        <v>6460.12</v>
      </c>
      <c r="U336">
        <v>3604.03</v>
      </c>
      <c r="V336">
        <v>2856.09</v>
      </c>
      <c r="W336" t="s">
        <v>31</v>
      </c>
      <c r="X336" t="s">
        <v>32</v>
      </c>
    </row>
    <row r="337" spans="1:24">
      <c r="A337" t="s">
        <v>1898</v>
      </c>
      <c r="B337" s="2">
        <v>45588</v>
      </c>
      <c r="C337" s="2">
        <v>45595</v>
      </c>
      <c r="D337" s="5">
        <f>C337-B337</f>
        <v>7</v>
      </c>
      <c r="E337" s="5" t="str">
        <f>IF(D337&lt;0,"INVALID","OK")</f>
        <v>OK</v>
      </c>
      <c r="F337" t="s">
        <v>1899</v>
      </c>
      <c r="G337" t="s">
        <v>127</v>
      </c>
      <c r="H337" t="s">
        <v>23</v>
      </c>
      <c r="I337" t="s">
        <v>37</v>
      </c>
      <c r="J337" t="s">
        <v>227</v>
      </c>
      <c r="K337" t="s">
        <v>228</v>
      </c>
      <c r="L337" t="s">
        <v>73</v>
      </c>
      <c r="M337" t="s">
        <v>79</v>
      </c>
      <c r="N337" t="s">
        <v>1900</v>
      </c>
      <c r="O337" t="s">
        <v>30</v>
      </c>
      <c r="P337">
        <v>9</v>
      </c>
      <c r="Q337">
        <v>3423.82</v>
      </c>
      <c r="R337">
        <v>0.15</v>
      </c>
      <c r="S337" t="str">
        <f t="shared" si="5"/>
        <v>OK</v>
      </c>
      <c r="T337">
        <v>26192.22</v>
      </c>
      <c r="U337">
        <v>20795.55</v>
      </c>
      <c r="V337">
        <v>5396.67</v>
      </c>
      <c r="W337" t="s">
        <v>31</v>
      </c>
      <c r="X337" t="s">
        <v>32</v>
      </c>
    </row>
    <row r="338" spans="1:24">
      <c r="A338" t="s">
        <v>1915</v>
      </c>
      <c r="B338" s="2">
        <v>45464</v>
      </c>
      <c r="C338" s="2">
        <v>45466</v>
      </c>
      <c r="D338" s="5">
        <f>C338-B338</f>
        <v>2</v>
      </c>
      <c r="E338" s="5" t="str">
        <f>IF(D338&lt;0,"INVALID","OK")</f>
        <v>OK</v>
      </c>
      <c r="F338" t="s">
        <v>1693</v>
      </c>
      <c r="G338" t="s">
        <v>22</v>
      </c>
      <c r="H338" t="s">
        <v>94</v>
      </c>
      <c r="I338" t="s">
        <v>62</v>
      </c>
      <c r="J338" t="s">
        <v>189</v>
      </c>
      <c r="K338" t="s">
        <v>190</v>
      </c>
      <c r="L338" t="s">
        <v>40</v>
      </c>
      <c r="M338" t="s">
        <v>56</v>
      </c>
      <c r="N338" t="s">
        <v>1916</v>
      </c>
      <c r="O338" t="s">
        <v>30</v>
      </c>
      <c r="P338">
        <v>9</v>
      </c>
      <c r="Q338">
        <v>2153.75</v>
      </c>
      <c r="R338">
        <v>0</v>
      </c>
      <c r="S338" t="str">
        <f t="shared" si="5"/>
        <v>OK</v>
      </c>
      <c r="T338">
        <v>19383.75</v>
      </c>
      <c r="U338">
        <v>11667.43</v>
      </c>
      <c r="V338">
        <v>7716.32</v>
      </c>
      <c r="W338" t="s">
        <v>31</v>
      </c>
      <c r="X338" t="s">
        <v>32</v>
      </c>
    </row>
    <row r="339" spans="1:24">
      <c r="A339" t="s">
        <v>1920</v>
      </c>
      <c r="B339" s="2">
        <v>45432</v>
      </c>
      <c r="C339" s="2">
        <v>45432</v>
      </c>
      <c r="D339" s="5">
        <f>C339-B339</f>
        <v>0</v>
      </c>
      <c r="E339" s="5" t="str">
        <f>IF(D339&lt;0,"INVALID","OK")</f>
        <v>OK</v>
      </c>
      <c r="F339" t="s">
        <v>1365</v>
      </c>
      <c r="G339" t="s">
        <v>22</v>
      </c>
      <c r="H339" t="s">
        <v>94</v>
      </c>
      <c r="I339" t="s">
        <v>62</v>
      </c>
      <c r="J339" t="s">
        <v>71</v>
      </c>
      <c r="K339" t="s">
        <v>72</v>
      </c>
      <c r="L339" t="s">
        <v>40</v>
      </c>
      <c r="M339" t="s">
        <v>65</v>
      </c>
      <c r="N339" t="s">
        <v>1921</v>
      </c>
      <c r="O339" t="s">
        <v>58</v>
      </c>
      <c r="P339">
        <v>1</v>
      </c>
      <c r="Q339">
        <v>3032.95</v>
      </c>
      <c r="R339">
        <v>0.1</v>
      </c>
      <c r="S339" t="str">
        <f t="shared" si="5"/>
        <v>OK</v>
      </c>
      <c r="T339">
        <v>2729.65</v>
      </c>
      <c r="U339">
        <v>1715.36</v>
      </c>
      <c r="V339">
        <v>1014.29</v>
      </c>
      <c r="W339" t="s">
        <v>31</v>
      </c>
      <c r="X339" t="s">
        <v>32</v>
      </c>
    </row>
    <row r="340" spans="1:24">
      <c r="A340" t="s">
        <v>1928</v>
      </c>
      <c r="B340" s="2">
        <v>45570</v>
      </c>
      <c r="C340" s="2">
        <v>45575</v>
      </c>
      <c r="D340" s="5">
        <f>C340-B340</f>
        <v>5</v>
      </c>
      <c r="E340" s="5" t="str">
        <f>IF(D340&lt;0,"INVALID","OK")</f>
        <v>OK</v>
      </c>
      <c r="F340" t="s">
        <v>1929</v>
      </c>
      <c r="G340" t="s">
        <v>161</v>
      </c>
      <c r="H340" t="s">
        <v>94</v>
      </c>
      <c r="I340" t="s">
        <v>62</v>
      </c>
      <c r="J340" t="s">
        <v>179</v>
      </c>
      <c r="K340" t="s">
        <v>180</v>
      </c>
      <c r="L340" t="s">
        <v>73</v>
      </c>
      <c r="M340" t="s">
        <v>273</v>
      </c>
      <c r="N340" t="s">
        <v>1930</v>
      </c>
      <c r="O340" t="s">
        <v>43</v>
      </c>
      <c r="P340">
        <v>9</v>
      </c>
      <c r="Q340">
        <v>3361.3</v>
      </c>
      <c r="R340">
        <v>0.25</v>
      </c>
      <c r="S340" t="str">
        <f t="shared" si="5"/>
        <v>OK</v>
      </c>
      <c r="T340">
        <v>22688.78</v>
      </c>
      <c r="U340">
        <v>14672.41</v>
      </c>
      <c r="V340">
        <v>8016.37</v>
      </c>
      <c r="W340" t="s">
        <v>31</v>
      </c>
      <c r="X340" t="s">
        <v>32</v>
      </c>
    </row>
    <row r="341" spans="1:24">
      <c r="A341" t="s">
        <v>1931</v>
      </c>
      <c r="B341" s="2">
        <v>45598</v>
      </c>
      <c r="C341" s="2">
        <v>45341</v>
      </c>
      <c r="D341" s="5">
        <f>C341-B341</f>
        <v>-257</v>
      </c>
      <c r="E341" s="5" t="str">
        <f>IF(D341&lt;0,"INVALID","OK")</f>
        <v>INVALID</v>
      </c>
      <c r="F341" t="s">
        <v>1932</v>
      </c>
      <c r="G341" t="s">
        <v>61</v>
      </c>
      <c r="H341" t="s">
        <v>94</v>
      </c>
      <c r="I341" t="s">
        <v>53</v>
      </c>
      <c r="J341" t="s">
        <v>54</v>
      </c>
      <c r="K341" t="s">
        <v>55</v>
      </c>
      <c r="L341" t="s">
        <v>40</v>
      </c>
      <c r="M341" t="s">
        <v>65</v>
      </c>
      <c r="N341" t="s">
        <v>1933</v>
      </c>
      <c r="O341" t="s">
        <v>58</v>
      </c>
      <c r="P341">
        <v>8</v>
      </c>
      <c r="Q341">
        <v>3398.32</v>
      </c>
      <c r="R341">
        <v>0.25</v>
      </c>
      <c r="S341" t="str">
        <f t="shared" si="5"/>
        <v>OK</v>
      </c>
      <c r="T341">
        <v>20389.919999999998</v>
      </c>
      <c r="U341">
        <v>16661.080000000002</v>
      </c>
      <c r="V341">
        <v>3728.84</v>
      </c>
      <c r="W341" t="s">
        <v>101</v>
      </c>
      <c r="X341" t="s">
        <v>67</v>
      </c>
    </row>
    <row r="342" spans="1:24">
      <c r="A342" t="s">
        <v>1934</v>
      </c>
      <c r="B342" s="2">
        <v>45569</v>
      </c>
      <c r="C342" s="2">
        <v>45572</v>
      </c>
      <c r="D342" s="5">
        <f>C342-B342</f>
        <v>3</v>
      </c>
      <c r="E342" s="5" t="str">
        <f>IF(D342&lt;0,"INVALID","OK")</f>
        <v>OK</v>
      </c>
      <c r="F342" t="s">
        <v>1935</v>
      </c>
      <c r="G342" t="s">
        <v>117</v>
      </c>
      <c r="H342" t="s">
        <v>89</v>
      </c>
      <c r="I342" t="s">
        <v>53</v>
      </c>
      <c r="J342" t="s">
        <v>184</v>
      </c>
      <c r="K342" t="s">
        <v>185</v>
      </c>
      <c r="L342" t="s">
        <v>27</v>
      </c>
      <c r="M342" t="s">
        <v>47</v>
      </c>
      <c r="N342" t="s">
        <v>1936</v>
      </c>
      <c r="O342" t="s">
        <v>30</v>
      </c>
      <c r="P342">
        <v>2</v>
      </c>
      <c r="Q342">
        <v>3144.38</v>
      </c>
      <c r="R342">
        <v>0.1</v>
      </c>
      <c r="S342" t="str">
        <f t="shared" si="5"/>
        <v>OK</v>
      </c>
      <c r="T342">
        <v>5904.57</v>
      </c>
      <c r="U342">
        <v>4337.79</v>
      </c>
      <c r="V342">
        <v>1322.09</v>
      </c>
      <c r="W342" t="s">
        <v>31</v>
      </c>
      <c r="X342" t="s">
        <v>32</v>
      </c>
    </row>
    <row r="343" spans="1:24">
      <c r="A343" t="s">
        <v>1937</v>
      </c>
      <c r="B343" s="2">
        <v>45520</v>
      </c>
      <c r="C343" s="2">
        <v>45523</v>
      </c>
      <c r="D343" s="5">
        <f>C343-B343</f>
        <v>3</v>
      </c>
      <c r="E343" s="5" t="str">
        <f>IF(D343&lt;0,"INVALID","OK")</f>
        <v>OK</v>
      </c>
      <c r="F343" t="s">
        <v>1938</v>
      </c>
      <c r="G343" t="s">
        <v>263</v>
      </c>
      <c r="H343" t="s">
        <v>23</v>
      </c>
      <c r="I343" t="s">
        <v>53</v>
      </c>
      <c r="J343" t="s">
        <v>54</v>
      </c>
      <c r="K343" t="s">
        <v>55</v>
      </c>
      <c r="L343" t="s">
        <v>27</v>
      </c>
      <c r="M343" t="s">
        <v>28</v>
      </c>
      <c r="N343" t="s">
        <v>1939</v>
      </c>
      <c r="O343" t="s">
        <v>58</v>
      </c>
      <c r="P343">
        <v>6</v>
      </c>
      <c r="Q343">
        <v>3925.55</v>
      </c>
      <c r="R343">
        <v>0.2</v>
      </c>
      <c r="S343" t="str">
        <f t="shared" si="5"/>
        <v>OK</v>
      </c>
      <c r="T343">
        <v>18842.64</v>
      </c>
      <c r="U343">
        <v>11840.58</v>
      </c>
      <c r="V343">
        <v>7002.06</v>
      </c>
      <c r="W343" t="s">
        <v>31</v>
      </c>
      <c r="X343" t="s">
        <v>32</v>
      </c>
    </row>
    <row r="344" spans="1:24">
      <c r="A344" t="s">
        <v>1940</v>
      </c>
      <c r="B344" s="2">
        <v>45564</v>
      </c>
      <c r="C344" s="2">
        <v>45565</v>
      </c>
      <c r="D344" s="5">
        <f>C344-B344</f>
        <v>1</v>
      </c>
      <c r="E344" s="5" t="str">
        <f>IF(D344&lt;0,"INVALID","OK")</f>
        <v>OK</v>
      </c>
      <c r="F344" t="s">
        <v>1941</v>
      </c>
      <c r="G344" t="s">
        <v>35</v>
      </c>
      <c r="H344" t="s">
        <v>94</v>
      </c>
      <c r="I344" t="s">
        <v>53</v>
      </c>
      <c r="J344" t="s">
        <v>54</v>
      </c>
      <c r="K344" t="s">
        <v>55</v>
      </c>
      <c r="L344" t="s">
        <v>73</v>
      </c>
      <c r="M344" t="s">
        <v>170</v>
      </c>
      <c r="N344" t="s">
        <v>1942</v>
      </c>
      <c r="O344" t="s">
        <v>58</v>
      </c>
      <c r="P344">
        <v>9</v>
      </c>
      <c r="Q344">
        <v>2741.91</v>
      </c>
      <c r="R344">
        <v>0</v>
      </c>
      <c r="S344" t="str">
        <f t="shared" si="5"/>
        <v>OK</v>
      </c>
      <c r="T344">
        <v>24677.19</v>
      </c>
      <c r="U344">
        <v>20350.849999999999</v>
      </c>
      <c r="V344">
        <v>4326.34</v>
      </c>
      <c r="W344" t="s">
        <v>31</v>
      </c>
      <c r="X344" t="s">
        <v>32</v>
      </c>
    </row>
    <row r="345" spans="1:24">
      <c r="A345" t="s">
        <v>1943</v>
      </c>
      <c r="B345" s="2">
        <v>45496</v>
      </c>
      <c r="C345" s="2">
        <v>45503</v>
      </c>
      <c r="D345" s="5">
        <f>C345-B345</f>
        <v>7</v>
      </c>
      <c r="E345" s="5" t="str">
        <f>IF(D345&lt;0,"INVALID","OK")</f>
        <v>OK</v>
      </c>
      <c r="F345" t="s">
        <v>1944</v>
      </c>
      <c r="G345" t="s">
        <v>263</v>
      </c>
      <c r="H345" t="s">
        <v>89</v>
      </c>
      <c r="I345" t="s">
        <v>24</v>
      </c>
      <c r="J345" t="s">
        <v>25</v>
      </c>
      <c r="K345" t="s">
        <v>26</v>
      </c>
      <c r="L345" t="s">
        <v>40</v>
      </c>
      <c r="M345" t="s">
        <v>41</v>
      </c>
      <c r="N345" t="s">
        <v>1945</v>
      </c>
      <c r="O345" t="s">
        <v>43</v>
      </c>
      <c r="P345">
        <v>9</v>
      </c>
      <c r="Q345">
        <v>1870.11</v>
      </c>
      <c r="R345">
        <v>0.25</v>
      </c>
      <c r="S345" t="str">
        <f t="shared" si="5"/>
        <v>OK</v>
      </c>
      <c r="T345">
        <v>12623.24</v>
      </c>
      <c r="U345">
        <v>10540.8</v>
      </c>
      <c r="V345">
        <v>2082.44</v>
      </c>
      <c r="W345" t="s">
        <v>154</v>
      </c>
      <c r="X345" t="s">
        <v>67</v>
      </c>
    </row>
    <row r="346" spans="1:24">
      <c r="A346" t="s">
        <v>1946</v>
      </c>
      <c r="B346" s="2">
        <v>45618</v>
      </c>
      <c r="C346" s="2">
        <v>45623</v>
      </c>
      <c r="D346" s="5">
        <f>C346-B346</f>
        <v>5</v>
      </c>
      <c r="E346" s="5" t="str">
        <f>IF(D346&lt;0,"INVALID","OK")</f>
        <v>OK</v>
      </c>
      <c r="F346" t="s">
        <v>1947</v>
      </c>
      <c r="G346" t="s">
        <v>113</v>
      </c>
      <c r="H346" t="s">
        <v>89</v>
      </c>
      <c r="I346" t="s">
        <v>53</v>
      </c>
      <c r="J346" t="s">
        <v>246</v>
      </c>
      <c r="K346" t="s">
        <v>247</v>
      </c>
      <c r="L346" t="s">
        <v>27</v>
      </c>
      <c r="M346" t="s">
        <v>152</v>
      </c>
      <c r="N346" t="s">
        <v>1948</v>
      </c>
      <c r="O346" t="s">
        <v>49</v>
      </c>
      <c r="P346">
        <v>1</v>
      </c>
      <c r="Q346">
        <v>4251.26</v>
      </c>
      <c r="R346">
        <v>0.2</v>
      </c>
      <c r="S346" t="str">
        <f t="shared" si="5"/>
        <v>OK</v>
      </c>
      <c r="T346">
        <v>3401.01</v>
      </c>
      <c r="U346">
        <v>2917.54</v>
      </c>
      <c r="V346">
        <v>483.47</v>
      </c>
      <c r="W346" t="s">
        <v>101</v>
      </c>
      <c r="X346" t="s">
        <v>102</v>
      </c>
    </row>
    <row r="347" spans="1:24">
      <c r="A347" t="s">
        <v>1949</v>
      </c>
      <c r="B347" s="2">
        <v>45522</v>
      </c>
      <c r="C347" s="2">
        <v>45525</v>
      </c>
      <c r="D347" s="5">
        <f>C347-B347</f>
        <v>3</v>
      </c>
      <c r="E347" s="5" t="str">
        <f>IF(D347&lt;0,"INVALID","OK")</f>
        <v>OK</v>
      </c>
      <c r="F347" t="s">
        <v>1950</v>
      </c>
      <c r="G347" t="s">
        <v>70</v>
      </c>
      <c r="H347" t="s">
        <v>23</v>
      </c>
      <c r="I347" t="s">
        <v>24</v>
      </c>
      <c r="J347" t="s">
        <v>135</v>
      </c>
      <c r="K347" t="s">
        <v>136</v>
      </c>
      <c r="L347" t="s">
        <v>73</v>
      </c>
      <c r="M347" t="s">
        <v>273</v>
      </c>
      <c r="N347" t="s">
        <v>1951</v>
      </c>
      <c r="O347" t="s">
        <v>58</v>
      </c>
      <c r="P347">
        <v>9</v>
      </c>
      <c r="Q347">
        <v>734.34</v>
      </c>
      <c r="R347">
        <v>0</v>
      </c>
      <c r="S347" t="str">
        <f t="shared" si="5"/>
        <v>OK</v>
      </c>
      <c r="T347">
        <v>6609.06</v>
      </c>
      <c r="U347">
        <v>4946.78</v>
      </c>
      <c r="V347">
        <v>1662.28</v>
      </c>
      <c r="W347" t="s">
        <v>31</v>
      </c>
      <c r="X347" t="s">
        <v>32</v>
      </c>
    </row>
    <row r="348" spans="1:24">
      <c r="A348" t="s">
        <v>1952</v>
      </c>
      <c r="B348" s="2">
        <v>45624</v>
      </c>
      <c r="C348" s="2">
        <v>45455</v>
      </c>
      <c r="D348" s="5">
        <f>C348-B348</f>
        <v>-169</v>
      </c>
      <c r="E348" s="5" t="str">
        <f>IF(D348&lt;0,"INVALID","OK")</f>
        <v>INVALID</v>
      </c>
      <c r="F348" t="s">
        <v>1953</v>
      </c>
      <c r="G348" t="s">
        <v>88</v>
      </c>
      <c r="H348" t="s">
        <v>23</v>
      </c>
      <c r="I348" t="s">
        <v>62</v>
      </c>
      <c r="J348" t="s">
        <v>63</v>
      </c>
      <c r="K348" t="s">
        <v>64</v>
      </c>
      <c r="L348" t="s">
        <v>40</v>
      </c>
      <c r="M348" t="s">
        <v>65</v>
      </c>
      <c r="N348" t="s">
        <v>1954</v>
      </c>
      <c r="O348" t="s">
        <v>43</v>
      </c>
      <c r="P348">
        <v>5</v>
      </c>
      <c r="Q348">
        <v>1092.8399999999999</v>
      </c>
      <c r="R348">
        <v>0</v>
      </c>
      <c r="S348" t="str">
        <f t="shared" si="5"/>
        <v>OK</v>
      </c>
      <c r="T348">
        <v>5464.2</v>
      </c>
      <c r="U348">
        <v>3318.09</v>
      </c>
      <c r="V348">
        <v>2146.11</v>
      </c>
      <c r="W348" t="s">
        <v>31</v>
      </c>
      <c r="X348" t="s">
        <v>32</v>
      </c>
    </row>
    <row r="349" spans="1:24">
      <c r="A349" t="s">
        <v>1958</v>
      </c>
      <c r="B349" s="2">
        <v>45512</v>
      </c>
      <c r="C349" s="2">
        <v>45518</v>
      </c>
      <c r="D349" s="5">
        <f>C349-B349</f>
        <v>6</v>
      </c>
      <c r="E349" s="5" t="str">
        <f>IF(D349&lt;0,"INVALID","OK")</f>
        <v>OK</v>
      </c>
      <c r="F349" t="s">
        <v>1959</v>
      </c>
      <c r="G349" t="s">
        <v>70</v>
      </c>
      <c r="H349" t="s">
        <v>94</v>
      </c>
      <c r="I349" t="s">
        <v>24</v>
      </c>
      <c r="J349" t="s">
        <v>121</v>
      </c>
      <c r="K349" t="s">
        <v>122</v>
      </c>
      <c r="L349" t="s">
        <v>27</v>
      </c>
      <c r="M349" t="s">
        <v>123</v>
      </c>
      <c r="N349" t="s">
        <v>1960</v>
      </c>
      <c r="O349" t="s">
        <v>30</v>
      </c>
      <c r="P349">
        <v>8</v>
      </c>
      <c r="Q349">
        <v>1359.19</v>
      </c>
      <c r="R349">
        <v>0.05</v>
      </c>
      <c r="S349" t="str">
        <f t="shared" si="5"/>
        <v>OK</v>
      </c>
      <c r="T349">
        <v>10329.84</v>
      </c>
      <c r="U349">
        <v>7512.22</v>
      </c>
      <c r="V349">
        <v>2817.62</v>
      </c>
      <c r="W349" t="s">
        <v>31</v>
      </c>
      <c r="X349" t="s">
        <v>32</v>
      </c>
    </row>
    <row r="350" spans="1:24">
      <c r="A350" t="s">
        <v>1961</v>
      </c>
      <c r="B350" s="2">
        <v>45321</v>
      </c>
      <c r="C350" s="2">
        <v>45323</v>
      </c>
      <c r="D350" s="5">
        <f>C350-B350</f>
        <v>2</v>
      </c>
      <c r="E350" s="5" t="str">
        <f>IF(D350&lt;0,"INVALID","OK")</f>
        <v>OK</v>
      </c>
      <c r="F350" t="s">
        <v>1962</v>
      </c>
      <c r="G350" t="s">
        <v>78</v>
      </c>
      <c r="H350" t="s">
        <v>94</v>
      </c>
      <c r="I350" t="s">
        <v>37</v>
      </c>
      <c r="J350" t="s">
        <v>165</v>
      </c>
      <c r="K350" t="s">
        <v>166</v>
      </c>
      <c r="L350" t="s">
        <v>40</v>
      </c>
      <c r="M350" t="s">
        <v>65</v>
      </c>
      <c r="N350" t="s">
        <v>1963</v>
      </c>
      <c r="O350" t="s">
        <v>49</v>
      </c>
      <c r="P350">
        <v>2</v>
      </c>
      <c r="Q350">
        <v>4451.03</v>
      </c>
      <c r="R350">
        <v>0.05</v>
      </c>
      <c r="S350" t="str">
        <f t="shared" si="5"/>
        <v>OK</v>
      </c>
      <c r="T350">
        <v>8456.9599999999991</v>
      </c>
      <c r="U350">
        <v>5462.85</v>
      </c>
      <c r="V350">
        <v>2994.11</v>
      </c>
      <c r="W350" t="s">
        <v>31</v>
      </c>
      <c r="X350" t="s">
        <v>32</v>
      </c>
    </row>
    <row r="351" spans="1:24">
      <c r="A351" t="s">
        <v>1964</v>
      </c>
      <c r="B351" s="2">
        <v>45641</v>
      </c>
      <c r="C351" s="2">
        <v>45647</v>
      </c>
      <c r="D351" s="5">
        <f>C351-B351</f>
        <v>6</v>
      </c>
      <c r="E351" s="5" t="str">
        <f>IF(D351&lt;0,"INVALID","OK")</f>
        <v>OK</v>
      </c>
      <c r="F351" t="s">
        <v>1965</v>
      </c>
      <c r="G351" t="s">
        <v>161</v>
      </c>
      <c r="H351" t="s">
        <v>89</v>
      </c>
      <c r="I351" t="s">
        <v>62</v>
      </c>
      <c r="J351" t="s">
        <v>25</v>
      </c>
      <c r="K351" t="s">
        <v>108</v>
      </c>
      <c r="L351" t="s">
        <v>40</v>
      </c>
      <c r="M351" t="s">
        <v>65</v>
      </c>
      <c r="N351" t="s">
        <v>1966</v>
      </c>
      <c r="O351" t="s">
        <v>43</v>
      </c>
      <c r="P351">
        <v>3</v>
      </c>
      <c r="Q351">
        <v>527.66999999999996</v>
      </c>
      <c r="R351">
        <v>0.2</v>
      </c>
      <c r="S351" t="str">
        <f t="shared" si="5"/>
        <v>OK</v>
      </c>
      <c r="T351">
        <v>1266.4100000000001</v>
      </c>
      <c r="U351">
        <v>983.92</v>
      </c>
      <c r="V351">
        <v>282.49</v>
      </c>
      <c r="W351" t="s">
        <v>31</v>
      </c>
      <c r="X351" t="s">
        <v>32</v>
      </c>
    </row>
    <row r="352" spans="1:24">
      <c r="A352" t="s">
        <v>1979</v>
      </c>
      <c r="B352" s="2">
        <v>45391</v>
      </c>
      <c r="C352" s="2">
        <v>45392</v>
      </c>
      <c r="D352" s="5">
        <f>C352-B352</f>
        <v>1</v>
      </c>
      <c r="E352" s="5" t="str">
        <f>IF(D352&lt;0,"INVALID","OK")</f>
        <v>OK</v>
      </c>
      <c r="F352" t="s">
        <v>1980</v>
      </c>
      <c r="G352" t="s">
        <v>113</v>
      </c>
      <c r="H352" t="s">
        <v>89</v>
      </c>
      <c r="I352" t="s">
        <v>37</v>
      </c>
      <c r="J352" t="s">
        <v>165</v>
      </c>
      <c r="K352" t="s">
        <v>166</v>
      </c>
      <c r="L352" t="s">
        <v>27</v>
      </c>
      <c r="M352" t="s">
        <v>28</v>
      </c>
      <c r="N352" t="s">
        <v>1981</v>
      </c>
      <c r="O352" t="s">
        <v>58</v>
      </c>
      <c r="P352">
        <v>4</v>
      </c>
      <c r="Q352">
        <v>3047.05</v>
      </c>
      <c r="R352">
        <v>0.1</v>
      </c>
      <c r="S352" t="str">
        <f t="shared" si="5"/>
        <v>OK</v>
      </c>
      <c r="T352">
        <v>10969.38</v>
      </c>
      <c r="U352">
        <v>9254.4599999999991</v>
      </c>
      <c r="V352">
        <v>1714.92</v>
      </c>
      <c r="W352" t="s">
        <v>31</v>
      </c>
      <c r="X352" t="s">
        <v>32</v>
      </c>
    </row>
    <row r="353" spans="1:24">
      <c r="A353" t="s">
        <v>1982</v>
      </c>
      <c r="B353" s="2">
        <v>45392</v>
      </c>
      <c r="C353" s="2">
        <v>45397</v>
      </c>
      <c r="D353" s="5">
        <f>C353-B353</f>
        <v>5</v>
      </c>
      <c r="E353" s="5" t="str">
        <f>IF(D353&lt;0,"INVALID","OK")</f>
        <v>OK</v>
      </c>
      <c r="F353" t="s">
        <v>1983</v>
      </c>
      <c r="G353" t="s">
        <v>127</v>
      </c>
      <c r="H353" t="s">
        <v>94</v>
      </c>
      <c r="I353" t="s">
        <v>62</v>
      </c>
      <c r="J353" t="s">
        <v>25</v>
      </c>
      <c r="K353" t="s">
        <v>108</v>
      </c>
      <c r="L353" t="s">
        <v>40</v>
      </c>
      <c r="M353" t="s">
        <v>65</v>
      </c>
      <c r="N353" t="s">
        <v>1984</v>
      </c>
      <c r="O353" t="s">
        <v>58</v>
      </c>
      <c r="P353">
        <v>8</v>
      </c>
      <c r="Q353">
        <v>4362.4799999999996</v>
      </c>
      <c r="R353">
        <v>0.1</v>
      </c>
      <c r="S353" t="str">
        <f t="shared" si="5"/>
        <v>OK</v>
      </c>
      <c r="T353">
        <v>31409.86</v>
      </c>
      <c r="U353">
        <v>22523.54</v>
      </c>
      <c r="V353">
        <v>8886.32</v>
      </c>
      <c r="W353" t="s">
        <v>31</v>
      </c>
      <c r="X353" t="s">
        <v>32</v>
      </c>
    </row>
    <row r="354" spans="1:24">
      <c r="A354" t="s">
        <v>1994</v>
      </c>
      <c r="B354" s="2">
        <v>45432</v>
      </c>
      <c r="C354" s="2">
        <v>45437</v>
      </c>
      <c r="D354" s="5">
        <f>C354-B354</f>
        <v>5</v>
      </c>
      <c r="E354" s="5" t="str">
        <f>IF(D354&lt;0,"INVALID","OK")</f>
        <v>OK</v>
      </c>
      <c r="F354" t="s">
        <v>1995</v>
      </c>
      <c r="G354" t="s">
        <v>35</v>
      </c>
      <c r="H354" t="s">
        <v>89</v>
      </c>
      <c r="I354" t="s">
        <v>53</v>
      </c>
      <c r="J354" t="s">
        <v>83</v>
      </c>
      <c r="K354" t="s">
        <v>84</v>
      </c>
      <c r="L354" t="s">
        <v>40</v>
      </c>
      <c r="M354" t="s">
        <v>65</v>
      </c>
      <c r="N354" t="s">
        <v>1996</v>
      </c>
      <c r="O354" t="s">
        <v>43</v>
      </c>
      <c r="P354">
        <v>7</v>
      </c>
      <c r="Q354">
        <v>3122.85</v>
      </c>
      <c r="R354">
        <v>0.25</v>
      </c>
      <c r="S354" t="str">
        <f t="shared" si="5"/>
        <v>OK</v>
      </c>
      <c r="T354">
        <v>16394.96</v>
      </c>
      <c r="U354">
        <v>10404.17</v>
      </c>
      <c r="V354">
        <v>5990.79</v>
      </c>
      <c r="W354" t="s">
        <v>31</v>
      </c>
      <c r="X354" t="s">
        <v>32</v>
      </c>
    </row>
    <row r="355" spans="1:24">
      <c r="A355" t="s">
        <v>1997</v>
      </c>
      <c r="B355" s="2">
        <v>45567</v>
      </c>
      <c r="C355" s="2">
        <v>45574</v>
      </c>
      <c r="D355" s="5">
        <f>C355-B355</f>
        <v>7</v>
      </c>
      <c r="E355" s="5" t="str">
        <f>IF(D355&lt;0,"INVALID","OK")</f>
        <v>OK</v>
      </c>
      <c r="F355" t="s">
        <v>1998</v>
      </c>
      <c r="G355" t="s">
        <v>61</v>
      </c>
      <c r="H355" t="s">
        <v>23</v>
      </c>
      <c r="I355" t="s">
        <v>53</v>
      </c>
      <c r="J355" t="s">
        <v>246</v>
      </c>
      <c r="K355" t="s">
        <v>247</v>
      </c>
      <c r="L355" t="s">
        <v>27</v>
      </c>
      <c r="M355" t="s">
        <v>28</v>
      </c>
      <c r="N355" t="s">
        <v>1999</v>
      </c>
      <c r="O355" t="s">
        <v>58</v>
      </c>
      <c r="P355">
        <v>8</v>
      </c>
      <c r="Q355">
        <v>1910.31</v>
      </c>
      <c r="R355">
        <v>0.15</v>
      </c>
      <c r="S355" t="str">
        <f t="shared" si="5"/>
        <v>OK</v>
      </c>
      <c r="T355">
        <v>12990.11</v>
      </c>
      <c r="U355">
        <v>10200.799999999999</v>
      </c>
      <c r="V355">
        <v>2789.31</v>
      </c>
      <c r="W355" t="s">
        <v>31</v>
      </c>
      <c r="X355" t="s">
        <v>32</v>
      </c>
    </row>
    <row r="356" spans="1:24">
      <c r="A356" t="s">
        <v>2000</v>
      </c>
      <c r="B356" s="2">
        <v>45438</v>
      </c>
      <c r="C356" s="2">
        <v>45438</v>
      </c>
      <c r="D356" s="5">
        <f>C356-B356</f>
        <v>0</v>
      </c>
      <c r="E356" s="5" t="str">
        <f>IF(D356&lt;0,"INVALID","OK")</f>
        <v>OK</v>
      </c>
      <c r="F356" t="s">
        <v>2001</v>
      </c>
      <c r="G356" t="s">
        <v>117</v>
      </c>
      <c r="H356" t="s">
        <v>36</v>
      </c>
      <c r="I356" t="s">
        <v>62</v>
      </c>
      <c r="J356" t="s">
        <v>189</v>
      </c>
      <c r="K356" t="s">
        <v>190</v>
      </c>
      <c r="L356" t="s">
        <v>73</v>
      </c>
      <c r="M356" t="s">
        <v>79</v>
      </c>
      <c r="N356" t="s">
        <v>2002</v>
      </c>
      <c r="O356" t="s">
        <v>49</v>
      </c>
      <c r="P356">
        <v>2</v>
      </c>
      <c r="Q356">
        <v>3192.47</v>
      </c>
      <c r="R356">
        <v>0.2</v>
      </c>
      <c r="S356" t="str">
        <f t="shared" si="5"/>
        <v>OK</v>
      </c>
      <c r="T356">
        <v>5107.95</v>
      </c>
      <c r="U356">
        <v>3133.08</v>
      </c>
      <c r="V356">
        <v>1974.87</v>
      </c>
      <c r="W356" t="s">
        <v>31</v>
      </c>
      <c r="X356" t="s">
        <v>32</v>
      </c>
    </row>
    <row r="357" spans="1:24">
      <c r="A357" t="s">
        <v>2003</v>
      </c>
      <c r="B357" s="2">
        <v>45317</v>
      </c>
      <c r="C357" s="2">
        <v>45322</v>
      </c>
      <c r="D357" s="5">
        <f>C357-B357</f>
        <v>5</v>
      </c>
      <c r="E357" s="5" t="str">
        <f>IF(D357&lt;0,"INVALID","OK")</f>
        <v>OK</v>
      </c>
      <c r="F357" t="s">
        <v>2004</v>
      </c>
      <c r="G357" t="s">
        <v>22</v>
      </c>
      <c r="H357" t="s">
        <v>89</v>
      </c>
      <c r="I357" t="s">
        <v>53</v>
      </c>
      <c r="J357" t="s">
        <v>184</v>
      </c>
      <c r="K357" t="s">
        <v>185</v>
      </c>
      <c r="L357" t="s">
        <v>27</v>
      </c>
      <c r="M357" t="s">
        <v>123</v>
      </c>
      <c r="N357" t="s">
        <v>2005</v>
      </c>
      <c r="O357" t="s">
        <v>30</v>
      </c>
      <c r="P357">
        <v>3</v>
      </c>
      <c r="Q357">
        <v>3224.32</v>
      </c>
      <c r="R357">
        <v>0.2</v>
      </c>
      <c r="S357" t="str">
        <f t="shared" si="5"/>
        <v>OK</v>
      </c>
      <c r="T357">
        <v>7738.37</v>
      </c>
      <c r="U357">
        <v>4626.8500000000004</v>
      </c>
      <c r="V357">
        <v>3111.52</v>
      </c>
      <c r="W357" t="s">
        <v>154</v>
      </c>
      <c r="X357" t="s">
        <v>102</v>
      </c>
    </row>
    <row r="358" spans="1:24">
      <c r="A358" t="s">
        <v>2006</v>
      </c>
      <c r="B358" s="2">
        <v>45653</v>
      </c>
      <c r="C358" s="2">
        <v>45657</v>
      </c>
      <c r="D358" s="5">
        <f>C358-B358</f>
        <v>4</v>
      </c>
      <c r="E358" s="5" t="str">
        <f>IF(D358&lt;0,"INVALID","OK")</f>
        <v>OK</v>
      </c>
      <c r="F358" t="s">
        <v>2007</v>
      </c>
      <c r="G358" t="s">
        <v>46</v>
      </c>
      <c r="H358" t="s">
        <v>36</v>
      </c>
      <c r="I358" t="s">
        <v>37</v>
      </c>
      <c r="J358" t="s">
        <v>38</v>
      </c>
      <c r="K358" t="s">
        <v>39</v>
      </c>
      <c r="L358" t="s">
        <v>40</v>
      </c>
      <c r="M358" t="s">
        <v>65</v>
      </c>
      <c r="N358" t="s">
        <v>2008</v>
      </c>
      <c r="O358" t="s">
        <v>30</v>
      </c>
      <c r="P358">
        <v>1</v>
      </c>
      <c r="Q358">
        <v>1594.7</v>
      </c>
      <c r="R358">
        <v>0.05</v>
      </c>
      <c r="S358" t="str">
        <f t="shared" si="5"/>
        <v>OK</v>
      </c>
      <c r="T358">
        <v>1514.96</v>
      </c>
      <c r="U358">
        <v>1046.17</v>
      </c>
      <c r="V358">
        <v>468.79</v>
      </c>
      <c r="W358" t="s">
        <v>31</v>
      </c>
      <c r="X358" t="s">
        <v>32</v>
      </c>
    </row>
    <row r="359" spans="1:24">
      <c r="A359" t="s">
        <v>2015</v>
      </c>
      <c r="B359" s="2">
        <v>45533</v>
      </c>
      <c r="C359" s="2">
        <v>45535</v>
      </c>
      <c r="D359" s="5">
        <f>C359-B359</f>
        <v>2</v>
      </c>
      <c r="E359" s="5" t="str">
        <f>IF(D359&lt;0,"INVALID","OK")</f>
        <v>OK</v>
      </c>
      <c r="F359" t="s">
        <v>2016</v>
      </c>
      <c r="G359" t="s">
        <v>46</v>
      </c>
      <c r="H359" t="s">
        <v>94</v>
      </c>
      <c r="I359" t="s">
        <v>37</v>
      </c>
      <c r="J359" t="s">
        <v>165</v>
      </c>
      <c r="K359" t="s">
        <v>166</v>
      </c>
      <c r="L359" t="s">
        <v>27</v>
      </c>
      <c r="M359" t="s">
        <v>152</v>
      </c>
      <c r="N359" t="s">
        <v>2017</v>
      </c>
      <c r="O359" t="s">
        <v>30</v>
      </c>
      <c r="P359">
        <v>9</v>
      </c>
      <c r="Q359">
        <v>1275.21</v>
      </c>
      <c r="R359">
        <v>0.25</v>
      </c>
      <c r="S359" t="str">
        <f t="shared" si="5"/>
        <v>OK</v>
      </c>
      <c r="T359">
        <v>8607.67</v>
      </c>
      <c r="U359">
        <v>5337.64</v>
      </c>
      <c r="V359">
        <v>3270.03</v>
      </c>
      <c r="W359" t="s">
        <v>154</v>
      </c>
      <c r="X359" t="s">
        <v>102</v>
      </c>
    </row>
    <row r="360" spans="1:24">
      <c r="A360" t="s">
        <v>2018</v>
      </c>
      <c r="B360" s="2">
        <v>45414</v>
      </c>
      <c r="C360" s="2">
        <v>45335</v>
      </c>
      <c r="D360" s="5">
        <f>C360-B360</f>
        <v>-79</v>
      </c>
      <c r="E360" s="5" t="str">
        <f>IF(D360&lt;0,"INVALID","OK")</f>
        <v>INVALID</v>
      </c>
      <c r="F360" t="s">
        <v>719</v>
      </c>
      <c r="G360" t="s">
        <v>127</v>
      </c>
      <c r="H360" t="s">
        <v>94</v>
      </c>
      <c r="I360" t="s">
        <v>24</v>
      </c>
      <c r="J360" t="s">
        <v>135</v>
      </c>
      <c r="K360" t="s">
        <v>136</v>
      </c>
      <c r="L360" t="s">
        <v>27</v>
      </c>
      <c r="M360" t="s">
        <v>90</v>
      </c>
      <c r="N360" t="s">
        <v>2019</v>
      </c>
      <c r="O360" t="s">
        <v>58</v>
      </c>
      <c r="P360">
        <v>8</v>
      </c>
      <c r="Q360">
        <v>3871.18</v>
      </c>
      <c r="R360">
        <v>0.15</v>
      </c>
      <c r="S360" t="str">
        <f t="shared" si="5"/>
        <v>OK</v>
      </c>
      <c r="T360">
        <v>26324.02</v>
      </c>
      <c r="U360">
        <v>16277.96</v>
      </c>
      <c r="V360">
        <v>10046.06</v>
      </c>
      <c r="W360" t="s">
        <v>154</v>
      </c>
      <c r="X360" t="s">
        <v>102</v>
      </c>
    </row>
    <row r="361" spans="1:24">
      <c r="A361" t="s">
        <v>2023</v>
      </c>
      <c r="B361" s="2">
        <v>45295</v>
      </c>
      <c r="C361" s="2">
        <v>45536</v>
      </c>
      <c r="D361" s="5">
        <f>C361-B361</f>
        <v>241</v>
      </c>
      <c r="E361" s="5" t="str">
        <f>IF(D361&lt;0,"INVALID","OK")</f>
        <v>OK</v>
      </c>
      <c r="F361" t="s">
        <v>2024</v>
      </c>
      <c r="G361" t="s">
        <v>263</v>
      </c>
      <c r="H361" t="s">
        <v>23</v>
      </c>
      <c r="I361" t="s">
        <v>37</v>
      </c>
      <c r="J361" t="s">
        <v>144</v>
      </c>
      <c r="K361" t="s">
        <v>145</v>
      </c>
      <c r="L361" t="s">
        <v>40</v>
      </c>
      <c r="M361" t="s">
        <v>65</v>
      </c>
      <c r="N361" t="s">
        <v>2025</v>
      </c>
      <c r="O361" t="s">
        <v>30</v>
      </c>
      <c r="P361">
        <v>6</v>
      </c>
      <c r="Q361">
        <v>2423.61</v>
      </c>
      <c r="R361">
        <v>0.1</v>
      </c>
      <c r="S361" t="str">
        <f t="shared" si="5"/>
        <v>OK</v>
      </c>
      <c r="T361">
        <v>13087.49</v>
      </c>
      <c r="U361">
        <v>7608.89</v>
      </c>
      <c r="V361">
        <v>5133.22</v>
      </c>
      <c r="W361" t="s">
        <v>31</v>
      </c>
      <c r="X361" t="s">
        <v>32</v>
      </c>
    </row>
    <row r="362" spans="1:24">
      <c r="A362" t="s">
        <v>2026</v>
      </c>
      <c r="B362" s="2">
        <v>45553</v>
      </c>
      <c r="C362" s="2">
        <v>45559</v>
      </c>
      <c r="D362" s="5">
        <f>C362-B362</f>
        <v>6</v>
      </c>
      <c r="E362" s="5" t="str">
        <f>IF(D362&lt;0,"INVALID","OK")</f>
        <v>OK</v>
      </c>
      <c r="F362" t="s">
        <v>2027</v>
      </c>
      <c r="G362" t="s">
        <v>70</v>
      </c>
      <c r="H362" t="s">
        <v>36</v>
      </c>
      <c r="I362" t="s">
        <v>37</v>
      </c>
      <c r="J362" t="s">
        <v>227</v>
      </c>
      <c r="K362" t="s">
        <v>228</v>
      </c>
      <c r="L362" t="s">
        <v>73</v>
      </c>
      <c r="M362" t="s">
        <v>273</v>
      </c>
      <c r="N362" t="s">
        <v>2028</v>
      </c>
      <c r="O362" t="s">
        <v>49</v>
      </c>
      <c r="P362">
        <v>3</v>
      </c>
      <c r="Q362">
        <v>729.14</v>
      </c>
      <c r="R362">
        <v>0.25</v>
      </c>
      <c r="S362" t="str">
        <f t="shared" si="5"/>
        <v>OK</v>
      </c>
      <c r="T362">
        <v>1640.57</v>
      </c>
      <c r="U362">
        <v>1136.98</v>
      </c>
      <c r="V362">
        <v>503.59</v>
      </c>
      <c r="W362" t="s">
        <v>31</v>
      </c>
      <c r="X362" t="s">
        <v>32</v>
      </c>
    </row>
    <row r="363" spans="1:24">
      <c r="A363" t="s">
        <v>2032</v>
      </c>
      <c r="B363" s="2">
        <v>45403</v>
      </c>
      <c r="C363" s="2">
        <v>45406</v>
      </c>
      <c r="D363" s="5">
        <f>C363-B363</f>
        <v>3</v>
      </c>
      <c r="E363" s="5" t="str">
        <f>IF(D363&lt;0,"INVALID","OK")</f>
        <v>OK</v>
      </c>
      <c r="F363" t="s">
        <v>2033</v>
      </c>
      <c r="G363" t="s">
        <v>78</v>
      </c>
      <c r="H363" t="s">
        <v>36</v>
      </c>
      <c r="I363" t="s">
        <v>53</v>
      </c>
      <c r="J363" t="s">
        <v>83</v>
      </c>
      <c r="K363" t="s">
        <v>84</v>
      </c>
      <c r="L363" t="s">
        <v>27</v>
      </c>
      <c r="M363" t="s">
        <v>47</v>
      </c>
      <c r="N363" t="s">
        <v>2034</v>
      </c>
      <c r="O363" t="s">
        <v>43</v>
      </c>
      <c r="P363">
        <v>9</v>
      </c>
      <c r="Q363">
        <v>703.59</v>
      </c>
      <c r="R363">
        <v>0.2</v>
      </c>
      <c r="S363" t="str">
        <f t="shared" si="5"/>
        <v>OK</v>
      </c>
      <c r="T363">
        <v>5065.8500000000004</v>
      </c>
      <c r="U363">
        <v>3517.23</v>
      </c>
      <c r="V363">
        <v>1548.62</v>
      </c>
      <c r="W363" t="s">
        <v>154</v>
      </c>
      <c r="X363" t="s">
        <v>102</v>
      </c>
    </row>
    <row r="364" spans="1:24">
      <c r="A364" t="s">
        <v>2038</v>
      </c>
      <c r="B364" s="2">
        <v>45395</v>
      </c>
      <c r="C364" s="2">
        <v>45403</v>
      </c>
      <c r="D364" s="5">
        <f>C364-B364</f>
        <v>8</v>
      </c>
      <c r="E364" s="5" t="str">
        <f>IF(D364&lt;0,"INVALID","OK")</f>
        <v>OK</v>
      </c>
      <c r="F364" t="s">
        <v>377</v>
      </c>
      <c r="G364" t="s">
        <v>127</v>
      </c>
      <c r="H364" t="s">
        <v>94</v>
      </c>
      <c r="I364" t="s">
        <v>37</v>
      </c>
      <c r="J364" t="s">
        <v>144</v>
      </c>
      <c r="K364" t="s">
        <v>145</v>
      </c>
      <c r="L364" t="s">
        <v>73</v>
      </c>
      <c r="M364" t="s">
        <v>74</v>
      </c>
      <c r="N364" t="s">
        <v>2039</v>
      </c>
      <c r="O364" t="s">
        <v>43</v>
      </c>
      <c r="P364">
        <v>7</v>
      </c>
      <c r="Q364">
        <v>2648.76</v>
      </c>
      <c r="R364">
        <v>0.15</v>
      </c>
      <c r="S364" t="str">
        <f t="shared" si="5"/>
        <v>OK</v>
      </c>
      <c r="T364">
        <v>15760.12</v>
      </c>
      <c r="U364">
        <v>9931.5300000000007</v>
      </c>
      <c r="V364">
        <v>5828.59</v>
      </c>
      <c r="W364" t="s">
        <v>154</v>
      </c>
      <c r="X364" t="s">
        <v>102</v>
      </c>
    </row>
    <row r="365" spans="1:24">
      <c r="A365" t="s">
        <v>2053</v>
      </c>
      <c r="B365" s="2">
        <v>45478</v>
      </c>
      <c r="C365" s="2">
        <v>45426</v>
      </c>
      <c r="D365" s="5">
        <f>C365-B365</f>
        <v>-52</v>
      </c>
      <c r="E365" s="5" t="str">
        <f>IF(D365&lt;0,"INVALID","OK")</f>
        <v>INVALID</v>
      </c>
      <c r="F365" t="s">
        <v>2054</v>
      </c>
      <c r="G365" t="s">
        <v>78</v>
      </c>
      <c r="H365" t="s">
        <v>36</v>
      </c>
      <c r="I365" t="s">
        <v>24</v>
      </c>
      <c r="J365" t="s">
        <v>235</v>
      </c>
      <c r="K365" t="s">
        <v>236</v>
      </c>
      <c r="L365" t="s">
        <v>73</v>
      </c>
      <c r="M365" t="s">
        <v>273</v>
      </c>
      <c r="N365" t="s">
        <v>2055</v>
      </c>
      <c r="O365" t="s">
        <v>43</v>
      </c>
      <c r="P365">
        <v>4</v>
      </c>
      <c r="Q365">
        <v>2751.1</v>
      </c>
      <c r="R365">
        <v>-0.05</v>
      </c>
      <c r="S365" t="str">
        <f t="shared" si="5"/>
        <v>INVALID</v>
      </c>
      <c r="T365">
        <v>9903.9599999999991</v>
      </c>
      <c r="U365">
        <v>7696.28</v>
      </c>
      <c r="V365">
        <v>2207.6799999999998</v>
      </c>
      <c r="W365" t="s">
        <v>31</v>
      </c>
      <c r="X365" t="s">
        <v>32</v>
      </c>
    </row>
    <row r="366" spans="1:24">
      <c r="A366" t="s">
        <v>2068</v>
      </c>
      <c r="B366" s="2">
        <v>45429</v>
      </c>
      <c r="C366" s="2">
        <v>45434</v>
      </c>
      <c r="D366" s="5">
        <f>C366-B366</f>
        <v>5</v>
      </c>
      <c r="E366" s="5" t="str">
        <f>IF(D366&lt;0,"INVALID","OK")</f>
        <v>OK</v>
      </c>
      <c r="F366" t="s">
        <v>2069</v>
      </c>
      <c r="G366" t="s">
        <v>131</v>
      </c>
      <c r="H366" t="s">
        <v>23</v>
      </c>
      <c r="I366" t="s">
        <v>53</v>
      </c>
      <c r="J366" t="s">
        <v>83</v>
      </c>
      <c r="K366" t="s">
        <v>84</v>
      </c>
      <c r="L366" t="s">
        <v>73</v>
      </c>
      <c r="M366" t="s">
        <v>273</v>
      </c>
      <c r="N366" t="s">
        <v>2070</v>
      </c>
      <c r="O366" t="s">
        <v>30</v>
      </c>
      <c r="P366">
        <v>7</v>
      </c>
      <c r="Q366">
        <v>232.5</v>
      </c>
      <c r="R366">
        <v>0</v>
      </c>
      <c r="S366" t="str">
        <f t="shared" si="5"/>
        <v>OK</v>
      </c>
      <c r="T366">
        <v>1627.5</v>
      </c>
      <c r="U366">
        <v>939.9</v>
      </c>
      <c r="V366">
        <v>687.6</v>
      </c>
      <c r="W366" t="s">
        <v>31</v>
      </c>
      <c r="X366" t="s">
        <v>32</v>
      </c>
    </row>
    <row r="367" spans="1:24">
      <c r="A367" t="s">
        <v>2071</v>
      </c>
      <c r="B367" s="2">
        <v>45305</v>
      </c>
      <c r="C367" s="2">
        <v>45309</v>
      </c>
      <c r="D367" s="5">
        <f>C367-B367</f>
        <v>4</v>
      </c>
      <c r="E367" s="5" t="str">
        <f>IF(D367&lt;0,"INVALID","OK")</f>
        <v>OK</v>
      </c>
      <c r="F367" t="s">
        <v>2072</v>
      </c>
      <c r="G367" t="s">
        <v>35</v>
      </c>
      <c r="H367" t="s">
        <v>94</v>
      </c>
      <c r="I367" t="s">
        <v>62</v>
      </c>
      <c r="J367" t="s">
        <v>25</v>
      </c>
      <c r="K367" t="s">
        <v>108</v>
      </c>
      <c r="L367" t="s">
        <v>73</v>
      </c>
      <c r="M367" t="s">
        <v>273</v>
      </c>
      <c r="N367" t="s">
        <v>2073</v>
      </c>
      <c r="O367" t="s">
        <v>43</v>
      </c>
      <c r="P367">
        <v>6</v>
      </c>
      <c r="Q367">
        <v>1784.8</v>
      </c>
      <c r="R367">
        <v>0.1</v>
      </c>
      <c r="S367" t="str">
        <f t="shared" si="5"/>
        <v>OK</v>
      </c>
      <c r="T367">
        <v>9637.92</v>
      </c>
      <c r="U367">
        <v>7329.29</v>
      </c>
      <c r="V367">
        <v>2308.63</v>
      </c>
      <c r="W367" t="s">
        <v>31</v>
      </c>
      <c r="X367" t="s">
        <v>32</v>
      </c>
    </row>
    <row r="368" spans="1:24">
      <c r="A368" t="s">
        <v>2074</v>
      </c>
      <c r="B368" s="2">
        <v>45414</v>
      </c>
      <c r="C368" s="2">
        <v>45420</v>
      </c>
      <c r="D368" s="5">
        <f>C368-B368</f>
        <v>6</v>
      </c>
      <c r="E368" s="5" t="str">
        <f>IF(D368&lt;0,"INVALID","OK")</f>
        <v>OK</v>
      </c>
      <c r="F368" t="s">
        <v>2075</v>
      </c>
      <c r="G368" t="s">
        <v>117</v>
      </c>
      <c r="H368" t="s">
        <v>94</v>
      </c>
      <c r="I368" t="s">
        <v>37</v>
      </c>
      <c r="J368" t="s">
        <v>227</v>
      </c>
      <c r="K368" t="s">
        <v>228</v>
      </c>
      <c r="L368" t="s">
        <v>73</v>
      </c>
      <c r="M368" t="s">
        <v>79</v>
      </c>
      <c r="N368" t="s">
        <v>2076</v>
      </c>
      <c r="O368" t="s">
        <v>30</v>
      </c>
      <c r="P368">
        <v>2</v>
      </c>
      <c r="Q368">
        <v>3185.01</v>
      </c>
      <c r="R368">
        <v>-0.24</v>
      </c>
      <c r="S368" t="str">
        <f t="shared" si="5"/>
        <v>INVALID</v>
      </c>
      <c r="T368">
        <v>4777.5200000000004</v>
      </c>
      <c r="U368">
        <v>3152.98</v>
      </c>
      <c r="V368">
        <v>1624.54</v>
      </c>
      <c r="W368" t="s">
        <v>31</v>
      </c>
      <c r="X368" t="s">
        <v>32</v>
      </c>
    </row>
    <row r="369" spans="1:24">
      <c r="A369" t="s">
        <v>2077</v>
      </c>
      <c r="B369" s="2">
        <v>45633</v>
      </c>
      <c r="C369" s="2">
        <v>45636</v>
      </c>
      <c r="D369" s="5">
        <f>C369-B369</f>
        <v>3</v>
      </c>
      <c r="E369" s="5" t="str">
        <f>IF(D369&lt;0,"INVALID","OK")</f>
        <v>OK</v>
      </c>
      <c r="F369" t="s">
        <v>2078</v>
      </c>
      <c r="G369" t="s">
        <v>35</v>
      </c>
      <c r="H369" t="s">
        <v>94</v>
      </c>
      <c r="I369" t="s">
        <v>53</v>
      </c>
      <c r="J369" t="s">
        <v>54</v>
      </c>
      <c r="K369" t="s">
        <v>55</v>
      </c>
      <c r="L369" t="s">
        <v>73</v>
      </c>
      <c r="M369" t="s">
        <v>74</v>
      </c>
      <c r="N369" t="s">
        <v>2079</v>
      </c>
      <c r="O369" t="s">
        <v>58</v>
      </c>
      <c r="P369">
        <v>1</v>
      </c>
      <c r="Q369">
        <v>1908.83</v>
      </c>
      <c r="R369">
        <v>0.2</v>
      </c>
      <c r="S369" t="str">
        <f t="shared" si="5"/>
        <v>OK</v>
      </c>
      <c r="T369">
        <v>1527.06</v>
      </c>
      <c r="U369">
        <v>1055.8900000000001</v>
      </c>
      <c r="V369">
        <v>471.17</v>
      </c>
      <c r="W369" t="s">
        <v>31</v>
      </c>
      <c r="X369" t="s">
        <v>32</v>
      </c>
    </row>
    <row r="370" spans="1:24">
      <c r="A370" t="s">
        <v>2083</v>
      </c>
      <c r="B370" s="2">
        <v>45464</v>
      </c>
      <c r="C370" s="2">
        <v>45469</v>
      </c>
      <c r="D370" s="5">
        <f>C370-B370</f>
        <v>5</v>
      </c>
      <c r="E370" s="5" t="str">
        <f>IF(D370&lt;0,"INVALID","OK")</f>
        <v>OK</v>
      </c>
      <c r="F370" t="s">
        <v>2084</v>
      </c>
      <c r="G370" t="s">
        <v>140</v>
      </c>
      <c r="H370" t="s">
        <v>36</v>
      </c>
      <c r="I370" t="s">
        <v>24</v>
      </c>
      <c r="J370" t="s">
        <v>121</v>
      </c>
      <c r="K370" t="s">
        <v>122</v>
      </c>
      <c r="L370" t="s">
        <v>73</v>
      </c>
      <c r="M370" t="s">
        <v>79</v>
      </c>
      <c r="N370" t="s">
        <v>2085</v>
      </c>
      <c r="O370" t="s">
        <v>43</v>
      </c>
      <c r="P370">
        <v>1</v>
      </c>
      <c r="Q370">
        <v>279.83</v>
      </c>
      <c r="R370">
        <v>0.05</v>
      </c>
      <c r="S370" t="str">
        <f t="shared" si="5"/>
        <v>OK</v>
      </c>
      <c r="T370">
        <v>265.83999999999997</v>
      </c>
      <c r="U370">
        <v>223.49</v>
      </c>
      <c r="V370">
        <v>42.35</v>
      </c>
      <c r="W370" t="s">
        <v>31</v>
      </c>
      <c r="X370" t="s">
        <v>32</v>
      </c>
    </row>
    <row r="371" spans="1:24">
      <c r="A371" t="s">
        <v>2089</v>
      </c>
      <c r="B371" s="2">
        <v>45617</v>
      </c>
      <c r="C371" s="2">
        <v>45619</v>
      </c>
      <c r="D371" s="5">
        <f>C371-B371</f>
        <v>2</v>
      </c>
      <c r="E371" s="5" t="str">
        <f>IF(D371&lt;0,"INVALID","OK")</f>
        <v>OK</v>
      </c>
      <c r="F371" t="s">
        <v>2090</v>
      </c>
      <c r="G371" t="s">
        <v>35</v>
      </c>
      <c r="H371" t="s">
        <v>89</v>
      </c>
      <c r="I371" t="s">
        <v>62</v>
      </c>
      <c r="J371" t="s">
        <v>179</v>
      </c>
      <c r="K371" t="s">
        <v>180</v>
      </c>
      <c r="L371" t="s">
        <v>27</v>
      </c>
      <c r="M371" t="s">
        <v>28</v>
      </c>
      <c r="N371" t="s">
        <v>2091</v>
      </c>
      <c r="O371" t="s">
        <v>30</v>
      </c>
      <c r="P371">
        <v>5</v>
      </c>
      <c r="Q371">
        <v>600.46</v>
      </c>
      <c r="R371">
        <v>0.2</v>
      </c>
      <c r="S371" t="str">
        <f t="shared" si="5"/>
        <v>OK</v>
      </c>
      <c r="T371">
        <v>2401.84</v>
      </c>
      <c r="U371">
        <v>1873.11</v>
      </c>
      <c r="V371">
        <v>528.73</v>
      </c>
      <c r="W371" t="s">
        <v>31</v>
      </c>
      <c r="X371" t="s">
        <v>32</v>
      </c>
    </row>
    <row r="372" spans="1:24">
      <c r="A372" t="s">
        <v>2092</v>
      </c>
      <c r="B372" s="2">
        <v>45375</v>
      </c>
      <c r="C372" s="2">
        <v>45383</v>
      </c>
      <c r="D372" s="5">
        <f>C372-B372</f>
        <v>8</v>
      </c>
      <c r="E372" s="5" t="str">
        <f>IF(D372&lt;0,"INVALID","OK")</f>
        <v>OK</v>
      </c>
      <c r="F372" t="s">
        <v>2093</v>
      </c>
      <c r="G372" t="s">
        <v>61</v>
      </c>
      <c r="H372" t="s">
        <v>94</v>
      </c>
      <c r="I372" t="s">
        <v>62</v>
      </c>
      <c r="J372" t="s">
        <v>63</v>
      </c>
      <c r="K372" t="s">
        <v>64</v>
      </c>
      <c r="L372" t="s">
        <v>40</v>
      </c>
      <c r="M372" t="s">
        <v>41</v>
      </c>
      <c r="N372" t="s">
        <v>2094</v>
      </c>
      <c r="O372" t="s">
        <v>30</v>
      </c>
      <c r="P372">
        <v>4</v>
      </c>
      <c r="Q372">
        <v>1700.72</v>
      </c>
      <c r="R372">
        <v>0.25</v>
      </c>
      <c r="S372" t="str">
        <f t="shared" si="5"/>
        <v>OK</v>
      </c>
      <c r="T372">
        <v>5102.16</v>
      </c>
      <c r="U372">
        <v>3226.45</v>
      </c>
      <c r="V372">
        <v>1875.71</v>
      </c>
      <c r="W372" t="s">
        <v>31</v>
      </c>
      <c r="X372" t="s">
        <v>32</v>
      </c>
    </row>
    <row r="373" spans="1:24">
      <c r="A373" t="s">
        <v>2097</v>
      </c>
      <c r="B373" s="2">
        <v>45373</v>
      </c>
      <c r="C373" s="2">
        <v>45378</v>
      </c>
      <c r="D373" s="5">
        <f>C373-B373</f>
        <v>5</v>
      </c>
      <c r="E373" s="5" t="str">
        <f>IF(D373&lt;0,"INVALID","OK")</f>
        <v>OK</v>
      </c>
      <c r="F373" t="s">
        <v>2098</v>
      </c>
      <c r="G373" t="s">
        <v>88</v>
      </c>
      <c r="H373" t="s">
        <v>94</v>
      </c>
      <c r="I373" t="s">
        <v>62</v>
      </c>
      <c r="J373" t="s">
        <v>189</v>
      </c>
      <c r="K373" t="s">
        <v>190</v>
      </c>
      <c r="L373" t="s">
        <v>73</v>
      </c>
      <c r="M373" t="s">
        <v>79</v>
      </c>
      <c r="N373" t="s">
        <v>2099</v>
      </c>
      <c r="O373" t="s">
        <v>30</v>
      </c>
      <c r="P373">
        <v>9</v>
      </c>
      <c r="Q373">
        <v>3649.51</v>
      </c>
      <c r="R373">
        <v>0.05</v>
      </c>
      <c r="S373" t="str">
        <f t="shared" si="5"/>
        <v>OK</v>
      </c>
      <c r="T373">
        <v>31203.31</v>
      </c>
      <c r="U373">
        <v>17738.13</v>
      </c>
      <c r="V373">
        <v>13465.18</v>
      </c>
      <c r="W373" t="s">
        <v>31</v>
      </c>
      <c r="X373" t="s">
        <v>32</v>
      </c>
    </row>
    <row r="374" spans="1:24">
      <c r="A374" t="s">
        <v>2100</v>
      </c>
      <c r="B374" s="2">
        <v>45539</v>
      </c>
      <c r="C374" s="2">
        <v>45540</v>
      </c>
      <c r="D374" s="5">
        <f>C374-B374</f>
        <v>1</v>
      </c>
      <c r="E374" s="5" t="str">
        <f>IF(D374&lt;0,"INVALID","OK")</f>
        <v>OK</v>
      </c>
      <c r="F374" t="s">
        <v>2101</v>
      </c>
      <c r="G374" t="s">
        <v>88</v>
      </c>
      <c r="H374" t="s">
        <v>89</v>
      </c>
      <c r="I374" t="s">
        <v>62</v>
      </c>
      <c r="J374" t="s">
        <v>71</v>
      </c>
      <c r="K374" t="s">
        <v>72</v>
      </c>
      <c r="L374" t="s">
        <v>40</v>
      </c>
      <c r="M374" t="s">
        <v>65</v>
      </c>
      <c r="N374" t="s">
        <v>2102</v>
      </c>
      <c r="O374" t="s">
        <v>58</v>
      </c>
      <c r="P374">
        <v>5</v>
      </c>
      <c r="Q374">
        <v>2528.5300000000002</v>
      </c>
      <c r="R374">
        <v>0.05</v>
      </c>
      <c r="S374" t="str">
        <f t="shared" si="5"/>
        <v>OK</v>
      </c>
      <c r="T374">
        <v>12010.52</v>
      </c>
      <c r="U374">
        <v>7864.61</v>
      </c>
      <c r="V374">
        <v>4145.91</v>
      </c>
      <c r="W374" t="s">
        <v>31</v>
      </c>
      <c r="X374" t="s">
        <v>102</v>
      </c>
    </row>
    <row r="375" spans="1:24">
      <c r="A375" t="s">
        <v>2106</v>
      </c>
      <c r="B375" s="2">
        <v>45430</v>
      </c>
      <c r="C375" s="2">
        <v>45433</v>
      </c>
      <c r="D375" s="5">
        <f>C375-B375</f>
        <v>3</v>
      </c>
      <c r="E375" s="5" t="str">
        <f>IF(D375&lt;0,"INVALID","OK")</f>
        <v>OK</v>
      </c>
      <c r="F375" t="s">
        <v>2107</v>
      </c>
      <c r="G375" t="s">
        <v>70</v>
      </c>
      <c r="H375" t="s">
        <v>89</v>
      </c>
      <c r="I375" t="s">
        <v>37</v>
      </c>
      <c r="J375" t="s">
        <v>227</v>
      </c>
      <c r="K375" t="s">
        <v>228</v>
      </c>
      <c r="L375" t="s">
        <v>73</v>
      </c>
      <c r="M375" t="s">
        <v>74</v>
      </c>
      <c r="N375" t="s">
        <v>2108</v>
      </c>
      <c r="O375" t="s">
        <v>30</v>
      </c>
      <c r="P375">
        <v>1</v>
      </c>
      <c r="Q375">
        <v>1033.71</v>
      </c>
      <c r="R375">
        <v>0</v>
      </c>
      <c r="S375" t="str">
        <f t="shared" si="5"/>
        <v>OK</v>
      </c>
      <c r="T375">
        <v>1033.71</v>
      </c>
      <c r="U375">
        <v>630.82000000000005</v>
      </c>
      <c r="V375">
        <v>402.89</v>
      </c>
      <c r="W375" t="s">
        <v>110</v>
      </c>
      <c r="X375" t="s">
        <v>102</v>
      </c>
    </row>
    <row r="376" spans="1:24">
      <c r="A376" t="s">
        <v>2114</v>
      </c>
      <c r="B376" s="2">
        <v>45465</v>
      </c>
      <c r="C376" s="2">
        <v>45470</v>
      </c>
      <c r="D376" s="5">
        <f>C376-B376</f>
        <v>5</v>
      </c>
      <c r="E376" s="5" t="str">
        <f>IF(D376&lt;0,"INVALID","OK")</f>
        <v>OK</v>
      </c>
      <c r="F376" t="s">
        <v>21</v>
      </c>
      <c r="G376" t="s">
        <v>46</v>
      </c>
      <c r="H376" t="s">
        <v>94</v>
      </c>
      <c r="I376" t="s">
        <v>53</v>
      </c>
      <c r="J376" t="s">
        <v>174</v>
      </c>
      <c r="K376" t="s">
        <v>175</v>
      </c>
      <c r="L376" t="s">
        <v>40</v>
      </c>
      <c r="M376" t="s">
        <v>65</v>
      </c>
      <c r="N376" t="s">
        <v>2115</v>
      </c>
      <c r="O376" t="s">
        <v>43</v>
      </c>
      <c r="P376">
        <v>7</v>
      </c>
      <c r="Q376">
        <v>2623.48</v>
      </c>
      <c r="R376">
        <v>0</v>
      </c>
      <c r="S376" t="str">
        <f t="shared" si="5"/>
        <v>OK</v>
      </c>
      <c r="T376">
        <v>18364.36</v>
      </c>
      <c r="U376">
        <v>15445.81</v>
      </c>
      <c r="V376">
        <v>2918.55</v>
      </c>
      <c r="W376" t="s">
        <v>31</v>
      </c>
      <c r="X376" t="s">
        <v>32</v>
      </c>
    </row>
    <row r="377" spans="1:24">
      <c r="A377" t="s">
        <v>2116</v>
      </c>
      <c r="B377" s="2">
        <v>45620</v>
      </c>
      <c r="C377" s="2">
        <v>45627</v>
      </c>
      <c r="D377" s="5">
        <f>C377-B377</f>
        <v>7</v>
      </c>
      <c r="E377" s="5" t="str">
        <f>IF(D377&lt;0,"INVALID","OK")</f>
        <v>OK</v>
      </c>
      <c r="F377" t="s">
        <v>2117</v>
      </c>
      <c r="G377" t="s">
        <v>263</v>
      </c>
      <c r="H377" t="s">
        <v>89</v>
      </c>
      <c r="I377" t="s">
        <v>53</v>
      </c>
      <c r="J377" t="s">
        <v>174</v>
      </c>
      <c r="K377" t="s">
        <v>175</v>
      </c>
      <c r="L377" t="s">
        <v>40</v>
      </c>
      <c r="M377" t="s">
        <v>41</v>
      </c>
      <c r="N377" t="s">
        <v>2118</v>
      </c>
      <c r="O377" t="s">
        <v>30</v>
      </c>
      <c r="P377">
        <v>9</v>
      </c>
      <c r="Q377">
        <v>2763.61</v>
      </c>
      <c r="R377">
        <v>0.15</v>
      </c>
      <c r="S377" t="str">
        <f t="shared" si="5"/>
        <v>OK</v>
      </c>
      <c r="T377">
        <v>21141.62</v>
      </c>
      <c r="U377">
        <v>11676.33</v>
      </c>
      <c r="V377">
        <v>9465.2900000000009</v>
      </c>
      <c r="W377" t="s">
        <v>31</v>
      </c>
      <c r="X377" t="s">
        <v>32</v>
      </c>
    </row>
    <row r="378" spans="1:24">
      <c r="A378" t="s">
        <v>2122</v>
      </c>
      <c r="B378" s="2">
        <v>45441</v>
      </c>
      <c r="C378" s="2">
        <v>45448</v>
      </c>
      <c r="D378" s="5">
        <f>C378-B378</f>
        <v>7</v>
      </c>
      <c r="E378" s="5" t="str">
        <f>IF(D378&lt;0,"INVALID","OK")</f>
        <v>OK</v>
      </c>
      <c r="F378" t="s">
        <v>2123</v>
      </c>
      <c r="G378" t="s">
        <v>263</v>
      </c>
      <c r="H378" t="s">
        <v>89</v>
      </c>
      <c r="I378" t="s">
        <v>53</v>
      </c>
      <c r="J378" t="s">
        <v>246</v>
      </c>
      <c r="K378" t="s">
        <v>247</v>
      </c>
      <c r="L378" t="s">
        <v>73</v>
      </c>
      <c r="M378" t="s">
        <v>74</v>
      </c>
      <c r="N378" t="s">
        <v>2124</v>
      </c>
      <c r="O378" t="s">
        <v>49</v>
      </c>
      <c r="P378">
        <v>4</v>
      </c>
      <c r="Q378">
        <v>3700.24</v>
      </c>
      <c r="R378">
        <v>0</v>
      </c>
      <c r="S378" t="str">
        <f t="shared" si="5"/>
        <v>OK</v>
      </c>
      <c r="T378">
        <v>14800.96</v>
      </c>
      <c r="U378">
        <v>12048.39</v>
      </c>
      <c r="V378">
        <v>2752.57</v>
      </c>
      <c r="W378" t="s">
        <v>31</v>
      </c>
      <c r="X378" t="s">
        <v>32</v>
      </c>
    </row>
    <row r="379" spans="1:24">
      <c r="A379" t="s">
        <v>2125</v>
      </c>
      <c r="B379" s="2">
        <v>45477</v>
      </c>
      <c r="C379" s="2">
        <v>45483</v>
      </c>
      <c r="D379" s="5">
        <f>C379-B379</f>
        <v>6</v>
      </c>
      <c r="E379" s="5" t="str">
        <f>IF(D379&lt;0,"INVALID","OK")</f>
        <v>OK</v>
      </c>
      <c r="F379" t="s">
        <v>2126</v>
      </c>
      <c r="G379" t="s">
        <v>70</v>
      </c>
      <c r="H379" t="s">
        <v>89</v>
      </c>
      <c r="I379" t="s">
        <v>24</v>
      </c>
      <c r="J379" t="s">
        <v>349</v>
      </c>
      <c r="K379" t="s">
        <v>350</v>
      </c>
      <c r="L379" t="s">
        <v>40</v>
      </c>
      <c r="M379" t="s">
        <v>41</v>
      </c>
      <c r="N379" t="s">
        <v>2127</v>
      </c>
      <c r="O379" t="s">
        <v>30</v>
      </c>
      <c r="P379">
        <v>5</v>
      </c>
      <c r="Q379">
        <v>1200.27</v>
      </c>
      <c r="R379">
        <v>0</v>
      </c>
      <c r="S379" t="str">
        <f t="shared" si="5"/>
        <v>OK</v>
      </c>
      <c r="T379">
        <v>6001.35</v>
      </c>
      <c r="U379">
        <v>4182.99</v>
      </c>
      <c r="V379">
        <v>1818.36</v>
      </c>
      <c r="W379" t="s">
        <v>31</v>
      </c>
      <c r="X379" t="s">
        <v>67</v>
      </c>
    </row>
    <row r="380" spans="1:24">
      <c r="A380" t="s">
        <v>2139</v>
      </c>
      <c r="B380" s="2">
        <v>45376</v>
      </c>
      <c r="C380" s="2">
        <v>45384</v>
      </c>
      <c r="D380" s="5">
        <f>C380-B380</f>
        <v>8</v>
      </c>
      <c r="E380" s="5" t="str">
        <f>IF(D380&lt;0,"INVALID","OK")</f>
        <v>OK</v>
      </c>
      <c r="F380" t="s">
        <v>2140</v>
      </c>
      <c r="G380" t="s">
        <v>131</v>
      </c>
      <c r="H380" t="s">
        <v>94</v>
      </c>
      <c r="I380" t="s">
        <v>53</v>
      </c>
      <c r="J380" t="s">
        <v>246</v>
      </c>
      <c r="K380" t="s">
        <v>247</v>
      </c>
      <c r="L380" t="s">
        <v>73</v>
      </c>
      <c r="M380" t="s">
        <v>79</v>
      </c>
      <c r="N380" t="s">
        <v>2141</v>
      </c>
      <c r="O380" t="s">
        <v>58</v>
      </c>
      <c r="P380">
        <v>2</v>
      </c>
      <c r="Q380">
        <v>2349.13</v>
      </c>
      <c r="R380">
        <v>0</v>
      </c>
      <c r="S380" t="str">
        <f t="shared" si="5"/>
        <v>OK</v>
      </c>
      <c r="T380">
        <v>4698.26</v>
      </c>
      <c r="U380">
        <v>2654.92</v>
      </c>
      <c r="V380">
        <v>2043.34</v>
      </c>
      <c r="W380" t="s">
        <v>31</v>
      </c>
      <c r="X380" t="s">
        <v>32</v>
      </c>
    </row>
    <row r="381" spans="1:24">
      <c r="A381" t="s">
        <v>2148</v>
      </c>
      <c r="B381" s="2">
        <v>45422</v>
      </c>
      <c r="C381" s="2">
        <v>45571</v>
      </c>
      <c r="D381" s="5">
        <f>C381-B381</f>
        <v>149</v>
      </c>
      <c r="E381" s="5" t="str">
        <f>IF(D381&lt;0,"INVALID","OK")</f>
        <v>OK</v>
      </c>
      <c r="F381" t="s">
        <v>2149</v>
      </c>
      <c r="G381" t="s">
        <v>140</v>
      </c>
      <c r="H381" t="s">
        <v>36</v>
      </c>
      <c r="I381" t="s">
        <v>24</v>
      </c>
      <c r="J381" t="s">
        <v>121</v>
      </c>
      <c r="K381" t="s">
        <v>122</v>
      </c>
      <c r="L381" t="s">
        <v>40</v>
      </c>
      <c r="M381" t="s">
        <v>41</v>
      </c>
      <c r="N381" t="s">
        <v>2150</v>
      </c>
      <c r="O381" t="s">
        <v>58</v>
      </c>
      <c r="P381">
        <v>9</v>
      </c>
      <c r="Q381">
        <v>489.58</v>
      </c>
      <c r="R381">
        <v>0.15</v>
      </c>
      <c r="S381" t="str">
        <f t="shared" si="5"/>
        <v>OK</v>
      </c>
      <c r="T381">
        <v>3745.29</v>
      </c>
      <c r="U381">
        <v>2302.65</v>
      </c>
      <c r="V381">
        <v>1442.64</v>
      </c>
      <c r="W381" t="s">
        <v>154</v>
      </c>
      <c r="X381" t="s">
        <v>67</v>
      </c>
    </row>
    <row r="382" spans="1:24">
      <c r="A382" t="s">
        <v>2151</v>
      </c>
      <c r="B382" s="2">
        <v>45546</v>
      </c>
      <c r="C382" s="2">
        <v>45550</v>
      </c>
      <c r="D382" s="5">
        <f>C382-B382</f>
        <v>4</v>
      </c>
      <c r="E382" s="5" t="str">
        <f>IF(D382&lt;0,"INVALID","OK")</f>
        <v>OK</v>
      </c>
      <c r="F382" t="s">
        <v>2152</v>
      </c>
      <c r="G382" t="s">
        <v>131</v>
      </c>
      <c r="H382" t="s">
        <v>89</v>
      </c>
      <c r="I382" t="s">
        <v>53</v>
      </c>
      <c r="J382" t="s">
        <v>246</v>
      </c>
      <c r="K382" t="s">
        <v>247</v>
      </c>
      <c r="L382" t="s">
        <v>27</v>
      </c>
      <c r="M382" t="s">
        <v>47</v>
      </c>
      <c r="N382" t="s">
        <v>2153</v>
      </c>
      <c r="O382" t="s">
        <v>58</v>
      </c>
      <c r="P382">
        <v>4</v>
      </c>
      <c r="Q382">
        <v>865.63</v>
      </c>
      <c r="R382">
        <v>0</v>
      </c>
      <c r="S382" t="str">
        <f t="shared" si="5"/>
        <v>OK</v>
      </c>
      <c r="T382">
        <v>3462.52</v>
      </c>
      <c r="U382">
        <v>2797.29</v>
      </c>
      <c r="V382">
        <v>665.23</v>
      </c>
      <c r="W382" t="s">
        <v>154</v>
      </c>
      <c r="X382" t="s">
        <v>102</v>
      </c>
    </row>
    <row r="383" spans="1:24">
      <c r="A383" t="s">
        <v>2154</v>
      </c>
      <c r="B383" s="2">
        <v>45641</v>
      </c>
      <c r="C383" s="2">
        <v>45642</v>
      </c>
      <c r="D383" s="5">
        <f>C383-B383</f>
        <v>1</v>
      </c>
      <c r="E383" s="5" t="str">
        <f>IF(D383&lt;0,"INVALID","OK")</f>
        <v>OK</v>
      </c>
      <c r="F383" t="s">
        <v>2155</v>
      </c>
      <c r="G383" t="s">
        <v>140</v>
      </c>
      <c r="H383" t="s">
        <v>23</v>
      </c>
      <c r="I383" t="s">
        <v>37</v>
      </c>
      <c r="J383" t="s">
        <v>38</v>
      </c>
      <c r="K383" t="s">
        <v>39</v>
      </c>
      <c r="L383" t="s">
        <v>73</v>
      </c>
      <c r="M383" t="s">
        <v>79</v>
      </c>
      <c r="N383" t="s">
        <v>2156</v>
      </c>
      <c r="O383" t="s">
        <v>30</v>
      </c>
      <c r="P383">
        <v>6</v>
      </c>
      <c r="Q383">
        <v>1538.1</v>
      </c>
      <c r="R383">
        <v>0.05</v>
      </c>
      <c r="S383" t="str">
        <f t="shared" si="5"/>
        <v>OK</v>
      </c>
      <c r="T383">
        <v>8767.17</v>
      </c>
      <c r="U383">
        <v>5098.2</v>
      </c>
      <c r="V383">
        <v>3668.97</v>
      </c>
      <c r="W383" t="s">
        <v>31</v>
      </c>
      <c r="X383" t="s">
        <v>32</v>
      </c>
    </row>
    <row r="384" spans="1:24">
      <c r="A384" t="s">
        <v>2165</v>
      </c>
      <c r="B384" s="2">
        <v>45474</v>
      </c>
      <c r="C384" s="2">
        <v>45298</v>
      </c>
      <c r="D384" s="5">
        <f>C384-B384</f>
        <v>-176</v>
      </c>
      <c r="E384" s="5" t="str">
        <f>IF(D384&lt;0,"INVALID","OK")</f>
        <v>INVALID</v>
      </c>
      <c r="F384" t="s">
        <v>2166</v>
      </c>
      <c r="G384" t="s">
        <v>127</v>
      </c>
      <c r="H384" t="s">
        <v>23</v>
      </c>
      <c r="I384" t="s">
        <v>62</v>
      </c>
      <c r="J384" t="s">
        <v>71</v>
      </c>
      <c r="K384" t="s">
        <v>72</v>
      </c>
      <c r="L384" t="s">
        <v>73</v>
      </c>
      <c r="M384" t="s">
        <v>273</v>
      </c>
      <c r="N384" t="s">
        <v>2167</v>
      </c>
      <c r="O384" t="s">
        <v>58</v>
      </c>
      <c r="P384">
        <v>4</v>
      </c>
      <c r="Q384">
        <v>257.39</v>
      </c>
      <c r="R384">
        <v>0</v>
      </c>
      <c r="S384" t="str">
        <f t="shared" si="5"/>
        <v>OK</v>
      </c>
      <c r="T384">
        <v>1029.56</v>
      </c>
      <c r="U384">
        <v>626.33000000000004</v>
      </c>
      <c r="V384">
        <v>403.23</v>
      </c>
      <c r="W384" t="s">
        <v>31</v>
      </c>
      <c r="X384" t="s">
        <v>32</v>
      </c>
    </row>
    <row r="385" spans="1:24">
      <c r="A385" t="s">
        <v>2174</v>
      </c>
      <c r="B385" s="2">
        <v>45549</v>
      </c>
      <c r="C385" s="2">
        <v>45549</v>
      </c>
      <c r="D385" s="5">
        <f>C385-B385</f>
        <v>0</v>
      </c>
      <c r="E385" s="5" t="str">
        <f>IF(D385&lt;0,"INVALID","OK")</f>
        <v>OK</v>
      </c>
      <c r="F385" t="s">
        <v>2175</v>
      </c>
      <c r="G385" t="s">
        <v>35</v>
      </c>
      <c r="H385" t="s">
        <v>89</v>
      </c>
      <c r="I385" t="s">
        <v>24</v>
      </c>
      <c r="J385" t="s">
        <v>25</v>
      </c>
      <c r="K385" t="s">
        <v>26</v>
      </c>
      <c r="L385" t="s">
        <v>73</v>
      </c>
      <c r="M385" t="s">
        <v>273</v>
      </c>
      <c r="N385" t="s">
        <v>2176</v>
      </c>
      <c r="O385" t="s">
        <v>58</v>
      </c>
      <c r="P385">
        <v>8</v>
      </c>
      <c r="Q385">
        <v>4081.66</v>
      </c>
      <c r="R385">
        <v>0.15</v>
      </c>
      <c r="S385" t="str">
        <f t="shared" si="5"/>
        <v>OK</v>
      </c>
      <c r="T385">
        <v>28208.1</v>
      </c>
      <c r="U385">
        <v>23751.91</v>
      </c>
      <c r="V385">
        <v>4003.38</v>
      </c>
      <c r="W385" t="s">
        <v>31</v>
      </c>
      <c r="X385" t="s">
        <v>102</v>
      </c>
    </row>
    <row r="386" spans="1:24">
      <c r="A386" t="s">
        <v>2177</v>
      </c>
      <c r="B386" s="2">
        <v>45454</v>
      </c>
      <c r="C386" s="2">
        <v>45454</v>
      </c>
      <c r="D386" s="5">
        <f>C386-B386</f>
        <v>0</v>
      </c>
      <c r="E386" s="5" t="str">
        <f>IF(D386&lt;0,"INVALID","OK")</f>
        <v>OK</v>
      </c>
      <c r="F386" t="s">
        <v>2178</v>
      </c>
      <c r="G386" t="s">
        <v>52</v>
      </c>
      <c r="H386" t="s">
        <v>36</v>
      </c>
      <c r="I386" t="s">
        <v>53</v>
      </c>
      <c r="J386" t="s">
        <v>174</v>
      </c>
      <c r="K386" t="s">
        <v>175</v>
      </c>
      <c r="L386" t="s">
        <v>40</v>
      </c>
      <c r="M386" t="s">
        <v>157</v>
      </c>
      <c r="N386" t="s">
        <v>2179</v>
      </c>
      <c r="O386" t="s">
        <v>58</v>
      </c>
      <c r="P386">
        <v>9</v>
      </c>
      <c r="Q386">
        <v>1400.11</v>
      </c>
      <c r="R386">
        <v>0.25</v>
      </c>
      <c r="S386" t="str">
        <f t="shared" si="5"/>
        <v>OK</v>
      </c>
      <c r="T386">
        <v>9450.74</v>
      </c>
      <c r="U386">
        <v>7798.56</v>
      </c>
      <c r="V386">
        <v>1652.18</v>
      </c>
      <c r="W386" t="s">
        <v>31</v>
      </c>
      <c r="X386" t="s">
        <v>32</v>
      </c>
    </row>
    <row r="387" spans="1:24">
      <c r="A387" t="s">
        <v>2180</v>
      </c>
      <c r="B387" s="2">
        <v>45553</v>
      </c>
      <c r="C387" s="2">
        <v>45556</v>
      </c>
      <c r="D387" s="5">
        <f>C387-B387</f>
        <v>3</v>
      </c>
      <c r="E387" s="5" t="str">
        <f>IF(D387&lt;0,"INVALID","OK")</f>
        <v>OK</v>
      </c>
      <c r="F387" t="s">
        <v>2181</v>
      </c>
      <c r="G387" t="s">
        <v>78</v>
      </c>
      <c r="H387" t="s">
        <v>89</v>
      </c>
      <c r="I387" t="s">
        <v>37</v>
      </c>
      <c r="J387" t="s">
        <v>98</v>
      </c>
      <c r="K387" t="s">
        <v>99</v>
      </c>
      <c r="L387" t="s">
        <v>73</v>
      </c>
      <c r="M387" t="s">
        <v>273</v>
      </c>
      <c r="N387" t="s">
        <v>2182</v>
      </c>
      <c r="O387" t="s">
        <v>58</v>
      </c>
      <c r="P387">
        <v>3</v>
      </c>
      <c r="Q387">
        <v>3055.9</v>
      </c>
      <c r="R387">
        <v>0.15</v>
      </c>
      <c r="S387" t="str">
        <f t="shared" ref="S387:S450" si="6">IF(R387&lt;0,"INVALID",IF(R387&gt;0.5,"INVALID","OK"))</f>
        <v>OK</v>
      </c>
      <c r="T387">
        <v>7792.55</v>
      </c>
      <c r="U387">
        <v>4691.7299999999996</v>
      </c>
      <c r="V387">
        <v>3100.82</v>
      </c>
      <c r="W387" t="s">
        <v>31</v>
      </c>
      <c r="X387" t="s">
        <v>32</v>
      </c>
    </row>
    <row r="388" spans="1:24">
      <c r="A388" t="s">
        <v>2183</v>
      </c>
      <c r="B388" s="2">
        <v>45412</v>
      </c>
      <c r="C388" s="2">
        <v>45416</v>
      </c>
      <c r="D388" s="5">
        <f>C388-B388</f>
        <v>4</v>
      </c>
      <c r="E388" s="5" t="str">
        <f>IF(D388&lt;0,"INVALID","OK")</f>
        <v>OK</v>
      </c>
      <c r="F388" t="s">
        <v>2184</v>
      </c>
      <c r="G388" t="s">
        <v>140</v>
      </c>
      <c r="H388" t="s">
        <v>36</v>
      </c>
      <c r="I388" t="s">
        <v>62</v>
      </c>
      <c r="J388" t="s">
        <v>179</v>
      </c>
      <c r="K388" t="s">
        <v>180</v>
      </c>
      <c r="L388" t="s">
        <v>27</v>
      </c>
      <c r="M388" t="s">
        <v>47</v>
      </c>
      <c r="N388" t="s">
        <v>2185</v>
      </c>
      <c r="O388" t="s">
        <v>43</v>
      </c>
      <c r="P388">
        <v>7</v>
      </c>
      <c r="Q388">
        <v>1224.94</v>
      </c>
      <c r="R388">
        <v>0</v>
      </c>
      <c r="S388" t="str">
        <f t="shared" si="6"/>
        <v>OK</v>
      </c>
      <c r="T388">
        <v>8574.58</v>
      </c>
      <c r="U388">
        <v>6685.81</v>
      </c>
      <c r="V388">
        <v>1888.77</v>
      </c>
      <c r="W388" t="s">
        <v>31</v>
      </c>
      <c r="X388" t="s">
        <v>102</v>
      </c>
    </row>
    <row r="389" spans="1:24">
      <c r="A389" t="s">
        <v>2189</v>
      </c>
      <c r="B389" s="2">
        <v>45584</v>
      </c>
      <c r="C389" s="2">
        <v>45585</v>
      </c>
      <c r="D389" s="5">
        <f>C389-B389</f>
        <v>1</v>
      </c>
      <c r="E389" s="5" t="str">
        <f>IF(D389&lt;0,"INVALID","OK")</f>
        <v>OK</v>
      </c>
      <c r="F389" t="s">
        <v>2190</v>
      </c>
      <c r="G389" t="s">
        <v>88</v>
      </c>
      <c r="H389" t="s">
        <v>89</v>
      </c>
      <c r="I389" t="s">
        <v>24</v>
      </c>
      <c r="J389" t="s">
        <v>25</v>
      </c>
      <c r="K389" t="s">
        <v>26</v>
      </c>
      <c r="L389" t="s">
        <v>40</v>
      </c>
      <c r="M389" t="s">
        <v>41</v>
      </c>
      <c r="N389" t="s">
        <v>2191</v>
      </c>
      <c r="O389" t="s">
        <v>49</v>
      </c>
      <c r="P389">
        <v>1</v>
      </c>
      <c r="Q389">
        <v>1150.03</v>
      </c>
      <c r="R389">
        <v>0.1</v>
      </c>
      <c r="S389" t="str">
        <f t="shared" si="6"/>
        <v>OK</v>
      </c>
      <c r="T389">
        <v>1035.03</v>
      </c>
      <c r="U389">
        <v>854.35</v>
      </c>
      <c r="V389">
        <v>180.68</v>
      </c>
      <c r="W389" t="s">
        <v>31</v>
      </c>
      <c r="X389" t="s">
        <v>32</v>
      </c>
    </row>
    <row r="390" spans="1:24">
      <c r="A390" t="s">
        <v>2192</v>
      </c>
      <c r="B390" s="2">
        <v>45364</v>
      </c>
      <c r="C390" s="2">
        <v>45371</v>
      </c>
      <c r="D390" s="5">
        <f>C390-B390</f>
        <v>7</v>
      </c>
      <c r="E390" s="5" t="str">
        <f>IF(D390&lt;0,"INVALID","OK")</f>
        <v>OK</v>
      </c>
      <c r="F390" t="s">
        <v>2193</v>
      </c>
      <c r="G390" t="s">
        <v>113</v>
      </c>
      <c r="H390" t="s">
        <v>94</v>
      </c>
      <c r="I390" t="s">
        <v>53</v>
      </c>
      <c r="J390" t="s">
        <v>246</v>
      </c>
      <c r="K390" t="s">
        <v>247</v>
      </c>
      <c r="L390" t="s">
        <v>40</v>
      </c>
      <c r="M390" t="s">
        <v>157</v>
      </c>
      <c r="N390" t="s">
        <v>2194</v>
      </c>
      <c r="O390" t="s">
        <v>2762</v>
      </c>
      <c r="P390">
        <v>1</v>
      </c>
      <c r="Q390">
        <v>2825.63</v>
      </c>
      <c r="R390">
        <v>0.15</v>
      </c>
      <c r="S390" t="str">
        <f t="shared" si="6"/>
        <v>OK</v>
      </c>
      <c r="T390">
        <v>2401.79</v>
      </c>
      <c r="U390">
        <v>1820.34</v>
      </c>
      <c r="V390">
        <v>581.45000000000005</v>
      </c>
      <c r="W390" t="s">
        <v>31</v>
      </c>
      <c r="X390" t="s">
        <v>32</v>
      </c>
    </row>
    <row r="391" spans="1:24">
      <c r="A391" t="s">
        <v>2195</v>
      </c>
      <c r="B391" s="2">
        <v>45543</v>
      </c>
      <c r="C391" s="2">
        <v>45549</v>
      </c>
      <c r="D391" s="5">
        <f>C391-B391</f>
        <v>6</v>
      </c>
      <c r="E391" s="5" t="str">
        <f>IF(D391&lt;0,"INVALID","OK")</f>
        <v>OK</v>
      </c>
      <c r="F391" t="s">
        <v>2196</v>
      </c>
      <c r="G391" t="s">
        <v>140</v>
      </c>
      <c r="H391" t="s">
        <v>23</v>
      </c>
      <c r="I391" t="s">
        <v>24</v>
      </c>
      <c r="J391" t="s">
        <v>25</v>
      </c>
      <c r="K391" t="s">
        <v>26</v>
      </c>
      <c r="L391" t="s">
        <v>27</v>
      </c>
      <c r="M391" t="s">
        <v>152</v>
      </c>
      <c r="N391" t="s">
        <v>2197</v>
      </c>
      <c r="O391" t="s">
        <v>58</v>
      </c>
      <c r="P391">
        <v>5</v>
      </c>
      <c r="Q391">
        <v>3371.75</v>
      </c>
      <c r="R391">
        <v>0.05</v>
      </c>
      <c r="S391" t="str">
        <f t="shared" si="6"/>
        <v>OK</v>
      </c>
      <c r="T391">
        <v>16015.81</v>
      </c>
      <c r="U391">
        <v>11352.38</v>
      </c>
      <c r="V391">
        <v>4663.43</v>
      </c>
      <c r="W391" t="s">
        <v>31</v>
      </c>
      <c r="X391" t="s">
        <v>32</v>
      </c>
    </row>
    <row r="392" spans="1:24">
      <c r="A392" t="s">
        <v>2198</v>
      </c>
      <c r="B392" s="2">
        <v>45467</v>
      </c>
      <c r="C392" s="2">
        <v>45471</v>
      </c>
      <c r="D392" s="5">
        <f>C392-B392</f>
        <v>4</v>
      </c>
      <c r="E392" s="5" t="str">
        <f>IF(D392&lt;0,"INVALID","OK")</f>
        <v>OK</v>
      </c>
      <c r="F392" t="s">
        <v>2199</v>
      </c>
      <c r="G392" t="s">
        <v>46</v>
      </c>
      <c r="H392" t="s">
        <v>36</v>
      </c>
      <c r="I392" t="s">
        <v>37</v>
      </c>
      <c r="J392" t="s">
        <v>38</v>
      </c>
      <c r="K392" t="s">
        <v>39</v>
      </c>
      <c r="L392" t="s">
        <v>27</v>
      </c>
      <c r="M392" t="s">
        <v>28</v>
      </c>
      <c r="N392" t="s">
        <v>2200</v>
      </c>
      <c r="O392" t="s">
        <v>43</v>
      </c>
      <c r="P392">
        <v>1</v>
      </c>
      <c r="Q392">
        <v>2112.75</v>
      </c>
      <c r="R392">
        <v>0.1</v>
      </c>
      <c r="S392" t="str">
        <f t="shared" si="6"/>
        <v>OK</v>
      </c>
      <c r="T392">
        <v>1901.48</v>
      </c>
      <c r="U392">
        <v>1354.28</v>
      </c>
      <c r="V392">
        <v>547.20000000000005</v>
      </c>
      <c r="W392" t="s">
        <v>31</v>
      </c>
      <c r="X392" t="s">
        <v>32</v>
      </c>
    </row>
    <row r="393" spans="1:24">
      <c r="A393" t="s">
        <v>2210</v>
      </c>
      <c r="B393" s="2">
        <v>45485</v>
      </c>
      <c r="C393" s="2">
        <v>45492</v>
      </c>
      <c r="D393" s="5">
        <f>C393-B393</f>
        <v>7</v>
      </c>
      <c r="E393" s="5" t="str">
        <f>IF(D393&lt;0,"INVALID","OK")</f>
        <v>OK</v>
      </c>
      <c r="F393" t="s">
        <v>2211</v>
      </c>
      <c r="G393" t="s">
        <v>70</v>
      </c>
      <c r="H393" t="s">
        <v>89</v>
      </c>
      <c r="I393" t="s">
        <v>24</v>
      </c>
      <c r="J393" t="s">
        <v>121</v>
      </c>
      <c r="K393" t="s">
        <v>122</v>
      </c>
      <c r="L393" t="s">
        <v>27</v>
      </c>
      <c r="M393" t="s">
        <v>47</v>
      </c>
      <c r="N393" t="s">
        <v>2212</v>
      </c>
      <c r="O393" t="s">
        <v>30</v>
      </c>
      <c r="P393">
        <v>5</v>
      </c>
      <c r="Q393">
        <v>1559.16</v>
      </c>
      <c r="R393">
        <v>0.05</v>
      </c>
      <c r="S393" t="str">
        <f t="shared" si="6"/>
        <v>OK</v>
      </c>
      <c r="T393">
        <v>7406.01</v>
      </c>
      <c r="U393">
        <v>5941.74</v>
      </c>
      <c r="V393">
        <v>1464.27</v>
      </c>
      <c r="W393" t="s">
        <v>31</v>
      </c>
      <c r="X393" t="s">
        <v>32</v>
      </c>
    </row>
    <row r="394" spans="1:24">
      <c r="A394" t="s">
        <v>2216</v>
      </c>
      <c r="B394" s="2">
        <v>45332</v>
      </c>
      <c r="C394" s="2">
        <v>45340</v>
      </c>
      <c r="D394" s="5">
        <f>C394-B394</f>
        <v>8</v>
      </c>
      <c r="E394" s="5" t="str">
        <f>IF(D394&lt;0,"INVALID","OK")</f>
        <v>OK</v>
      </c>
      <c r="F394" t="s">
        <v>2217</v>
      </c>
      <c r="G394" t="s">
        <v>46</v>
      </c>
      <c r="H394" t="s">
        <v>94</v>
      </c>
      <c r="I394" t="s">
        <v>62</v>
      </c>
      <c r="J394" t="s">
        <v>71</v>
      </c>
      <c r="K394" t="s">
        <v>72</v>
      </c>
      <c r="L394" t="s">
        <v>40</v>
      </c>
      <c r="M394" t="s">
        <v>65</v>
      </c>
      <c r="N394" t="s">
        <v>2218</v>
      </c>
      <c r="O394" t="s">
        <v>49</v>
      </c>
      <c r="P394">
        <v>7</v>
      </c>
      <c r="Q394">
        <v>1382.86</v>
      </c>
      <c r="R394">
        <v>0</v>
      </c>
      <c r="S394" t="str">
        <f t="shared" si="6"/>
        <v>OK</v>
      </c>
      <c r="T394">
        <v>9680.02</v>
      </c>
      <c r="U394">
        <v>6876.66</v>
      </c>
      <c r="V394">
        <v>2803.36</v>
      </c>
      <c r="W394" t="s">
        <v>31</v>
      </c>
      <c r="X394" t="s">
        <v>32</v>
      </c>
    </row>
    <row r="395" spans="1:24">
      <c r="A395" t="s">
        <v>2233</v>
      </c>
      <c r="B395" s="2">
        <v>45541</v>
      </c>
      <c r="C395" s="2">
        <v>45544</v>
      </c>
      <c r="D395" s="5">
        <f>C395-B395</f>
        <v>3</v>
      </c>
      <c r="E395" s="5" t="str">
        <f>IF(D395&lt;0,"INVALID","OK")</f>
        <v>OK</v>
      </c>
      <c r="F395" t="s">
        <v>2234</v>
      </c>
      <c r="G395" t="s">
        <v>35</v>
      </c>
      <c r="H395" t="s">
        <v>23</v>
      </c>
      <c r="I395" t="s">
        <v>62</v>
      </c>
      <c r="J395" t="s">
        <v>63</v>
      </c>
      <c r="K395" t="s">
        <v>64</v>
      </c>
      <c r="L395" t="s">
        <v>27</v>
      </c>
      <c r="M395" t="s">
        <v>47</v>
      </c>
      <c r="N395" t="s">
        <v>2235</v>
      </c>
      <c r="O395" t="s">
        <v>43</v>
      </c>
      <c r="P395">
        <v>3</v>
      </c>
      <c r="Q395">
        <v>1972.27</v>
      </c>
      <c r="R395">
        <v>0.2</v>
      </c>
      <c r="S395" t="str">
        <f t="shared" si="6"/>
        <v>OK</v>
      </c>
      <c r="T395">
        <v>4733.45</v>
      </c>
      <c r="U395">
        <v>3672.32</v>
      </c>
      <c r="V395">
        <v>1061.1300000000001</v>
      </c>
      <c r="W395" t="s">
        <v>31</v>
      </c>
      <c r="X395" t="s">
        <v>32</v>
      </c>
    </row>
    <row r="396" spans="1:24">
      <c r="A396" t="s">
        <v>2238</v>
      </c>
      <c r="B396" s="2">
        <v>45489</v>
      </c>
      <c r="C396" s="2">
        <v>45489</v>
      </c>
      <c r="D396" s="5">
        <f>C396-B396</f>
        <v>0</v>
      </c>
      <c r="E396" s="5" t="str">
        <f>IF(D396&lt;0,"INVALID","OK")</f>
        <v>OK</v>
      </c>
      <c r="F396" t="s">
        <v>2239</v>
      </c>
      <c r="G396" t="s">
        <v>88</v>
      </c>
      <c r="H396" t="s">
        <v>94</v>
      </c>
      <c r="I396" t="s">
        <v>62</v>
      </c>
      <c r="J396" t="s">
        <v>71</v>
      </c>
      <c r="K396" t="s">
        <v>72</v>
      </c>
      <c r="L396" t="s">
        <v>73</v>
      </c>
      <c r="M396" t="s">
        <v>79</v>
      </c>
      <c r="N396" t="s">
        <v>2240</v>
      </c>
      <c r="O396" t="s">
        <v>43</v>
      </c>
      <c r="P396">
        <v>4</v>
      </c>
      <c r="Q396">
        <v>4479.92</v>
      </c>
      <c r="R396">
        <v>0.15</v>
      </c>
      <c r="S396" t="str">
        <f t="shared" si="6"/>
        <v>OK</v>
      </c>
      <c r="T396">
        <v>15231.73</v>
      </c>
      <c r="U396">
        <v>12451.46</v>
      </c>
      <c r="V396">
        <v>2780.27</v>
      </c>
      <c r="W396" t="s">
        <v>31</v>
      </c>
      <c r="X396" t="s">
        <v>32</v>
      </c>
    </row>
    <row r="397" spans="1:24">
      <c r="A397" t="s">
        <v>2244</v>
      </c>
      <c r="B397" s="2">
        <v>45572</v>
      </c>
      <c r="C397" s="2">
        <v>45575</v>
      </c>
      <c r="D397" s="5">
        <f>C397-B397</f>
        <v>3</v>
      </c>
      <c r="E397" s="5" t="str">
        <f>IF(D397&lt;0,"INVALID","OK")</f>
        <v>OK</v>
      </c>
      <c r="F397" t="s">
        <v>2245</v>
      </c>
      <c r="G397" t="s">
        <v>70</v>
      </c>
      <c r="H397" t="s">
        <v>23</v>
      </c>
      <c r="I397" t="s">
        <v>37</v>
      </c>
      <c r="J397" t="s">
        <v>98</v>
      </c>
      <c r="K397" t="s">
        <v>99</v>
      </c>
      <c r="L397" t="s">
        <v>40</v>
      </c>
      <c r="M397" t="s">
        <v>65</v>
      </c>
      <c r="N397" t="s">
        <v>2246</v>
      </c>
      <c r="O397" t="s">
        <v>30</v>
      </c>
      <c r="P397">
        <v>9</v>
      </c>
      <c r="Q397">
        <v>481.51</v>
      </c>
      <c r="R397">
        <v>0</v>
      </c>
      <c r="S397" t="str">
        <f t="shared" si="6"/>
        <v>OK</v>
      </c>
      <c r="T397">
        <v>4333.59</v>
      </c>
      <c r="U397">
        <v>2533.59</v>
      </c>
      <c r="V397">
        <v>1800</v>
      </c>
      <c r="W397" t="s">
        <v>101</v>
      </c>
      <c r="X397" t="s">
        <v>67</v>
      </c>
    </row>
    <row r="398" spans="1:24">
      <c r="A398" t="s">
        <v>2250</v>
      </c>
      <c r="B398" s="2">
        <v>45332</v>
      </c>
      <c r="C398" s="2">
        <v>45338</v>
      </c>
      <c r="D398" s="5">
        <f>C398-B398</f>
        <v>6</v>
      </c>
      <c r="E398" s="5" t="str">
        <f>IF(D398&lt;0,"INVALID","OK")</f>
        <v>OK</v>
      </c>
      <c r="F398" t="s">
        <v>2251</v>
      </c>
      <c r="G398" t="s">
        <v>22</v>
      </c>
      <c r="H398" t="s">
        <v>23</v>
      </c>
      <c r="I398" t="s">
        <v>62</v>
      </c>
      <c r="J398" t="s">
        <v>189</v>
      </c>
      <c r="K398" t="s">
        <v>190</v>
      </c>
      <c r="L398" t="s">
        <v>40</v>
      </c>
      <c r="M398" t="s">
        <v>56</v>
      </c>
      <c r="N398" t="s">
        <v>2252</v>
      </c>
      <c r="O398" t="s">
        <v>30</v>
      </c>
      <c r="P398">
        <v>3</v>
      </c>
      <c r="Q398">
        <v>253.43</v>
      </c>
      <c r="R398">
        <v>0</v>
      </c>
      <c r="S398" t="str">
        <f t="shared" si="6"/>
        <v>OK</v>
      </c>
      <c r="T398">
        <v>760.29</v>
      </c>
      <c r="U398">
        <v>497.77</v>
      </c>
      <c r="V398">
        <v>262.52</v>
      </c>
      <c r="W398" t="s">
        <v>31</v>
      </c>
      <c r="X398" t="s">
        <v>32</v>
      </c>
    </row>
    <row r="399" spans="1:24">
      <c r="A399" t="s">
        <v>2256</v>
      </c>
      <c r="B399" s="2">
        <v>45308</v>
      </c>
      <c r="C399" s="2">
        <v>45314</v>
      </c>
      <c r="D399" s="5">
        <f>C399-B399</f>
        <v>6</v>
      </c>
      <c r="E399" s="5" t="str">
        <f>IF(D399&lt;0,"INVALID","OK")</f>
        <v>OK</v>
      </c>
      <c r="F399" t="s">
        <v>2257</v>
      </c>
      <c r="G399" t="s">
        <v>263</v>
      </c>
      <c r="H399" t="s">
        <v>94</v>
      </c>
      <c r="I399" t="s">
        <v>62</v>
      </c>
      <c r="J399" t="s">
        <v>179</v>
      </c>
      <c r="K399" t="s">
        <v>180</v>
      </c>
      <c r="L399" t="s">
        <v>73</v>
      </c>
      <c r="M399" t="s">
        <v>170</v>
      </c>
      <c r="N399" t="s">
        <v>2258</v>
      </c>
      <c r="O399" t="s">
        <v>58</v>
      </c>
      <c r="P399">
        <v>5</v>
      </c>
      <c r="Q399">
        <v>2018</v>
      </c>
      <c r="R399">
        <v>0.2</v>
      </c>
      <c r="S399" t="str">
        <f t="shared" si="6"/>
        <v>OK</v>
      </c>
      <c r="T399">
        <v>8072</v>
      </c>
      <c r="U399">
        <v>5379.22</v>
      </c>
      <c r="V399">
        <v>2692.78</v>
      </c>
      <c r="W399" t="s">
        <v>110</v>
      </c>
      <c r="X399" t="s">
        <v>102</v>
      </c>
    </row>
    <row r="400" spans="1:24">
      <c r="A400" t="s">
        <v>2259</v>
      </c>
      <c r="B400" s="2">
        <v>45578</v>
      </c>
      <c r="C400" s="2">
        <v>45578</v>
      </c>
      <c r="D400" s="5">
        <f>C400-B400</f>
        <v>0</v>
      </c>
      <c r="E400" s="5" t="str">
        <f>IF(D400&lt;0,"INVALID","OK")</f>
        <v>OK</v>
      </c>
      <c r="F400" t="s">
        <v>2260</v>
      </c>
      <c r="G400" t="s">
        <v>127</v>
      </c>
      <c r="H400" t="s">
        <v>36</v>
      </c>
      <c r="I400" t="s">
        <v>37</v>
      </c>
      <c r="J400" t="s">
        <v>165</v>
      </c>
      <c r="K400" t="s">
        <v>166</v>
      </c>
      <c r="L400" t="s">
        <v>73</v>
      </c>
      <c r="M400" t="s">
        <v>74</v>
      </c>
      <c r="N400" t="s">
        <v>2261</v>
      </c>
      <c r="O400" t="s">
        <v>30</v>
      </c>
      <c r="P400">
        <v>8</v>
      </c>
      <c r="Q400">
        <v>3730.66</v>
      </c>
      <c r="R400">
        <v>0.05</v>
      </c>
      <c r="S400" t="str">
        <f t="shared" si="6"/>
        <v>OK</v>
      </c>
      <c r="T400">
        <v>28353.02</v>
      </c>
      <c r="U400">
        <v>19257.849999999999</v>
      </c>
      <c r="V400">
        <v>9095.17</v>
      </c>
      <c r="W400" t="s">
        <v>31</v>
      </c>
      <c r="X400" t="s">
        <v>32</v>
      </c>
    </row>
    <row r="401" spans="1:24">
      <c r="A401" t="s">
        <v>2262</v>
      </c>
      <c r="B401" s="2">
        <v>45295</v>
      </c>
      <c r="C401" s="2">
        <v>45474</v>
      </c>
      <c r="D401" s="5">
        <f>C401-B401</f>
        <v>179</v>
      </c>
      <c r="E401" s="5" t="str">
        <f>IF(D401&lt;0,"INVALID","OK")</f>
        <v>OK</v>
      </c>
      <c r="F401" t="s">
        <v>2263</v>
      </c>
      <c r="G401" t="s">
        <v>131</v>
      </c>
      <c r="H401" t="s">
        <v>36</v>
      </c>
      <c r="I401" t="s">
        <v>53</v>
      </c>
      <c r="J401" t="s">
        <v>174</v>
      </c>
      <c r="K401" t="s">
        <v>175</v>
      </c>
      <c r="L401" t="s">
        <v>73</v>
      </c>
      <c r="M401" t="s">
        <v>273</v>
      </c>
      <c r="N401" t="s">
        <v>2264</v>
      </c>
      <c r="O401" t="s">
        <v>49</v>
      </c>
      <c r="P401">
        <v>1</v>
      </c>
      <c r="Q401">
        <v>2363.02</v>
      </c>
      <c r="R401">
        <v>0.15</v>
      </c>
      <c r="S401" t="str">
        <f t="shared" si="6"/>
        <v>OK</v>
      </c>
      <c r="T401">
        <v>2008.57</v>
      </c>
      <c r="U401">
        <v>1194.83</v>
      </c>
      <c r="V401">
        <v>813.74</v>
      </c>
      <c r="W401" t="s">
        <v>31</v>
      </c>
      <c r="X401" t="s">
        <v>32</v>
      </c>
    </row>
    <row r="402" spans="1:24">
      <c r="A402" t="s">
        <v>2271</v>
      </c>
      <c r="B402" s="2">
        <v>45368</v>
      </c>
      <c r="C402" s="2">
        <v>45370</v>
      </c>
      <c r="D402" s="5">
        <f>C402-B402</f>
        <v>2</v>
      </c>
      <c r="E402" s="5" t="str">
        <f>IF(D402&lt;0,"INVALID","OK")</f>
        <v>OK</v>
      </c>
      <c r="F402" t="s">
        <v>2272</v>
      </c>
      <c r="G402" t="s">
        <v>61</v>
      </c>
      <c r="H402" t="s">
        <v>89</v>
      </c>
      <c r="I402" t="s">
        <v>37</v>
      </c>
      <c r="J402" t="s">
        <v>38</v>
      </c>
      <c r="K402" t="s">
        <v>39</v>
      </c>
      <c r="L402" t="s">
        <v>27</v>
      </c>
      <c r="M402" t="s">
        <v>152</v>
      </c>
      <c r="N402" t="s">
        <v>2273</v>
      </c>
      <c r="O402" t="s">
        <v>49</v>
      </c>
      <c r="P402">
        <v>4</v>
      </c>
      <c r="Q402">
        <v>4376.68</v>
      </c>
      <c r="R402">
        <v>0.1</v>
      </c>
      <c r="S402" t="str">
        <f t="shared" si="6"/>
        <v>OK</v>
      </c>
      <c r="T402">
        <v>15756.05</v>
      </c>
      <c r="U402">
        <v>10245.44</v>
      </c>
      <c r="V402">
        <v>5510.61</v>
      </c>
      <c r="W402" t="s">
        <v>31</v>
      </c>
      <c r="X402" t="s">
        <v>32</v>
      </c>
    </row>
    <row r="403" spans="1:24">
      <c r="A403" t="s">
        <v>2274</v>
      </c>
      <c r="B403" s="2">
        <v>45624</v>
      </c>
      <c r="C403" s="2">
        <v>45632</v>
      </c>
      <c r="D403" s="5">
        <f>C403-B403</f>
        <v>8</v>
      </c>
      <c r="E403" s="5" t="str">
        <f>IF(D403&lt;0,"INVALID","OK")</f>
        <v>OK</v>
      </c>
      <c r="F403" t="s">
        <v>2275</v>
      </c>
      <c r="G403" t="s">
        <v>52</v>
      </c>
      <c r="H403" t="s">
        <v>36</v>
      </c>
      <c r="I403" t="s">
        <v>24</v>
      </c>
      <c r="J403" t="s">
        <v>121</v>
      </c>
      <c r="K403" t="s">
        <v>122</v>
      </c>
      <c r="L403" t="s">
        <v>73</v>
      </c>
      <c r="M403" t="s">
        <v>170</v>
      </c>
      <c r="N403" t="s">
        <v>2276</v>
      </c>
      <c r="O403" t="s">
        <v>58</v>
      </c>
      <c r="P403">
        <v>6</v>
      </c>
      <c r="Q403">
        <v>2464.63</v>
      </c>
      <c r="R403">
        <v>0</v>
      </c>
      <c r="S403" t="str">
        <f t="shared" si="6"/>
        <v>OK</v>
      </c>
      <c r="T403">
        <v>14787.78</v>
      </c>
      <c r="U403">
        <v>8596.65</v>
      </c>
      <c r="V403">
        <v>6191.13</v>
      </c>
      <c r="W403" t="s">
        <v>31</v>
      </c>
      <c r="X403" t="s">
        <v>32</v>
      </c>
    </row>
    <row r="404" spans="1:24">
      <c r="A404" t="s">
        <v>2277</v>
      </c>
      <c r="B404" s="2">
        <v>45464</v>
      </c>
      <c r="C404" s="2">
        <v>45471</v>
      </c>
      <c r="D404" s="5">
        <f>C404-B404</f>
        <v>7</v>
      </c>
      <c r="E404" s="5" t="str">
        <f>IF(D404&lt;0,"INVALID","OK")</f>
        <v>OK</v>
      </c>
      <c r="F404" t="s">
        <v>2278</v>
      </c>
      <c r="G404" t="s">
        <v>127</v>
      </c>
      <c r="H404" t="s">
        <v>94</v>
      </c>
      <c r="I404" t="s">
        <v>24</v>
      </c>
      <c r="J404" t="s">
        <v>25</v>
      </c>
      <c r="K404" t="s">
        <v>26</v>
      </c>
      <c r="L404" t="s">
        <v>40</v>
      </c>
      <c r="M404" t="s">
        <v>56</v>
      </c>
      <c r="N404" t="s">
        <v>2279</v>
      </c>
      <c r="O404" t="s">
        <v>49</v>
      </c>
      <c r="P404">
        <v>9</v>
      </c>
      <c r="Q404">
        <v>2797.96</v>
      </c>
      <c r="R404">
        <v>0</v>
      </c>
      <c r="S404" t="str">
        <f t="shared" si="6"/>
        <v>OK</v>
      </c>
      <c r="T404">
        <v>25181.64</v>
      </c>
      <c r="U404">
        <v>15337.9</v>
      </c>
      <c r="V404">
        <v>9843.74</v>
      </c>
      <c r="W404" t="s">
        <v>31</v>
      </c>
      <c r="X404" t="s">
        <v>32</v>
      </c>
    </row>
    <row r="405" spans="1:24">
      <c r="A405" t="s">
        <v>2280</v>
      </c>
      <c r="B405" s="2">
        <v>45528</v>
      </c>
      <c r="C405" s="2">
        <v>45528</v>
      </c>
      <c r="D405" s="5">
        <f>C405-B405</f>
        <v>0</v>
      </c>
      <c r="E405" s="5" t="str">
        <f>IF(D405&lt;0,"INVALID","OK")</f>
        <v>OK</v>
      </c>
      <c r="F405" t="s">
        <v>2281</v>
      </c>
      <c r="G405" t="s">
        <v>61</v>
      </c>
      <c r="H405" t="s">
        <v>36</v>
      </c>
      <c r="I405" t="s">
        <v>24</v>
      </c>
      <c r="J405" t="s">
        <v>25</v>
      </c>
      <c r="K405" t="s">
        <v>26</v>
      </c>
      <c r="L405" t="s">
        <v>73</v>
      </c>
      <c r="M405" t="s">
        <v>74</v>
      </c>
      <c r="N405" t="s">
        <v>2282</v>
      </c>
      <c r="O405" t="s">
        <v>49</v>
      </c>
      <c r="P405">
        <v>4</v>
      </c>
      <c r="Q405">
        <v>2761.86</v>
      </c>
      <c r="R405">
        <v>0.2</v>
      </c>
      <c r="S405" t="str">
        <f t="shared" si="6"/>
        <v>OK</v>
      </c>
      <c r="T405">
        <v>8837.9500000000007</v>
      </c>
      <c r="U405">
        <v>6157.27</v>
      </c>
      <c r="V405">
        <v>2680.68</v>
      </c>
      <c r="W405" t="s">
        <v>31</v>
      </c>
      <c r="X405" t="s">
        <v>32</v>
      </c>
    </row>
    <row r="406" spans="1:24">
      <c r="A406" t="s">
        <v>2283</v>
      </c>
      <c r="B406" s="2">
        <v>45515</v>
      </c>
      <c r="C406" s="2">
        <v>45523</v>
      </c>
      <c r="D406" s="5">
        <f>C406-B406</f>
        <v>8</v>
      </c>
      <c r="E406" s="5" t="str">
        <f>IF(D406&lt;0,"INVALID","OK")</f>
        <v>OK</v>
      </c>
      <c r="F406" t="s">
        <v>2284</v>
      </c>
      <c r="G406" t="s">
        <v>35</v>
      </c>
      <c r="H406" t="s">
        <v>23</v>
      </c>
      <c r="I406" t="s">
        <v>62</v>
      </c>
      <c r="J406" t="s">
        <v>63</v>
      </c>
      <c r="K406" t="s">
        <v>64</v>
      </c>
      <c r="L406" t="s">
        <v>40</v>
      </c>
      <c r="M406" t="s">
        <v>41</v>
      </c>
      <c r="N406" t="s">
        <v>2285</v>
      </c>
      <c r="O406" t="s">
        <v>58</v>
      </c>
      <c r="P406">
        <v>6</v>
      </c>
      <c r="Q406">
        <v>1515.79</v>
      </c>
      <c r="R406">
        <v>0.2</v>
      </c>
      <c r="S406" t="str">
        <f t="shared" si="6"/>
        <v>OK</v>
      </c>
      <c r="T406">
        <v>7275.79</v>
      </c>
      <c r="U406">
        <v>6152.87</v>
      </c>
      <c r="V406">
        <v>1122.92</v>
      </c>
      <c r="W406" t="s">
        <v>31</v>
      </c>
      <c r="X406" t="s">
        <v>32</v>
      </c>
    </row>
    <row r="407" spans="1:24">
      <c r="A407" t="s">
        <v>2286</v>
      </c>
      <c r="B407" s="2">
        <v>45632</v>
      </c>
      <c r="C407" s="2">
        <v>45547</v>
      </c>
      <c r="D407" s="5">
        <f>C407-B407</f>
        <v>-85</v>
      </c>
      <c r="E407" s="5" t="str">
        <f>IF(D407&lt;0,"INVALID","OK")</f>
        <v>INVALID</v>
      </c>
      <c r="F407" t="s">
        <v>2287</v>
      </c>
      <c r="G407" t="s">
        <v>88</v>
      </c>
      <c r="H407" t="s">
        <v>23</v>
      </c>
      <c r="I407" t="s">
        <v>62</v>
      </c>
      <c r="J407" t="s">
        <v>63</v>
      </c>
      <c r="K407" t="s">
        <v>64</v>
      </c>
      <c r="L407" t="s">
        <v>40</v>
      </c>
      <c r="M407" t="s">
        <v>65</v>
      </c>
      <c r="N407" t="s">
        <v>2288</v>
      </c>
      <c r="O407" t="s">
        <v>30</v>
      </c>
      <c r="P407">
        <v>9</v>
      </c>
      <c r="Q407">
        <v>290.75</v>
      </c>
      <c r="R407">
        <v>0.1</v>
      </c>
      <c r="S407" t="str">
        <f t="shared" si="6"/>
        <v>OK</v>
      </c>
      <c r="T407">
        <v>2355.08</v>
      </c>
      <c r="U407">
        <v>1350.03</v>
      </c>
      <c r="V407">
        <v>1005.05</v>
      </c>
      <c r="W407" t="s">
        <v>31</v>
      </c>
      <c r="X407" t="s">
        <v>32</v>
      </c>
    </row>
    <row r="408" spans="1:24">
      <c r="A408" t="s">
        <v>2289</v>
      </c>
      <c r="B408" s="2">
        <v>45332</v>
      </c>
      <c r="C408" s="2">
        <v>45332</v>
      </c>
      <c r="D408" s="5">
        <f>C408-B408</f>
        <v>0</v>
      </c>
      <c r="E408" s="5" t="str">
        <f>IF(D408&lt;0,"INVALID","OK")</f>
        <v>OK</v>
      </c>
      <c r="F408" t="s">
        <v>2290</v>
      </c>
      <c r="G408" t="s">
        <v>46</v>
      </c>
      <c r="H408" t="s">
        <v>94</v>
      </c>
      <c r="I408" t="s">
        <v>62</v>
      </c>
      <c r="J408" t="s">
        <v>63</v>
      </c>
      <c r="K408" t="s">
        <v>64</v>
      </c>
      <c r="L408" t="s">
        <v>40</v>
      </c>
      <c r="M408" t="s">
        <v>65</v>
      </c>
      <c r="N408" t="s">
        <v>2291</v>
      </c>
      <c r="O408" t="s">
        <v>43</v>
      </c>
      <c r="P408">
        <v>6</v>
      </c>
      <c r="Q408">
        <v>601.52</v>
      </c>
      <c r="R408">
        <v>0</v>
      </c>
      <c r="S408" t="str">
        <f t="shared" si="6"/>
        <v>OK</v>
      </c>
      <c r="T408">
        <v>3609.12</v>
      </c>
      <c r="U408">
        <v>2645.5</v>
      </c>
      <c r="V408">
        <v>963.62</v>
      </c>
      <c r="W408" t="s">
        <v>31</v>
      </c>
      <c r="X408" t="s">
        <v>32</v>
      </c>
    </row>
    <row r="409" spans="1:24">
      <c r="A409" t="s">
        <v>2295</v>
      </c>
      <c r="B409" s="2">
        <v>45629</v>
      </c>
      <c r="C409" s="2">
        <v>45636</v>
      </c>
      <c r="D409" s="5">
        <f>C409-B409</f>
        <v>7</v>
      </c>
      <c r="E409" s="5" t="str">
        <f>IF(D409&lt;0,"INVALID","OK")</f>
        <v>OK</v>
      </c>
      <c r="F409" t="s">
        <v>2296</v>
      </c>
      <c r="G409" t="s">
        <v>78</v>
      </c>
      <c r="H409" t="s">
        <v>89</v>
      </c>
      <c r="I409" t="s">
        <v>24</v>
      </c>
      <c r="J409" t="s">
        <v>25</v>
      </c>
      <c r="K409" t="s">
        <v>26</v>
      </c>
      <c r="L409" t="s">
        <v>73</v>
      </c>
      <c r="M409" t="s">
        <v>170</v>
      </c>
      <c r="N409" t="s">
        <v>2297</v>
      </c>
      <c r="O409" t="s">
        <v>58</v>
      </c>
      <c r="P409">
        <v>5</v>
      </c>
      <c r="Q409">
        <v>2393.86</v>
      </c>
      <c r="R409">
        <v>0.05</v>
      </c>
      <c r="S409" t="str">
        <f t="shared" si="6"/>
        <v>OK</v>
      </c>
      <c r="T409">
        <v>11370.84</v>
      </c>
      <c r="U409">
        <v>7469.58</v>
      </c>
      <c r="V409">
        <v>3901.26</v>
      </c>
      <c r="W409" t="s">
        <v>31</v>
      </c>
      <c r="X409" t="s">
        <v>32</v>
      </c>
    </row>
    <row r="410" spans="1:24">
      <c r="A410" t="s">
        <v>2298</v>
      </c>
      <c r="B410" s="2">
        <v>45384</v>
      </c>
      <c r="C410" s="2">
        <v>45384</v>
      </c>
      <c r="D410" s="5">
        <f>C410-B410</f>
        <v>0</v>
      </c>
      <c r="E410" s="5" t="str">
        <f>IF(D410&lt;0,"INVALID","OK")</f>
        <v>OK</v>
      </c>
      <c r="F410" t="s">
        <v>521</v>
      </c>
      <c r="G410" t="s">
        <v>131</v>
      </c>
      <c r="H410" t="s">
        <v>36</v>
      </c>
      <c r="I410" t="s">
        <v>62</v>
      </c>
      <c r="J410" t="s">
        <v>63</v>
      </c>
      <c r="K410" t="s">
        <v>64</v>
      </c>
      <c r="L410" t="s">
        <v>40</v>
      </c>
      <c r="M410" t="s">
        <v>65</v>
      </c>
      <c r="N410" t="s">
        <v>2299</v>
      </c>
      <c r="O410" t="s">
        <v>49</v>
      </c>
      <c r="P410">
        <v>4</v>
      </c>
      <c r="Q410">
        <v>2583</v>
      </c>
      <c r="R410">
        <v>0.1</v>
      </c>
      <c r="S410" t="str">
        <f t="shared" si="6"/>
        <v>OK</v>
      </c>
      <c r="T410">
        <v>9298.7999999999993</v>
      </c>
      <c r="U410">
        <v>6548.5</v>
      </c>
      <c r="V410">
        <v>2750.3</v>
      </c>
      <c r="W410" t="s">
        <v>31</v>
      </c>
      <c r="X410" t="s">
        <v>32</v>
      </c>
    </row>
    <row r="411" spans="1:24">
      <c r="A411" t="s">
        <v>2303</v>
      </c>
      <c r="B411" s="2">
        <v>45580</v>
      </c>
      <c r="C411" s="2">
        <v>45587</v>
      </c>
      <c r="D411" s="5">
        <f>C411-B411</f>
        <v>7</v>
      </c>
      <c r="E411" s="5" t="str">
        <f>IF(D411&lt;0,"INVALID","OK")</f>
        <v>OK</v>
      </c>
      <c r="F411" t="s">
        <v>2304</v>
      </c>
      <c r="G411" t="s">
        <v>22</v>
      </c>
      <c r="H411" t="s">
        <v>89</v>
      </c>
      <c r="I411" t="s">
        <v>37</v>
      </c>
      <c r="J411" t="s">
        <v>38</v>
      </c>
      <c r="K411" t="s">
        <v>39</v>
      </c>
      <c r="L411" t="s">
        <v>27</v>
      </c>
      <c r="M411" t="s">
        <v>28</v>
      </c>
      <c r="N411" t="s">
        <v>2305</v>
      </c>
      <c r="O411" t="s">
        <v>58</v>
      </c>
      <c r="P411">
        <v>4</v>
      </c>
      <c r="Q411">
        <v>2260.9499999999998</v>
      </c>
      <c r="R411">
        <v>0</v>
      </c>
      <c r="S411" t="str">
        <f t="shared" si="6"/>
        <v>OK</v>
      </c>
      <c r="T411">
        <v>9043.7999999999993</v>
      </c>
      <c r="U411">
        <v>5913.38</v>
      </c>
      <c r="V411">
        <v>3130.42</v>
      </c>
      <c r="W411" t="s">
        <v>31</v>
      </c>
      <c r="X411" t="s">
        <v>32</v>
      </c>
    </row>
    <row r="412" spans="1:24">
      <c r="A412" t="s">
        <v>2312</v>
      </c>
      <c r="B412" s="2">
        <v>45589</v>
      </c>
      <c r="C412" s="2">
        <v>45593</v>
      </c>
      <c r="D412" s="5">
        <f>C412-B412</f>
        <v>4</v>
      </c>
      <c r="E412" s="5" t="str">
        <f>IF(D412&lt;0,"INVALID","OK")</f>
        <v>OK</v>
      </c>
      <c r="F412" t="s">
        <v>2313</v>
      </c>
      <c r="G412" t="s">
        <v>35</v>
      </c>
      <c r="H412" t="s">
        <v>36</v>
      </c>
      <c r="I412" t="s">
        <v>37</v>
      </c>
      <c r="J412" t="s">
        <v>165</v>
      </c>
      <c r="K412" t="s">
        <v>166</v>
      </c>
      <c r="L412" t="s">
        <v>73</v>
      </c>
      <c r="M412" t="s">
        <v>79</v>
      </c>
      <c r="N412" t="s">
        <v>2314</v>
      </c>
      <c r="O412" t="s">
        <v>58</v>
      </c>
      <c r="P412">
        <v>3</v>
      </c>
      <c r="Q412">
        <v>723.59</v>
      </c>
      <c r="R412">
        <v>0.2</v>
      </c>
      <c r="S412" t="str">
        <f t="shared" si="6"/>
        <v>OK</v>
      </c>
      <c r="T412">
        <v>1736.62</v>
      </c>
      <c r="U412">
        <v>1059.52</v>
      </c>
      <c r="V412">
        <v>677.1</v>
      </c>
      <c r="W412" t="s">
        <v>31</v>
      </c>
      <c r="X412" t="s">
        <v>32</v>
      </c>
    </row>
    <row r="413" spans="1:24">
      <c r="A413" t="s">
        <v>2317</v>
      </c>
      <c r="B413" s="2">
        <v>45413</v>
      </c>
      <c r="C413" s="2">
        <v>45419</v>
      </c>
      <c r="D413" s="5">
        <f>C413-B413</f>
        <v>6</v>
      </c>
      <c r="E413" s="5" t="str">
        <f>IF(D413&lt;0,"INVALID","OK")</f>
        <v>OK</v>
      </c>
      <c r="F413" t="s">
        <v>2318</v>
      </c>
      <c r="G413" t="s">
        <v>46</v>
      </c>
      <c r="H413" t="s">
        <v>94</v>
      </c>
      <c r="I413" t="s">
        <v>37</v>
      </c>
      <c r="J413" t="s">
        <v>38</v>
      </c>
      <c r="K413" t="s">
        <v>39</v>
      </c>
      <c r="L413" t="s">
        <v>27</v>
      </c>
      <c r="M413" t="s">
        <v>28</v>
      </c>
      <c r="N413" t="s">
        <v>2319</v>
      </c>
      <c r="O413" t="s">
        <v>43</v>
      </c>
      <c r="P413">
        <v>8</v>
      </c>
      <c r="Q413">
        <v>1473.83</v>
      </c>
      <c r="R413">
        <v>0.15</v>
      </c>
      <c r="S413" t="str">
        <f t="shared" si="6"/>
        <v>OK</v>
      </c>
      <c r="T413">
        <v>10022.040000000001</v>
      </c>
      <c r="U413">
        <v>5576.98</v>
      </c>
      <c r="V413">
        <v>4445.0600000000004</v>
      </c>
      <c r="W413" t="s">
        <v>31</v>
      </c>
      <c r="X413" t="s">
        <v>32</v>
      </c>
    </row>
    <row r="414" spans="1:24">
      <c r="A414" t="s">
        <v>2320</v>
      </c>
      <c r="B414" s="2">
        <v>45442</v>
      </c>
      <c r="C414" s="2">
        <v>45442</v>
      </c>
      <c r="D414" s="5">
        <f>C414-B414</f>
        <v>0</v>
      </c>
      <c r="E414" s="5" t="str">
        <f>IF(D414&lt;0,"INVALID","OK")</f>
        <v>OK</v>
      </c>
      <c r="F414" t="s">
        <v>2321</v>
      </c>
      <c r="G414" t="s">
        <v>161</v>
      </c>
      <c r="H414" t="s">
        <v>94</v>
      </c>
      <c r="I414" t="s">
        <v>24</v>
      </c>
      <c r="J414" t="s">
        <v>235</v>
      </c>
      <c r="K414" t="s">
        <v>236</v>
      </c>
      <c r="L414" t="s">
        <v>73</v>
      </c>
      <c r="M414" t="s">
        <v>170</v>
      </c>
      <c r="N414" t="s">
        <v>2322</v>
      </c>
      <c r="O414" t="s">
        <v>30</v>
      </c>
      <c r="P414">
        <v>1</v>
      </c>
      <c r="Q414">
        <v>3848.04</v>
      </c>
      <c r="R414">
        <v>0.25</v>
      </c>
      <c r="S414" t="str">
        <f t="shared" si="6"/>
        <v>OK</v>
      </c>
      <c r="T414">
        <v>2886.03</v>
      </c>
      <c r="U414">
        <v>2064.83</v>
      </c>
      <c r="V414">
        <v>821.2</v>
      </c>
      <c r="W414" t="s">
        <v>31</v>
      </c>
      <c r="X414" t="s">
        <v>32</v>
      </c>
    </row>
    <row r="415" spans="1:24">
      <c r="A415" t="s">
        <v>2323</v>
      </c>
      <c r="B415" s="2">
        <v>45372</v>
      </c>
      <c r="C415" s="2">
        <v>45376</v>
      </c>
      <c r="D415" s="5">
        <f>C415-B415</f>
        <v>4</v>
      </c>
      <c r="E415" s="5" t="str">
        <f>IF(D415&lt;0,"INVALID","OK")</f>
        <v>OK</v>
      </c>
      <c r="F415" t="s">
        <v>2324</v>
      </c>
      <c r="G415" t="s">
        <v>88</v>
      </c>
      <c r="H415" t="s">
        <v>94</v>
      </c>
      <c r="I415" t="s">
        <v>37</v>
      </c>
      <c r="J415" t="s">
        <v>165</v>
      </c>
      <c r="K415" t="s">
        <v>166</v>
      </c>
      <c r="L415" t="s">
        <v>73</v>
      </c>
      <c r="M415" t="s">
        <v>273</v>
      </c>
      <c r="N415" t="s">
        <v>2325</v>
      </c>
      <c r="O415" t="s">
        <v>58</v>
      </c>
      <c r="P415">
        <v>1</v>
      </c>
      <c r="Q415">
        <v>1716.7</v>
      </c>
      <c r="R415">
        <v>0.15</v>
      </c>
      <c r="S415" t="str">
        <f t="shared" si="6"/>
        <v>OK</v>
      </c>
      <c r="T415">
        <v>1459.19</v>
      </c>
      <c r="U415">
        <v>1055.79</v>
      </c>
      <c r="V415">
        <v>403.4</v>
      </c>
      <c r="W415" t="s">
        <v>31</v>
      </c>
      <c r="X415" t="s">
        <v>32</v>
      </c>
    </row>
    <row r="416" spans="1:24">
      <c r="A416" t="s">
        <v>2332</v>
      </c>
      <c r="B416" s="2">
        <v>45375</v>
      </c>
      <c r="C416" s="2">
        <v>45378</v>
      </c>
      <c r="D416" s="5">
        <f>C416-B416</f>
        <v>3</v>
      </c>
      <c r="E416" s="5" t="str">
        <f>IF(D416&lt;0,"INVALID","OK")</f>
        <v>OK</v>
      </c>
      <c r="F416" t="s">
        <v>2333</v>
      </c>
      <c r="G416" t="s">
        <v>88</v>
      </c>
      <c r="H416" t="s">
        <v>89</v>
      </c>
      <c r="I416" t="s">
        <v>62</v>
      </c>
      <c r="J416" t="s">
        <v>179</v>
      </c>
      <c r="K416" t="s">
        <v>180</v>
      </c>
      <c r="L416" t="s">
        <v>27</v>
      </c>
      <c r="M416" t="s">
        <v>123</v>
      </c>
      <c r="N416" t="s">
        <v>2334</v>
      </c>
      <c r="O416" t="s">
        <v>49</v>
      </c>
      <c r="P416">
        <v>5</v>
      </c>
      <c r="Q416">
        <v>2465.2199999999998</v>
      </c>
      <c r="R416">
        <v>0.05</v>
      </c>
      <c r="S416" t="str">
        <f t="shared" si="6"/>
        <v>OK</v>
      </c>
      <c r="T416">
        <v>11709.79</v>
      </c>
      <c r="U416">
        <v>8372.2900000000009</v>
      </c>
      <c r="V416">
        <v>3337.5</v>
      </c>
      <c r="W416" t="s">
        <v>31</v>
      </c>
      <c r="X416" t="s">
        <v>32</v>
      </c>
    </row>
    <row r="417" spans="1:24">
      <c r="A417" t="s">
        <v>2335</v>
      </c>
      <c r="B417" s="2">
        <v>45515</v>
      </c>
      <c r="C417" s="2">
        <v>45573</v>
      </c>
      <c r="D417" s="5">
        <f>C417-B417</f>
        <v>58</v>
      </c>
      <c r="E417" s="5" t="str">
        <f>IF(D417&lt;0,"INVALID","OK")</f>
        <v>OK</v>
      </c>
      <c r="F417" t="s">
        <v>2336</v>
      </c>
      <c r="G417" t="s">
        <v>88</v>
      </c>
      <c r="H417" t="s">
        <v>89</v>
      </c>
      <c r="I417" t="s">
        <v>24</v>
      </c>
      <c r="J417" t="s">
        <v>349</v>
      </c>
      <c r="K417" t="s">
        <v>350</v>
      </c>
      <c r="L417" t="s">
        <v>40</v>
      </c>
      <c r="M417" t="s">
        <v>56</v>
      </c>
      <c r="N417" t="s">
        <v>2337</v>
      </c>
      <c r="O417" t="s">
        <v>30</v>
      </c>
      <c r="P417">
        <v>3</v>
      </c>
      <c r="Q417">
        <v>1017.22</v>
      </c>
      <c r="R417">
        <v>0.15</v>
      </c>
      <c r="S417" t="str">
        <f t="shared" si="6"/>
        <v>OK</v>
      </c>
      <c r="T417">
        <v>2593.91</v>
      </c>
      <c r="U417">
        <v>1848.48</v>
      </c>
      <c r="V417">
        <v>745.43</v>
      </c>
      <c r="W417" t="s">
        <v>154</v>
      </c>
      <c r="X417" t="s">
        <v>102</v>
      </c>
    </row>
    <row r="418" spans="1:24">
      <c r="A418" t="s">
        <v>2344</v>
      </c>
      <c r="B418" s="2">
        <v>45592</v>
      </c>
      <c r="C418" s="2">
        <v>45597</v>
      </c>
      <c r="D418" s="5">
        <f>C418-B418</f>
        <v>5</v>
      </c>
      <c r="E418" s="5" t="str">
        <f>IF(D418&lt;0,"INVALID","OK")</f>
        <v>OK</v>
      </c>
      <c r="F418" t="s">
        <v>2345</v>
      </c>
      <c r="G418" t="s">
        <v>140</v>
      </c>
      <c r="H418" t="s">
        <v>23</v>
      </c>
      <c r="I418" t="s">
        <v>24</v>
      </c>
      <c r="J418" t="s">
        <v>25</v>
      </c>
      <c r="K418" t="s">
        <v>26</v>
      </c>
      <c r="L418" t="s">
        <v>73</v>
      </c>
      <c r="M418" t="s">
        <v>74</v>
      </c>
      <c r="N418" t="s">
        <v>2346</v>
      </c>
      <c r="O418" t="s">
        <v>43</v>
      </c>
      <c r="P418">
        <v>7</v>
      </c>
      <c r="Q418">
        <v>2177.1</v>
      </c>
      <c r="R418">
        <v>0.2</v>
      </c>
      <c r="S418" t="str">
        <f t="shared" si="6"/>
        <v>OK</v>
      </c>
      <c r="T418">
        <v>12191.76</v>
      </c>
      <c r="U418">
        <v>10457.49</v>
      </c>
      <c r="V418">
        <v>1734.27</v>
      </c>
      <c r="W418" t="s">
        <v>31</v>
      </c>
      <c r="X418" t="s">
        <v>102</v>
      </c>
    </row>
    <row r="419" spans="1:24">
      <c r="A419" t="s">
        <v>2350</v>
      </c>
      <c r="B419" s="2">
        <v>45414</v>
      </c>
      <c r="C419" s="2">
        <v>45422</v>
      </c>
      <c r="D419" s="5">
        <f>C419-B419</f>
        <v>8</v>
      </c>
      <c r="E419" s="5" t="str">
        <f>IF(D419&lt;0,"INVALID","OK")</f>
        <v>OK</v>
      </c>
      <c r="F419" t="s">
        <v>2351</v>
      </c>
      <c r="G419" t="s">
        <v>127</v>
      </c>
      <c r="H419" t="s">
        <v>36</v>
      </c>
      <c r="I419" t="s">
        <v>53</v>
      </c>
      <c r="J419" t="s">
        <v>174</v>
      </c>
      <c r="K419" t="s">
        <v>175</v>
      </c>
      <c r="L419" t="s">
        <v>40</v>
      </c>
      <c r="M419" t="s">
        <v>65</v>
      </c>
      <c r="N419" t="s">
        <v>2352</v>
      </c>
      <c r="O419" t="s">
        <v>58</v>
      </c>
      <c r="P419">
        <v>1</v>
      </c>
      <c r="Q419">
        <v>4166.91</v>
      </c>
      <c r="R419">
        <v>0</v>
      </c>
      <c r="S419" t="str">
        <f t="shared" si="6"/>
        <v>OK</v>
      </c>
      <c r="T419">
        <v>4166.91</v>
      </c>
      <c r="U419">
        <v>3412.63</v>
      </c>
      <c r="V419">
        <v>754.28</v>
      </c>
      <c r="W419" t="s">
        <v>31</v>
      </c>
      <c r="X419" t="s">
        <v>32</v>
      </c>
    </row>
    <row r="420" spans="1:24">
      <c r="A420" t="s">
        <v>2353</v>
      </c>
      <c r="B420" s="2">
        <v>45492</v>
      </c>
      <c r="C420" s="2">
        <v>45499</v>
      </c>
      <c r="D420" s="5">
        <f>C420-B420</f>
        <v>7</v>
      </c>
      <c r="E420" s="5" t="str">
        <f>IF(D420&lt;0,"INVALID","OK")</f>
        <v>OK</v>
      </c>
      <c r="F420" t="s">
        <v>2354</v>
      </c>
      <c r="G420" t="s">
        <v>52</v>
      </c>
      <c r="H420" t="s">
        <v>94</v>
      </c>
      <c r="I420" t="s">
        <v>53</v>
      </c>
      <c r="J420" t="s">
        <v>174</v>
      </c>
      <c r="K420" t="s">
        <v>175</v>
      </c>
      <c r="L420" t="s">
        <v>40</v>
      </c>
      <c r="M420" t="s">
        <v>41</v>
      </c>
      <c r="N420" t="s">
        <v>2355</v>
      </c>
      <c r="O420" t="s">
        <v>30</v>
      </c>
      <c r="P420">
        <v>5</v>
      </c>
      <c r="Q420">
        <v>3986.01</v>
      </c>
      <c r="R420">
        <v>0.25</v>
      </c>
      <c r="S420" t="str">
        <f t="shared" si="6"/>
        <v>OK</v>
      </c>
      <c r="T420">
        <v>14947.54</v>
      </c>
      <c r="U420">
        <v>9438.4599999999991</v>
      </c>
      <c r="V420">
        <v>5509.08</v>
      </c>
      <c r="W420" t="s">
        <v>31</v>
      </c>
      <c r="X420" t="s">
        <v>32</v>
      </c>
    </row>
    <row r="421" spans="1:24">
      <c r="A421" t="s">
        <v>2356</v>
      </c>
      <c r="B421" s="2">
        <v>45532</v>
      </c>
      <c r="C421" s="2">
        <v>45537</v>
      </c>
      <c r="D421" s="5">
        <f>C421-B421</f>
        <v>5</v>
      </c>
      <c r="E421" s="5" t="str">
        <f>IF(D421&lt;0,"INVALID","OK")</f>
        <v>OK</v>
      </c>
      <c r="F421" t="s">
        <v>2357</v>
      </c>
      <c r="G421" t="s">
        <v>88</v>
      </c>
      <c r="H421" t="s">
        <v>94</v>
      </c>
      <c r="I421" t="s">
        <v>37</v>
      </c>
      <c r="J421" t="s">
        <v>165</v>
      </c>
      <c r="K421" t="s">
        <v>166</v>
      </c>
      <c r="L421" t="s">
        <v>27</v>
      </c>
      <c r="M421" t="s">
        <v>47</v>
      </c>
      <c r="N421" t="s">
        <v>2358</v>
      </c>
      <c r="O421" t="s">
        <v>30</v>
      </c>
      <c r="P421">
        <v>4</v>
      </c>
      <c r="Q421">
        <v>3365.53</v>
      </c>
      <c r="R421">
        <v>0</v>
      </c>
      <c r="S421" t="str">
        <f t="shared" si="6"/>
        <v>OK</v>
      </c>
      <c r="T421">
        <v>13462.12</v>
      </c>
      <c r="U421">
        <v>7600.63</v>
      </c>
      <c r="V421">
        <v>5861.49</v>
      </c>
      <c r="W421" t="s">
        <v>110</v>
      </c>
      <c r="X421" t="s">
        <v>102</v>
      </c>
    </row>
    <row r="422" spans="1:24">
      <c r="A422" t="s">
        <v>2362</v>
      </c>
      <c r="B422" s="2">
        <v>45292</v>
      </c>
      <c r="C422" s="2">
        <v>45296</v>
      </c>
      <c r="D422" s="5">
        <f>C422-B422</f>
        <v>4</v>
      </c>
      <c r="E422" s="5" t="str">
        <f>IF(D422&lt;0,"INVALID","OK")</f>
        <v>OK</v>
      </c>
      <c r="F422" t="s">
        <v>2363</v>
      </c>
      <c r="G422" t="s">
        <v>161</v>
      </c>
      <c r="H422" t="s">
        <v>89</v>
      </c>
      <c r="I422" t="s">
        <v>62</v>
      </c>
      <c r="J422" t="s">
        <v>71</v>
      </c>
      <c r="K422" t="s">
        <v>72</v>
      </c>
      <c r="L422" t="s">
        <v>73</v>
      </c>
      <c r="M422" t="s">
        <v>273</v>
      </c>
      <c r="N422" t="s">
        <v>2364</v>
      </c>
      <c r="O422" t="s">
        <v>30</v>
      </c>
      <c r="P422">
        <v>2</v>
      </c>
      <c r="Q422">
        <v>3694.12</v>
      </c>
      <c r="R422">
        <v>0.2</v>
      </c>
      <c r="S422" t="str">
        <f t="shared" si="6"/>
        <v>OK</v>
      </c>
      <c r="T422">
        <v>5910.59</v>
      </c>
      <c r="U422">
        <v>4775.4399999999996</v>
      </c>
      <c r="V422">
        <v>1135.1500000000001</v>
      </c>
      <c r="W422" t="s">
        <v>101</v>
      </c>
      <c r="X422" t="s">
        <v>102</v>
      </c>
    </row>
    <row r="423" spans="1:24">
      <c r="A423" t="s">
        <v>2373</v>
      </c>
      <c r="B423" s="2">
        <v>45552</v>
      </c>
      <c r="C423" s="2">
        <v>45559</v>
      </c>
      <c r="D423" s="5">
        <f>C423-B423</f>
        <v>7</v>
      </c>
      <c r="E423" s="5" t="str">
        <f>IF(D423&lt;0,"INVALID","OK")</f>
        <v>OK</v>
      </c>
      <c r="F423" t="s">
        <v>2374</v>
      </c>
      <c r="G423" t="s">
        <v>35</v>
      </c>
      <c r="H423" t="s">
        <v>89</v>
      </c>
      <c r="I423" t="s">
        <v>62</v>
      </c>
      <c r="J423" t="s">
        <v>179</v>
      </c>
      <c r="K423" t="s">
        <v>180</v>
      </c>
      <c r="L423" t="s">
        <v>27</v>
      </c>
      <c r="M423" t="s">
        <v>47</v>
      </c>
      <c r="N423" t="s">
        <v>2375</v>
      </c>
      <c r="O423" t="s">
        <v>30</v>
      </c>
      <c r="P423">
        <v>9</v>
      </c>
      <c r="Q423">
        <v>2307.96</v>
      </c>
      <c r="R423">
        <v>0.2</v>
      </c>
      <c r="S423" t="str">
        <f t="shared" si="6"/>
        <v>OK</v>
      </c>
      <c r="T423">
        <v>16617.310000000001</v>
      </c>
      <c r="U423">
        <v>9195.73</v>
      </c>
      <c r="V423">
        <v>7421.58</v>
      </c>
      <c r="W423" t="s">
        <v>31</v>
      </c>
      <c r="X423" t="s">
        <v>67</v>
      </c>
    </row>
    <row r="424" spans="1:24">
      <c r="A424" t="s">
        <v>2376</v>
      </c>
      <c r="B424" s="2">
        <v>45415</v>
      </c>
      <c r="C424" s="2">
        <v>45418</v>
      </c>
      <c r="D424" s="5">
        <f>C424-B424</f>
        <v>3</v>
      </c>
      <c r="E424" s="5" t="str">
        <f>IF(D424&lt;0,"INVALID","OK")</f>
        <v>OK</v>
      </c>
      <c r="F424" t="s">
        <v>2377</v>
      </c>
      <c r="G424" t="s">
        <v>61</v>
      </c>
      <c r="H424" t="s">
        <v>94</v>
      </c>
      <c r="I424" t="s">
        <v>24</v>
      </c>
      <c r="J424" t="s">
        <v>135</v>
      </c>
      <c r="K424" t="s">
        <v>136</v>
      </c>
      <c r="L424" t="s">
        <v>27</v>
      </c>
      <c r="M424" t="s">
        <v>152</v>
      </c>
      <c r="N424" t="s">
        <v>2378</v>
      </c>
      <c r="O424" t="s">
        <v>58</v>
      </c>
      <c r="P424">
        <v>1</v>
      </c>
      <c r="Q424">
        <v>1244.58</v>
      </c>
      <c r="R424">
        <v>0.25</v>
      </c>
      <c r="S424" t="str">
        <f t="shared" si="6"/>
        <v>OK</v>
      </c>
      <c r="T424">
        <v>933.43</v>
      </c>
      <c r="U424">
        <v>583.09</v>
      </c>
      <c r="V424">
        <v>350.34</v>
      </c>
      <c r="W424" t="s">
        <v>31</v>
      </c>
      <c r="X424" t="s">
        <v>32</v>
      </c>
    </row>
    <row r="425" spans="1:24">
      <c r="A425" t="s">
        <v>2382</v>
      </c>
      <c r="B425" s="2">
        <v>45423</v>
      </c>
      <c r="C425" s="2">
        <v>45425</v>
      </c>
      <c r="D425" s="5">
        <f>C425-B425</f>
        <v>2</v>
      </c>
      <c r="E425" s="5" t="str">
        <f>IF(D425&lt;0,"INVALID","OK")</f>
        <v>OK</v>
      </c>
      <c r="F425" t="s">
        <v>2383</v>
      </c>
      <c r="G425" t="s">
        <v>113</v>
      </c>
      <c r="H425" t="s">
        <v>94</v>
      </c>
      <c r="I425" t="s">
        <v>62</v>
      </c>
      <c r="J425" t="s">
        <v>189</v>
      </c>
      <c r="K425" t="s">
        <v>190</v>
      </c>
      <c r="L425" t="s">
        <v>40</v>
      </c>
      <c r="M425" t="s">
        <v>157</v>
      </c>
      <c r="N425" t="s">
        <v>2384</v>
      </c>
      <c r="O425" t="s">
        <v>43</v>
      </c>
      <c r="P425">
        <v>3</v>
      </c>
      <c r="Q425">
        <v>3612.75</v>
      </c>
      <c r="R425">
        <v>0.25</v>
      </c>
      <c r="S425" t="str">
        <f t="shared" si="6"/>
        <v>OK</v>
      </c>
      <c r="T425">
        <v>8128.69</v>
      </c>
      <c r="U425">
        <v>5071.66</v>
      </c>
      <c r="V425">
        <v>3057.03</v>
      </c>
      <c r="W425" t="s">
        <v>31</v>
      </c>
      <c r="X425" t="s">
        <v>32</v>
      </c>
    </row>
    <row r="426" spans="1:24">
      <c r="A426" t="s">
        <v>2385</v>
      </c>
      <c r="B426" s="2">
        <v>45337</v>
      </c>
      <c r="C426" s="2">
        <v>45339</v>
      </c>
      <c r="D426" s="5">
        <f>C426-B426</f>
        <v>2</v>
      </c>
      <c r="E426" s="5" t="str">
        <f>IF(D426&lt;0,"INVALID","OK")</f>
        <v>OK</v>
      </c>
      <c r="F426" t="s">
        <v>2386</v>
      </c>
      <c r="G426" t="s">
        <v>78</v>
      </c>
      <c r="H426" t="s">
        <v>23</v>
      </c>
      <c r="I426" t="s">
        <v>24</v>
      </c>
      <c r="J426" t="s">
        <v>135</v>
      </c>
      <c r="K426" t="s">
        <v>136</v>
      </c>
      <c r="L426" t="s">
        <v>73</v>
      </c>
      <c r="M426" t="s">
        <v>79</v>
      </c>
      <c r="N426" t="s">
        <v>2387</v>
      </c>
      <c r="O426" t="s">
        <v>49</v>
      </c>
      <c r="P426">
        <v>4</v>
      </c>
      <c r="Q426">
        <v>863</v>
      </c>
      <c r="R426">
        <v>0</v>
      </c>
      <c r="S426" t="str">
        <f t="shared" si="6"/>
        <v>OK</v>
      </c>
      <c r="T426">
        <v>3106.8</v>
      </c>
      <c r="U426">
        <v>2376.62</v>
      </c>
      <c r="V426">
        <v>730.18</v>
      </c>
      <c r="W426" t="s">
        <v>31</v>
      </c>
      <c r="X426" t="s">
        <v>32</v>
      </c>
    </row>
    <row r="427" spans="1:24">
      <c r="A427" t="s">
        <v>2388</v>
      </c>
      <c r="B427" s="2">
        <v>45485</v>
      </c>
      <c r="C427" s="2">
        <v>45487</v>
      </c>
      <c r="D427" s="5">
        <f>C427-B427</f>
        <v>2</v>
      </c>
      <c r="E427" s="5" t="str">
        <f>IF(D427&lt;0,"INVALID","OK")</f>
        <v>OK</v>
      </c>
      <c r="F427" t="s">
        <v>467</v>
      </c>
      <c r="G427" t="s">
        <v>61</v>
      </c>
      <c r="H427" t="s">
        <v>23</v>
      </c>
      <c r="I427" t="s">
        <v>24</v>
      </c>
      <c r="J427" t="s">
        <v>235</v>
      </c>
      <c r="K427" t="s">
        <v>236</v>
      </c>
      <c r="L427" t="s">
        <v>73</v>
      </c>
      <c r="M427" t="s">
        <v>273</v>
      </c>
      <c r="N427" t="s">
        <v>2389</v>
      </c>
      <c r="O427" t="s">
        <v>30</v>
      </c>
      <c r="P427">
        <v>4</v>
      </c>
      <c r="Q427">
        <v>2131.41</v>
      </c>
      <c r="R427">
        <v>0</v>
      </c>
      <c r="S427" t="str">
        <f t="shared" si="6"/>
        <v>OK</v>
      </c>
      <c r="T427">
        <v>6394.23</v>
      </c>
      <c r="U427">
        <v>3520.69</v>
      </c>
      <c r="V427">
        <v>2873.54</v>
      </c>
      <c r="W427" t="s">
        <v>31</v>
      </c>
      <c r="X427" t="s">
        <v>32</v>
      </c>
    </row>
    <row r="428" spans="1:24">
      <c r="A428" t="s">
        <v>2399</v>
      </c>
      <c r="B428" s="2">
        <v>45396</v>
      </c>
      <c r="C428" s="2">
        <v>45404</v>
      </c>
      <c r="D428" s="5">
        <f>C428-B428</f>
        <v>8</v>
      </c>
      <c r="E428" s="5" t="str">
        <f>IF(D428&lt;0,"INVALID","OK")</f>
        <v>OK</v>
      </c>
      <c r="F428" t="s">
        <v>2400</v>
      </c>
      <c r="G428" t="s">
        <v>52</v>
      </c>
      <c r="H428" t="s">
        <v>23</v>
      </c>
      <c r="I428" t="s">
        <v>24</v>
      </c>
      <c r="J428" t="s">
        <v>235</v>
      </c>
      <c r="K428" t="s">
        <v>236</v>
      </c>
      <c r="L428" t="s">
        <v>73</v>
      </c>
      <c r="M428" t="s">
        <v>74</v>
      </c>
      <c r="N428" t="s">
        <v>2401</v>
      </c>
      <c r="O428" t="s">
        <v>58</v>
      </c>
      <c r="P428">
        <v>8</v>
      </c>
      <c r="Q428">
        <v>3956.12</v>
      </c>
      <c r="R428">
        <v>0.25</v>
      </c>
      <c r="S428" t="str">
        <f t="shared" si="6"/>
        <v>OK</v>
      </c>
      <c r="T428">
        <v>23736.720000000001</v>
      </c>
      <c r="U428">
        <v>13890.9</v>
      </c>
      <c r="V428">
        <v>9845.82</v>
      </c>
      <c r="W428" t="s">
        <v>31</v>
      </c>
      <c r="X428" t="s">
        <v>32</v>
      </c>
    </row>
    <row r="429" spans="1:24">
      <c r="A429" t="s">
        <v>2405</v>
      </c>
      <c r="B429" s="2">
        <v>45384</v>
      </c>
      <c r="C429" s="2">
        <v>45328</v>
      </c>
      <c r="D429" s="5">
        <f>C429-B429</f>
        <v>-56</v>
      </c>
      <c r="E429" s="5" t="str">
        <f>IF(D429&lt;0,"INVALID","OK")</f>
        <v>INVALID</v>
      </c>
      <c r="F429" t="s">
        <v>2406</v>
      </c>
      <c r="G429" t="s">
        <v>263</v>
      </c>
      <c r="H429" t="s">
        <v>36</v>
      </c>
      <c r="I429" t="s">
        <v>62</v>
      </c>
      <c r="J429" t="s">
        <v>71</v>
      </c>
      <c r="K429" t="s">
        <v>72</v>
      </c>
      <c r="L429" t="s">
        <v>73</v>
      </c>
      <c r="M429" t="s">
        <v>74</v>
      </c>
      <c r="N429" t="s">
        <v>2407</v>
      </c>
      <c r="O429" t="s">
        <v>30</v>
      </c>
      <c r="P429">
        <v>4</v>
      </c>
      <c r="Q429">
        <v>1489.74</v>
      </c>
      <c r="R429">
        <v>0.15</v>
      </c>
      <c r="S429" t="str">
        <f t="shared" si="6"/>
        <v>OK</v>
      </c>
      <c r="T429">
        <v>5065.12</v>
      </c>
      <c r="U429">
        <v>3530.12</v>
      </c>
      <c r="V429">
        <v>1535</v>
      </c>
      <c r="W429" t="s">
        <v>154</v>
      </c>
      <c r="X429" t="s">
        <v>67</v>
      </c>
    </row>
    <row r="430" spans="1:24">
      <c r="A430" t="s">
        <v>2408</v>
      </c>
      <c r="B430" s="2">
        <v>45497</v>
      </c>
      <c r="C430" s="2">
        <v>45497</v>
      </c>
      <c r="D430" s="5">
        <f>C430-B430</f>
        <v>0</v>
      </c>
      <c r="E430" s="5" t="str">
        <f>IF(D430&lt;0,"INVALID","OK")</f>
        <v>OK</v>
      </c>
      <c r="F430" t="s">
        <v>2409</v>
      </c>
      <c r="G430" t="s">
        <v>22</v>
      </c>
      <c r="H430" t="s">
        <v>36</v>
      </c>
      <c r="I430" t="s">
        <v>24</v>
      </c>
      <c r="J430" t="s">
        <v>235</v>
      </c>
      <c r="K430" t="s">
        <v>236</v>
      </c>
      <c r="L430" t="s">
        <v>73</v>
      </c>
      <c r="M430" t="s">
        <v>79</v>
      </c>
      <c r="N430" t="s">
        <v>2410</v>
      </c>
      <c r="O430" t="s">
        <v>30</v>
      </c>
      <c r="P430">
        <v>4</v>
      </c>
      <c r="Q430">
        <v>1676.88</v>
      </c>
      <c r="R430">
        <v>0</v>
      </c>
      <c r="S430" t="str">
        <f t="shared" si="6"/>
        <v>OK</v>
      </c>
      <c r="T430">
        <v>6707.52</v>
      </c>
      <c r="U430">
        <v>5672.57</v>
      </c>
      <c r="V430">
        <v>1034.95</v>
      </c>
      <c r="W430" t="s">
        <v>31</v>
      </c>
      <c r="X430" t="s">
        <v>32</v>
      </c>
    </row>
    <row r="431" spans="1:24">
      <c r="A431" t="s">
        <v>2411</v>
      </c>
      <c r="B431" s="2">
        <v>45306</v>
      </c>
      <c r="C431" s="2">
        <v>45311</v>
      </c>
      <c r="D431" s="5">
        <f>C431-B431</f>
        <v>5</v>
      </c>
      <c r="E431" s="5" t="str">
        <f>IF(D431&lt;0,"INVALID","OK")</f>
        <v>OK</v>
      </c>
      <c r="F431" t="s">
        <v>2412</v>
      </c>
      <c r="G431" t="s">
        <v>113</v>
      </c>
      <c r="H431" t="s">
        <v>36</v>
      </c>
      <c r="I431" t="s">
        <v>53</v>
      </c>
      <c r="J431" t="s">
        <v>83</v>
      </c>
      <c r="K431" t="s">
        <v>84</v>
      </c>
      <c r="L431" t="s">
        <v>40</v>
      </c>
      <c r="M431" t="s">
        <v>65</v>
      </c>
      <c r="N431" t="s">
        <v>2413</v>
      </c>
      <c r="O431" t="s">
        <v>58</v>
      </c>
      <c r="P431">
        <v>4</v>
      </c>
      <c r="Q431">
        <v>3153.54</v>
      </c>
      <c r="R431">
        <v>0.05</v>
      </c>
      <c r="S431" t="str">
        <f t="shared" si="6"/>
        <v>OK</v>
      </c>
      <c r="T431">
        <v>11983.45</v>
      </c>
      <c r="U431">
        <v>8572.9</v>
      </c>
      <c r="V431">
        <v>3410.55</v>
      </c>
      <c r="W431" t="s">
        <v>31</v>
      </c>
      <c r="X431" t="s">
        <v>32</v>
      </c>
    </row>
    <row r="432" spans="1:24">
      <c r="A432" t="s">
        <v>2414</v>
      </c>
      <c r="B432" s="2">
        <v>45508</v>
      </c>
      <c r="C432" s="2">
        <v>45514</v>
      </c>
      <c r="D432" s="5">
        <f>C432-B432</f>
        <v>6</v>
      </c>
      <c r="E432" s="5" t="str">
        <f>IF(D432&lt;0,"INVALID","OK")</f>
        <v>OK</v>
      </c>
      <c r="F432" t="s">
        <v>2415</v>
      </c>
      <c r="G432" t="s">
        <v>161</v>
      </c>
      <c r="H432" t="s">
        <v>36</v>
      </c>
      <c r="I432" t="s">
        <v>62</v>
      </c>
      <c r="J432" t="s">
        <v>25</v>
      </c>
      <c r="K432" t="s">
        <v>108</v>
      </c>
      <c r="L432" t="s">
        <v>40</v>
      </c>
      <c r="M432" t="s">
        <v>65</v>
      </c>
      <c r="N432" t="s">
        <v>2416</v>
      </c>
      <c r="O432" t="s">
        <v>43</v>
      </c>
      <c r="P432">
        <v>4</v>
      </c>
      <c r="Q432">
        <v>426.43</v>
      </c>
      <c r="R432">
        <v>0.2</v>
      </c>
      <c r="S432" t="str">
        <f t="shared" si="6"/>
        <v>OK</v>
      </c>
      <c r="T432">
        <v>1364.58</v>
      </c>
      <c r="U432">
        <v>978.16</v>
      </c>
      <c r="V432">
        <v>386.42</v>
      </c>
      <c r="W432" t="s">
        <v>31</v>
      </c>
      <c r="X432" t="s">
        <v>32</v>
      </c>
    </row>
    <row r="433" spans="1:24">
      <c r="A433" t="s">
        <v>2417</v>
      </c>
      <c r="B433" s="2">
        <v>45324</v>
      </c>
      <c r="C433" s="2">
        <v>45332</v>
      </c>
      <c r="D433" s="5">
        <f>C433-B433</f>
        <v>8</v>
      </c>
      <c r="E433" s="5" t="str">
        <f>IF(D433&lt;0,"INVALID","OK")</f>
        <v>OK</v>
      </c>
      <c r="F433" t="s">
        <v>2418</v>
      </c>
      <c r="G433" t="s">
        <v>22</v>
      </c>
      <c r="H433" t="s">
        <v>94</v>
      </c>
      <c r="I433" t="s">
        <v>62</v>
      </c>
      <c r="J433" t="s">
        <v>25</v>
      </c>
      <c r="K433" t="s">
        <v>108</v>
      </c>
      <c r="L433" t="s">
        <v>27</v>
      </c>
      <c r="M433" t="s">
        <v>90</v>
      </c>
      <c r="N433" t="s">
        <v>2419</v>
      </c>
      <c r="O433" t="s">
        <v>49</v>
      </c>
      <c r="P433">
        <v>3</v>
      </c>
      <c r="Q433">
        <v>383.4</v>
      </c>
      <c r="R433">
        <v>0.25</v>
      </c>
      <c r="S433" t="str">
        <f t="shared" si="6"/>
        <v>OK</v>
      </c>
      <c r="T433">
        <v>862.65</v>
      </c>
      <c r="U433">
        <v>603.73</v>
      </c>
      <c r="V433">
        <v>258.92</v>
      </c>
      <c r="W433" t="s">
        <v>110</v>
      </c>
      <c r="X433" t="s">
        <v>102</v>
      </c>
    </row>
    <row r="434" spans="1:24">
      <c r="A434" t="s">
        <v>2423</v>
      </c>
      <c r="B434" s="2">
        <v>45450</v>
      </c>
      <c r="C434" s="2">
        <v>45450</v>
      </c>
      <c r="D434" s="5">
        <f>C434-B434</f>
        <v>0</v>
      </c>
      <c r="E434" s="5" t="str">
        <f>IF(D434&lt;0,"INVALID","OK")</f>
        <v>OK</v>
      </c>
      <c r="F434" t="s">
        <v>2424</v>
      </c>
      <c r="G434" t="s">
        <v>127</v>
      </c>
      <c r="H434" t="s">
        <v>36</v>
      </c>
      <c r="I434" t="s">
        <v>37</v>
      </c>
      <c r="J434" t="s">
        <v>144</v>
      </c>
      <c r="K434" t="s">
        <v>145</v>
      </c>
      <c r="L434" t="s">
        <v>27</v>
      </c>
      <c r="M434" t="s">
        <v>47</v>
      </c>
      <c r="N434" t="s">
        <v>2425</v>
      </c>
      <c r="O434" t="s">
        <v>30</v>
      </c>
      <c r="P434">
        <v>1</v>
      </c>
      <c r="Q434">
        <v>2581.9299999999998</v>
      </c>
      <c r="R434">
        <v>0.05</v>
      </c>
      <c r="S434" t="str">
        <f t="shared" si="6"/>
        <v>OK</v>
      </c>
      <c r="T434">
        <v>2452.83</v>
      </c>
      <c r="U434">
        <v>1906.7</v>
      </c>
      <c r="V434">
        <v>546.13</v>
      </c>
      <c r="W434" t="s">
        <v>31</v>
      </c>
      <c r="X434" t="s">
        <v>32</v>
      </c>
    </row>
    <row r="435" spans="1:24">
      <c r="A435" t="s">
        <v>2429</v>
      </c>
      <c r="B435" s="2">
        <v>45435</v>
      </c>
      <c r="C435" s="2">
        <v>45441</v>
      </c>
      <c r="D435" s="5">
        <f>C435-B435</f>
        <v>6</v>
      </c>
      <c r="E435" s="5" t="str">
        <f>IF(D435&lt;0,"INVALID","OK")</f>
        <v>OK</v>
      </c>
      <c r="F435" t="s">
        <v>2430</v>
      </c>
      <c r="G435" t="s">
        <v>161</v>
      </c>
      <c r="H435" t="s">
        <v>36</v>
      </c>
      <c r="I435" t="s">
        <v>24</v>
      </c>
      <c r="J435" t="s">
        <v>235</v>
      </c>
      <c r="K435" t="s">
        <v>236</v>
      </c>
      <c r="L435" t="s">
        <v>27</v>
      </c>
      <c r="M435" t="s">
        <v>123</v>
      </c>
      <c r="N435" t="s">
        <v>2431</v>
      </c>
      <c r="O435" t="s">
        <v>43</v>
      </c>
      <c r="P435">
        <v>2</v>
      </c>
      <c r="Q435">
        <v>3012.94</v>
      </c>
      <c r="R435">
        <v>0.25</v>
      </c>
      <c r="S435" t="str">
        <f t="shared" si="6"/>
        <v>OK</v>
      </c>
      <c r="T435">
        <v>4519.41</v>
      </c>
      <c r="U435">
        <v>3504.16</v>
      </c>
      <c r="V435">
        <v>1275.55</v>
      </c>
      <c r="W435" t="s">
        <v>154</v>
      </c>
      <c r="X435" t="s">
        <v>67</v>
      </c>
    </row>
    <row r="436" spans="1:24">
      <c r="A436" t="s">
        <v>2435</v>
      </c>
      <c r="B436" s="2">
        <v>45547</v>
      </c>
      <c r="C436" s="2">
        <v>45553</v>
      </c>
      <c r="D436" s="5">
        <f>C436-B436</f>
        <v>6</v>
      </c>
      <c r="E436" s="5" t="str">
        <f>IF(D436&lt;0,"INVALID","OK")</f>
        <v>OK</v>
      </c>
      <c r="F436" t="s">
        <v>2436</v>
      </c>
      <c r="G436" t="s">
        <v>61</v>
      </c>
      <c r="H436" t="s">
        <v>94</v>
      </c>
      <c r="I436" t="s">
        <v>37</v>
      </c>
      <c r="J436" t="s">
        <v>144</v>
      </c>
      <c r="K436" t="s">
        <v>145</v>
      </c>
      <c r="L436" t="s">
        <v>27</v>
      </c>
      <c r="M436" t="s">
        <v>28</v>
      </c>
      <c r="N436" t="s">
        <v>2437</v>
      </c>
      <c r="O436" t="s">
        <v>30</v>
      </c>
      <c r="P436">
        <v>2</v>
      </c>
      <c r="Q436">
        <v>3718.77</v>
      </c>
      <c r="R436">
        <v>0.05</v>
      </c>
      <c r="S436" t="str">
        <f t="shared" si="6"/>
        <v>OK</v>
      </c>
      <c r="T436">
        <v>7065.66</v>
      </c>
      <c r="U436">
        <v>4915.2700000000004</v>
      </c>
      <c r="V436">
        <v>2150.39</v>
      </c>
      <c r="W436" t="s">
        <v>31</v>
      </c>
      <c r="X436" t="s">
        <v>32</v>
      </c>
    </row>
    <row r="437" spans="1:24">
      <c r="A437" t="s">
        <v>2438</v>
      </c>
      <c r="B437" s="2">
        <v>45505</v>
      </c>
      <c r="C437" s="2">
        <v>45330</v>
      </c>
      <c r="D437" s="5">
        <f>C437-B437</f>
        <v>-175</v>
      </c>
      <c r="E437" s="5" t="str">
        <f>IF(D437&lt;0,"INVALID","OK")</f>
        <v>INVALID</v>
      </c>
      <c r="F437" t="s">
        <v>2439</v>
      </c>
      <c r="G437" t="s">
        <v>46</v>
      </c>
      <c r="H437" t="s">
        <v>89</v>
      </c>
      <c r="I437" t="s">
        <v>24</v>
      </c>
      <c r="J437" t="s">
        <v>135</v>
      </c>
      <c r="K437" t="s">
        <v>136</v>
      </c>
      <c r="L437" t="s">
        <v>40</v>
      </c>
      <c r="M437" t="s">
        <v>65</v>
      </c>
      <c r="N437" t="s">
        <v>2440</v>
      </c>
      <c r="O437" t="s">
        <v>58</v>
      </c>
      <c r="P437">
        <v>8</v>
      </c>
      <c r="Q437">
        <v>2487.64</v>
      </c>
      <c r="R437">
        <v>0.1</v>
      </c>
      <c r="S437" t="str">
        <f t="shared" si="6"/>
        <v>OK</v>
      </c>
      <c r="T437">
        <v>17911.009999999998</v>
      </c>
      <c r="U437">
        <v>11546.05</v>
      </c>
      <c r="V437">
        <v>6364.96</v>
      </c>
      <c r="W437" t="s">
        <v>154</v>
      </c>
      <c r="X437" t="s">
        <v>102</v>
      </c>
    </row>
    <row r="438" spans="1:24">
      <c r="A438" t="s">
        <v>2444</v>
      </c>
      <c r="B438" s="2">
        <v>45443</v>
      </c>
      <c r="C438" s="2">
        <v>45445</v>
      </c>
      <c r="D438" s="5">
        <f>C438-B438</f>
        <v>2</v>
      </c>
      <c r="E438" s="5" t="str">
        <f>IF(D438&lt;0,"INVALID","OK")</f>
        <v>OK</v>
      </c>
      <c r="F438" t="s">
        <v>2445</v>
      </c>
      <c r="G438" t="s">
        <v>117</v>
      </c>
      <c r="H438" t="s">
        <v>89</v>
      </c>
      <c r="I438" t="s">
        <v>53</v>
      </c>
      <c r="J438" t="s">
        <v>83</v>
      </c>
      <c r="K438" t="s">
        <v>84</v>
      </c>
      <c r="L438" t="s">
        <v>27</v>
      </c>
      <c r="M438" t="s">
        <v>47</v>
      </c>
      <c r="N438" t="s">
        <v>2446</v>
      </c>
      <c r="O438" t="s">
        <v>58</v>
      </c>
      <c r="P438">
        <v>8</v>
      </c>
      <c r="Q438">
        <v>667.59</v>
      </c>
      <c r="R438">
        <v>0.2</v>
      </c>
      <c r="S438" t="str">
        <f t="shared" si="6"/>
        <v>OK</v>
      </c>
      <c r="T438">
        <v>4272.58</v>
      </c>
      <c r="U438">
        <v>3328.92</v>
      </c>
      <c r="V438">
        <v>943.66</v>
      </c>
      <c r="W438" t="s">
        <v>31</v>
      </c>
      <c r="X438" t="s">
        <v>32</v>
      </c>
    </row>
    <row r="439" spans="1:24">
      <c r="A439" t="s">
        <v>2447</v>
      </c>
      <c r="B439" s="2">
        <v>45567</v>
      </c>
      <c r="C439" s="2">
        <v>45571</v>
      </c>
      <c r="D439" s="5">
        <f>C439-B439</f>
        <v>4</v>
      </c>
      <c r="E439" s="5" t="str">
        <f>IF(D439&lt;0,"INVALID","OK")</f>
        <v>OK</v>
      </c>
      <c r="F439" t="s">
        <v>2448</v>
      </c>
      <c r="G439" t="s">
        <v>117</v>
      </c>
      <c r="H439" t="s">
        <v>94</v>
      </c>
      <c r="I439" t="s">
        <v>53</v>
      </c>
      <c r="J439" t="s">
        <v>174</v>
      </c>
      <c r="K439" t="s">
        <v>175</v>
      </c>
      <c r="L439" t="s">
        <v>40</v>
      </c>
      <c r="M439" t="s">
        <v>157</v>
      </c>
      <c r="N439" t="s">
        <v>2449</v>
      </c>
      <c r="O439" t="s">
        <v>43</v>
      </c>
      <c r="P439">
        <v>8</v>
      </c>
      <c r="Q439">
        <v>1558.77</v>
      </c>
      <c r="R439">
        <v>0.25</v>
      </c>
      <c r="S439" t="str">
        <f t="shared" si="6"/>
        <v>OK</v>
      </c>
      <c r="T439">
        <v>9352.6200000000008</v>
      </c>
      <c r="U439">
        <v>5269.41</v>
      </c>
      <c r="V439">
        <v>4083.21</v>
      </c>
      <c r="W439" t="s">
        <v>31</v>
      </c>
      <c r="X439" t="s">
        <v>32</v>
      </c>
    </row>
    <row r="440" spans="1:24">
      <c r="A440" t="s">
        <v>2453</v>
      </c>
      <c r="B440" s="2">
        <v>45440</v>
      </c>
      <c r="C440" s="2">
        <v>45446</v>
      </c>
      <c r="D440" s="5">
        <f>C440-B440</f>
        <v>6</v>
      </c>
      <c r="E440" s="5" t="str">
        <f>IF(D440&lt;0,"INVALID","OK")</f>
        <v>OK</v>
      </c>
      <c r="F440" t="s">
        <v>2454</v>
      </c>
      <c r="G440" t="s">
        <v>70</v>
      </c>
      <c r="H440" t="s">
        <v>89</v>
      </c>
      <c r="I440" t="s">
        <v>24</v>
      </c>
      <c r="J440" t="s">
        <v>25</v>
      </c>
      <c r="K440" t="s">
        <v>26</v>
      </c>
      <c r="L440" t="s">
        <v>73</v>
      </c>
      <c r="M440" t="s">
        <v>79</v>
      </c>
      <c r="N440" t="s">
        <v>2455</v>
      </c>
      <c r="O440" t="s">
        <v>30</v>
      </c>
      <c r="P440">
        <v>5</v>
      </c>
      <c r="Q440">
        <v>4302.32</v>
      </c>
      <c r="R440">
        <v>0</v>
      </c>
      <c r="S440" t="str">
        <f t="shared" si="6"/>
        <v>OK</v>
      </c>
      <c r="T440">
        <v>21511.599999999999</v>
      </c>
      <c r="U440">
        <v>15408.47</v>
      </c>
      <c r="V440">
        <v>6103.13</v>
      </c>
      <c r="W440" t="s">
        <v>31</v>
      </c>
      <c r="X440" t="s">
        <v>32</v>
      </c>
    </row>
    <row r="441" spans="1:24">
      <c r="A441" t="s">
        <v>2459</v>
      </c>
      <c r="B441" s="2">
        <v>45503</v>
      </c>
      <c r="C441" s="2">
        <v>45503</v>
      </c>
      <c r="D441" s="5">
        <f>C441-B441</f>
        <v>0</v>
      </c>
      <c r="E441" s="5" t="str">
        <f>IF(D441&lt;0,"INVALID","OK")</f>
        <v>OK</v>
      </c>
      <c r="F441" t="s">
        <v>2460</v>
      </c>
      <c r="G441" t="s">
        <v>161</v>
      </c>
      <c r="H441" t="s">
        <v>94</v>
      </c>
      <c r="I441" t="s">
        <v>37</v>
      </c>
      <c r="J441" t="s">
        <v>38</v>
      </c>
      <c r="K441" t="s">
        <v>39</v>
      </c>
      <c r="L441" t="s">
        <v>73</v>
      </c>
      <c r="M441" t="s">
        <v>79</v>
      </c>
      <c r="N441" t="s">
        <v>2461</v>
      </c>
      <c r="O441" t="s">
        <v>43</v>
      </c>
      <c r="P441">
        <v>9</v>
      </c>
      <c r="Q441">
        <v>2894.66</v>
      </c>
      <c r="R441">
        <v>0</v>
      </c>
      <c r="S441" t="str">
        <f t="shared" si="6"/>
        <v>OK</v>
      </c>
      <c r="T441">
        <v>26051.94</v>
      </c>
      <c r="U441">
        <v>16883.59</v>
      </c>
      <c r="V441">
        <v>9168.35</v>
      </c>
      <c r="W441" t="s">
        <v>101</v>
      </c>
      <c r="X441" t="s">
        <v>67</v>
      </c>
    </row>
    <row r="442" spans="1:24">
      <c r="A442" t="s">
        <v>2462</v>
      </c>
      <c r="B442" s="2">
        <v>45374</v>
      </c>
      <c r="C442" s="2">
        <v>45381</v>
      </c>
      <c r="D442" s="5">
        <f>C442-B442</f>
        <v>7</v>
      </c>
      <c r="E442" s="5" t="str">
        <f>IF(D442&lt;0,"INVALID","OK")</f>
        <v>OK</v>
      </c>
      <c r="F442" t="s">
        <v>2463</v>
      </c>
      <c r="G442" t="s">
        <v>140</v>
      </c>
      <c r="H442" t="s">
        <v>36</v>
      </c>
      <c r="I442" t="s">
        <v>53</v>
      </c>
      <c r="J442" t="s">
        <v>83</v>
      </c>
      <c r="K442" t="s">
        <v>84</v>
      </c>
      <c r="L442" t="s">
        <v>73</v>
      </c>
      <c r="M442" t="s">
        <v>273</v>
      </c>
      <c r="N442" t="s">
        <v>2464</v>
      </c>
      <c r="O442" t="s">
        <v>49</v>
      </c>
      <c r="P442">
        <v>6</v>
      </c>
      <c r="Q442">
        <v>1894.44</v>
      </c>
      <c r="R442">
        <v>0.15</v>
      </c>
      <c r="S442" t="str">
        <f t="shared" si="6"/>
        <v>OK</v>
      </c>
      <c r="T442">
        <v>9661.64</v>
      </c>
      <c r="U442">
        <v>6303.77</v>
      </c>
      <c r="V442">
        <v>3357.87</v>
      </c>
      <c r="W442" t="s">
        <v>31</v>
      </c>
      <c r="X442" t="s">
        <v>32</v>
      </c>
    </row>
    <row r="443" spans="1:24">
      <c r="A443" t="s">
        <v>2465</v>
      </c>
      <c r="B443" s="2">
        <v>45400</v>
      </c>
      <c r="C443" s="2">
        <v>45404</v>
      </c>
      <c r="D443" s="5">
        <f>C443-B443</f>
        <v>4</v>
      </c>
      <c r="E443" s="5" t="str">
        <f>IF(D443&lt;0,"INVALID","OK")</f>
        <v>OK</v>
      </c>
      <c r="F443" t="s">
        <v>2466</v>
      </c>
      <c r="G443" t="s">
        <v>127</v>
      </c>
      <c r="H443" t="s">
        <v>23</v>
      </c>
      <c r="I443" t="s">
        <v>37</v>
      </c>
      <c r="J443" t="s">
        <v>38</v>
      </c>
      <c r="K443" t="s">
        <v>39</v>
      </c>
      <c r="L443" t="s">
        <v>27</v>
      </c>
      <c r="M443" t="s">
        <v>152</v>
      </c>
      <c r="N443" t="s">
        <v>2467</v>
      </c>
      <c r="O443" t="s">
        <v>49</v>
      </c>
      <c r="P443">
        <v>8</v>
      </c>
      <c r="Q443">
        <v>1714.37</v>
      </c>
      <c r="R443">
        <v>0</v>
      </c>
      <c r="S443" t="str">
        <f t="shared" si="6"/>
        <v>OK</v>
      </c>
      <c r="T443">
        <v>13714.96</v>
      </c>
      <c r="U443">
        <v>10550.47</v>
      </c>
      <c r="V443">
        <v>3164.49</v>
      </c>
      <c r="W443" t="s">
        <v>154</v>
      </c>
      <c r="X443" t="s">
        <v>67</v>
      </c>
    </row>
    <row r="444" spans="1:24">
      <c r="A444" t="s">
        <v>2471</v>
      </c>
      <c r="B444" s="2">
        <v>45575</v>
      </c>
      <c r="C444" s="2">
        <v>45582</v>
      </c>
      <c r="D444" s="5">
        <f>C444-B444</f>
        <v>7</v>
      </c>
      <c r="E444" s="5" t="str">
        <f>IF(D444&lt;0,"INVALID","OK")</f>
        <v>OK</v>
      </c>
      <c r="F444" t="s">
        <v>2472</v>
      </c>
      <c r="G444" t="s">
        <v>46</v>
      </c>
      <c r="H444" t="s">
        <v>94</v>
      </c>
      <c r="I444" t="s">
        <v>24</v>
      </c>
      <c r="J444" t="s">
        <v>235</v>
      </c>
      <c r="K444" t="s">
        <v>236</v>
      </c>
      <c r="L444" t="s">
        <v>73</v>
      </c>
      <c r="M444" t="s">
        <v>74</v>
      </c>
      <c r="N444" t="s">
        <v>2473</v>
      </c>
      <c r="O444" t="s">
        <v>2762</v>
      </c>
      <c r="P444">
        <v>5</v>
      </c>
      <c r="Q444">
        <v>967.41</v>
      </c>
      <c r="R444">
        <v>0.05</v>
      </c>
      <c r="S444" t="str">
        <f t="shared" si="6"/>
        <v>OK</v>
      </c>
      <c r="T444">
        <v>4595.2</v>
      </c>
      <c r="U444">
        <v>3887.41</v>
      </c>
      <c r="V444">
        <v>707.79</v>
      </c>
      <c r="W444" t="s">
        <v>31</v>
      </c>
      <c r="X444" t="s">
        <v>102</v>
      </c>
    </row>
    <row r="445" spans="1:24">
      <c r="A445" t="s">
        <v>2474</v>
      </c>
      <c r="B445" s="2">
        <v>45352</v>
      </c>
      <c r="C445" s="2">
        <v>45358</v>
      </c>
      <c r="D445" s="5">
        <f>C445-B445</f>
        <v>6</v>
      </c>
      <c r="E445" s="5" t="str">
        <f>IF(D445&lt;0,"INVALID","OK")</f>
        <v>OK</v>
      </c>
      <c r="F445" t="s">
        <v>2475</v>
      </c>
      <c r="G445" t="s">
        <v>70</v>
      </c>
      <c r="H445" t="s">
        <v>36</v>
      </c>
      <c r="I445" t="s">
        <v>62</v>
      </c>
      <c r="J445" t="s">
        <v>63</v>
      </c>
      <c r="K445" t="s">
        <v>64</v>
      </c>
      <c r="L445" t="s">
        <v>27</v>
      </c>
      <c r="M445" t="s">
        <v>123</v>
      </c>
      <c r="N445" t="s">
        <v>2476</v>
      </c>
      <c r="O445" t="s">
        <v>30</v>
      </c>
      <c r="P445">
        <v>6</v>
      </c>
      <c r="Q445">
        <v>4163.72</v>
      </c>
      <c r="R445">
        <v>0.15</v>
      </c>
      <c r="S445" t="str">
        <f t="shared" si="6"/>
        <v>OK</v>
      </c>
      <c r="T445">
        <v>21234.97</v>
      </c>
      <c r="U445">
        <v>16736.09</v>
      </c>
      <c r="V445">
        <v>4498.88</v>
      </c>
      <c r="W445" t="s">
        <v>31</v>
      </c>
      <c r="X445" t="s">
        <v>32</v>
      </c>
    </row>
    <row r="446" spans="1:24">
      <c r="A446" t="s">
        <v>2483</v>
      </c>
      <c r="B446" s="2">
        <v>45635</v>
      </c>
      <c r="C446" s="2">
        <v>45639</v>
      </c>
      <c r="D446" s="5">
        <f>C446-B446</f>
        <v>4</v>
      </c>
      <c r="E446" s="5" t="str">
        <f>IF(D446&lt;0,"INVALID","OK")</f>
        <v>OK</v>
      </c>
      <c r="F446" t="s">
        <v>2484</v>
      </c>
      <c r="G446" t="s">
        <v>140</v>
      </c>
      <c r="H446" t="s">
        <v>23</v>
      </c>
      <c r="I446" t="s">
        <v>2762</v>
      </c>
      <c r="J446" t="s">
        <v>227</v>
      </c>
      <c r="K446" t="s">
        <v>228</v>
      </c>
      <c r="L446" t="s">
        <v>27</v>
      </c>
      <c r="M446" t="s">
        <v>90</v>
      </c>
      <c r="N446" t="s">
        <v>2485</v>
      </c>
      <c r="O446" t="s">
        <v>49</v>
      </c>
      <c r="P446">
        <v>1</v>
      </c>
      <c r="Q446">
        <v>4306.6499999999996</v>
      </c>
      <c r="R446">
        <v>0</v>
      </c>
      <c r="S446" t="str">
        <f t="shared" si="6"/>
        <v>OK</v>
      </c>
      <c r="T446">
        <v>4306.6499999999996</v>
      </c>
      <c r="U446">
        <v>2568.8200000000002</v>
      </c>
      <c r="V446">
        <v>1737.83</v>
      </c>
      <c r="W446" t="s">
        <v>31</v>
      </c>
      <c r="X446" t="s">
        <v>32</v>
      </c>
    </row>
    <row r="447" spans="1:24">
      <c r="A447" t="s">
        <v>2491</v>
      </c>
      <c r="B447" s="2">
        <v>45546</v>
      </c>
      <c r="C447" s="2">
        <v>45611</v>
      </c>
      <c r="D447" s="5">
        <f>C447-B447</f>
        <v>65</v>
      </c>
      <c r="E447" s="5" t="str">
        <f>IF(D447&lt;0,"INVALID","OK")</f>
        <v>OK</v>
      </c>
      <c r="F447" t="s">
        <v>2492</v>
      </c>
      <c r="G447" t="s">
        <v>46</v>
      </c>
      <c r="H447" t="s">
        <v>94</v>
      </c>
      <c r="I447" t="s">
        <v>24</v>
      </c>
      <c r="J447" t="s">
        <v>25</v>
      </c>
      <c r="K447" t="s">
        <v>26</v>
      </c>
      <c r="L447" t="s">
        <v>73</v>
      </c>
      <c r="M447" t="s">
        <v>79</v>
      </c>
      <c r="N447" t="s">
        <v>2493</v>
      </c>
      <c r="O447" t="s">
        <v>58</v>
      </c>
      <c r="P447">
        <v>1</v>
      </c>
      <c r="Q447">
        <v>3665.97</v>
      </c>
      <c r="R447">
        <v>0.2</v>
      </c>
      <c r="S447" t="str">
        <f t="shared" si="6"/>
        <v>OK</v>
      </c>
      <c r="T447">
        <v>2932.78</v>
      </c>
      <c r="U447">
        <v>1900.35</v>
      </c>
      <c r="V447">
        <v>1032.43</v>
      </c>
      <c r="W447" t="s">
        <v>154</v>
      </c>
      <c r="X447" t="s">
        <v>67</v>
      </c>
    </row>
    <row r="448" spans="1:24">
      <c r="A448" t="s">
        <v>2503</v>
      </c>
      <c r="B448" s="2">
        <v>45385</v>
      </c>
      <c r="C448" s="2">
        <v>45508</v>
      </c>
      <c r="D448" s="5">
        <f>C448-B448</f>
        <v>123</v>
      </c>
      <c r="E448" s="5" t="str">
        <f>IF(D448&lt;0,"INVALID","OK")</f>
        <v>OK</v>
      </c>
      <c r="F448" t="s">
        <v>1667</v>
      </c>
      <c r="G448" t="s">
        <v>263</v>
      </c>
      <c r="H448" t="s">
        <v>94</v>
      </c>
      <c r="I448" t="s">
        <v>62</v>
      </c>
      <c r="J448" t="s">
        <v>179</v>
      </c>
      <c r="K448" t="s">
        <v>180</v>
      </c>
      <c r="L448" t="s">
        <v>73</v>
      </c>
      <c r="M448" t="s">
        <v>79</v>
      </c>
      <c r="N448" t="s">
        <v>2504</v>
      </c>
      <c r="O448" t="s">
        <v>49</v>
      </c>
      <c r="P448">
        <v>1</v>
      </c>
      <c r="Q448">
        <v>3151.85</v>
      </c>
      <c r="R448">
        <v>0.25</v>
      </c>
      <c r="S448" t="str">
        <f t="shared" si="6"/>
        <v>OK</v>
      </c>
      <c r="T448">
        <v>2363.89</v>
      </c>
      <c r="U448">
        <v>1471.51</v>
      </c>
      <c r="V448">
        <v>892.38</v>
      </c>
      <c r="W448" t="s">
        <v>31</v>
      </c>
      <c r="X448" t="s">
        <v>32</v>
      </c>
    </row>
    <row r="449" spans="1:24">
      <c r="A449" t="s">
        <v>2505</v>
      </c>
      <c r="B449" s="2">
        <v>45638</v>
      </c>
      <c r="C449" s="2">
        <v>45645</v>
      </c>
      <c r="D449" s="5">
        <f>C449-B449</f>
        <v>7</v>
      </c>
      <c r="E449" s="5" t="str">
        <f>IF(D449&lt;0,"INVALID","OK")</f>
        <v>OK</v>
      </c>
      <c r="F449" t="s">
        <v>2506</v>
      </c>
      <c r="G449" t="s">
        <v>140</v>
      </c>
      <c r="H449" t="s">
        <v>94</v>
      </c>
      <c r="I449" t="s">
        <v>24</v>
      </c>
      <c r="J449" t="s">
        <v>235</v>
      </c>
      <c r="K449" t="s">
        <v>236</v>
      </c>
      <c r="L449" t="s">
        <v>73</v>
      </c>
      <c r="M449" t="s">
        <v>74</v>
      </c>
      <c r="N449" t="s">
        <v>2507</v>
      </c>
      <c r="O449" t="s">
        <v>49</v>
      </c>
      <c r="P449">
        <v>2</v>
      </c>
      <c r="Q449">
        <v>1610.75</v>
      </c>
      <c r="R449">
        <v>0.2</v>
      </c>
      <c r="S449" t="str">
        <f t="shared" si="6"/>
        <v>OK</v>
      </c>
      <c r="T449">
        <v>2577.1999999999998</v>
      </c>
      <c r="U449">
        <v>1475.87</v>
      </c>
      <c r="V449">
        <v>1101.33</v>
      </c>
      <c r="W449" t="s">
        <v>31</v>
      </c>
      <c r="X449" t="s">
        <v>32</v>
      </c>
    </row>
    <row r="450" spans="1:24">
      <c r="A450" t="s">
        <v>2508</v>
      </c>
      <c r="B450" s="2">
        <v>45458</v>
      </c>
      <c r="C450" s="2">
        <v>45463</v>
      </c>
      <c r="D450" s="5">
        <f>C450-B450</f>
        <v>5</v>
      </c>
      <c r="E450" s="5" t="str">
        <f>IF(D450&lt;0,"INVALID","OK")</f>
        <v>OK</v>
      </c>
      <c r="F450" t="s">
        <v>2509</v>
      </c>
      <c r="G450" t="s">
        <v>131</v>
      </c>
      <c r="H450" t="s">
        <v>36</v>
      </c>
      <c r="I450" t="s">
        <v>37</v>
      </c>
      <c r="J450" t="s">
        <v>227</v>
      </c>
      <c r="K450" t="s">
        <v>228</v>
      </c>
      <c r="L450" t="s">
        <v>40</v>
      </c>
      <c r="M450" t="s">
        <v>41</v>
      </c>
      <c r="N450" t="s">
        <v>2510</v>
      </c>
      <c r="O450" t="s">
        <v>49</v>
      </c>
      <c r="P450">
        <v>8</v>
      </c>
      <c r="Q450">
        <v>2228.4699999999998</v>
      </c>
      <c r="R450">
        <v>0</v>
      </c>
      <c r="S450" t="str">
        <f t="shared" si="6"/>
        <v>OK</v>
      </c>
      <c r="T450">
        <v>17827.759999999998</v>
      </c>
      <c r="U450">
        <v>14122.13</v>
      </c>
      <c r="V450">
        <v>3705.63</v>
      </c>
      <c r="W450" t="s">
        <v>31</v>
      </c>
      <c r="X450" t="s">
        <v>32</v>
      </c>
    </row>
    <row r="451" spans="1:24">
      <c r="A451" t="s">
        <v>2516</v>
      </c>
      <c r="B451" s="2">
        <v>45383</v>
      </c>
      <c r="C451" s="2">
        <v>45390</v>
      </c>
      <c r="D451" s="5">
        <f>C451-B451</f>
        <v>7</v>
      </c>
      <c r="E451" s="5" t="str">
        <f>IF(D451&lt;0,"INVALID","OK")</f>
        <v>OK</v>
      </c>
      <c r="F451" t="s">
        <v>2517</v>
      </c>
      <c r="G451" t="s">
        <v>161</v>
      </c>
      <c r="H451" t="s">
        <v>23</v>
      </c>
      <c r="I451" t="s">
        <v>37</v>
      </c>
      <c r="J451" t="s">
        <v>38</v>
      </c>
      <c r="K451" t="s">
        <v>39</v>
      </c>
      <c r="L451" t="s">
        <v>73</v>
      </c>
      <c r="M451" t="s">
        <v>273</v>
      </c>
      <c r="N451" t="s">
        <v>2518</v>
      </c>
      <c r="O451" t="s">
        <v>58</v>
      </c>
      <c r="P451">
        <v>7</v>
      </c>
      <c r="Q451">
        <v>715.81</v>
      </c>
      <c r="R451">
        <v>0.15</v>
      </c>
      <c r="S451" t="str">
        <f t="shared" ref="S451:S514" si="7">IF(R451&lt;0,"INVALID",IF(R451&gt;0.5,"INVALID","OK"))</f>
        <v>OK</v>
      </c>
      <c r="T451">
        <v>4259.07</v>
      </c>
      <c r="U451">
        <v>3130.32</v>
      </c>
      <c r="V451">
        <v>1128.75</v>
      </c>
      <c r="W451" t="s">
        <v>110</v>
      </c>
      <c r="X451" t="s">
        <v>67</v>
      </c>
    </row>
    <row r="452" spans="1:24">
      <c r="A452" t="s">
        <v>2519</v>
      </c>
      <c r="B452" s="2">
        <v>45623</v>
      </c>
      <c r="C452" s="2">
        <v>45626</v>
      </c>
      <c r="D452" s="5">
        <f>C452-B452</f>
        <v>3</v>
      </c>
      <c r="E452" s="5" t="str">
        <f>IF(D452&lt;0,"INVALID","OK")</f>
        <v>OK</v>
      </c>
      <c r="F452" t="s">
        <v>2520</v>
      </c>
      <c r="G452" t="s">
        <v>117</v>
      </c>
      <c r="H452" t="s">
        <v>36</v>
      </c>
      <c r="I452" t="s">
        <v>37</v>
      </c>
      <c r="J452" t="s">
        <v>227</v>
      </c>
      <c r="K452" t="s">
        <v>228</v>
      </c>
      <c r="L452" t="s">
        <v>40</v>
      </c>
      <c r="M452" t="s">
        <v>56</v>
      </c>
      <c r="N452" t="s">
        <v>2521</v>
      </c>
      <c r="O452" t="s">
        <v>49</v>
      </c>
      <c r="P452">
        <v>1</v>
      </c>
      <c r="Q452">
        <v>874.3</v>
      </c>
      <c r="R452">
        <v>0.1</v>
      </c>
      <c r="S452" t="str">
        <f t="shared" si="7"/>
        <v>OK</v>
      </c>
      <c r="T452">
        <v>786.87</v>
      </c>
      <c r="U452">
        <v>498.5</v>
      </c>
      <c r="V452">
        <v>288.37</v>
      </c>
      <c r="W452" t="s">
        <v>31</v>
      </c>
      <c r="X452" t="s">
        <v>32</v>
      </c>
    </row>
    <row r="453" spans="1:24">
      <c r="A453" t="s">
        <v>2525</v>
      </c>
      <c r="B453" s="2">
        <v>45564</v>
      </c>
      <c r="C453" s="2">
        <v>45422</v>
      </c>
      <c r="D453" s="5">
        <f>C453-B453</f>
        <v>-142</v>
      </c>
      <c r="E453" s="5" t="str">
        <f>IF(D453&lt;0,"INVALID","OK")</f>
        <v>INVALID</v>
      </c>
      <c r="F453" t="s">
        <v>2526</v>
      </c>
      <c r="G453" t="s">
        <v>113</v>
      </c>
      <c r="H453" t="s">
        <v>36</v>
      </c>
      <c r="I453" t="s">
        <v>62</v>
      </c>
      <c r="J453" t="s">
        <v>63</v>
      </c>
      <c r="K453" t="s">
        <v>64</v>
      </c>
      <c r="L453" t="s">
        <v>27</v>
      </c>
      <c r="M453" t="s">
        <v>90</v>
      </c>
      <c r="N453" t="s">
        <v>2527</v>
      </c>
      <c r="O453" t="s">
        <v>49</v>
      </c>
      <c r="P453">
        <v>8</v>
      </c>
      <c r="Q453">
        <v>1981.04</v>
      </c>
      <c r="R453">
        <v>-0.14000000000000001</v>
      </c>
      <c r="S453" t="str">
        <f t="shared" si="7"/>
        <v>INVALID</v>
      </c>
      <c r="T453">
        <v>12678.66</v>
      </c>
      <c r="U453">
        <v>10088.65</v>
      </c>
      <c r="V453">
        <v>2590.0100000000002</v>
      </c>
      <c r="W453" t="s">
        <v>31</v>
      </c>
      <c r="X453" t="s">
        <v>32</v>
      </c>
    </row>
    <row r="454" spans="1:24">
      <c r="A454" t="s">
        <v>2528</v>
      </c>
      <c r="B454" s="2">
        <v>45504</v>
      </c>
      <c r="C454" s="2">
        <v>45504</v>
      </c>
      <c r="D454" s="5">
        <f>C454-B454</f>
        <v>0</v>
      </c>
      <c r="E454" s="5" t="str">
        <f>IF(D454&lt;0,"INVALID","OK")</f>
        <v>OK</v>
      </c>
      <c r="F454" t="s">
        <v>2529</v>
      </c>
      <c r="G454" t="s">
        <v>22</v>
      </c>
      <c r="H454" t="s">
        <v>94</v>
      </c>
      <c r="I454" t="s">
        <v>53</v>
      </c>
      <c r="J454" t="s">
        <v>184</v>
      </c>
      <c r="K454" t="s">
        <v>185</v>
      </c>
      <c r="L454" t="s">
        <v>73</v>
      </c>
      <c r="M454" t="s">
        <v>273</v>
      </c>
      <c r="N454" t="s">
        <v>2530</v>
      </c>
      <c r="O454" t="s">
        <v>58</v>
      </c>
      <c r="P454">
        <v>8</v>
      </c>
      <c r="Q454">
        <v>4246.01</v>
      </c>
      <c r="R454">
        <v>0</v>
      </c>
      <c r="S454" t="str">
        <f t="shared" si="7"/>
        <v>OK</v>
      </c>
      <c r="T454">
        <v>33968.080000000002</v>
      </c>
      <c r="U454">
        <v>26902.44</v>
      </c>
      <c r="V454">
        <v>7065.64</v>
      </c>
      <c r="W454" t="s">
        <v>154</v>
      </c>
      <c r="X454" t="s">
        <v>67</v>
      </c>
    </row>
    <row r="455" spans="1:24">
      <c r="A455" t="s">
        <v>2534</v>
      </c>
      <c r="B455" s="2">
        <v>45476</v>
      </c>
      <c r="C455" s="2">
        <v>45450</v>
      </c>
      <c r="D455" s="5">
        <f>C455-B455</f>
        <v>-26</v>
      </c>
      <c r="E455" s="5" t="str">
        <f>IF(D455&lt;0,"INVALID","OK")</f>
        <v>INVALID</v>
      </c>
      <c r="F455" t="s">
        <v>2535</v>
      </c>
      <c r="G455" t="s">
        <v>127</v>
      </c>
      <c r="H455" t="s">
        <v>89</v>
      </c>
      <c r="I455" t="s">
        <v>53</v>
      </c>
      <c r="J455" t="s">
        <v>174</v>
      </c>
      <c r="K455" t="s">
        <v>175</v>
      </c>
      <c r="L455" t="s">
        <v>73</v>
      </c>
      <c r="M455" t="s">
        <v>74</v>
      </c>
      <c r="N455" t="s">
        <v>2536</v>
      </c>
      <c r="O455" t="s">
        <v>49</v>
      </c>
      <c r="P455">
        <v>7</v>
      </c>
      <c r="Q455">
        <v>1942.49</v>
      </c>
      <c r="R455">
        <v>0.2</v>
      </c>
      <c r="S455" t="str">
        <f t="shared" si="7"/>
        <v>OK</v>
      </c>
      <c r="T455">
        <v>10877.94</v>
      </c>
      <c r="U455">
        <v>9110.14</v>
      </c>
      <c r="V455">
        <v>1767.8</v>
      </c>
      <c r="W455" t="s">
        <v>31</v>
      </c>
      <c r="X455" t="s">
        <v>32</v>
      </c>
    </row>
    <row r="456" spans="1:24">
      <c r="A456" t="s">
        <v>2537</v>
      </c>
      <c r="B456" s="2">
        <v>45577</v>
      </c>
      <c r="C456" s="2">
        <v>45573</v>
      </c>
      <c r="D456" s="5">
        <f>C456-B456</f>
        <v>-4</v>
      </c>
      <c r="E456" s="5" t="str">
        <f>IF(D456&lt;0,"INVALID","OK")</f>
        <v>INVALID</v>
      </c>
      <c r="F456" t="s">
        <v>2538</v>
      </c>
      <c r="G456" t="s">
        <v>35</v>
      </c>
      <c r="H456" t="s">
        <v>89</v>
      </c>
      <c r="I456" t="s">
        <v>37</v>
      </c>
      <c r="J456" t="s">
        <v>165</v>
      </c>
      <c r="K456" t="s">
        <v>166</v>
      </c>
      <c r="L456" t="s">
        <v>40</v>
      </c>
      <c r="M456" t="s">
        <v>56</v>
      </c>
      <c r="N456" t="s">
        <v>2539</v>
      </c>
      <c r="O456" t="s">
        <v>30</v>
      </c>
      <c r="P456">
        <v>4</v>
      </c>
      <c r="Q456">
        <v>3202.04</v>
      </c>
      <c r="R456">
        <v>0.2</v>
      </c>
      <c r="S456" t="str">
        <f t="shared" si="7"/>
        <v>OK</v>
      </c>
      <c r="T456">
        <v>10246.530000000001</v>
      </c>
      <c r="U456">
        <v>8634.42</v>
      </c>
      <c r="V456">
        <v>1612.11</v>
      </c>
      <c r="W456" t="s">
        <v>110</v>
      </c>
      <c r="X456" t="s">
        <v>102</v>
      </c>
    </row>
    <row r="457" spans="1:24">
      <c r="A457" t="s">
        <v>2552</v>
      </c>
      <c r="B457" s="2">
        <v>45620</v>
      </c>
      <c r="C457" s="2">
        <v>45303</v>
      </c>
      <c r="D457" s="5">
        <f>C457-B457</f>
        <v>-317</v>
      </c>
      <c r="E457" s="5" t="str">
        <f>IF(D457&lt;0,"INVALID","OK")</f>
        <v>INVALID</v>
      </c>
      <c r="F457" t="s">
        <v>2553</v>
      </c>
      <c r="G457" t="s">
        <v>113</v>
      </c>
      <c r="H457" t="s">
        <v>94</v>
      </c>
      <c r="I457" t="s">
        <v>53</v>
      </c>
      <c r="J457" t="s">
        <v>246</v>
      </c>
      <c r="K457" t="s">
        <v>247</v>
      </c>
      <c r="L457" t="s">
        <v>27</v>
      </c>
      <c r="M457" t="s">
        <v>28</v>
      </c>
      <c r="N457" t="s">
        <v>2554</v>
      </c>
      <c r="O457" t="s">
        <v>43</v>
      </c>
      <c r="P457">
        <v>1</v>
      </c>
      <c r="Q457">
        <v>844.89</v>
      </c>
      <c r="R457">
        <v>0.25</v>
      </c>
      <c r="S457" t="str">
        <f t="shared" si="7"/>
        <v>OK</v>
      </c>
      <c r="T457">
        <v>633.66999999999996</v>
      </c>
      <c r="U457">
        <v>520.47</v>
      </c>
      <c r="V457">
        <v>113.2</v>
      </c>
      <c r="W457" t="s">
        <v>31</v>
      </c>
      <c r="X457" t="s">
        <v>67</v>
      </c>
    </row>
    <row r="458" spans="1:24">
      <c r="A458" t="s">
        <v>2558</v>
      </c>
      <c r="B458" s="2">
        <v>45348</v>
      </c>
      <c r="C458" s="2">
        <v>45350</v>
      </c>
      <c r="D458" s="5">
        <f>C458-B458</f>
        <v>2</v>
      </c>
      <c r="E458" s="5" t="str">
        <f>IF(D458&lt;0,"INVALID","OK")</f>
        <v>OK</v>
      </c>
      <c r="F458" t="s">
        <v>2559</v>
      </c>
      <c r="G458" t="s">
        <v>88</v>
      </c>
      <c r="H458" t="s">
        <v>36</v>
      </c>
      <c r="I458" t="s">
        <v>62</v>
      </c>
      <c r="J458" t="s">
        <v>189</v>
      </c>
      <c r="K458" t="s">
        <v>190</v>
      </c>
      <c r="L458" t="s">
        <v>40</v>
      </c>
      <c r="M458" t="s">
        <v>56</v>
      </c>
      <c r="N458" t="s">
        <v>2560</v>
      </c>
      <c r="O458" t="s">
        <v>30</v>
      </c>
      <c r="P458">
        <v>7</v>
      </c>
      <c r="Q458">
        <v>1035.1400000000001</v>
      </c>
      <c r="R458">
        <v>0.1</v>
      </c>
      <c r="S458" t="str">
        <f t="shared" si="7"/>
        <v>OK</v>
      </c>
      <c r="T458">
        <v>6521.38</v>
      </c>
      <c r="U458">
        <v>4511.1000000000004</v>
      </c>
      <c r="V458">
        <v>2010.28</v>
      </c>
      <c r="W458" t="s">
        <v>31</v>
      </c>
      <c r="X458" t="s">
        <v>32</v>
      </c>
    </row>
    <row r="459" spans="1:24">
      <c r="A459" t="s">
        <v>2570</v>
      </c>
      <c r="B459" s="2">
        <v>45447</v>
      </c>
      <c r="C459" s="2">
        <v>45447</v>
      </c>
      <c r="D459" s="5">
        <f>C459-B459</f>
        <v>0</v>
      </c>
      <c r="E459" s="5" t="str">
        <f>IF(D459&lt;0,"INVALID","OK")</f>
        <v>OK</v>
      </c>
      <c r="F459" t="s">
        <v>2571</v>
      </c>
      <c r="G459" t="s">
        <v>117</v>
      </c>
      <c r="H459" t="s">
        <v>94</v>
      </c>
      <c r="I459" t="s">
        <v>37</v>
      </c>
      <c r="J459" t="s">
        <v>98</v>
      </c>
      <c r="K459" t="s">
        <v>99</v>
      </c>
      <c r="L459" t="s">
        <v>40</v>
      </c>
      <c r="M459" t="s">
        <v>157</v>
      </c>
      <c r="N459" t="s">
        <v>2572</v>
      </c>
      <c r="O459" t="s">
        <v>49</v>
      </c>
      <c r="P459">
        <v>6</v>
      </c>
      <c r="Q459">
        <v>3949.4</v>
      </c>
      <c r="R459">
        <v>0</v>
      </c>
      <c r="S459" t="str">
        <f t="shared" si="7"/>
        <v>OK</v>
      </c>
      <c r="T459">
        <v>23696.400000000001</v>
      </c>
      <c r="U459">
        <v>18109.77</v>
      </c>
      <c r="V459">
        <v>5586.63</v>
      </c>
      <c r="W459" t="s">
        <v>31</v>
      </c>
      <c r="X459" t="s">
        <v>32</v>
      </c>
    </row>
    <row r="460" spans="1:24">
      <c r="A460" t="s">
        <v>2573</v>
      </c>
      <c r="B460" s="2">
        <v>45583</v>
      </c>
      <c r="C460" s="2">
        <v>45587</v>
      </c>
      <c r="D460" s="5">
        <f>C460-B460</f>
        <v>4</v>
      </c>
      <c r="E460" s="5" t="str">
        <f>IF(D460&lt;0,"INVALID","OK")</f>
        <v>OK</v>
      </c>
      <c r="F460" t="s">
        <v>2574</v>
      </c>
      <c r="G460" t="s">
        <v>127</v>
      </c>
      <c r="H460" t="s">
        <v>94</v>
      </c>
      <c r="I460" t="s">
        <v>53</v>
      </c>
      <c r="J460" t="s">
        <v>54</v>
      </c>
      <c r="K460" t="s">
        <v>55</v>
      </c>
      <c r="L460" t="s">
        <v>27</v>
      </c>
      <c r="M460" t="s">
        <v>47</v>
      </c>
      <c r="N460" t="s">
        <v>2575</v>
      </c>
      <c r="O460" t="s">
        <v>49</v>
      </c>
      <c r="P460">
        <v>6</v>
      </c>
      <c r="Q460">
        <v>674.61</v>
      </c>
      <c r="R460">
        <v>0</v>
      </c>
      <c r="S460" t="str">
        <f t="shared" si="7"/>
        <v>OK</v>
      </c>
      <c r="T460">
        <v>4047.66</v>
      </c>
      <c r="U460">
        <v>3078.93</v>
      </c>
      <c r="V460">
        <v>1279.79</v>
      </c>
      <c r="W460" t="s">
        <v>31</v>
      </c>
      <c r="X460" t="s">
        <v>32</v>
      </c>
    </row>
    <row r="461" spans="1:24">
      <c r="A461" t="s">
        <v>2579</v>
      </c>
      <c r="B461" s="2">
        <v>45641</v>
      </c>
      <c r="C461" s="2">
        <v>45644</v>
      </c>
      <c r="D461" s="5">
        <f>C461-B461</f>
        <v>3</v>
      </c>
      <c r="E461" s="5" t="str">
        <f>IF(D461&lt;0,"INVALID","OK")</f>
        <v>OK</v>
      </c>
      <c r="F461" t="s">
        <v>2580</v>
      </c>
      <c r="G461" t="s">
        <v>46</v>
      </c>
      <c r="H461" t="s">
        <v>36</v>
      </c>
      <c r="I461" t="s">
        <v>24</v>
      </c>
      <c r="J461" t="s">
        <v>25</v>
      </c>
      <c r="K461" t="s">
        <v>26</v>
      </c>
      <c r="L461" t="s">
        <v>27</v>
      </c>
      <c r="M461" t="s">
        <v>90</v>
      </c>
      <c r="N461" t="s">
        <v>2581</v>
      </c>
      <c r="O461" t="s">
        <v>30</v>
      </c>
      <c r="P461">
        <v>2</v>
      </c>
      <c r="Q461">
        <v>537.11</v>
      </c>
      <c r="R461">
        <v>0</v>
      </c>
      <c r="S461" t="str">
        <f t="shared" si="7"/>
        <v>OK</v>
      </c>
      <c r="T461">
        <v>1074.22</v>
      </c>
      <c r="U461">
        <v>850.86</v>
      </c>
      <c r="V461">
        <v>223.36</v>
      </c>
      <c r="W461" t="s">
        <v>31</v>
      </c>
      <c r="X461" t="s">
        <v>32</v>
      </c>
    </row>
    <row r="462" spans="1:24">
      <c r="A462" t="s">
        <v>2588</v>
      </c>
      <c r="B462" s="2">
        <v>45555</v>
      </c>
      <c r="C462" s="2">
        <v>45557</v>
      </c>
      <c r="D462" s="5">
        <f>C462-B462</f>
        <v>2</v>
      </c>
      <c r="E462" s="5" t="str">
        <f>IF(D462&lt;0,"INVALID","OK")</f>
        <v>OK</v>
      </c>
      <c r="F462" t="s">
        <v>2589</v>
      </c>
      <c r="G462" t="s">
        <v>140</v>
      </c>
      <c r="H462" t="s">
        <v>94</v>
      </c>
      <c r="I462" t="s">
        <v>37</v>
      </c>
      <c r="J462" t="s">
        <v>38</v>
      </c>
      <c r="K462" t="s">
        <v>39</v>
      </c>
      <c r="L462" t="s">
        <v>73</v>
      </c>
      <c r="M462" t="s">
        <v>170</v>
      </c>
      <c r="N462" t="s">
        <v>2590</v>
      </c>
      <c r="O462" t="s">
        <v>58</v>
      </c>
      <c r="P462">
        <v>8</v>
      </c>
      <c r="Q462">
        <v>531.42999999999995</v>
      </c>
      <c r="R462">
        <v>0.1</v>
      </c>
      <c r="S462" t="str">
        <f t="shared" si="7"/>
        <v>OK</v>
      </c>
      <c r="T462">
        <v>3826.3</v>
      </c>
      <c r="U462">
        <v>2194.12</v>
      </c>
      <c r="V462">
        <v>1632.18</v>
      </c>
      <c r="W462" t="s">
        <v>31</v>
      </c>
      <c r="X462" t="s">
        <v>32</v>
      </c>
    </row>
    <row r="463" spans="1:24">
      <c r="A463" t="s">
        <v>2597</v>
      </c>
      <c r="B463" s="2">
        <v>45382</v>
      </c>
      <c r="C463" s="2">
        <v>45381</v>
      </c>
      <c r="D463" s="5">
        <f>C463-B463</f>
        <v>-1</v>
      </c>
      <c r="E463" s="5" t="str">
        <f>IF(D463&lt;0,"INVALID","OK")</f>
        <v>INVALID</v>
      </c>
      <c r="F463" t="s">
        <v>2598</v>
      </c>
      <c r="G463" t="s">
        <v>263</v>
      </c>
      <c r="H463" t="s">
        <v>23</v>
      </c>
      <c r="I463" t="s">
        <v>24</v>
      </c>
      <c r="J463" t="s">
        <v>235</v>
      </c>
      <c r="K463" t="s">
        <v>236</v>
      </c>
      <c r="L463" t="s">
        <v>73</v>
      </c>
      <c r="M463" t="s">
        <v>273</v>
      </c>
      <c r="N463" t="s">
        <v>2599</v>
      </c>
      <c r="O463" t="s">
        <v>49</v>
      </c>
      <c r="P463">
        <v>4</v>
      </c>
      <c r="Q463">
        <v>2192.08</v>
      </c>
      <c r="R463">
        <v>0.15</v>
      </c>
      <c r="S463" t="str">
        <f t="shared" si="7"/>
        <v>OK</v>
      </c>
      <c r="T463">
        <v>7453.07</v>
      </c>
      <c r="U463">
        <v>5133.78</v>
      </c>
      <c r="V463">
        <v>2319.29</v>
      </c>
      <c r="W463" t="s">
        <v>31</v>
      </c>
      <c r="X463" t="s">
        <v>102</v>
      </c>
    </row>
    <row r="464" spans="1:24">
      <c r="A464" t="s">
        <v>2606</v>
      </c>
      <c r="B464" s="2">
        <v>45345</v>
      </c>
      <c r="C464" s="2">
        <v>45349</v>
      </c>
      <c r="D464" s="5">
        <f>C464-B464</f>
        <v>4</v>
      </c>
      <c r="E464" s="5" t="str">
        <f>IF(D464&lt;0,"INVALID","OK")</f>
        <v>OK</v>
      </c>
      <c r="F464" t="s">
        <v>592</v>
      </c>
      <c r="G464" t="s">
        <v>22</v>
      </c>
      <c r="H464" t="s">
        <v>23</v>
      </c>
      <c r="I464" t="s">
        <v>37</v>
      </c>
      <c r="J464" t="s">
        <v>38</v>
      </c>
      <c r="K464" t="s">
        <v>39</v>
      </c>
      <c r="L464" t="s">
        <v>40</v>
      </c>
      <c r="M464" t="s">
        <v>41</v>
      </c>
      <c r="N464" t="s">
        <v>2607</v>
      </c>
      <c r="O464" t="s">
        <v>49</v>
      </c>
      <c r="P464">
        <v>9</v>
      </c>
      <c r="Q464">
        <v>3616.23</v>
      </c>
      <c r="R464">
        <v>0.25</v>
      </c>
      <c r="S464" t="str">
        <f t="shared" si="7"/>
        <v>OK</v>
      </c>
      <c r="T464">
        <v>24409.55</v>
      </c>
      <c r="U464">
        <v>17157.580000000002</v>
      </c>
      <c r="V464">
        <v>7251.97</v>
      </c>
      <c r="W464" t="s">
        <v>110</v>
      </c>
      <c r="X464" t="s">
        <v>102</v>
      </c>
    </row>
    <row r="465" spans="1:24">
      <c r="A465" t="s">
        <v>2608</v>
      </c>
      <c r="B465" s="2">
        <v>45396</v>
      </c>
      <c r="C465" s="2">
        <v>45404</v>
      </c>
      <c r="D465" s="5">
        <f>C465-B465</f>
        <v>8</v>
      </c>
      <c r="E465" s="5" t="str">
        <f>IF(D465&lt;0,"INVALID","OK")</f>
        <v>OK</v>
      </c>
      <c r="F465" t="s">
        <v>2609</v>
      </c>
      <c r="G465" t="s">
        <v>113</v>
      </c>
      <c r="H465" t="s">
        <v>36</v>
      </c>
      <c r="I465" t="s">
        <v>62</v>
      </c>
      <c r="J465" t="s">
        <v>179</v>
      </c>
      <c r="K465" t="s">
        <v>180</v>
      </c>
      <c r="L465" t="s">
        <v>40</v>
      </c>
      <c r="M465" t="s">
        <v>157</v>
      </c>
      <c r="N465" t="s">
        <v>2610</v>
      </c>
      <c r="O465" t="s">
        <v>58</v>
      </c>
      <c r="P465">
        <v>2</v>
      </c>
      <c r="Q465">
        <v>3977.52</v>
      </c>
      <c r="R465">
        <v>0</v>
      </c>
      <c r="S465" t="str">
        <f t="shared" si="7"/>
        <v>OK</v>
      </c>
      <c r="T465">
        <v>7955.04</v>
      </c>
      <c r="U465">
        <v>5580.68</v>
      </c>
      <c r="V465">
        <v>2374.36</v>
      </c>
      <c r="W465" t="s">
        <v>110</v>
      </c>
      <c r="X465" t="s">
        <v>102</v>
      </c>
    </row>
    <row r="466" spans="1:24">
      <c r="A466" t="s">
        <v>2617</v>
      </c>
      <c r="B466" s="2">
        <v>45357</v>
      </c>
      <c r="C466" s="2">
        <v>45629</v>
      </c>
      <c r="D466" s="5">
        <f>C466-B466</f>
        <v>272</v>
      </c>
      <c r="E466" s="5" t="str">
        <f>IF(D466&lt;0,"INVALID","OK")</f>
        <v>OK</v>
      </c>
      <c r="F466" t="s">
        <v>2618</v>
      </c>
      <c r="G466" t="s">
        <v>46</v>
      </c>
      <c r="H466" t="s">
        <v>94</v>
      </c>
      <c r="I466" t="s">
        <v>62</v>
      </c>
      <c r="J466" t="s">
        <v>179</v>
      </c>
      <c r="K466" t="s">
        <v>180</v>
      </c>
      <c r="L466" t="s">
        <v>40</v>
      </c>
      <c r="M466" t="s">
        <v>157</v>
      </c>
      <c r="N466" t="s">
        <v>2619</v>
      </c>
      <c r="O466" t="s">
        <v>58</v>
      </c>
      <c r="P466">
        <v>3</v>
      </c>
      <c r="Q466">
        <v>679.63</v>
      </c>
      <c r="R466">
        <v>0.2</v>
      </c>
      <c r="S466" t="str">
        <f t="shared" si="7"/>
        <v>OK</v>
      </c>
      <c r="T466">
        <v>1631.11</v>
      </c>
      <c r="U466">
        <v>898.73</v>
      </c>
      <c r="V466">
        <v>396.58</v>
      </c>
      <c r="W466" t="s">
        <v>31</v>
      </c>
      <c r="X466" t="s">
        <v>32</v>
      </c>
    </row>
    <row r="467" spans="1:24">
      <c r="A467" t="s">
        <v>2620</v>
      </c>
      <c r="B467" s="2">
        <v>45473</v>
      </c>
      <c r="C467" s="2">
        <v>45476</v>
      </c>
      <c r="D467" s="5">
        <f>C467-B467</f>
        <v>3</v>
      </c>
      <c r="E467" s="5" t="str">
        <f>IF(D467&lt;0,"INVALID","OK")</f>
        <v>OK</v>
      </c>
      <c r="F467" t="s">
        <v>2621</v>
      </c>
      <c r="G467" t="s">
        <v>113</v>
      </c>
      <c r="H467" t="s">
        <v>94</v>
      </c>
      <c r="I467" t="s">
        <v>37</v>
      </c>
      <c r="J467" t="s">
        <v>98</v>
      </c>
      <c r="K467" t="s">
        <v>99</v>
      </c>
      <c r="L467" t="s">
        <v>27</v>
      </c>
      <c r="M467" t="s">
        <v>28</v>
      </c>
      <c r="N467" t="s">
        <v>2622</v>
      </c>
      <c r="O467" t="s">
        <v>49</v>
      </c>
      <c r="P467">
        <v>6</v>
      </c>
      <c r="Q467">
        <v>1211.01</v>
      </c>
      <c r="R467">
        <v>0</v>
      </c>
      <c r="S467" t="str">
        <f t="shared" si="7"/>
        <v>OK</v>
      </c>
      <c r="T467">
        <v>7266.06</v>
      </c>
      <c r="U467">
        <v>6216.89</v>
      </c>
      <c r="V467">
        <v>1049.17</v>
      </c>
      <c r="W467" t="s">
        <v>31</v>
      </c>
      <c r="X467" t="s">
        <v>32</v>
      </c>
    </row>
    <row r="468" spans="1:24">
      <c r="A468" t="s">
        <v>2623</v>
      </c>
      <c r="B468" s="2">
        <v>45377</v>
      </c>
      <c r="C468" s="2">
        <v>45383</v>
      </c>
      <c r="D468" s="5">
        <f>C468-B468</f>
        <v>6</v>
      </c>
      <c r="E468" s="5" t="str">
        <f>IF(D468&lt;0,"INVALID","OK")</f>
        <v>OK</v>
      </c>
      <c r="F468" t="s">
        <v>2624</v>
      </c>
      <c r="G468" t="s">
        <v>22</v>
      </c>
      <c r="H468" t="s">
        <v>36</v>
      </c>
      <c r="I468" t="s">
        <v>62</v>
      </c>
      <c r="J468" t="s">
        <v>179</v>
      </c>
      <c r="K468" t="s">
        <v>180</v>
      </c>
      <c r="L468" t="s">
        <v>73</v>
      </c>
      <c r="M468" t="s">
        <v>74</v>
      </c>
      <c r="N468" t="s">
        <v>2625</v>
      </c>
      <c r="O468" t="s">
        <v>49</v>
      </c>
      <c r="P468">
        <v>2</v>
      </c>
      <c r="Q468">
        <v>1161.3</v>
      </c>
      <c r="R468">
        <v>0.2</v>
      </c>
      <c r="S468" t="str">
        <f t="shared" si="7"/>
        <v>OK</v>
      </c>
      <c r="T468">
        <v>1858.08</v>
      </c>
      <c r="U468">
        <v>1590.75</v>
      </c>
      <c r="V468">
        <v>267.33</v>
      </c>
      <c r="W468" t="s">
        <v>31</v>
      </c>
      <c r="X468" t="s">
        <v>32</v>
      </c>
    </row>
    <row r="469" spans="1:24">
      <c r="A469" t="s">
        <v>2626</v>
      </c>
      <c r="B469" s="2">
        <v>45295</v>
      </c>
      <c r="C469" s="2">
        <v>45508</v>
      </c>
      <c r="D469" s="5">
        <f>C469-B469</f>
        <v>213</v>
      </c>
      <c r="E469" s="5" t="str">
        <f>IF(D469&lt;0,"INVALID","OK")</f>
        <v>OK</v>
      </c>
      <c r="F469" t="s">
        <v>2627</v>
      </c>
      <c r="G469" t="s">
        <v>61</v>
      </c>
      <c r="H469" t="s">
        <v>23</v>
      </c>
      <c r="I469" t="s">
        <v>37</v>
      </c>
      <c r="J469" t="s">
        <v>165</v>
      </c>
      <c r="K469" t="s">
        <v>166</v>
      </c>
      <c r="L469" t="s">
        <v>40</v>
      </c>
      <c r="M469" t="s">
        <v>41</v>
      </c>
      <c r="N469" t="s">
        <v>2628</v>
      </c>
      <c r="O469" t="s">
        <v>30</v>
      </c>
      <c r="P469">
        <v>7</v>
      </c>
      <c r="Q469">
        <v>4205.3500000000004</v>
      </c>
      <c r="R469">
        <v>0.15</v>
      </c>
      <c r="S469" t="str">
        <f t="shared" si="7"/>
        <v>OK</v>
      </c>
      <c r="T469">
        <v>25021.83</v>
      </c>
      <c r="U469">
        <v>15544.44</v>
      </c>
      <c r="V469">
        <v>9477.39</v>
      </c>
      <c r="W469" t="s">
        <v>110</v>
      </c>
      <c r="X469" t="s">
        <v>67</v>
      </c>
    </row>
    <row r="470" spans="1:24">
      <c r="A470" t="s">
        <v>2635</v>
      </c>
      <c r="B470" s="2">
        <v>45498</v>
      </c>
      <c r="C470" s="2">
        <v>45506</v>
      </c>
      <c r="D470" s="5">
        <f>C470-B470</f>
        <v>8</v>
      </c>
      <c r="E470" s="5" t="str">
        <f>IF(D470&lt;0,"INVALID","OK")</f>
        <v>OK</v>
      </c>
      <c r="F470" t="s">
        <v>1121</v>
      </c>
      <c r="G470" t="s">
        <v>117</v>
      </c>
      <c r="H470" t="s">
        <v>23</v>
      </c>
      <c r="I470" t="s">
        <v>24</v>
      </c>
      <c r="J470" t="s">
        <v>25</v>
      </c>
      <c r="K470" t="s">
        <v>26</v>
      </c>
      <c r="L470" t="s">
        <v>27</v>
      </c>
      <c r="M470" t="s">
        <v>90</v>
      </c>
      <c r="N470" t="s">
        <v>2636</v>
      </c>
      <c r="O470" t="s">
        <v>30</v>
      </c>
      <c r="P470">
        <v>2</v>
      </c>
      <c r="Q470">
        <v>2073.5300000000002</v>
      </c>
      <c r="R470">
        <v>0.25</v>
      </c>
      <c r="S470" t="str">
        <f t="shared" si="7"/>
        <v>OK</v>
      </c>
      <c r="T470">
        <v>3110.3</v>
      </c>
      <c r="U470">
        <v>2101.0300000000002</v>
      </c>
      <c r="V470">
        <v>1009.27</v>
      </c>
      <c r="W470" t="s">
        <v>31</v>
      </c>
      <c r="X470" t="s">
        <v>32</v>
      </c>
    </row>
    <row r="471" spans="1:24">
      <c r="A471" t="s">
        <v>2637</v>
      </c>
      <c r="B471" s="2">
        <v>45455</v>
      </c>
      <c r="C471" s="2">
        <v>45462</v>
      </c>
      <c r="D471" s="5">
        <f>C471-B471</f>
        <v>7</v>
      </c>
      <c r="E471" s="5" t="str">
        <f>IF(D471&lt;0,"INVALID","OK")</f>
        <v>OK</v>
      </c>
      <c r="F471" t="s">
        <v>1299</v>
      </c>
      <c r="G471" t="s">
        <v>140</v>
      </c>
      <c r="H471" t="s">
        <v>94</v>
      </c>
      <c r="I471" t="s">
        <v>53</v>
      </c>
      <c r="J471" t="s">
        <v>246</v>
      </c>
      <c r="K471" t="s">
        <v>247</v>
      </c>
      <c r="L471" t="s">
        <v>27</v>
      </c>
      <c r="M471" t="s">
        <v>123</v>
      </c>
      <c r="N471" t="s">
        <v>2638</v>
      </c>
      <c r="O471" t="s">
        <v>58</v>
      </c>
      <c r="P471">
        <v>4</v>
      </c>
      <c r="Q471">
        <v>395.1</v>
      </c>
      <c r="R471">
        <v>-0.16</v>
      </c>
      <c r="S471" t="str">
        <f t="shared" si="7"/>
        <v>INVALID</v>
      </c>
      <c r="T471">
        <v>1185.3</v>
      </c>
      <c r="U471">
        <v>966.55</v>
      </c>
      <c r="V471">
        <v>218.75</v>
      </c>
      <c r="W471" t="s">
        <v>154</v>
      </c>
      <c r="X471" t="s">
        <v>67</v>
      </c>
    </row>
    <row r="472" spans="1:24">
      <c r="A472" t="s">
        <v>2639</v>
      </c>
      <c r="B472" s="2">
        <v>45447</v>
      </c>
      <c r="C472" s="2">
        <v>45388</v>
      </c>
      <c r="D472" s="5">
        <f>C472-B472</f>
        <v>-59</v>
      </c>
      <c r="E472" s="5" t="str">
        <f>IF(D472&lt;0,"INVALID","OK")</f>
        <v>INVALID</v>
      </c>
      <c r="F472" t="s">
        <v>2146</v>
      </c>
      <c r="G472" t="s">
        <v>131</v>
      </c>
      <c r="H472" t="s">
        <v>94</v>
      </c>
      <c r="I472" t="s">
        <v>53</v>
      </c>
      <c r="J472" t="s">
        <v>184</v>
      </c>
      <c r="K472" t="s">
        <v>185</v>
      </c>
      <c r="L472" t="s">
        <v>27</v>
      </c>
      <c r="M472" t="s">
        <v>123</v>
      </c>
      <c r="N472" t="s">
        <v>2640</v>
      </c>
      <c r="O472" t="s">
        <v>49</v>
      </c>
      <c r="P472">
        <v>6</v>
      </c>
      <c r="Q472">
        <v>2708.97</v>
      </c>
      <c r="R472">
        <v>0.25</v>
      </c>
      <c r="S472" t="str">
        <f t="shared" si="7"/>
        <v>OK</v>
      </c>
      <c r="T472">
        <v>12190.36</v>
      </c>
      <c r="U472">
        <v>10176.99</v>
      </c>
      <c r="V472">
        <v>2013.37</v>
      </c>
      <c r="W472" t="s">
        <v>31</v>
      </c>
      <c r="X472" t="s">
        <v>32</v>
      </c>
    </row>
    <row r="473" spans="1:24">
      <c r="A473" t="s">
        <v>2641</v>
      </c>
      <c r="B473" s="2">
        <v>45414</v>
      </c>
      <c r="C473" s="2">
        <v>45421</v>
      </c>
      <c r="D473" s="5">
        <f>C473-B473</f>
        <v>7</v>
      </c>
      <c r="E473" s="5" t="str">
        <f>IF(D473&lt;0,"INVALID","OK")</f>
        <v>OK</v>
      </c>
      <c r="F473" t="s">
        <v>2642</v>
      </c>
      <c r="G473" t="s">
        <v>52</v>
      </c>
      <c r="H473" t="s">
        <v>23</v>
      </c>
      <c r="I473" t="s">
        <v>37</v>
      </c>
      <c r="J473" t="s">
        <v>38</v>
      </c>
      <c r="K473" t="s">
        <v>39</v>
      </c>
      <c r="L473" t="s">
        <v>73</v>
      </c>
      <c r="M473" t="s">
        <v>74</v>
      </c>
      <c r="N473" t="s">
        <v>2643</v>
      </c>
      <c r="O473" t="s">
        <v>30</v>
      </c>
      <c r="P473">
        <v>4</v>
      </c>
      <c r="Q473">
        <v>2904.86</v>
      </c>
      <c r="R473">
        <v>0</v>
      </c>
      <c r="S473" t="str">
        <f t="shared" si="7"/>
        <v>OK</v>
      </c>
      <c r="T473">
        <v>11619.44</v>
      </c>
      <c r="U473">
        <v>7184.32</v>
      </c>
      <c r="V473">
        <v>4494.6400000000003</v>
      </c>
      <c r="W473" t="s">
        <v>31</v>
      </c>
      <c r="X473" t="s">
        <v>32</v>
      </c>
    </row>
    <row r="474" spans="1:24">
      <c r="A474" t="s">
        <v>2644</v>
      </c>
      <c r="B474" s="2">
        <v>45592</v>
      </c>
      <c r="C474" s="2">
        <v>45597</v>
      </c>
      <c r="D474" s="5">
        <f>C474-B474</f>
        <v>5</v>
      </c>
      <c r="E474" s="5" t="str">
        <f>IF(D474&lt;0,"INVALID","OK")</f>
        <v>OK</v>
      </c>
      <c r="F474" t="s">
        <v>2645</v>
      </c>
      <c r="G474" t="s">
        <v>88</v>
      </c>
      <c r="H474" t="s">
        <v>89</v>
      </c>
      <c r="I474" t="s">
        <v>53</v>
      </c>
      <c r="J474" t="s">
        <v>246</v>
      </c>
      <c r="K474" t="s">
        <v>247</v>
      </c>
      <c r="L474" t="s">
        <v>73</v>
      </c>
      <c r="M474" t="s">
        <v>170</v>
      </c>
      <c r="N474" t="s">
        <v>2646</v>
      </c>
      <c r="O474" t="s">
        <v>58</v>
      </c>
      <c r="P474">
        <v>6</v>
      </c>
      <c r="Q474">
        <v>4399.2</v>
      </c>
      <c r="R474">
        <v>0.05</v>
      </c>
      <c r="S474" t="str">
        <f t="shared" si="7"/>
        <v>OK</v>
      </c>
      <c r="T474">
        <v>25075.439999999999</v>
      </c>
      <c r="U474">
        <v>16282.74</v>
      </c>
      <c r="V474">
        <v>8792.7000000000007</v>
      </c>
      <c r="W474" t="s">
        <v>31</v>
      </c>
      <c r="X474" t="s">
        <v>32</v>
      </c>
    </row>
    <row r="475" spans="1:24">
      <c r="A475" t="s">
        <v>2647</v>
      </c>
      <c r="B475" s="2">
        <v>45324</v>
      </c>
      <c r="C475" s="2">
        <v>45326</v>
      </c>
      <c r="D475" s="5">
        <f>C475-B475</f>
        <v>2</v>
      </c>
      <c r="E475" s="5" t="str">
        <f>IF(D475&lt;0,"INVALID","OK")</f>
        <v>OK</v>
      </c>
      <c r="F475" t="s">
        <v>2648</v>
      </c>
      <c r="G475" t="s">
        <v>70</v>
      </c>
      <c r="H475" t="s">
        <v>94</v>
      </c>
      <c r="I475" t="s">
        <v>24</v>
      </c>
      <c r="J475" t="s">
        <v>135</v>
      </c>
      <c r="K475" t="s">
        <v>136</v>
      </c>
      <c r="L475" t="s">
        <v>27</v>
      </c>
      <c r="M475" t="s">
        <v>123</v>
      </c>
      <c r="N475" t="s">
        <v>2649</v>
      </c>
      <c r="O475" t="s">
        <v>30</v>
      </c>
      <c r="P475">
        <v>1</v>
      </c>
      <c r="Q475">
        <v>4397.32</v>
      </c>
      <c r="R475">
        <v>0.05</v>
      </c>
      <c r="S475" t="str">
        <f t="shared" si="7"/>
        <v>OK</v>
      </c>
      <c r="T475">
        <v>4177.45</v>
      </c>
      <c r="U475">
        <v>2299.5</v>
      </c>
      <c r="V475">
        <v>1877.95</v>
      </c>
      <c r="W475" t="s">
        <v>31</v>
      </c>
      <c r="X475" t="s">
        <v>32</v>
      </c>
    </row>
    <row r="476" spans="1:24">
      <c r="A476" t="s">
        <v>2668</v>
      </c>
      <c r="B476" s="2">
        <v>45617</v>
      </c>
      <c r="C476" s="2">
        <v>45618</v>
      </c>
      <c r="D476" s="5">
        <f>C476-B476</f>
        <v>1</v>
      </c>
      <c r="E476" s="5" t="str">
        <f>IF(D476&lt;0,"INVALID","OK")</f>
        <v>OK</v>
      </c>
      <c r="F476" t="s">
        <v>2669</v>
      </c>
      <c r="G476" t="s">
        <v>117</v>
      </c>
      <c r="H476" t="s">
        <v>94</v>
      </c>
      <c r="I476" t="s">
        <v>53</v>
      </c>
      <c r="J476" t="s">
        <v>83</v>
      </c>
      <c r="K476" t="s">
        <v>84</v>
      </c>
      <c r="L476" t="s">
        <v>73</v>
      </c>
      <c r="M476" t="s">
        <v>74</v>
      </c>
      <c r="N476" t="s">
        <v>2670</v>
      </c>
      <c r="O476" t="s">
        <v>43</v>
      </c>
      <c r="P476">
        <v>6</v>
      </c>
      <c r="Q476">
        <v>1043.49</v>
      </c>
      <c r="R476">
        <v>0.25</v>
      </c>
      <c r="S476" t="str">
        <f t="shared" si="7"/>
        <v>OK</v>
      </c>
      <c r="T476">
        <v>4695.7</v>
      </c>
      <c r="U476">
        <v>3871.69</v>
      </c>
      <c r="V476">
        <v>824.01</v>
      </c>
      <c r="W476" t="s">
        <v>154</v>
      </c>
      <c r="X476" t="s">
        <v>67</v>
      </c>
    </row>
    <row r="477" spans="1:24">
      <c r="A477" t="s">
        <v>2679</v>
      </c>
      <c r="B477" s="2">
        <v>45342</v>
      </c>
      <c r="C477" s="2">
        <v>45344</v>
      </c>
      <c r="D477" s="5">
        <f>C477-B477</f>
        <v>2</v>
      </c>
      <c r="E477" s="5" t="str">
        <f>IF(D477&lt;0,"INVALID","OK")</f>
        <v>OK</v>
      </c>
      <c r="F477" t="s">
        <v>2550</v>
      </c>
      <c r="G477" t="s">
        <v>78</v>
      </c>
      <c r="H477" t="s">
        <v>36</v>
      </c>
      <c r="I477" t="s">
        <v>53</v>
      </c>
      <c r="J477" t="s">
        <v>54</v>
      </c>
      <c r="K477" t="s">
        <v>55</v>
      </c>
      <c r="L477" t="s">
        <v>73</v>
      </c>
      <c r="M477" t="s">
        <v>74</v>
      </c>
      <c r="N477" t="s">
        <v>2680</v>
      </c>
      <c r="O477" t="s">
        <v>49</v>
      </c>
      <c r="P477">
        <v>9</v>
      </c>
      <c r="Q477">
        <v>2186.23</v>
      </c>
      <c r="R477">
        <v>0</v>
      </c>
      <c r="S477" t="str">
        <f t="shared" si="7"/>
        <v>OK</v>
      </c>
      <c r="T477">
        <v>19676.07</v>
      </c>
      <c r="U477">
        <v>12458.62</v>
      </c>
      <c r="V477">
        <v>7217.45</v>
      </c>
      <c r="W477" t="s">
        <v>101</v>
      </c>
      <c r="X477" t="s">
        <v>67</v>
      </c>
    </row>
    <row r="478" spans="1:24">
      <c r="A478" t="s">
        <v>2681</v>
      </c>
      <c r="B478" s="2">
        <v>45597</v>
      </c>
      <c r="C478" s="2">
        <v>45598</v>
      </c>
      <c r="D478" s="5">
        <f>C478-B478</f>
        <v>1</v>
      </c>
      <c r="E478" s="5" t="str">
        <f>IF(D478&lt;0,"INVALID","OK")</f>
        <v>OK</v>
      </c>
      <c r="F478" t="s">
        <v>1959</v>
      </c>
      <c r="G478" t="s">
        <v>22</v>
      </c>
      <c r="H478" t="s">
        <v>89</v>
      </c>
      <c r="I478" t="s">
        <v>37</v>
      </c>
      <c r="J478" t="s">
        <v>98</v>
      </c>
      <c r="K478" t="s">
        <v>99</v>
      </c>
      <c r="L478" t="s">
        <v>40</v>
      </c>
      <c r="M478" t="s">
        <v>56</v>
      </c>
      <c r="N478" t="s">
        <v>2682</v>
      </c>
      <c r="O478" t="s">
        <v>58</v>
      </c>
      <c r="P478">
        <v>5</v>
      </c>
      <c r="Q478">
        <v>2212.02</v>
      </c>
      <c r="R478">
        <v>0.2</v>
      </c>
      <c r="S478" t="str">
        <f t="shared" si="7"/>
        <v>OK</v>
      </c>
      <c r="T478">
        <v>8848.08</v>
      </c>
      <c r="U478">
        <v>5691.56</v>
      </c>
      <c r="V478">
        <v>3156.52</v>
      </c>
      <c r="W478" t="s">
        <v>31</v>
      </c>
      <c r="X478" t="s">
        <v>32</v>
      </c>
    </row>
    <row r="479" spans="1:24">
      <c r="A479" t="s">
        <v>2689</v>
      </c>
      <c r="B479" s="2">
        <v>45514</v>
      </c>
      <c r="C479" s="2">
        <v>45515</v>
      </c>
      <c r="D479" s="5">
        <f>C479-B479</f>
        <v>1</v>
      </c>
      <c r="E479" s="5" t="str">
        <f>IF(D479&lt;0,"INVALID","OK")</f>
        <v>OK</v>
      </c>
      <c r="F479" t="s">
        <v>2690</v>
      </c>
      <c r="G479" t="s">
        <v>35</v>
      </c>
      <c r="H479" t="s">
        <v>89</v>
      </c>
      <c r="I479" t="s">
        <v>62</v>
      </c>
      <c r="J479" t="s">
        <v>63</v>
      </c>
      <c r="K479" t="s">
        <v>64</v>
      </c>
      <c r="L479" t="s">
        <v>73</v>
      </c>
      <c r="M479" t="s">
        <v>79</v>
      </c>
      <c r="N479" t="s">
        <v>2691</v>
      </c>
      <c r="O479" t="s">
        <v>49</v>
      </c>
      <c r="P479">
        <v>7</v>
      </c>
      <c r="Q479">
        <v>3852.62</v>
      </c>
      <c r="R479">
        <v>0.2</v>
      </c>
      <c r="S479" t="str">
        <f t="shared" si="7"/>
        <v>OK</v>
      </c>
      <c r="T479">
        <v>21574.67</v>
      </c>
      <c r="U479">
        <v>14672.83</v>
      </c>
      <c r="V479">
        <v>6901.84</v>
      </c>
      <c r="W479" t="s">
        <v>31</v>
      </c>
      <c r="X479" t="s">
        <v>32</v>
      </c>
    </row>
    <row r="480" spans="1:24">
      <c r="A480" t="s">
        <v>2692</v>
      </c>
      <c r="B480" s="2">
        <v>45614</v>
      </c>
      <c r="C480" s="2">
        <v>45616</v>
      </c>
      <c r="D480" s="5">
        <f>C480-B480</f>
        <v>2</v>
      </c>
      <c r="E480" s="5" t="str">
        <f>IF(D480&lt;0,"INVALID","OK")</f>
        <v>OK</v>
      </c>
      <c r="F480" t="s">
        <v>2693</v>
      </c>
      <c r="G480" t="s">
        <v>113</v>
      </c>
      <c r="H480" t="s">
        <v>23</v>
      </c>
      <c r="I480" t="s">
        <v>62</v>
      </c>
      <c r="J480" t="s">
        <v>25</v>
      </c>
      <c r="K480" t="s">
        <v>108</v>
      </c>
      <c r="L480" t="s">
        <v>40</v>
      </c>
      <c r="M480" t="s">
        <v>65</v>
      </c>
      <c r="N480" t="s">
        <v>844</v>
      </c>
      <c r="O480" t="s">
        <v>49</v>
      </c>
      <c r="P480">
        <v>6</v>
      </c>
      <c r="Q480">
        <v>3790.22</v>
      </c>
      <c r="R480">
        <v>0</v>
      </c>
      <c r="S480" t="str">
        <f t="shared" si="7"/>
        <v>OK</v>
      </c>
      <c r="T480">
        <v>22741.32</v>
      </c>
      <c r="U480">
        <v>16388.57</v>
      </c>
      <c r="V480">
        <v>6352.75</v>
      </c>
      <c r="W480" t="s">
        <v>31</v>
      </c>
      <c r="X480" t="s">
        <v>32</v>
      </c>
    </row>
    <row r="481" spans="1:24">
      <c r="A481" t="s">
        <v>2697</v>
      </c>
      <c r="B481" s="2">
        <v>45313</v>
      </c>
      <c r="C481" s="2">
        <v>45313</v>
      </c>
      <c r="D481" s="5">
        <f>C481-B481</f>
        <v>0</v>
      </c>
      <c r="E481" s="5" t="str">
        <f>IF(D481&lt;0,"INVALID","OK")</f>
        <v>OK</v>
      </c>
      <c r="F481" t="s">
        <v>2698</v>
      </c>
      <c r="G481" t="s">
        <v>22</v>
      </c>
      <c r="H481" t="s">
        <v>89</v>
      </c>
      <c r="I481" t="s">
        <v>37</v>
      </c>
      <c r="J481" t="s">
        <v>98</v>
      </c>
      <c r="K481" t="s">
        <v>99</v>
      </c>
      <c r="L481" t="s">
        <v>27</v>
      </c>
      <c r="M481" t="s">
        <v>28</v>
      </c>
      <c r="N481" t="s">
        <v>2699</v>
      </c>
      <c r="O481" t="s">
        <v>49</v>
      </c>
      <c r="P481">
        <v>8</v>
      </c>
      <c r="Q481">
        <v>1557.21</v>
      </c>
      <c r="R481">
        <v>0.05</v>
      </c>
      <c r="S481" t="str">
        <f t="shared" si="7"/>
        <v>OK</v>
      </c>
      <c r="T481">
        <v>11834.8</v>
      </c>
      <c r="U481">
        <v>9322.36</v>
      </c>
      <c r="V481">
        <v>2512.44</v>
      </c>
      <c r="W481" t="s">
        <v>31</v>
      </c>
      <c r="X481" t="s">
        <v>32</v>
      </c>
    </row>
    <row r="482" spans="1:24">
      <c r="A482" t="s">
        <v>2703</v>
      </c>
      <c r="B482" s="2">
        <v>45507</v>
      </c>
      <c r="C482" s="2">
        <v>45366</v>
      </c>
      <c r="D482" s="5">
        <f>C482-B482</f>
        <v>-141</v>
      </c>
      <c r="E482" s="5" t="str">
        <f>IF(D482&lt;0,"INVALID","OK")</f>
        <v>INVALID</v>
      </c>
      <c r="F482" t="s">
        <v>2704</v>
      </c>
      <c r="G482" t="s">
        <v>127</v>
      </c>
      <c r="H482" t="s">
        <v>36</v>
      </c>
      <c r="I482" t="s">
        <v>2762</v>
      </c>
      <c r="J482" t="s">
        <v>121</v>
      </c>
      <c r="K482" t="s">
        <v>122</v>
      </c>
      <c r="L482" t="s">
        <v>40</v>
      </c>
      <c r="M482" t="s">
        <v>65</v>
      </c>
      <c r="N482" t="s">
        <v>2705</v>
      </c>
      <c r="O482" t="s">
        <v>49</v>
      </c>
      <c r="P482">
        <v>5</v>
      </c>
      <c r="Q482">
        <v>3234.77</v>
      </c>
      <c r="R482">
        <v>0</v>
      </c>
      <c r="S482" t="str">
        <f t="shared" si="7"/>
        <v>OK</v>
      </c>
      <c r="T482">
        <v>16173.85</v>
      </c>
      <c r="U482">
        <v>13636.34</v>
      </c>
      <c r="V482">
        <v>2537.5100000000002</v>
      </c>
      <c r="W482" t="s">
        <v>31</v>
      </c>
      <c r="X482" t="s">
        <v>32</v>
      </c>
    </row>
    <row r="483" spans="1:24">
      <c r="A483" t="s">
        <v>2706</v>
      </c>
      <c r="B483" s="2">
        <v>45627</v>
      </c>
      <c r="C483" s="2">
        <v>45424</v>
      </c>
      <c r="D483" s="5">
        <f>C483-B483</f>
        <v>-203</v>
      </c>
      <c r="E483" s="5" t="str">
        <f>IF(D483&lt;0,"INVALID","OK")</f>
        <v>INVALID</v>
      </c>
      <c r="F483" t="s">
        <v>2707</v>
      </c>
      <c r="G483" t="s">
        <v>61</v>
      </c>
      <c r="H483" t="s">
        <v>36</v>
      </c>
      <c r="I483" t="s">
        <v>53</v>
      </c>
      <c r="J483" t="s">
        <v>83</v>
      </c>
      <c r="K483" t="s">
        <v>84</v>
      </c>
      <c r="L483" t="s">
        <v>73</v>
      </c>
      <c r="M483" t="s">
        <v>79</v>
      </c>
      <c r="N483" t="s">
        <v>2708</v>
      </c>
      <c r="O483" t="s">
        <v>30</v>
      </c>
      <c r="P483">
        <v>9</v>
      </c>
      <c r="Q483">
        <v>3726.75</v>
      </c>
      <c r="R483">
        <v>0.25</v>
      </c>
      <c r="S483" t="str">
        <f t="shared" si="7"/>
        <v>OK</v>
      </c>
      <c r="T483">
        <v>25155.56</v>
      </c>
      <c r="U483">
        <v>17592.689999999999</v>
      </c>
      <c r="V483">
        <v>7562.87</v>
      </c>
      <c r="W483" t="s">
        <v>31</v>
      </c>
      <c r="X483" t="s">
        <v>32</v>
      </c>
    </row>
    <row r="484" spans="1:24">
      <c r="A484" t="s">
        <v>2718</v>
      </c>
      <c r="B484" s="2">
        <v>45296</v>
      </c>
      <c r="C484" s="2">
        <v>45296</v>
      </c>
      <c r="D484" s="5">
        <f>C484-B484</f>
        <v>0</v>
      </c>
      <c r="E484" s="5" t="str">
        <f>IF(D484&lt;0,"INVALID","OK")</f>
        <v>OK</v>
      </c>
      <c r="F484" t="s">
        <v>2719</v>
      </c>
      <c r="G484" t="s">
        <v>161</v>
      </c>
      <c r="H484" t="s">
        <v>23</v>
      </c>
      <c r="I484" t="s">
        <v>24</v>
      </c>
      <c r="J484" t="s">
        <v>25</v>
      </c>
      <c r="K484" t="s">
        <v>26</v>
      </c>
      <c r="L484" t="s">
        <v>40</v>
      </c>
      <c r="M484" t="s">
        <v>41</v>
      </c>
      <c r="N484" t="s">
        <v>2720</v>
      </c>
      <c r="O484" t="s">
        <v>58</v>
      </c>
      <c r="P484">
        <v>1</v>
      </c>
      <c r="Q484">
        <v>2167.08</v>
      </c>
      <c r="R484">
        <v>0.25</v>
      </c>
      <c r="S484" t="str">
        <f t="shared" si="7"/>
        <v>OK</v>
      </c>
      <c r="T484">
        <v>1625.31</v>
      </c>
      <c r="U484">
        <v>1157.8900000000001</v>
      </c>
      <c r="V484">
        <v>467.42</v>
      </c>
      <c r="W484" t="s">
        <v>31</v>
      </c>
      <c r="X484" t="s">
        <v>32</v>
      </c>
    </row>
    <row r="485" spans="1:24">
      <c r="A485" t="s">
        <v>2724</v>
      </c>
      <c r="B485" s="2">
        <v>45455</v>
      </c>
      <c r="C485" s="2">
        <v>45461</v>
      </c>
      <c r="D485" s="5">
        <f>C485-B485</f>
        <v>6</v>
      </c>
      <c r="E485" s="5" t="str">
        <f>IF(D485&lt;0,"INVALID","OK")</f>
        <v>OK</v>
      </c>
      <c r="F485" t="s">
        <v>2725</v>
      </c>
      <c r="G485" t="s">
        <v>127</v>
      </c>
      <c r="H485" t="s">
        <v>36</v>
      </c>
      <c r="I485" t="s">
        <v>53</v>
      </c>
      <c r="J485" t="s">
        <v>83</v>
      </c>
      <c r="K485" t="s">
        <v>84</v>
      </c>
      <c r="L485" t="s">
        <v>27</v>
      </c>
      <c r="M485" t="s">
        <v>47</v>
      </c>
      <c r="N485" t="s">
        <v>2726</v>
      </c>
      <c r="O485" t="s">
        <v>58</v>
      </c>
      <c r="P485">
        <v>4</v>
      </c>
      <c r="Q485">
        <v>4176.13</v>
      </c>
      <c r="R485">
        <v>0</v>
      </c>
      <c r="S485" t="str">
        <f t="shared" si="7"/>
        <v>OK</v>
      </c>
      <c r="T485">
        <v>16704.52</v>
      </c>
      <c r="U485">
        <v>10158.280000000001</v>
      </c>
      <c r="V485">
        <v>6546.24</v>
      </c>
      <c r="W485" t="s">
        <v>31</v>
      </c>
      <c r="X485" t="s">
        <v>32</v>
      </c>
    </row>
    <row r="486" spans="1:24">
      <c r="A486" t="s">
        <v>2732</v>
      </c>
      <c r="B486" s="2">
        <v>45427</v>
      </c>
      <c r="C486" s="2">
        <v>45433</v>
      </c>
      <c r="D486" s="5">
        <f>C486-B486</f>
        <v>6</v>
      </c>
      <c r="E486" s="5" t="str">
        <f>IF(D486&lt;0,"INVALID","OK")</f>
        <v>OK</v>
      </c>
      <c r="F486" t="s">
        <v>2733</v>
      </c>
      <c r="G486" t="s">
        <v>22</v>
      </c>
      <c r="H486" t="s">
        <v>23</v>
      </c>
      <c r="I486" t="s">
        <v>62</v>
      </c>
      <c r="J486" t="s">
        <v>189</v>
      </c>
      <c r="K486" t="s">
        <v>190</v>
      </c>
      <c r="L486" t="s">
        <v>27</v>
      </c>
      <c r="M486" t="s">
        <v>123</v>
      </c>
      <c r="N486" t="s">
        <v>2734</v>
      </c>
      <c r="O486" t="s">
        <v>58</v>
      </c>
      <c r="P486">
        <v>6</v>
      </c>
      <c r="Q486">
        <v>2909.56</v>
      </c>
      <c r="R486">
        <v>0.2</v>
      </c>
      <c r="S486" t="str">
        <f t="shared" si="7"/>
        <v>OK</v>
      </c>
      <c r="T486">
        <v>13965.89</v>
      </c>
      <c r="U486">
        <v>11646.12</v>
      </c>
      <c r="V486">
        <v>2319.77</v>
      </c>
      <c r="W486" t="s">
        <v>31</v>
      </c>
      <c r="X486" t="s">
        <v>32</v>
      </c>
    </row>
    <row r="487" spans="1:24">
      <c r="A487" t="s">
        <v>2735</v>
      </c>
      <c r="B487" s="2">
        <v>45573</v>
      </c>
      <c r="C487" s="2">
        <v>45545</v>
      </c>
      <c r="D487" s="5">
        <f>C487-B487</f>
        <v>-28</v>
      </c>
      <c r="E487" s="5" t="str">
        <f>IF(D487&lt;0,"INVALID","OK")</f>
        <v>INVALID</v>
      </c>
      <c r="F487" t="s">
        <v>2736</v>
      </c>
      <c r="G487" t="s">
        <v>263</v>
      </c>
      <c r="H487" t="s">
        <v>89</v>
      </c>
      <c r="I487" t="s">
        <v>53</v>
      </c>
      <c r="J487" t="s">
        <v>246</v>
      </c>
      <c r="K487" t="s">
        <v>247</v>
      </c>
      <c r="L487" t="s">
        <v>73</v>
      </c>
      <c r="M487" t="s">
        <v>273</v>
      </c>
      <c r="N487" t="s">
        <v>2737</v>
      </c>
      <c r="O487" t="s">
        <v>43</v>
      </c>
      <c r="P487">
        <v>5</v>
      </c>
      <c r="Q487">
        <v>2407.9699999999998</v>
      </c>
      <c r="R487">
        <v>0.1</v>
      </c>
      <c r="S487" t="str">
        <f t="shared" si="7"/>
        <v>OK</v>
      </c>
      <c r="T487">
        <v>10835.86</v>
      </c>
      <c r="U487">
        <v>6419.92</v>
      </c>
      <c r="V487">
        <v>4415.9399999999996</v>
      </c>
      <c r="W487" t="s">
        <v>154</v>
      </c>
      <c r="X487" t="s">
        <v>67</v>
      </c>
    </row>
    <row r="488" spans="1:24">
      <c r="A488" t="s">
        <v>2741</v>
      </c>
      <c r="B488" s="2">
        <v>45449</v>
      </c>
      <c r="C488" s="2">
        <v>45451</v>
      </c>
      <c r="D488" s="5">
        <f>C488-B488</f>
        <v>2</v>
      </c>
      <c r="E488" s="5" t="str">
        <f>IF(D488&lt;0,"INVALID","OK")</f>
        <v>OK</v>
      </c>
      <c r="F488" t="s">
        <v>2742</v>
      </c>
      <c r="G488" t="s">
        <v>127</v>
      </c>
      <c r="H488" t="s">
        <v>89</v>
      </c>
      <c r="I488" t="s">
        <v>53</v>
      </c>
      <c r="J488" t="s">
        <v>174</v>
      </c>
      <c r="K488" t="s">
        <v>175</v>
      </c>
      <c r="L488" t="s">
        <v>40</v>
      </c>
      <c r="M488" t="s">
        <v>41</v>
      </c>
      <c r="N488" t="s">
        <v>2743</v>
      </c>
      <c r="O488" t="s">
        <v>30</v>
      </c>
      <c r="P488">
        <v>3</v>
      </c>
      <c r="Q488">
        <v>395.49</v>
      </c>
      <c r="R488">
        <v>0.05</v>
      </c>
      <c r="S488" t="str">
        <f t="shared" si="7"/>
        <v>OK</v>
      </c>
      <c r="T488">
        <v>1127.1500000000001</v>
      </c>
      <c r="U488">
        <v>845.62</v>
      </c>
      <c r="V488">
        <v>281.52999999999997</v>
      </c>
      <c r="W488" t="s">
        <v>31</v>
      </c>
      <c r="X488" t="s">
        <v>102</v>
      </c>
    </row>
    <row r="489" spans="1:24">
      <c r="A489" t="s">
        <v>2744</v>
      </c>
      <c r="B489" s="2">
        <v>45344</v>
      </c>
      <c r="C489" s="2">
        <v>45351</v>
      </c>
      <c r="D489" s="5">
        <f>C489-B489</f>
        <v>7</v>
      </c>
      <c r="E489" s="5" t="str">
        <f>IF(D489&lt;0,"INVALID","OK")</f>
        <v>OK</v>
      </c>
      <c r="F489" t="s">
        <v>2745</v>
      </c>
      <c r="G489" t="s">
        <v>46</v>
      </c>
      <c r="H489" t="s">
        <v>94</v>
      </c>
      <c r="I489" t="s">
        <v>53</v>
      </c>
      <c r="J489" t="s">
        <v>54</v>
      </c>
      <c r="K489" t="s">
        <v>55</v>
      </c>
      <c r="L489" t="s">
        <v>40</v>
      </c>
      <c r="M489" t="s">
        <v>41</v>
      </c>
      <c r="N489" t="s">
        <v>2746</v>
      </c>
      <c r="O489" t="s">
        <v>49</v>
      </c>
      <c r="P489">
        <v>6</v>
      </c>
      <c r="Q489">
        <v>4254.05</v>
      </c>
      <c r="R489">
        <v>0</v>
      </c>
      <c r="S489" t="str">
        <f t="shared" si="7"/>
        <v>OK</v>
      </c>
      <c r="T489">
        <v>25524.3</v>
      </c>
      <c r="U489">
        <v>16711.93</v>
      </c>
      <c r="V489">
        <v>8812.3700000000008</v>
      </c>
      <c r="W489" t="s">
        <v>31</v>
      </c>
      <c r="X489" t="s">
        <v>32</v>
      </c>
    </row>
    <row r="490" spans="1:24">
      <c r="A490" t="s">
        <v>2747</v>
      </c>
      <c r="B490" s="2">
        <v>45601</v>
      </c>
      <c r="C490" s="2">
        <v>45606</v>
      </c>
      <c r="D490" s="5">
        <f>C490-B490</f>
        <v>5</v>
      </c>
      <c r="E490" s="5" t="str">
        <f>IF(D490&lt;0,"INVALID","OK")</f>
        <v>OK</v>
      </c>
      <c r="F490" t="s">
        <v>2748</v>
      </c>
      <c r="G490" t="s">
        <v>52</v>
      </c>
      <c r="H490" t="s">
        <v>23</v>
      </c>
      <c r="I490" t="s">
        <v>53</v>
      </c>
      <c r="J490" t="s">
        <v>184</v>
      </c>
      <c r="K490" t="s">
        <v>185</v>
      </c>
      <c r="L490" t="s">
        <v>40</v>
      </c>
      <c r="M490" t="s">
        <v>65</v>
      </c>
      <c r="N490" t="s">
        <v>2749</v>
      </c>
      <c r="O490" t="s">
        <v>43</v>
      </c>
      <c r="P490">
        <v>4</v>
      </c>
      <c r="Q490">
        <v>711.18</v>
      </c>
      <c r="R490">
        <v>0.15</v>
      </c>
      <c r="S490" t="str">
        <f t="shared" si="7"/>
        <v>OK</v>
      </c>
      <c r="T490">
        <v>2418.0100000000002</v>
      </c>
      <c r="U490">
        <v>1441.89</v>
      </c>
      <c r="V490">
        <v>976.12</v>
      </c>
      <c r="W490" t="s">
        <v>110</v>
      </c>
      <c r="X490" t="s">
        <v>102</v>
      </c>
    </row>
    <row r="491" spans="1:24">
      <c r="A491" t="s">
        <v>2750</v>
      </c>
      <c r="B491" s="2">
        <v>45650</v>
      </c>
      <c r="C491" s="2">
        <v>45651</v>
      </c>
      <c r="D491" s="5">
        <f>C491-B491</f>
        <v>1</v>
      </c>
      <c r="E491" s="5" t="str">
        <f>IF(D491&lt;0,"INVALID","OK")</f>
        <v>OK</v>
      </c>
      <c r="F491" t="s">
        <v>2751</v>
      </c>
      <c r="G491" t="s">
        <v>61</v>
      </c>
      <c r="H491" t="s">
        <v>36</v>
      </c>
      <c r="I491" t="s">
        <v>53</v>
      </c>
      <c r="J491" t="s">
        <v>246</v>
      </c>
      <c r="K491" t="s">
        <v>247</v>
      </c>
      <c r="L491" t="s">
        <v>73</v>
      </c>
      <c r="M491" t="s">
        <v>79</v>
      </c>
      <c r="N491" t="s">
        <v>2752</v>
      </c>
      <c r="O491" t="s">
        <v>30</v>
      </c>
      <c r="P491">
        <v>1</v>
      </c>
      <c r="Q491">
        <v>3693.03</v>
      </c>
      <c r="R491">
        <v>0.05</v>
      </c>
      <c r="S491" t="str">
        <f t="shared" si="7"/>
        <v>OK</v>
      </c>
      <c r="T491">
        <v>3508.38</v>
      </c>
      <c r="U491">
        <v>2828.06</v>
      </c>
      <c r="V491">
        <v>680.32</v>
      </c>
      <c r="W491" t="s">
        <v>154</v>
      </c>
      <c r="X491" t="s">
        <v>102</v>
      </c>
    </row>
    <row r="492" spans="1:24">
      <c r="A492" t="s">
        <v>2755</v>
      </c>
      <c r="B492" s="2">
        <v>45445</v>
      </c>
      <c r="C492" s="2">
        <v>45451</v>
      </c>
      <c r="D492" s="5">
        <f>C492-B492</f>
        <v>6</v>
      </c>
      <c r="E492" s="5" t="str">
        <f>IF(D492&lt;0,"INVALID","OK")</f>
        <v>OK</v>
      </c>
      <c r="F492" t="s">
        <v>2756</v>
      </c>
      <c r="G492" t="s">
        <v>70</v>
      </c>
      <c r="H492" t="s">
        <v>23</v>
      </c>
      <c r="I492" t="s">
        <v>24</v>
      </c>
      <c r="J492" t="s">
        <v>349</v>
      </c>
      <c r="K492" t="s">
        <v>350</v>
      </c>
      <c r="L492" t="s">
        <v>40</v>
      </c>
      <c r="M492" t="s">
        <v>41</v>
      </c>
      <c r="N492" t="s">
        <v>2757</v>
      </c>
      <c r="O492" t="s">
        <v>49</v>
      </c>
      <c r="P492">
        <v>4</v>
      </c>
      <c r="Q492">
        <v>1536.7</v>
      </c>
      <c r="R492">
        <v>0.2</v>
      </c>
      <c r="S492" t="str">
        <f t="shared" si="7"/>
        <v>OK</v>
      </c>
      <c r="T492">
        <v>4917.4399999999996</v>
      </c>
      <c r="U492">
        <v>3846.77</v>
      </c>
      <c r="V492">
        <v>1070.67</v>
      </c>
      <c r="W492" t="s">
        <v>31</v>
      </c>
      <c r="X492" t="s">
        <v>32</v>
      </c>
    </row>
    <row r="493" spans="1:24">
      <c r="A493" t="s">
        <v>59</v>
      </c>
      <c r="B493" s="2">
        <v>45898</v>
      </c>
      <c r="C493" s="2">
        <v>45901</v>
      </c>
      <c r="D493" s="5">
        <f>C493-B493</f>
        <v>3</v>
      </c>
      <c r="E493" s="5" t="str">
        <f>IF(D493&lt;0,"INVALID","OK")</f>
        <v>OK</v>
      </c>
      <c r="F493" t="s">
        <v>60</v>
      </c>
      <c r="G493" t="s">
        <v>61</v>
      </c>
      <c r="H493" t="s">
        <v>36</v>
      </c>
      <c r="I493" t="s">
        <v>62</v>
      </c>
      <c r="J493" t="s">
        <v>63</v>
      </c>
      <c r="K493" t="s">
        <v>64</v>
      </c>
      <c r="L493" t="s">
        <v>40</v>
      </c>
      <c r="M493" t="s">
        <v>65</v>
      </c>
      <c r="N493" t="s">
        <v>66</v>
      </c>
      <c r="O493" t="s">
        <v>49</v>
      </c>
      <c r="P493">
        <v>7</v>
      </c>
      <c r="Q493">
        <v>2973.76</v>
      </c>
      <c r="R493">
        <v>0</v>
      </c>
      <c r="S493" t="str">
        <f t="shared" si="7"/>
        <v>OK</v>
      </c>
      <c r="T493">
        <v>20816.32</v>
      </c>
      <c r="U493">
        <v>17705.37</v>
      </c>
      <c r="V493">
        <v>3110.95</v>
      </c>
      <c r="W493" t="s">
        <v>31</v>
      </c>
      <c r="X493" t="s">
        <v>67</v>
      </c>
    </row>
    <row r="494" spans="1:24">
      <c r="A494" t="s">
        <v>76</v>
      </c>
      <c r="B494" s="2">
        <v>45757</v>
      </c>
      <c r="C494" s="2">
        <v>45763</v>
      </c>
      <c r="D494" s="5">
        <f>C494-B494</f>
        <v>6</v>
      </c>
      <c r="E494" s="5" t="str">
        <f>IF(D494&lt;0,"INVALID","OK")</f>
        <v>OK</v>
      </c>
      <c r="F494" t="s">
        <v>77</v>
      </c>
      <c r="G494" t="s">
        <v>78</v>
      </c>
      <c r="H494" t="s">
        <v>23</v>
      </c>
      <c r="I494" t="s">
        <v>37</v>
      </c>
      <c r="J494" t="s">
        <v>38</v>
      </c>
      <c r="K494" t="s">
        <v>39</v>
      </c>
      <c r="L494" t="s">
        <v>73</v>
      </c>
      <c r="M494" t="s">
        <v>79</v>
      </c>
      <c r="N494" t="s">
        <v>80</v>
      </c>
      <c r="O494" t="s">
        <v>58</v>
      </c>
      <c r="P494">
        <v>4</v>
      </c>
      <c r="Q494">
        <v>1719.87</v>
      </c>
      <c r="R494">
        <v>0.15</v>
      </c>
      <c r="S494" t="str">
        <f t="shared" si="7"/>
        <v>OK</v>
      </c>
      <c r="T494">
        <v>5847.56</v>
      </c>
      <c r="U494">
        <v>4727.25</v>
      </c>
      <c r="V494">
        <v>1120.31</v>
      </c>
      <c r="W494" t="s">
        <v>31</v>
      </c>
      <c r="X494" t="s">
        <v>32</v>
      </c>
    </row>
    <row r="495" spans="1:24">
      <c r="A495" t="s">
        <v>81</v>
      </c>
      <c r="B495" s="2">
        <v>45711</v>
      </c>
      <c r="C495" s="2">
        <v>45714</v>
      </c>
      <c r="D495" s="5">
        <f>C495-B495</f>
        <v>3</v>
      </c>
      <c r="E495" s="5" t="str">
        <f>IF(D495&lt;0,"INVALID","OK")</f>
        <v>OK</v>
      </c>
      <c r="F495" t="s">
        <v>82</v>
      </c>
      <c r="G495" t="s">
        <v>46</v>
      </c>
      <c r="H495" t="s">
        <v>36</v>
      </c>
      <c r="I495" t="s">
        <v>53</v>
      </c>
      <c r="J495" t="s">
        <v>83</v>
      </c>
      <c r="K495" t="s">
        <v>84</v>
      </c>
      <c r="L495" t="s">
        <v>27</v>
      </c>
      <c r="M495" t="s">
        <v>47</v>
      </c>
      <c r="N495" t="s">
        <v>85</v>
      </c>
      <c r="O495" t="s">
        <v>49</v>
      </c>
      <c r="P495">
        <v>1</v>
      </c>
      <c r="Q495">
        <v>2980.71</v>
      </c>
      <c r="R495">
        <v>0</v>
      </c>
      <c r="S495" t="str">
        <f t="shared" si="7"/>
        <v>OK</v>
      </c>
      <c r="T495">
        <v>2980.71</v>
      </c>
      <c r="U495">
        <v>2357.2199999999998</v>
      </c>
      <c r="V495">
        <v>623.49</v>
      </c>
      <c r="W495" t="s">
        <v>31</v>
      </c>
      <c r="X495" t="s">
        <v>32</v>
      </c>
    </row>
    <row r="496" spans="1:24">
      <c r="A496" t="s">
        <v>92</v>
      </c>
      <c r="B496" s="2">
        <v>45847</v>
      </c>
      <c r="C496" s="2">
        <v>45912</v>
      </c>
      <c r="D496" s="5">
        <f>C496-B496</f>
        <v>65</v>
      </c>
      <c r="E496" s="5" t="str">
        <f>IF(D496&lt;0,"INVALID","OK")</f>
        <v>OK</v>
      </c>
      <c r="F496" t="s">
        <v>93</v>
      </c>
      <c r="G496" t="s">
        <v>35</v>
      </c>
      <c r="H496" t="s">
        <v>94</v>
      </c>
      <c r="I496" t="s">
        <v>53</v>
      </c>
      <c r="J496" t="s">
        <v>54</v>
      </c>
      <c r="K496" t="s">
        <v>55</v>
      </c>
      <c r="L496" t="s">
        <v>27</v>
      </c>
      <c r="M496" t="s">
        <v>28</v>
      </c>
      <c r="N496" t="s">
        <v>95</v>
      </c>
      <c r="O496" t="s">
        <v>30</v>
      </c>
      <c r="P496">
        <v>9</v>
      </c>
      <c r="Q496">
        <v>852.04</v>
      </c>
      <c r="R496">
        <v>0.2</v>
      </c>
      <c r="S496" t="str">
        <f t="shared" si="7"/>
        <v>OK</v>
      </c>
      <c r="T496">
        <v>6134.69</v>
      </c>
      <c r="U496">
        <v>3800.19</v>
      </c>
      <c r="V496">
        <v>2334.5</v>
      </c>
      <c r="W496" t="s">
        <v>31</v>
      </c>
      <c r="X496" t="s">
        <v>32</v>
      </c>
    </row>
    <row r="497" spans="1:24">
      <c r="A497" t="s">
        <v>96</v>
      </c>
      <c r="B497" s="2">
        <v>45797</v>
      </c>
      <c r="C497" s="2">
        <v>45797</v>
      </c>
      <c r="D497" s="5">
        <f>C497-B497</f>
        <v>0</v>
      </c>
      <c r="E497" s="5" t="str">
        <f>IF(D497&lt;0,"INVALID","OK")</f>
        <v>OK</v>
      </c>
      <c r="F497" t="s">
        <v>97</v>
      </c>
      <c r="G497" t="s">
        <v>61</v>
      </c>
      <c r="H497" t="s">
        <v>89</v>
      </c>
      <c r="I497" t="s">
        <v>37</v>
      </c>
      <c r="J497" t="s">
        <v>98</v>
      </c>
      <c r="K497" t="s">
        <v>99</v>
      </c>
      <c r="L497" t="s">
        <v>27</v>
      </c>
      <c r="M497" t="s">
        <v>90</v>
      </c>
      <c r="N497" t="s">
        <v>100</v>
      </c>
      <c r="O497" t="s">
        <v>30</v>
      </c>
      <c r="P497">
        <v>3</v>
      </c>
      <c r="Q497">
        <v>3534.83</v>
      </c>
      <c r="R497">
        <v>0.05</v>
      </c>
      <c r="S497" t="str">
        <f t="shared" si="7"/>
        <v>OK</v>
      </c>
      <c r="T497">
        <v>10074.27</v>
      </c>
      <c r="U497">
        <v>6048.27</v>
      </c>
      <c r="V497">
        <v>4026</v>
      </c>
      <c r="W497" t="s">
        <v>101</v>
      </c>
      <c r="X497" t="s">
        <v>102</v>
      </c>
    </row>
    <row r="498" spans="1:24">
      <c r="A498" t="s">
        <v>111</v>
      </c>
      <c r="B498" s="2">
        <v>45942</v>
      </c>
      <c r="C498" s="2">
        <v>45946</v>
      </c>
      <c r="D498" s="5">
        <f>C498-B498</f>
        <v>4</v>
      </c>
      <c r="E498" s="5" t="str">
        <f>IF(D498&lt;0,"INVALID","OK")</f>
        <v>OK</v>
      </c>
      <c r="F498" t="s">
        <v>112</v>
      </c>
      <c r="G498" t="s">
        <v>113</v>
      </c>
      <c r="H498" t="s">
        <v>36</v>
      </c>
      <c r="I498" t="s">
        <v>62</v>
      </c>
      <c r="J498" t="s">
        <v>63</v>
      </c>
      <c r="K498" t="s">
        <v>64</v>
      </c>
      <c r="L498" t="s">
        <v>27</v>
      </c>
      <c r="M498" t="s">
        <v>47</v>
      </c>
      <c r="N498" t="s">
        <v>114</v>
      </c>
      <c r="O498" t="s">
        <v>30</v>
      </c>
      <c r="P498">
        <v>7</v>
      </c>
      <c r="Q498">
        <v>3964.72</v>
      </c>
      <c r="R498">
        <v>0.05</v>
      </c>
      <c r="S498" t="str">
        <f t="shared" si="7"/>
        <v>OK</v>
      </c>
      <c r="T498">
        <v>26365.39</v>
      </c>
      <c r="U498">
        <v>22306.240000000002</v>
      </c>
      <c r="V498">
        <v>4059.15</v>
      </c>
      <c r="W498" t="s">
        <v>31</v>
      </c>
      <c r="X498" t="s">
        <v>32</v>
      </c>
    </row>
    <row r="499" spans="1:24">
      <c r="A499" t="s">
        <v>133</v>
      </c>
      <c r="B499" s="2">
        <v>45853</v>
      </c>
      <c r="C499" s="2">
        <v>45855</v>
      </c>
      <c r="D499" s="5">
        <f>C499-B499</f>
        <v>2</v>
      </c>
      <c r="E499" s="5" t="str">
        <f>IF(D499&lt;0,"INVALID","OK")</f>
        <v>OK</v>
      </c>
      <c r="F499" t="s">
        <v>134</v>
      </c>
      <c r="G499" t="s">
        <v>127</v>
      </c>
      <c r="H499" t="s">
        <v>94</v>
      </c>
      <c r="I499" t="s">
        <v>24</v>
      </c>
      <c r="J499" t="s">
        <v>135</v>
      </c>
      <c r="K499" t="s">
        <v>136</v>
      </c>
      <c r="L499" t="s">
        <v>73</v>
      </c>
      <c r="M499" t="s">
        <v>79</v>
      </c>
      <c r="N499" t="s">
        <v>137</v>
      </c>
      <c r="O499" t="s">
        <v>49</v>
      </c>
      <c r="P499">
        <v>2</v>
      </c>
      <c r="Q499">
        <v>1997.99</v>
      </c>
      <c r="R499">
        <v>0</v>
      </c>
      <c r="S499" t="str">
        <f t="shared" si="7"/>
        <v>OK</v>
      </c>
      <c r="T499">
        <v>3995.98</v>
      </c>
      <c r="U499">
        <v>2633.2</v>
      </c>
      <c r="V499">
        <v>1362.78</v>
      </c>
      <c r="W499" t="s">
        <v>101</v>
      </c>
      <c r="X499" t="s">
        <v>67</v>
      </c>
    </row>
    <row r="500" spans="1:24">
      <c r="A500" t="s">
        <v>142</v>
      </c>
      <c r="B500" s="2">
        <v>45678</v>
      </c>
      <c r="C500" s="2">
        <v>45680</v>
      </c>
      <c r="D500" s="5">
        <f>C500-B500</f>
        <v>2</v>
      </c>
      <c r="E500" s="5" t="str">
        <f>IF(D500&lt;0,"INVALID","OK")</f>
        <v>OK</v>
      </c>
      <c r="F500" t="s">
        <v>143</v>
      </c>
      <c r="G500" t="s">
        <v>88</v>
      </c>
      <c r="H500" t="s">
        <v>94</v>
      </c>
      <c r="I500" t="s">
        <v>37</v>
      </c>
      <c r="J500" t="s">
        <v>144</v>
      </c>
      <c r="K500" t="s">
        <v>145</v>
      </c>
      <c r="L500" t="s">
        <v>73</v>
      </c>
      <c r="M500" t="s">
        <v>79</v>
      </c>
      <c r="N500" t="s">
        <v>146</v>
      </c>
      <c r="O500" t="s">
        <v>49</v>
      </c>
      <c r="P500">
        <v>5</v>
      </c>
      <c r="Q500">
        <v>4373.0600000000004</v>
      </c>
      <c r="R500">
        <v>0.25</v>
      </c>
      <c r="S500" t="str">
        <f t="shared" si="7"/>
        <v>OK</v>
      </c>
      <c r="T500">
        <v>16398.98</v>
      </c>
      <c r="U500">
        <v>9556.52</v>
      </c>
      <c r="V500">
        <v>6842.46</v>
      </c>
      <c r="W500" t="s">
        <v>31</v>
      </c>
      <c r="X500" t="s">
        <v>32</v>
      </c>
    </row>
    <row r="501" spans="1:24">
      <c r="A501" t="s">
        <v>147</v>
      </c>
      <c r="B501" s="2">
        <v>45681</v>
      </c>
      <c r="C501" s="2">
        <v>45687</v>
      </c>
      <c r="D501" s="5">
        <f>C501-B501</f>
        <v>6</v>
      </c>
      <c r="E501" s="5" t="str">
        <f>IF(D501&lt;0,"INVALID","OK")</f>
        <v>OK</v>
      </c>
      <c r="F501" t="s">
        <v>148</v>
      </c>
      <c r="G501" t="s">
        <v>131</v>
      </c>
      <c r="H501" t="s">
        <v>23</v>
      </c>
      <c r="I501" t="s">
        <v>62</v>
      </c>
      <c r="J501" t="s">
        <v>71</v>
      </c>
      <c r="K501" t="s">
        <v>72</v>
      </c>
      <c r="L501" t="s">
        <v>40</v>
      </c>
      <c r="M501" t="s">
        <v>56</v>
      </c>
      <c r="N501" t="s">
        <v>149</v>
      </c>
      <c r="O501" t="s">
        <v>30</v>
      </c>
      <c r="P501">
        <v>4</v>
      </c>
      <c r="Q501">
        <v>697.69</v>
      </c>
      <c r="R501">
        <v>-0.23</v>
      </c>
      <c r="S501" t="str">
        <f t="shared" si="7"/>
        <v>INVALID</v>
      </c>
      <c r="T501">
        <v>2790.76</v>
      </c>
      <c r="U501">
        <v>2037.71</v>
      </c>
      <c r="V501">
        <v>753.05</v>
      </c>
      <c r="W501" t="s">
        <v>31</v>
      </c>
      <c r="X501" t="s">
        <v>32</v>
      </c>
    </row>
    <row r="502" spans="1:24">
      <c r="A502" t="s">
        <v>150</v>
      </c>
      <c r="B502" s="2">
        <v>45676</v>
      </c>
      <c r="C502" s="2">
        <v>45678</v>
      </c>
      <c r="D502" s="5">
        <f>C502-B502</f>
        <v>2</v>
      </c>
      <c r="E502" s="5" t="str">
        <f>IF(D502&lt;0,"INVALID","OK")</f>
        <v>OK</v>
      </c>
      <c r="F502" t="s">
        <v>151</v>
      </c>
      <c r="G502" t="s">
        <v>35</v>
      </c>
      <c r="H502" t="s">
        <v>23</v>
      </c>
      <c r="I502" t="s">
        <v>53</v>
      </c>
      <c r="J502" t="s">
        <v>54</v>
      </c>
      <c r="K502" t="s">
        <v>55</v>
      </c>
      <c r="L502" t="s">
        <v>27</v>
      </c>
      <c r="M502" t="s">
        <v>152</v>
      </c>
      <c r="N502" t="s">
        <v>153</v>
      </c>
      <c r="O502" t="s">
        <v>58</v>
      </c>
      <c r="P502">
        <v>8</v>
      </c>
      <c r="Q502">
        <v>1219.3399999999999</v>
      </c>
      <c r="R502">
        <v>0.15</v>
      </c>
      <c r="S502" t="str">
        <f t="shared" si="7"/>
        <v>OK</v>
      </c>
      <c r="T502">
        <v>8291.51</v>
      </c>
      <c r="U502">
        <v>6685.03</v>
      </c>
      <c r="V502">
        <v>1606.48</v>
      </c>
      <c r="W502" t="s">
        <v>154</v>
      </c>
      <c r="X502" t="s">
        <v>102</v>
      </c>
    </row>
    <row r="503" spans="1:24">
      <c r="A503" t="s">
        <v>155</v>
      </c>
      <c r="B503" s="2">
        <v>45898</v>
      </c>
      <c r="C503" s="2">
        <v>45900</v>
      </c>
      <c r="D503" s="5">
        <f>C503-B503</f>
        <v>2</v>
      </c>
      <c r="E503" s="5" t="str">
        <f>IF(D503&lt;0,"INVALID","OK")</f>
        <v>OK</v>
      </c>
      <c r="F503" t="s">
        <v>156</v>
      </c>
      <c r="G503" t="s">
        <v>117</v>
      </c>
      <c r="H503" t="s">
        <v>94</v>
      </c>
      <c r="I503" t="s">
        <v>37</v>
      </c>
      <c r="J503" t="s">
        <v>144</v>
      </c>
      <c r="K503" t="s">
        <v>145</v>
      </c>
      <c r="L503" t="s">
        <v>40</v>
      </c>
      <c r="M503" t="s">
        <v>157</v>
      </c>
      <c r="N503" t="s">
        <v>158</v>
      </c>
      <c r="O503" t="s">
        <v>49</v>
      </c>
      <c r="P503">
        <v>4</v>
      </c>
      <c r="Q503">
        <v>1958.01</v>
      </c>
      <c r="R503">
        <v>0.2</v>
      </c>
      <c r="S503" t="str">
        <f t="shared" si="7"/>
        <v>OK</v>
      </c>
      <c r="T503">
        <v>6265.63</v>
      </c>
      <c r="U503">
        <v>4321.8599999999997</v>
      </c>
      <c r="V503">
        <v>1943.77</v>
      </c>
      <c r="W503" t="s">
        <v>31</v>
      </c>
      <c r="X503" t="s">
        <v>32</v>
      </c>
    </row>
    <row r="504" spans="1:24">
      <c r="A504" t="s">
        <v>172</v>
      </c>
      <c r="B504" s="2">
        <v>45929</v>
      </c>
      <c r="C504" s="2">
        <v>45787</v>
      </c>
      <c r="D504" s="5">
        <f>C504-B504</f>
        <v>-142</v>
      </c>
      <c r="E504" s="5" t="str">
        <f>IF(D504&lt;0,"INVALID","OK")</f>
        <v>INVALID</v>
      </c>
      <c r="F504" t="s">
        <v>173</v>
      </c>
      <c r="G504" t="s">
        <v>52</v>
      </c>
      <c r="H504" t="s">
        <v>36</v>
      </c>
      <c r="I504" t="s">
        <v>53</v>
      </c>
      <c r="J504" t="s">
        <v>174</v>
      </c>
      <c r="K504" t="s">
        <v>175</v>
      </c>
      <c r="L504" t="s">
        <v>27</v>
      </c>
      <c r="M504" t="s">
        <v>28</v>
      </c>
      <c r="N504" t="s">
        <v>176</v>
      </c>
      <c r="O504" t="s">
        <v>30</v>
      </c>
      <c r="P504">
        <v>5</v>
      </c>
      <c r="Q504">
        <v>1806.51</v>
      </c>
      <c r="R504">
        <v>0.25</v>
      </c>
      <c r="S504" t="str">
        <f t="shared" si="7"/>
        <v>OK</v>
      </c>
      <c r="T504">
        <v>6774.41</v>
      </c>
      <c r="U504">
        <v>4710.3599999999997</v>
      </c>
      <c r="V504">
        <v>2064.0500000000002</v>
      </c>
      <c r="W504" t="s">
        <v>154</v>
      </c>
      <c r="X504" t="s">
        <v>102</v>
      </c>
    </row>
    <row r="505" spans="1:24">
      <c r="A505" t="s">
        <v>182</v>
      </c>
      <c r="B505" s="2">
        <v>45882</v>
      </c>
      <c r="C505" s="2">
        <v>45882</v>
      </c>
      <c r="D505" s="5">
        <f>C505-B505</f>
        <v>0</v>
      </c>
      <c r="E505" s="5" t="str">
        <f>IF(D505&lt;0,"INVALID","OK")</f>
        <v>OK</v>
      </c>
      <c r="F505" t="s">
        <v>183</v>
      </c>
      <c r="G505" t="s">
        <v>140</v>
      </c>
      <c r="H505" t="s">
        <v>94</v>
      </c>
      <c r="I505" t="s">
        <v>53</v>
      </c>
      <c r="J505" t="s">
        <v>184</v>
      </c>
      <c r="K505" t="s">
        <v>185</v>
      </c>
      <c r="L505" t="s">
        <v>73</v>
      </c>
      <c r="M505" t="s">
        <v>170</v>
      </c>
      <c r="N505" t="s">
        <v>186</v>
      </c>
      <c r="O505" t="s">
        <v>58</v>
      </c>
      <c r="P505">
        <v>1</v>
      </c>
      <c r="Q505">
        <v>256.01</v>
      </c>
      <c r="R505">
        <v>0.15</v>
      </c>
      <c r="S505" t="str">
        <f t="shared" si="7"/>
        <v>OK</v>
      </c>
      <c r="T505">
        <v>217.61</v>
      </c>
      <c r="U505">
        <v>119.77</v>
      </c>
      <c r="V505">
        <v>97.84</v>
      </c>
      <c r="W505" t="s">
        <v>31</v>
      </c>
      <c r="X505" t="s">
        <v>32</v>
      </c>
    </row>
    <row r="506" spans="1:24">
      <c r="A506" t="s">
        <v>192</v>
      </c>
      <c r="B506" s="2">
        <v>45823</v>
      </c>
      <c r="C506" s="2">
        <v>45827</v>
      </c>
      <c r="D506" s="5">
        <f>C506-B506</f>
        <v>4</v>
      </c>
      <c r="E506" s="5" t="str">
        <f>IF(D506&lt;0,"INVALID","OK")</f>
        <v>OK</v>
      </c>
      <c r="F506" t="s">
        <v>193</v>
      </c>
      <c r="G506" t="s">
        <v>22</v>
      </c>
      <c r="H506" t="s">
        <v>36</v>
      </c>
      <c r="I506" t="s">
        <v>62</v>
      </c>
      <c r="J506" t="s">
        <v>71</v>
      </c>
      <c r="K506" t="s">
        <v>72</v>
      </c>
      <c r="L506" t="s">
        <v>27</v>
      </c>
      <c r="M506" t="s">
        <v>28</v>
      </c>
      <c r="N506" t="s">
        <v>194</v>
      </c>
      <c r="O506" t="s">
        <v>30</v>
      </c>
      <c r="P506">
        <v>9</v>
      </c>
      <c r="Q506">
        <v>3092.55</v>
      </c>
      <c r="R506">
        <v>0</v>
      </c>
      <c r="S506" t="str">
        <f t="shared" si="7"/>
        <v>OK</v>
      </c>
      <c r="T506">
        <v>27832.95</v>
      </c>
      <c r="U506">
        <v>17769.75</v>
      </c>
      <c r="V506">
        <v>10063.200000000001</v>
      </c>
      <c r="W506" t="s">
        <v>154</v>
      </c>
      <c r="X506" t="s">
        <v>102</v>
      </c>
    </row>
    <row r="507" spans="1:24">
      <c r="A507" t="s">
        <v>201</v>
      </c>
      <c r="B507" s="2">
        <v>45688</v>
      </c>
      <c r="C507" s="2">
        <v>45693</v>
      </c>
      <c r="D507" s="5">
        <f>C507-B507</f>
        <v>5</v>
      </c>
      <c r="E507" s="5" t="str">
        <f>IF(D507&lt;0,"INVALID","OK")</f>
        <v>OK</v>
      </c>
      <c r="F507" t="s">
        <v>202</v>
      </c>
      <c r="G507" t="s">
        <v>113</v>
      </c>
      <c r="H507" t="s">
        <v>94</v>
      </c>
      <c r="I507" t="s">
        <v>37</v>
      </c>
      <c r="J507" t="s">
        <v>98</v>
      </c>
      <c r="K507" t="s">
        <v>99</v>
      </c>
      <c r="L507" t="s">
        <v>40</v>
      </c>
      <c r="M507" t="s">
        <v>65</v>
      </c>
      <c r="N507" t="s">
        <v>203</v>
      </c>
      <c r="O507" t="s">
        <v>2762</v>
      </c>
      <c r="P507">
        <v>2</v>
      </c>
      <c r="Q507">
        <v>4159.6899999999996</v>
      </c>
      <c r="R507">
        <v>0.2</v>
      </c>
      <c r="S507" t="str">
        <f t="shared" si="7"/>
        <v>OK</v>
      </c>
      <c r="T507">
        <v>6655.5</v>
      </c>
      <c r="U507">
        <v>4340.21</v>
      </c>
      <c r="V507">
        <v>2607.3200000000002</v>
      </c>
      <c r="W507" t="s">
        <v>31</v>
      </c>
      <c r="X507" t="s">
        <v>32</v>
      </c>
    </row>
    <row r="508" spans="1:24">
      <c r="A508" t="s">
        <v>210</v>
      </c>
      <c r="B508" s="2">
        <v>45867</v>
      </c>
      <c r="C508" s="2">
        <v>45867</v>
      </c>
      <c r="D508" s="5">
        <f>C508-B508</f>
        <v>0</v>
      </c>
      <c r="E508" s="5" t="str">
        <f>IF(D508&lt;0,"INVALID","OK")</f>
        <v>OK</v>
      </c>
      <c r="F508" t="s">
        <v>211</v>
      </c>
      <c r="G508" t="s">
        <v>161</v>
      </c>
      <c r="H508" t="s">
        <v>23</v>
      </c>
      <c r="I508" t="s">
        <v>62</v>
      </c>
      <c r="J508" t="s">
        <v>63</v>
      </c>
      <c r="K508" t="s">
        <v>64</v>
      </c>
      <c r="L508" t="s">
        <v>73</v>
      </c>
      <c r="M508" t="s">
        <v>79</v>
      </c>
      <c r="N508" t="s">
        <v>212</v>
      </c>
      <c r="O508" t="s">
        <v>58</v>
      </c>
      <c r="P508">
        <v>4</v>
      </c>
      <c r="Q508">
        <v>1327.54</v>
      </c>
      <c r="R508">
        <v>0.2</v>
      </c>
      <c r="S508" t="str">
        <f t="shared" si="7"/>
        <v>OK</v>
      </c>
      <c r="T508">
        <v>4248.13</v>
      </c>
      <c r="U508">
        <v>3321.09</v>
      </c>
      <c r="V508">
        <v>927.04</v>
      </c>
      <c r="W508" t="s">
        <v>31</v>
      </c>
      <c r="X508" t="s">
        <v>32</v>
      </c>
    </row>
    <row r="509" spans="1:24">
      <c r="A509" t="s">
        <v>225</v>
      </c>
      <c r="B509" s="2">
        <v>45940</v>
      </c>
      <c r="C509" s="2">
        <v>45945</v>
      </c>
      <c r="D509" s="5">
        <f>C509-B509</f>
        <v>5</v>
      </c>
      <c r="E509" s="5" t="str">
        <f>IF(D509&lt;0,"INVALID","OK")</f>
        <v>OK</v>
      </c>
      <c r="F509" t="s">
        <v>226</v>
      </c>
      <c r="G509" t="s">
        <v>52</v>
      </c>
      <c r="H509" t="s">
        <v>89</v>
      </c>
      <c r="I509" t="s">
        <v>37</v>
      </c>
      <c r="J509" t="s">
        <v>227</v>
      </c>
      <c r="K509" t="s">
        <v>228</v>
      </c>
      <c r="L509" t="s">
        <v>73</v>
      </c>
      <c r="M509" t="s">
        <v>170</v>
      </c>
      <c r="N509" t="s">
        <v>229</v>
      </c>
      <c r="O509" t="s">
        <v>58</v>
      </c>
      <c r="P509">
        <v>8</v>
      </c>
      <c r="Q509">
        <v>979.87</v>
      </c>
      <c r="R509">
        <v>0.05</v>
      </c>
      <c r="S509" t="str">
        <f t="shared" si="7"/>
        <v>OK</v>
      </c>
      <c r="T509">
        <v>7447.01</v>
      </c>
      <c r="U509">
        <v>4496.22</v>
      </c>
      <c r="V509">
        <v>2950.79</v>
      </c>
      <c r="W509" t="s">
        <v>31</v>
      </c>
      <c r="X509" t="s">
        <v>32</v>
      </c>
    </row>
    <row r="510" spans="1:24">
      <c r="A510" t="s">
        <v>249</v>
      </c>
      <c r="B510" s="2">
        <v>45687</v>
      </c>
      <c r="C510" s="2">
        <v>45693</v>
      </c>
      <c r="D510" s="5">
        <f>C510-B510</f>
        <v>6</v>
      </c>
      <c r="E510" s="5" t="str">
        <f>IF(D510&lt;0,"INVALID","OK")</f>
        <v>OK</v>
      </c>
      <c r="F510" t="s">
        <v>250</v>
      </c>
      <c r="G510" t="s">
        <v>78</v>
      </c>
      <c r="H510" t="s">
        <v>89</v>
      </c>
      <c r="I510" t="s">
        <v>62</v>
      </c>
      <c r="J510" t="s">
        <v>63</v>
      </c>
      <c r="K510" t="s">
        <v>64</v>
      </c>
      <c r="L510" t="s">
        <v>40</v>
      </c>
      <c r="M510" t="s">
        <v>65</v>
      </c>
      <c r="N510" t="s">
        <v>251</v>
      </c>
      <c r="O510" t="s">
        <v>30</v>
      </c>
      <c r="P510">
        <v>7</v>
      </c>
      <c r="Q510">
        <v>4063.66</v>
      </c>
      <c r="R510">
        <v>0</v>
      </c>
      <c r="S510" t="str">
        <f t="shared" si="7"/>
        <v>OK</v>
      </c>
      <c r="T510">
        <v>28445.62</v>
      </c>
      <c r="U510">
        <v>20938.59</v>
      </c>
      <c r="V510">
        <v>7507.03</v>
      </c>
      <c r="W510" t="s">
        <v>31</v>
      </c>
      <c r="X510" t="s">
        <v>32</v>
      </c>
    </row>
    <row r="511" spans="1:24">
      <c r="A511" t="s">
        <v>255</v>
      </c>
      <c r="B511" s="2">
        <v>45788</v>
      </c>
      <c r="C511" s="2">
        <v>45796</v>
      </c>
      <c r="D511" s="5">
        <f>C511-B511</f>
        <v>8</v>
      </c>
      <c r="E511" s="5" t="str">
        <f>IF(D511&lt;0,"INVALID","OK")</f>
        <v>OK</v>
      </c>
      <c r="F511" t="s">
        <v>256</v>
      </c>
      <c r="G511" t="s">
        <v>131</v>
      </c>
      <c r="H511" t="s">
        <v>23</v>
      </c>
      <c r="I511" t="s">
        <v>37</v>
      </c>
      <c r="J511" t="s">
        <v>98</v>
      </c>
      <c r="K511" t="s">
        <v>99</v>
      </c>
      <c r="L511" t="s">
        <v>73</v>
      </c>
      <c r="M511" t="s">
        <v>79</v>
      </c>
      <c r="N511" t="s">
        <v>257</v>
      </c>
      <c r="O511" t="s">
        <v>58</v>
      </c>
      <c r="P511">
        <v>1</v>
      </c>
      <c r="Q511">
        <v>2382.8000000000002</v>
      </c>
      <c r="R511">
        <v>0.15</v>
      </c>
      <c r="S511" t="str">
        <f t="shared" si="7"/>
        <v>OK</v>
      </c>
      <c r="T511">
        <v>2025.38</v>
      </c>
      <c r="U511">
        <v>1140.6500000000001</v>
      </c>
      <c r="V511">
        <v>884.73</v>
      </c>
      <c r="W511" t="s">
        <v>31</v>
      </c>
      <c r="X511" t="s">
        <v>32</v>
      </c>
    </row>
    <row r="512" spans="1:24">
      <c r="A512" t="s">
        <v>265</v>
      </c>
      <c r="B512" s="2">
        <v>45747</v>
      </c>
      <c r="C512" s="2">
        <v>45747</v>
      </c>
      <c r="D512" s="5">
        <f>C512-B512</f>
        <v>0</v>
      </c>
      <c r="E512" s="5" t="str">
        <f>IF(D512&lt;0,"INVALID","OK")</f>
        <v>OK</v>
      </c>
      <c r="F512" t="s">
        <v>266</v>
      </c>
      <c r="G512" t="s">
        <v>263</v>
      </c>
      <c r="H512" t="s">
        <v>94</v>
      </c>
      <c r="I512" t="s">
        <v>62</v>
      </c>
      <c r="J512" t="s">
        <v>179</v>
      </c>
      <c r="K512" t="s">
        <v>180</v>
      </c>
      <c r="L512" t="s">
        <v>27</v>
      </c>
      <c r="M512" t="s">
        <v>123</v>
      </c>
      <c r="N512" t="s">
        <v>267</v>
      </c>
      <c r="O512" t="s">
        <v>49</v>
      </c>
      <c r="P512">
        <v>5</v>
      </c>
      <c r="Q512">
        <v>1207.47</v>
      </c>
      <c r="R512">
        <v>0.15</v>
      </c>
      <c r="S512" t="str">
        <f t="shared" si="7"/>
        <v>OK</v>
      </c>
      <c r="T512">
        <v>5131.75</v>
      </c>
      <c r="U512">
        <v>2838.68</v>
      </c>
      <c r="V512">
        <v>2293.0700000000002</v>
      </c>
      <c r="W512" t="s">
        <v>31</v>
      </c>
      <c r="X512" t="s">
        <v>32</v>
      </c>
    </row>
    <row r="513" spans="1:24">
      <c r="A513" t="s">
        <v>268</v>
      </c>
      <c r="B513" s="2">
        <v>45807</v>
      </c>
      <c r="C513" s="2">
        <v>45810</v>
      </c>
      <c r="D513" s="5">
        <f>C513-B513</f>
        <v>3</v>
      </c>
      <c r="E513" s="5" t="str">
        <f>IF(D513&lt;0,"INVALID","OK")</f>
        <v>OK</v>
      </c>
      <c r="F513" t="s">
        <v>269</v>
      </c>
      <c r="G513" t="s">
        <v>52</v>
      </c>
      <c r="H513" t="s">
        <v>89</v>
      </c>
      <c r="I513" t="s">
        <v>53</v>
      </c>
      <c r="J513" t="s">
        <v>246</v>
      </c>
      <c r="K513" t="s">
        <v>247</v>
      </c>
      <c r="L513" t="s">
        <v>27</v>
      </c>
      <c r="M513" t="s">
        <v>90</v>
      </c>
      <c r="N513" t="s">
        <v>270</v>
      </c>
      <c r="O513" t="s">
        <v>43</v>
      </c>
      <c r="P513">
        <v>8</v>
      </c>
      <c r="Q513">
        <v>474.37</v>
      </c>
      <c r="R513">
        <v>0.1</v>
      </c>
      <c r="S513" t="str">
        <f t="shared" si="7"/>
        <v>OK</v>
      </c>
      <c r="T513">
        <v>3415.46</v>
      </c>
      <c r="U513">
        <v>1993.23</v>
      </c>
      <c r="V513">
        <v>1422.23</v>
      </c>
      <c r="W513" t="s">
        <v>154</v>
      </c>
      <c r="X513" t="s">
        <v>67</v>
      </c>
    </row>
    <row r="514" spans="1:24">
      <c r="A514" t="s">
        <v>271</v>
      </c>
      <c r="B514" s="2">
        <v>45664</v>
      </c>
      <c r="C514" s="2">
        <v>45723</v>
      </c>
      <c r="D514" s="5">
        <f>C514-B514</f>
        <v>59</v>
      </c>
      <c r="E514" s="5" t="str">
        <f>IF(D514&lt;0,"INVALID","OK")</f>
        <v>OK</v>
      </c>
      <c r="F514" t="s">
        <v>272</v>
      </c>
      <c r="G514" t="s">
        <v>35</v>
      </c>
      <c r="H514" t="s">
        <v>36</v>
      </c>
      <c r="I514" t="s">
        <v>53</v>
      </c>
      <c r="J514" t="s">
        <v>83</v>
      </c>
      <c r="K514" t="s">
        <v>84</v>
      </c>
      <c r="L514" t="s">
        <v>73</v>
      </c>
      <c r="M514" t="s">
        <v>273</v>
      </c>
      <c r="N514" t="s">
        <v>274</v>
      </c>
      <c r="O514" t="s">
        <v>43</v>
      </c>
      <c r="P514">
        <v>3</v>
      </c>
      <c r="Q514">
        <v>1516.24</v>
      </c>
      <c r="R514">
        <v>0.25</v>
      </c>
      <c r="S514" t="str">
        <f t="shared" si="7"/>
        <v>OK</v>
      </c>
      <c r="T514">
        <v>3411.54</v>
      </c>
      <c r="U514">
        <v>2803.13</v>
      </c>
      <c r="V514">
        <v>608.41</v>
      </c>
      <c r="W514" t="s">
        <v>31</v>
      </c>
      <c r="X514" t="s">
        <v>32</v>
      </c>
    </row>
    <row r="515" spans="1:24">
      <c r="A515" t="s">
        <v>275</v>
      </c>
      <c r="B515" s="2">
        <v>45662</v>
      </c>
      <c r="C515" s="2">
        <v>45809</v>
      </c>
      <c r="D515" s="5">
        <f>C515-B515</f>
        <v>147</v>
      </c>
      <c r="E515" s="5" t="str">
        <f>IF(D515&lt;0,"INVALID","OK")</f>
        <v>OK</v>
      </c>
      <c r="F515" t="s">
        <v>276</v>
      </c>
      <c r="G515" t="s">
        <v>22</v>
      </c>
      <c r="H515" t="s">
        <v>23</v>
      </c>
      <c r="I515" t="s">
        <v>53</v>
      </c>
      <c r="J515" t="s">
        <v>174</v>
      </c>
      <c r="K515" t="s">
        <v>175</v>
      </c>
      <c r="L515" t="s">
        <v>27</v>
      </c>
      <c r="M515" t="s">
        <v>152</v>
      </c>
      <c r="N515" t="s">
        <v>277</v>
      </c>
      <c r="O515" t="s">
        <v>30</v>
      </c>
      <c r="P515">
        <v>3</v>
      </c>
      <c r="Q515">
        <v>3155.61</v>
      </c>
      <c r="R515">
        <v>0</v>
      </c>
      <c r="S515" t="str">
        <f t="shared" ref="S515:S578" si="8">IF(R515&lt;0,"INVALID",IF(R515&gt;0.5,"INVALID","OK"))</f>
        <v>OK</v>
      </c>
      <c r="T515">
        <v>9466.83</v>
      </c>
      <c r="U515">
        <v>6557.83</v>
      </c>
      <c r="V515">
        <v>2909</v>
      </c>
      <c r="W515" t="s">
        <v>101</v>
      </c>
      <c r="X515" t="s">
        <v>67</v>
      </c>
    </row>
    <row r="516" spans="1:24">
      <c r="A516" t="s">
        <v>305</v>
      </c>
      <c r="B516" s="2">
        <v>45897</v>
      </c>
      <c r="C516" s="2">
        <v>45901</v>
      </c>
      <c r="D516" s="5">
        <f>C516-B516</f>
        <v>4</v>
      </c>
      <c r="E516" s="5" t="str">
        <f>IF(D516&lt;0,"INVALID","OK")</f>
        <v>OK</v>
      </c>
      <c r="F516" t="s">
        <v>306</v>
      </c>
      <c r="G516" t="s">
        <v>22</v>
      </c>
      <c r="H516" t="s">
        <v>36</v>
      </c>
      <c r="I516" t="s">
        <v>53</v>
      </c>
      <c r="J516" t="s">
        <v>246</v>
      </c>
      <c r="K516" t="s">
        <v>247</v>
      </c>
      <c r="L516" t="s">
        <v>73</v>
      </c>
      <c r="M516" t="s">
        <v>74</v>
      </c>
      <c r="N516" t="s">
        <v>307</v>
      </c>
      <c r="O516" t="s">
        <v>43</v>
      </c>
      <c r="P516">
        <v>7</v>
      </c>
      <c r="Q516">
        <v>1057.46</v>
      </c>
      <c r="R516">
        <v>0.05</v>
      </c>
      <c r="S516" t="str">
        <f t="shared" si="8"/>
        <v>OK</v>
      </c>
      <c r="T516">
        <v>7032.11</v>
      </c>
      <c r="U516">
        <v>4610.34</v>
      </c>
      <c r="V516">
        <v>2421.77</v>
      </c>
      <c r="W516" t="s">
        <v>31</v>
      </c>
      <c r="X516" t="s">
        <v>32</v>
      </c>
    </row>
    <row r="517" spans="1:24">
      <c r="A517" t="s">
        <v>308</v>
      </c>
      <c r="B517" s="2">
        <v>45691</v>
      </c>
      <c r="C517" s="2">
        <v>45840</v>
      </c>
      <c r="D517" s="5">
        <f>C517-B517</f>
        <v>149</v>
      </c>
      <c r="E517" s="5" t="str">
        <f>IF(D517&lt;0,"INVALID","OK")</f>
        <v>OK</v>
      </c>
      <c r="F517" t="s">
        <v>309</v>
      </c>
      <c r="G517" t="s">
        <v>263</v>
      </c>
      <c r="H517" t="s">
        <v>23</v>
      </c>
      <c r="I517" t="s">
        <v>24</v>
      </c>
      <c r="J517" t="s">
        <v>235</v>
      </c>
      <c r="K517" t="s">
        <v>236</v>
      </c>
      <c r="L517" t="s">
        <v>27</v>
      </c>
      <c r="M517" t="s">
        <v>28</v>
      </c>
      <c r="N517" t="s">
        <v>310</v>
      </c>
      <c r="O517" t="s">
        <v>49</v>
      </c>
      <c r="P517">
        <v>7</v>
      </c>
      <c r="Q517">
        <v>3609.34</v>
      </c>
      <c r="R517">
        <v>0.05</v>
      </c>
      <c r="S517" t="str">
        <f t="shared" si="8"/>
        <v>OK</v>
      </c>
      <c r="T517">
        <v>24002.11</v>
      </c>
      <c r="U517">
        <v>18707.57</v>
      </c>
      <c r="V517">
        <v>5294.54</v>
      </c>
      <c r="W517" t="s">
        <v>31</v>
      </c>
      <c r="X517" t="s">
        <v>32</v>
      </c>
    </row>
    <row r="518" spans="1:24">
      <c r="A518" t="s">
        <v>317</v>
      </c>
      <c r="B518" s="2">
        <v>45891</v>
      </c>
      <c r="C518" s="2">
        <v>45896</v>
      </c>
      <c r="D518" s="5">
        <f>C518-B518</f>
        <v>5</v>
      </c>
      <c r="E518" s="5" t="str">
        <f>IF(D518&lt;0,"INVALID","OK")</f>
        <v>OK</v>
      </c>
      <c r="F518" t="s">
        <v>318</v>
      </c>
      <c r="G518" t="s">
        <v>22</v>
      </c>
      <c r="H518" t="s">
        <v>89</v>
      </c>
      <c r="I518" t="s">
        <v>53</v>
      </c>
      <c r="J518" t="s">
        <v>83</v>
      </c>
      <c r="K518" t="s">
        <v>84</v>
      </c>
      <c r="L518" t="s">
        <v>73</v>
      </c>
      <c r="M518" t="s">
        <v>170</v>
      </c>
      <c r="N518" t="s">
        <v>319</v>
      </c>
      <c r="O518" t="s">
        <v>49</v>
      </c>
      <c r="P518">
        <v>2</v>
      </c>
      <c r="Q518">
        <v>905.87</v>
      </c>
      <c r="R518">
        <v>0.15</v>
      </c>
      <c r="S518" t="str">
        <f t="shared" si="8"/>
        <v>OK</v>
      </c>
      <c r="T518">
        <v>1539.98</v>
      </c>
      <c r="U518">
        <v>1070.2</v>
      </c>
      <c r="V518">
        <v>469.78</v>
      </c>
      <c r="W518" t="s">
        <v>31</v>
      </c>
      <c r="X518" t="s">
        <v>32</v>
      </c>
    </row>
    <row r="519" spans="1:24">
      <c r="A519" t="s">
        <v>320</v>
      </c>
      <c r="B519" s="2">
        <v>45763</v>
      </c>
      <c r="C519" s="2">
        <v>45770</v>
      </c>
      <c r="D519" s="5">
        <f>C519-B519</f>
        <v>7</v>
      </c>
      <c r="E519" s="5" t="str">
        <f>IF(D519&lt;0,"INVALID","OK")</f>
        <v>OK</v>
      </c>
      <c r="F519" t="s">
        <v>321</v>
      </c>
      <c r="G519" t="s">
        <v>35</v>
      </c>
      <c r="H519" t="s">
        <v>36</v>
      </c>
      <c r="I519" t="s">
        <v>62</v>
      </c>
      <c r="J519" t="s">
        <v>189</v>
      </c>
      <c r="K519" t="s">
        <v>190</v>
      </c>
      <c r="L519" t="s">
        <v>73</v>
      </c>
      <c r="M519" t="s">
        <v>273</v>
      </c>
      <c r="N519" t="s">
        <v>322</v>
      </c>
      <c r="O519" t="s">
        <v>58</v>
      </c>
      <c r="P519">
        <v>6</v>
      </c>
      <c r="Q519">
        <v>2027.32</v>
      </c>
      <c r="R519">
        <v>0.1</v>
      </c>
      <c r="S519" t="str">
        <f t="shared" si="8"/>
        <v>OK</v>
      </c>
      <c r="T519">
        <v>10947.53</v>
      </c>
      <c r="U519">
        <v>6447.36</v>
      </c>
      <c r="V519">
        <v>4500.17</v>
      </c>
      <c r="W519" t="s">
        <v>31</v>
      </c>
      <c r="X519" t="s">
        <v>32</v>
      </c>
    </row>
    <row r="520" spans="1:24">
      <c r="A520" t="s">
        <v>326</v>
      </c>
      <c r="B520" s="2">
        <v>45745</v>
      </c>
      <c r="C520" s="2">
        <v>45750</v>
      </c>
      <c r="D520" s="5">
        <f>C520-B520</f>
        <v>5</v>
      </c>
      <c r="E520" s="5" t="str">
        <f>IF(D520&lt;0,"INVALID","OK")</f>
        <v>OK</v>
      </c>
      <c r="F520" t="s">
        <v>327</v>
      </c>
      <c r="G520" t="s">
        <v>131</v>
      </c>
      <c r="H520" t="s">
        <v>89</v>
      </c>
      <c r="I520" t="s">
        <v>37</v>
      </c>
      <c r="J520" t="s">
        <v>98</v>
      </c>
      <c r="K520" t="s">
        <v>99</v>
      </c>
      <c r="L520" t="s">
        <v>40</v>
      </c>
      <c r="M520" t="s">
        <v>157</v>
      </c>
      <c r="N520" t="s">
        <v>328</v>
      </c>
      <c r="O520" t="s">
        <v>49</v>
      </c>
      <c r="P520">
        <v>5</v>
      </c>
      <c r="Q520">
        <v>1425.74</v>
      </c>
      <c r="R520">
        <v>0</v>
      </c>
      <c r="S520" t="str">
        <f t="shared" si="8"/>
        <v>OK</v>
      </c>
      <c r="T520">
        <v>7128.7</v>
      </c>
      <c r="U520">
        <v>4382.1499999999996</v>
      </c>
      <c r="V520">
        <v>2746.55</v>
      </c>
      <c r="W520" t="s">
        <v>31</v>
      </c>
      <c r="X520" t="s">
        <v>32</v>
      </c>
    </row>
    <row r="521" spans="1:24">
      <c r="A521" t="s">
        <v>329</v>
      </c>
      <c r="B521" s="2">
        <v>45715</v>
      </c>
      <c r="C521" s="2">
        <v>45717</v>
      </c>
      <c r="D521" s="5">
        <f>C521-B521</f>
        <v>2</v>
      </c>
      <c r="E521" s="5" t="str">
        <f>IF(D521&lt;0,"INVALID","OK")</f>
        <v>OK</v>
      </c>
      <c r="F521" t="s">
        <v>330</v>
      </c>
      <c r="G521" t="s">
        <v>70</v>
      </c>
      <c r="H521" t="s">
        <v>36</v>
      </c>
      <c r="I521" t="s">
        <v>37</v>
      </c>
      <c r="J521" t="s">
        <v>98</v>
      </c>
      <c r="K521" t="s">
        <v>99</v>
      </c>
      <c r="L521" t="s">
        <v>40</v>
      </c>
      <c r="M521" t="s">
        <v>65</v>
      </c>
      <c r="N521" t="s">
        <v>331</v>
      </c>
      <c r="O521" t="s">
        <v>58</v>
      </c>
      <c r="P521">
        <v>6</v>
      </c>
      <c r="Q521">
        <v>551.64</v>
      </c>
      <c r="R521">
        <v>0</v>
      </c>
      <c r="S521" t="str">
        <f t="shared" si="8"/>
        <v>OK</v>
      </c>
      <c r="T521">
        <v>3309.84</v>
      </c>
      <c r="U521">
        <v>2671.08</v>
      </c>
      <c r="V521">
        <v>638.76</v>
      </c>
      <c r="W521" t="s">
        <v>31</v>
      </c>
      <c r="X521" t="s">
        <v>32</v>
      </c>
    </row>
    <row r="522" spans="1:24">
      <c r="A522" t="s">
        <v>332</v>
      </c>
      <c r="B522" s="2">
        <v>45891</v>
      </c>
      <c r="C522" s="2">
        <v>45896</v>
      </c>
      <c r="D522" s="5">
        <f>C522-B522</f>
        <v>5</v>
      </c>
      <c r="E522" s="5" t="str">
        <f>IF(D522&lt;0,"INVALID","OK")</f>
        <v>OK</v>
      </c>
      <c r="F522" t="s">
        <v>333</v>
      </c>
      <c r="G522" t="s">
        <v>113</v>
      </c>
      <c r="H522" t="s">
        <v>36</v>
      </c>
      <c r="I522" t="s">
        <v>37</v>
      </c>
      <c r="J522" t="s">
        <v>38</v>
      </c>
      <c r="K522" t="s">
        <v>39</v>
      </c>
      <c r="L522" t="s">
        <v>27</v>
      </c>
      <c r="M522" t="s">
        <v>90</v>
      </c>
      <c r="N522" t="s">
        <v>334</v>
      </c>
      <c r="O522" t="s">
        <v>49</v>
      </c>
      <c r="P522">
        <v>3</v>
      </c>
      <c r="Q522">
        <v>3294.82</v>
      </c>
      <c r="R522">
        <v>0.2</v>
      </c>
      <c r="S522" t="str">
        <f t="shared" si="8"/>
        <v>OK</v>
      </c>
      <c r="T522">
        <v>7907.57</v>
      </c>
      <c r="U522">
        <v>5391.18</v>
      </c>
      <c r="V522">
        <v>2516.39</v>
      </c>
      <c r="W522" t="s">
        <v>31</v>
      </c>
      <c r="X522" t="s">
        <v>32</v>
      </c>
    </row>
    <row r="523" spans="1:24">
      <c r="A523" t="s">
        <v>338</v>
      </c>
      <c r="B523" s="2">
        <v>45846</v>
      </c>
      <c r="C523" s="2">
        <v>45998</v>
      </c>
      <c r="D523" s="5">
        <f>C523-B523</f>
        <v>152</v>
      </c>
      <c r="E523" s="5" t="str">
        <f>IF(D523&lt;0,"INVALID","OK")</f>
        <v>OK</v>
      </c>
      <c r="F523" t="s">
        <v>339</v>
      </c>
      <c r="G523" t="s">
        <v>140</v>
      </c>
      <c r="H523" t="s">
        <v>94</v>
      </c>
      <c r="I523" t="s">
        <v>24</v>
      </c>
      <c r="J523" t="s">
        <v>135</v>
      </c>
      <c r="K523" t="s">
        <v>136</v>
      </c>
      <c r="L523" t="s">
        <v>40</v>
      </c>
      <c r="M523" t="s">
        <v>56</v>
      </c>
      <c r="N523" t="s">
        <v>340</v>
      </c>
      <c r="O523" t="s">
        <v>58</v>
      </c>
      <c r="P523">
        <v>1</v>
      </c>
      <c r="Q523">
        <v>2582.1999999999998</v>
      </c>
      <c r="R523">
        <v>0.15</v>
      </c>
      <c r="S523" t="str">
        <f t="shared" si="8"/>
        <v>OK</v>
      </c>
      <c r="T523">
        <v>2194.87</v>
      </c>
      <c r="U523">
        <v>1223.17</v>
      </c>
      <c r="V523">
        <v>971.7</v>
      </c>
      <c r="W523" t="s">
        <v>101</v>
      </c>
      <c r="X523" t="s">
        <v>67</v>
      </c>
    </row>
    <row r="524" spans="1:24">
      <c r="A524" t="s">
        <v>341</v>
      </c>
      <c r="B524" s="2">
        <v>45854</v>
      </c>
      <c r="C524" s="2">
        <v>45859</v>
      </c>
      <c r="D524" s="5">
        <f>C524-B524</f>
        <v>5</v>
      </c>
      <c r="E524" s="5" t="str">
        <f>IF(D524&lt;0,"INVALID","OK")</f>
        <v>OK</v>
      </c>
      <c r="F524" t="s">
        <v>342</v>
      </c>
      <c r="G524" t="s">
        <v>131</v>
      </c>
      <c r="H524" t="s">
        <v>89</v>
      </c>
      <c r="I524" t="s">
        <v>37</v>
      </c>
      <c r="J524" t="s">
        <v>98</v>
      </c>
      <c r="K524" t="s">
        <v>99</v>
      </c>
      <c r="L524" t="s">
        <v>40</v>
      </c>
      <c r="M524" t="s">
        <v>41</v>
      </c>
      <c r="N524" t="s">
        <v>343</v>
      </c>
      <c r="O524" t="s">
        <v>49</v>
      </c>
      <c r="P524">
        <v>5</v>
      </c>
      <c r="Q524">
        <v>2129.5100000000002</v>
      </c>
      <c r="R524">
        <v>0.15</v>
      </c>
      <c r="S524" t="str">
        <f t="shared" si="8"/>
        <v>OK</v>
      </c>
      <c r="T524">
        <v>9050.42</v>
      </c>
      <c r="U524">
        <v>6778.85</v>
      </c>
      <c r="V524">
        <v>2271.5700000000002</v>
      </c>
      <c r="W524" t="s">
        <v>31</v>
      </c>
      <c r="X524" t="s">
        <v>32</v>
      </c>
    </row>
    <row r="525" spans="1:24">
      <c r="A525" t="s">
        <v>344</v>
      </c>
      <c r="B525" s="2">
        <v>45927</v>
      </c>
      <c r="C525" s="2">
        <v>45933</v>
      </c>
      <c r="D525" s="5">
        <f>C525-B525</f>
        <v>6</v>
      </c>
      <c r="E525" s="5" t="str">
        <f>IF(D525&lt;0,"INVALID","OK")</f>
        <v>OK</v>
      </c>
      <c r="F525" t="s">
        <v>345</v>
      </c>
      <c r="G525" t="s">
        <v>161</v>
      </c>
      <c r="H525" t="s">
        <v>94</v>
      </c>
      <c r="I525" t="s">
        <v>53</v>
      </c>
      <c r="J525" t="s">
        <v>246</v>
      </c>
      <c r="K525" t="s">
        <v>247</v>
      </c>
      <c r="L525" t="s">
        <v>40</v>
      </c>
      <c r="M525" t="s">
        <v>65</v>
      </c>
      <c r="N525" t="s">
        <v>346</v>
      </c>
      <c r="O525" t="s">
        <v>43</v>
      </c>
      <c r="P525">
        <v>9</v>
      </c>
      <c r="Q525">
        <v>4131.5200000000004</v>
      </c>
      <c r="R525">
        <v>0.1</v>
      </c>
      <c r="S525" t="str">
        <f t="shared" si="8"/>
        <v>OK</v>
      </c>
      <c r="T525">
        <v>33465.31</v>
      </c>
      <c r="U525">
        <v>24781.26</v>
      </c>
      <c r="V525">
        <v>8684.0499999999993</v>
      </c>
      <c r="W525" t="s">
        <v>31</v>
      </c>
      <c r="X525" t="s">
        <v>32</v>
      </c>
    </row>
    <row r="526" spans="1:24">
      <c r="A526" t="s">
        <v>352</v>
      </c>
      <c r="B526" s="2">
        <v>45732</v>
      </c>
      <c r="C526" s="2">
        <v>45733</v>
      </c>
      <c r="D526" s="5">
        <f>C526-B526</f>
        <v>1</v>
      </c>
      <c r="E526" s="5" t="str">
        <f>IF(D526&lt;0,"INVALID","OK")</f>
        <v>OK</v>
      </c>
      <c r="F526" t="s">
        <v>353</v>
      </c>
      <c r="G526" t="s">
        <v>22</v>
      </c>
      <c r="H526" t="s">
        <v>94</v>
      </c>
      <c r="I526" t="s">
        <v>62</v>
      </c>
      <c r="J526" t="s">
        <v>189</v>
      </c>
      <c r="K526" t="s">
        <v>190</v>
      </c>
      <c r="L526" t="s">
        <v>27</v>
      </c>
      <c r="M526" t="s">
        <v>90</v>
      </c>
      <c r="N526" t="s">
        <v>354</v>
      </c>
      <c r="O526" t="s">
        <v>43</v>
      </c>
      <c r="P526">
        <v>3</v>
      </c>
      <c r="Q526">
        <v>1841.91</v>
      </c>
      <c r="R526">
        <v>0</v>
      </c>
      <c r="S526" t="str">
        <f t="shared" si="8"/>
        <v>OK</v>
      </c>
      <c r="T526">
        <v>5525.73</v>
      </c>
      <c r="U526">
        <v>3093.42</v>
      </c>
      <c r="V526">
        <v>2432.31</v>
      </c>
      <c r="W526" t="s">
        <v>31</v>
      </c>
      <c r="X526" t="s">
        <v>32</v>
      </c>
    </row>
    <row r="527" spans="1:24">
      <c r="A527" t="s">
        <v>379</v>
      </c>
      <c r="B527" s="2">
        <v>45893</v>
      </c>
      <c r="C527" s="2">
        <v>45898</v>
      </c>
      <c r="D527" s="5">
        <f>C527-B527</f>
        <v>5</v>
      </c>
      <c r="E527" s="5" t="str">
        <f>IF(D527&lt;0,"INVALID","OK")</f>
        <v>OK</v>
      </c>
      <c r="F527" t="s">
        <v>380</v>
      </c>
      <c r="G527" t="s">
        <v>127</v>
      </c>
      <c r="H527" t="s">
        <v>36</v>
      </c>
      <c r="I527" t="s">
        <v>37</v>
      </c>
      <c r="J527" t="s">
        <v>144</v>
      </c>
      <c r="K527" t="s">
        <v>145</v>
      </c>
      <c r="L527" t="s">
        <v>73</v>
      </c>
      <c r="M527" t="s">
        <v>79</v>
      </c>
      <c r="N527" t="s">
        <v>381</v>
      </c>
      <c r="O527" t="s">
        <v>49</v>
      </c>
      <c r="P527">
        <v>3</v>
      </c>
      <c r="Q527">
        <v>3703.96</v>
      </c>
      <c r="R527">
        <v>0.15</v>
      </c>
      <c r="S527" t="str">
        <f t="shared" si="8"/>
        <v>OK</v>
      </c>
      <c r="T527">
        <v>9445.1</v>
      </c>
      <c r="U527">
        <v>5586.28</v>
      </c>
      <c r="V527">
        <v>3858.82</v>
      </c>
      <c r="W527" t="s">
        <v>31</v>
      </c>
      <c r="X527" t="s">
        <v>32</v>
      </c>
    </row>
    <row r="528" spans="1:24">
      <c r="A528" t="s">
        <v>379</v>
      </c>
      <c r="B528" s="2">
        <v>45893</v>
      </c>
      <c r="C528" s="2">
        <v>45898</v>
      </c>
      <c r="D528" s="5">
        <f>C528-B528</f>
        <v>5</v>
      </c>
      <c r="E528" s="5" t="str">
        <f>IF(D528&lt;0,"INVALID","OK")</f>
        <v>OK</v>
      </c>
      <c r="F528" t="s">
        <v>380</v>
      </c>
      <c r="G528" t="s">
        <v>127</v>
      </c>
      <c r="H528" t="s">
        <v>36</v>
      </c>
      <c r="I528" t="s">
        <v>37</v>
      </c>
      <c r="J528" t="s">
        <v>144</v>
      </c>
      <c r="K528" t="s">
        <v>145</v>
      </c>
      <c r="L528" t="s">
        <v>73</v>
      </c>
      <c r="M528" t="s">
        <v>79</v>
      </c>
      <c r="N528" t="s">
        <v>381</v>
      </c>
      <c r="O528" t="s">
        <v>49</v>
      </c>
      <c r="P528">
        <v>3</v>
      </c>
      <c r="Q528">
        <v>3703.96</v>
      </c>
      <c r="R528">
        <v>0.15</v>
      </c>
      <c r="S528" t="str">
        <f t="shared" si="8"/>
        <v>OK</v>
      </c>
      <c r="T528">
        <v>9549.44</v>
      </c>
      <c r="U528">
        <v>5586.28</v>
      </c>
      <c r="V528">
        <v>3858.82</v>
      </c>
      <c r="W528" t="s">
        <v>31</v>
      </c>
      <c r="X528" t="s">
        <v>102</v>
      </c>
    </row>
    <row r="529" spans="1:24">
      <c r="A529" t="s">
        <v>382</v>
      </c>
      <c r="B529" s="2">
        <v>45691</v>
      </c>
      <c r="C529" s="2">
        <v>45724</v>
      </c>
      <c r="D529" s="5">
        <f>C529-B529</f>
        <v>33</v>
      </c>
      <c r="E529" s="5" t="str">
        <f>IF(D529&lt;0,"INVALID","OK")</f>
        <v>OK</v>
      </c>
      <c r="F529" t="s">
        <v>383</v>
      </c>
      <c r="G529" t="s">
        <v>131</v>
      </c>
      <c r="H529" t="s">
        <v>89</v>
      </c>
      <c r="I529" t="s">
        <v>62</v>
      </c>
      <c r="J529" t="s">
        <v>71</v>
      </c>
      <c r="K529" t="s">
        <v>72</v>
      </c>
      <c r="L529" t="s">
        <v>73</v>
      </c>
      <c r="M529" t="s">
        <v>79</v>
      </c>
      <c r="N529" t="s">
        <v>384</v>
      </c>
      <c r="O529" t="s">
        <v>30</v>
      </c>
      <c r="P529">
        <v>9</v>
      </c>
      <c r="Q529">
        <v>269.68</v>
      </c>
      <c r="R529">
        <v>0</v>
      </c>
      <c r="S529" t="str">
        <f t="shared" si="8"/>
        <v>OK</v>
      </c>
      <c r="T529">
        <v>2427.12</v>
      </c>
      <c r="U529">
        <v>1538.35</v>
      </c>
      <c r="V529">
        <v>804.53</v>
      </c>
      <c r="W529" t="s">
        <v>31</v>
      </c>
      <c r="X529" t="s">
        <v>32</v>
      </c>
    </row>
    <row r="530" spans="1:24">
      <c r="A530" t="s">
        <v>385</v>
      </c>
      <c r="B530" s="2">
        <v>45680</v>
      </c>
      <c r="C530" s="2">
        <v>45683</v>
      </c>
      <c r="D530" s="5">
        <f>C530-B530</f>
        <v>3</v>
      </c>
      <c r="E530" s="5" t="str">
        <f>IF(D530&lt;0,"INVALID","OK")</f>
        <v>OK</v>
      </c>
      <c r="F530" t="s">
        <v>386</v>
      </c>
      <c r="G530" t="s">
        <v>127</v>
      </c>
      <c r="H530" t="s">
        <v>23</v>
      </c>
      <c r="I530" t="s">
        <v>62</v>
      </c>
      <c r="J530" t="s">
        <v>71</v>
      </c>
      <c r="K530" t="s">
        <v>72</v>
      </c>
      <c r="L530" t="s">
        <v>27</v>
      </c>
      <c r="M530" t="s">
        <v>28</v>
      </c>
      <c r="N530" t="s">
        <v>387</v>
      </c>
      <c r="O530" t="s">
        <v>58</v>
      </c>
      <c r="P530">
        <v>9</v>
      </c>
      <c r="Q530">
        <v>4458.26</v>
      </c>
      <c r="R530">
        <v>0.1</v>
      </c>
      <c r="S530" t="str">
        <f t="shared" si="8"/>
        <v>OK</v>
      </c>
      <c r="T530">
        <v>36111.910000000003</v>
      </c>
      <c r="U530">
        <v>29194.5</v>
      </c>
      <c r="V530">
        <v>6917.41</v>
      </c>
      <c r="W530" t="s">
        <v>31</v>
      </c>
      <c r="X530" t="s">
        <v>32</v>
      </c>
    </row>
    <row r="531" spans="1:24">
      <c r="A531" t="s">
        <v>394</v>
      </c>
      <c r="B531" s="2">
        <v>45786</v>
      </c>
      <c r="C531" s="2">
        <v>45910</v>
      </c>
      <c r="D531" s="5">
        <f>C531-B531</f>
        <v>124</v>
      </c>
      <c r="E531" s="5" t="str">
        <f>IF(D531&lt;0,"INVALID","OK")</f>
        <v>OK</v>
      </c>
      <c r="F531" t="s">
        <v>395</v>
      </c>
      <c r="G531" t="s">
        <v>131</v>
      </c>
      <c r="H531" t="s">
        <v>89</v>
      </c>
      <c r="I531" t="s">
        <v>62</v>
      </c>
      <c r="J531" t="s">
        <v>189</v>
      </c>
      <c r="K531" t="s">
        <v>190</v>
      </c>
      <c r="L531" t="s">
        <v>40</v>
      </c>
      <c r="M531" t="s">
        <v>157</v>
      </c>
      <c r="N531" t="s">
        <v>396</v>
      </c>
      <c r="O531" t="s">
        <v>43</v>
      </c>
      <c r="P531">
        <v>6</v>
      </c>
      <c r="Q531">
        <v>1754.13</v>
      </c>
      <c r="R531">
        <v>0</v>
      </c>
      <c r="S531" t="str">
        <f t="shared" si="8"/>
        <v>OK</v>
      </c>
      <c r="T531">
        <v>10524.78</v>
      </c>
      <c r="U531">
        <v>8841.0499999999993</v>
      </c>
      <c r="V531">
        <v>1683.73</v>
      </c>
      <c r="W531" t="s">
        <v>31</v>
      </c>
      <c r="X531" t="s">
        <v>32</v>
      </c>
    </row>
    <row r="532" spans="1:24">
      <c r="A532" t="s">
        <v>400</v>
      </c>
      <c r="B532" s="2">
        <v>45877</v>
      </c>
      <c r="C532" s="2">
        <v>45880</v>
      </c>
      <c r="D532" s="5">
        <f>C532-B532</f>
        <v>3</v>
      </c>
      <c r="E532" s="5" t="str">
        <f>IF(D532&lt;0,"INVALID","OK")</f>
        <v>OK</v>
      </c>
      <c r="F532" t="s">
        <v>401</v>
      </c>
      <c r="G532" t="s">
        <v>161</v>
      </c>
      <c r="H532" t="s">
        <v>36</v>
      </c>
      <c r="I532" t="s">
        <v>62</v>
      </c>
      <c r="J532" t="s">
        <v>179</v>
      </c>
      <c r="K532" t="s">
        <v>180</v>
      </c>
      <c r="L532" t="s">
        <v>27</v>
      </c>
      <c r="M532" t="s">
        <v>123</v>
      </c>
      <c r="N532" t="s">
        <v>402</v>
      </c>
      <c r="O532" t="s">
        <v>43</v>
      </c>
      <c r="P532">
        <v>5</v>
      </c>
      <c r="Q532">
        <v>3602.36</v>
      </c>
      <c r="R532">
        <v>0.2</v>
      </c>
      <c r="S532" t="str">
        <f t="shared" si="8"/>
        <v>OK</v>
      </c>
      <c r="T532">
        <v>14409.44</v>
      </c>
      <c r="U532">
        <v>8809.9699999999993</v>
      </c>
      <c r="V532">
        <v>5599.47</v>
      </c>
      <c r="W532" t="s">
        <v>110</v>
      </c>
      <c r="X532" t="s">
        <v>102</v>
      </c>
    </row>
    <row r="533" spans="1:24">
      <c r="A533" t="s">
        <v>406</v>
      </c>
      <c r="B533" s="2">
        <v>45962</v>
      </c>
      <c r="C533" s="2">
        <v>45962</v>
      </c>
      <c r="D533" s="5">
        <f>C533-B533</f>
        <v>0</v>
      </c>
      <c r="E533" s="5" t="str">
        <f>IF(D533&lt;0,"INVALID","OK")</f>
        <v>OK</v>
      </c>
      <c r="F533" t="s">
        <v>407</v>
      </c>
      <c r="G533" t="s">
        <v>88</v>
      </c>
      <c r="H533" t="s">
        <v>36</v>
      </c>
      <c r="I533" t="s">
        <v>62</v>
      </c>
      <c r="J533" t="s">
        <v>25</v>
      </c>
      <c r="K533" t="s">
        <v>108</v>
      </c>
      <c r="L533" t="s">
        <v>73</v>
      </c>
      <c r="M533" t="s">
        <v>74</v>
      </c>
      <c r="N533" t="s">
        <v>408</v>
      </c>
      <c r="O533" t="s">
        <v>43</v>
      </c>
      <c r="P533">
        <v>3</v>
      </c>
      <c r="Q533">
        <v>2165.29</v>
      </c>
      <c r="R533">
        <v>0</v>
      </c>
      <c r="S533" t="str">
        <f t="shared" si="8"/>
        <v>OK</v>
      </c>
      <c r="T533">
        <v>6495.87</v>
      </c>
      <c r="U533">
        <v>4700.8900000000003</v>
      </c>
      <c r="V533">
        <v>1794.98</v>
      </c>
      <c r="W533" t="s">
        <v>31</v>
      </c>
      <c r="X533" t="s">
        <v>32</v>
      </c>
    </row>
    <row r="534" spans="1:24">
      <c r="A534" t="s">
        <v>409</v>
      </c>
      <c r="B534" s="2">
        <v>45912</v>
      </c>
      <c r="C534" s="2">
        <v>45918</v>
      </c>
      <c r="D534" s="5">
        <f>C534-B534</f>
        <v>6</v>
      </c>
      <c r="E534" s="5" t="str">
        <f>IF(D534&lt;0,"INVALID","OK")</f>
        <v>OK</v>
      </c>
      <c r="F534" t="s">
        <v>410</v>
      </c>
      <c r="G534" t="s">
        <v>127</v>
      </c>
      <c r="H534" t="s">
        <v>94</v>
      </c>
      <c r="I534" t="s">
        <v>53</v>
      </c>
      <c r="J534" t="s">
        <v>184</v>
      </c>
      <c r="K534" t="s">
        <v>185</v>
      </c>
      <c r="L534" t="s">
        <v>27</v>
      </c>
      <c r="M534" t="s">
        <v>123</v>
      </c>
      <c r="N534" t="s">
        <v>411</v>
      </c>
      <c r="O534" t="s">
        <v>58</v>
      </c>
      <c r="P534">
        <v>6</v>
      </c>
      <c r="Q534">
        <v>1673.8</v>
      </c>
      <c r="R534">
        <v>0.05</v>
      </c>
      <c r="S534" t="str">
        <f t="shared" si="8"/>
        <v>OK</v>
      </c>
      <c r="T534">
        <v>9540.66</v>
      </c>
      <c r="U534">
        <v>5561.49</v>
      </c>
      <c r="V534">
        <v>3979.17</v>
      </c>
      <c r="W534" t="s">
        <v>31</v>
      </c>
      <c r="X534" t="s">
        <v>32</v>
      </c>
    </row>
    <row r="535" spans="1:24">
      <c r="A535" t="s">
        <v>415</v>
      </c>
      <c r="B535" s="2">
        <v>45850</v>
      </c>
      <c r="C535" s="2">
        <v>45854</v>
      </c>
      <c r="D535" s="5">
        <f>C535-B535</f>
        <v>4</v>
      </c>
      <c r="E535" s="5" t="str">
        <f>IF(D535&lt;0,"INVALID","OK")</f>
        <v>OK</v>
      </c>
      <c r="F535" t="s">
        <v>416</v>
      </c>
      <c r="G535" t="s">
        <v>70</v>
      </c>
      <c r="H535" t="s">
        <v>23</v>
      </c>
      <c r="I535" t="s">
        <v>53</v>
      </c>
      <c r="J535" t="s">
        <v>174</v>
      </c>
      <c r="K535" t="s">
        <v>175</v>
      </c>
      <c r="L535" t="s">
        <v>40</v>
      </c>
      <c r="M535" t="s">
        <v>65</v>
      </c>
      <c r="N535" t="s">
        <v>417</v>
      </c>
      <c r="O535" t="s">
        <v>49</v>
      </c>
      <c r="P535">
        <v>4</v>
      </c>
      <c r="Q535">
        <v>2865.71</v>
      </c>
      <c r="R535">
        <v>0</v>
      </c>
      <c r="S535" t="str">
        <f t="shared" si="8"/>
        <v>OK</v>
      </c>
      <c r="T535">
        <v>11462.84</v>
      </c>
      <c r="U535">
        <v>8979.7800000000007</v>
      </c>
      <c r="V535">
        <v>2483.06</v>
      </c>
      <c r="W535" t="s">
        <v>101</v>
      </c>
      <c r="X535" t="s">
        <v>67</v>
      </c>
    </row>
    <row r="536" spans="1:24">
      <c r="A536" t="s">
        <v>418</v>
      </c>
      <c r="B536" s="2">
        <v>45779</v>
      </c>
      <c r="C536" s="2">
        <v>45787</v>
      </c>
      <c r="D536" s="5">
        <f>C536-B536</f>
        <v>8</v>
      </c>
      <c r="E536" s="5" t="str">
        <f>IF(D536&lt;0,"INVALID","OK")</f>
        <v>OK</v>
      </c>
      <c r="F536" t="s">
        <v>419</v>
      </c>
      <c r="G536" t="s">
        <v>263</v>
      </c>
      <c r="H536" t="s">
        <v>89</v>
      </c>
      <c r="I536" t="s">
        <v>62</v>
      </c>
      <c r="J536" t="s">
        <v>63</v>
      </c>
      <c r="K536" t="s">
        <v>64</v>
      </c>
      <c r="L536" t="s">
        <v>40</v>
      </c>
      <c r="M536" t="s">
        <v>41</v>
      </c>
      <c r="N536" t="s">
        <v>420</v>
      </c>
      <c r="O536" t="s">
        <v>49</v>
      </c>
      <c r="P536">
        <v>4</v>
      </c>
      <c r="Q536">
        <v>2440.34</v>
      </c>
      <c r="R536">
        <v>0.2</v>
      </c>
      <c r="S536" t="str">
        <f t="shared" si="8"/>
        <v>OK</v>
      </c>
      <c r="T536">
        <v>7809.09</v>
      </c>
      <c r="U536">
        <v>6657.75</v>
      </c>
      <c r="V536">
        <v>1151.3399999999999</v>
      </c>
      <c r="W536" t="s">
        <v>31</v>
      </c>
      <c r="X536" t="s">
        <v>32</v>
      </c>
    </row>
    <row r="537" spans="1:24">
      <c r="A537" t="s">
        <v>421</v>
      </c>
      <c r="B537" s="2">
        <v>45689</v>
      </c>
      <c r="C537" s="2">
        <v>45696</v>
      </c>
      <c r="D537" s="5">
        <f>C537-B537</f>
        <v>7</v>
      </c>
      <c r="E537" s="5" t="str">
        <f>IF(D537&lt;0,"INVALID","OK")</f>
        <v>OK</v>
      </c>
      <c r="F537" t="s">
        <v>422</v>
      </c>
      <c r="G537" t="s">
        <v>61</v>
      </c>
      <c r="H537" t="s">
        <v>23</v>
      </c>
      <c r="I537" t="s">
        <v>53</v>
      </c>
      <c r="J537" t="s">
        <v>174</v>
      </c>
      <c r="K537" t="s">
        <v>175</v>
      </c>
      <c r="L537" t="s">
        <v>27</v>
      </c>
      <c r="M537" t="s">
        <v>90</v>
      </c>
      <c r="N537" t="s">
        <v>423</v>
      </c>
      <c r="O537" t="s">
        <v>43</v>
      </c>
      <c r="P537">
        <v>5</v>
      </c>
      <c r="Q537">
        <v>2112.54</v>
      </c>
      <c r="R537">
        <v>0.25</v>
      </c>
      <c r="S537" t="str">
        <f t="shared" si="8"/>
        <v>OK</v>
      </c>
      <c r="T537">
        <v>8260.4599999999991</v>
      </c>
      <c r="U537">
        <v>5619.95</v>
      </c>
      <c r="V537">
        <v>2302.08</v>
      </c>
      <c r="W537" t="s">
        <v>31</v>
      </c>
      <c r="X537" t="s">
        <v>67</v>
      </c>
    </row>
    <row r="538" spans="1:24">
      <c r="A538" t="s">
        <v>436</v>
      </c>
      <c r="B538" s="2">
        <v>45892</v>
      </c>
      <c r="C538" s="2">
        <v>45896</v>
      </c>
      <c r="D538" s="5">
        <f>C538-B538</f>
        <v>4</v>
      </c>
      <c r="E538" s="5" t="str">
        <f>IF(D538&lt;0,"INVALID","OK")</f>
        <v>OK</v>
      </c>
      <c r="F538" t="s">
        <v>437</v>
      </c>
      <c r="G538" t="s">
        <v>131</v>
      </c>
      <c r="H538" t="s">
        <v>23</v>
      </c>
      <c r="I538" t="s">
        <v>24</v>
      </c>
      <c r="J538" t="s">
        <v>349</v>
      </c>
      <c r="K538" t="s">
        <v>350</v>
      </c>
      <c r="L538" t="s">
        <v>27</v>
      </c>
      <c r="M538" t="s">
        <v>152</v>
      </c>
      <c r="N538" t="s">
        <v>438</v>
      </c>
      <c r="O538" t="s">
        <v>30</v>
      </c>
      <c r="P538">
        <v>1</v>
      </c>
      <c r="Q538">
        <v>2788.62</v>
      </c>
      <c r="R538">
        <v>0.25</v>
      </c>
      <c r="S538" t="str">
        <f t="shared" si="8"/>
        <v>OK</v>
      </c>
      <c r="T538">
        <v>2091.4699999999998</v>
      </c>
      <c r="U538">
        <v>1317.22</v>
      </c>
      <c r="V538">
        <v>774.25</v>
      </c>
      <c r="W538" t="s">
        <v>31</v>
      </c>
      <c r="X538" t="s">
        <v>32</v>
      </c>
    </row>
    <row r="539" spans="1:24">
      <c r="A539" t="s">
        <v>442</v>
      </c>
      <c r="B539" s="2">
        <v>45835</v>
      </c>
      <c r="C539" s="2">
        <v>45838</v>
      </c>
      <c r="D539" s="5">
        <f>C539-B539</f>
        <v>3</v>
      </c>
      <c r="E539" s="5" t="str">
        <f>IF(D539&lt;0,"INVALID","OK")</f>
        <v>OK</v>
      </c>
      <c r="F539" t="s">
        <v>443</v>
      </c>
      <c r="G539" t="s">
        <v>78</v>
      </c>
      <c r="H539" t="s">
        <v>89</v>
      </c>
      <c r="I539" t="s">
        <v>37</v>
      </c>
      <c r="J539" t="s">
        <v>144</v>
      </c>
      <c r="K539" t="s">
        <v>145</v>
      </c>
      <c r="L539" t="s">
        <v>73</v>
      </c>
      <c r="M539" t="s">
        <v>74</v>
      </c>
      <c r="N539" t="s">
        <v>444</v>
      </c>
      <c r="O539" t="s">
        <v>49</v>
      </c>
      <c r="P539">
        <v>1</v>
      </c>
      <c r="Q539">
        <v>1708.44</v>
      </c>
      <c r="R539">
        <v>0.05</v>
      </c>
      <c r="S539" t="str">
        <f t="shared" si="8"/>
        <v>OK</v>
      </c>
      <c r="T539">
        <v>1623.02</v>
      </c>
      <c r="U539">
        <v>1077.46</v>
      </c>
      <c r="V539">
        <v>545.55999999999995</v>
      </c>
      <c r="W539" t="s">
        <v>110</v>
      </c>
      <c r="X539" t="s">
        <v>67</v>
      </c>
    </row>
    <row r="540" spans="1:24">
      <c r="A540" t="s">
        <v>456</v>
      </c>
      <c r="B540" s="2">
        <v>45703</v>
      </c>
      <c r="C540" s="2">
        <v>45707</v>
      </c>
      <c r="D540" s="5">
        <f>C540-B540</f>
        <v>4</v>
      </c>
      <c r="E540" s="5" t="str">
        <f>IF(D540&lt;0,"INVALID","OK")</f>
        <v>OK</v>
      </c>
      <c r="F540" t="s">
        <v>457</v>
      </c>
      <c r="G540" t="s">
        <v>61</v>
      </c>
      <c r="H540" t="s">
        <v>36</v>
      </c>
      <c r="I540" t="s">
        <v>2762</v>
      </c>
      <c r="J540" t="s">
        <v>71</v>
      </c>
      <c r="K540" t="s">
        <v>72</v>
      </c>
      <c r="L540" t="s">
        <v>27</v>
      </c>
      <c r="M540" t="s">
        <v>152</v>
      </c>
      <c r="N540" t="s">
        <v>458</v>
      </c>
      <c r="O540" t="s">
        <v>49</v>
      </c>
      <c r="P540">
        <v>9</v>
      </c>
      <c r="Q540">
        <v>531.99</v>
      </c>
      <c r="R540">
        <v>0.25</v>
      </c>
      <c r="S540" t="str">
        <f t="shared" si="8"/>
        <v>OK</v>
      </c>
      <c r="T540">
        <v>3590.93</v>
      </c>
      <c r="U540">
        <v>3061.39</v>
      </c>
      <c r="V540">
        <v>529.54</v>
      </c>
      <c r="W540" t="s">
        <v>154</v>
      </c>
      <c r="X540" t="s">
        <v>67</v>
      </c>
    </row>
    <row r="541" spans="1:24">
      <c r="A541" t="s">
        <v>472</v>
      </c>
      <c r="B541" s="2">
        <v>45891</v>
      </c>
      <c r="C541" s="2">
        <v>45895</v>
      </c>
      <c r="D541" s="5">
        <f>C541-B541</f>
        <v>4</v>
      </c>
      <c r="E541" s="5" t="str">
        <f>IF(D541&lt;0,"INVALID","OK")</f>
        <v>OK</v>
      </c>
      <c r="F541" t="s">
        <v>473</v>
      </c>
      <c r="G541" t="s">
        <v>263</v>
      </c>
      <c r="H541" t="s">
        <v>36</v>
      </c>
      <c r="I541" t="s">
        <v>53</v>
      </c>
      <c r="J541" t="s">
        <v>83</v>
      </c>
      <c r="K541" t="s">
        <v>84</v>
      </c>
      <c r="L541" t="s">
        <v>73</v>
      </c>
      <c r="M541" t="s">
        <v>273</v>
      </c>
      <c r="N541" t="s">
        <v>474</v>
      </c>
      <c r="O541" t="s">
        <v>30</v>
      </c>
      <c r="P541">
        <v>5</v>
      </c>
      <c r="Q541">
        <v>3482.92</v>
      </c>
      <c r="R541">
        <v>0</v>
      </c>
      <c r="S541" t="str">
        <f t="shared" si="8"/>
        <v>OK</v>
      </c>
      <c r="T541">
        <v>17414.599999999999</v>
      </c>
      <c r="U541">
        <v>11760.91</v>
      </c>
      <c r="V541">
        <v>5653.69</v>
      </c>
      <c r="W541" t="s">
        <v>101</v>
      </c>
      <c r="X541" t="s">
        <v>67</v>
      </c>
    </row>
    <row r="542" spans="1:24">
      <c r="A542" t="s">
        <v>484</v>
      </c>
      <c r="B542" s="2">
        <v>45855</v>
      </c>
      <c r="C542" s="2">
        <v>45856</v>
      </c>
      <c r="D542" s="5">
        <f>C542-B542</f>
        <v>1</v>
      </c>
      <c r="E542" s="5" t="str">
        <f>IF(D542&lt;0,"INVALID","OK")</f>
        <v>OK</v>
      </c>
      <c r="F542" t="s">
        <v>485</v>
      </c>
      <c r="G542" t="s">
        <v>78</v>
      </c>
      <c r="H542" t="s">
        <v>36</v>
      </c>
      <c r="I542" t="s">
        <v>62</v>
      </c>
      <c r="J542" t="s">
        <v>25</v>
      </c>
      <c r="K542" t="s">
        <v>108</v>
      </c>
      <c r="L542" t="s">
        <v>40</v>
      </c>
      <c r="M542" t="s">
        <v>41</v>
      </c>
      <c r="N542" t="s">
        <v>486</v>
      </c>
      <c r="O542" t="s">
        <v>43</v>
      </c>
      <c r="P542">
        <v>6</v>
      </c>
      <c r="Q542">
        <v>3235.27</v>
      </c>
      <c r="R542">
        <v>0.25</v>
      </c>
      <c r="S542" t="str">
        <f t="shared" si="8"/>
        <v>OK</v>
      </c>
      <c r="T542">
        <v>14558.72</v>
      </c>
      <c r="U542">
        <v>9591.48</v>
      </c>
      <c r="V542">
        <v>4967.24</v>
      </c>
      <c r="W542" t="s">
        <v>101</v>
      </c>
      <c r="X542" t="s">
        <v>102</v>
      </c>
    </row>
    <row r="543" spans="1:24">
      <c r="A543" t="s">
        <v>487</v>
      </c>
      <c r="B543" s="2">
        <v>45924</v>
      </c>
      <c r="C543" s="2">
        <v>45926</v>
      </c>
      <c r="D543" s="5">
        <f>C543-B543</f>
        <v>2</v>
      </c>
      <c r="E543" s="5" t="str">
        <f>IF(D543&lt;0,"INVALID","OK")</f>
        <v>OK</v>
      </c>
      <c r="F543" t="s">
        <v>488</v>
      </c>
      <c r="G543" t="s">
        <v>113</v>
      </c>
      <c r="H543" t="s">
        <v>89</v>
      </c>
      <c r="I543" t="s">
        <v>24</v>
      </c>
      <c r="J543" t="s">
        <v>349</v>
      </c>
      <c r="K543" t="s">
        <v>350</v>
      </c>
      <c r="L543" t="s">
        <v>73</v>
      </c>
      <c r="M543" t="s">
        <v>79</v>
      </c>
      <c r="N543" t="s">
        <v>489</v>
      </c>
      <c r="O543" t="s">
        <v>58</v>
      </c>
      <c r="P543">
        <v>3</v>
      </c>
      <c r="Q543">
        <v>1593.86</v>
      </c>
      <c r="R543">
        <v>0.1</v>
      </c>
      <c r="S543" t="str">
        <f t="shared" si="8"/>
        <v>OK</v>
      </c>
      <c r="T543">
        <v>4303.42</v>
      </c>
      <c r="U543">
        <v>2568.5700000000002</v>
      </c>
      <c r="V543">
        <v>1734.85</v>
      </c>
      <c r="W543" t="s">
        <v>31</v>
      </c>
      <c r="X543" t="s">
        <v>32</v>
      </c>
    </row>
    <row r="544" spans="1:24">
      <c r="A544" t="s">
        <v>490</v>
      </c>
      <c r="B544" s="2">
        <v>45687</v>
      </c>
      <c r="C544" s="2">
        <v>45683</v>
      </c>
      <c r="D544" s="5">
        <f>C544-B544</f>
        <v>-4</v>
      </c>
      <c r="E544" s="5" t="str">
        <f>IF(D544&lt;0,"INVALID","OK")</f>
        <v>INVALID</v>
      </c>
      <c r="F544" t="s">
        <v>491</v>
      </c>
      <c r="G544" t="s">
        <v>113</v>
      </c>
      <c r="H544" t="s">
        <v>89</v>
      </c>
      <c r="I544" t="s">
        <v>62</v>
      </c>
      <c r="J544" t="s">
        <v>71</v>
      </c>
      <c r="K544" t="s">
        <v>72</v>
      </c>
      <c r="L544" t="s">
        <v>27</v>
      </c>
      <c r="M544" t="s">
        <v>123</v>
      </c>
      <c r="N544" t="s">
        <v>492</v>
      </c>
      <c r="O544" t="s">
        <v>30</v>
      </c>
      <c r="P544">
        <v>2</v>
      </c>
      <c r="Q544">
        <v>3039.3</v>
      </c>
      <c r="R544">
        <v>0.05</v>
      </c>
      <c r="S544" t="str">
        <f t="shared" si="8"/>
        <v>OK</v>
      </c>
      <c r="T544">
        <v>5774.67</v>
      </c>
      <c r="U544">
        <v>3518.36</v>
      </c>
      <c r="V544">
        <v>2256.31</v>
      </c>
      <c r="W544" t="s">
        <v>31</v>
      </c>
      <c r="X544" t="s">
        <v>32</v>
      </c>
    </row>
    <row r="545" spans="1:24">
      <c r="A545" t="s">
        <v>502</v>
      </c>
      <c r="B545" s="2">
        <v>45929</v>
      </c>
      <c r="C545" s="2">
        <v>45934</v>
      </c>
      <c r="D545" s="5">
        <f>C545-B545</f>
        <v>5</v>
      </c>
      <c r="E545" s="5" t="str">
        <f>IF(D545&lt;0,"INVALID","OK")</f>
        <v>OK</v>
      </c>
      <c r="F545" t="s">
        <v>503</v>
      </c>
      <c r="G545" t="s">
        <v>61</v>
      </c>
      <c r="H545" t="s">
        <v>94</v>
      </c>
      <c r="I545" t="s">
        <v>37</v>
      </c>
      <c r="J545" t="s">
        <v>227</v>
      </c>
      <c r="K545" t="s">
        <v>228</v>
      </c>
      <c r="L545" t="s">
        <v>27</v>
      </c>
      <c r="M545" t="s">
        <v>28</v>
      </c>
      <c r="N545" t="s">
        <v>504</v>
      </c>
      <c r="O545" t="s">
        <v>43</v>
      </c>
      <c r="P545">
        <v>9</v>
      </c>
      <c r="Q545">
        <v>373.91</v>
      </c>
      <c r="R545">
        <v>0.2</v>
      </c>
      <c r="S545" t="str">
        <f t="shared" si="8"/>
        <v>OK</v>
      </c>
      <c r="T545">
        <v>2692.15</v>
      </c>
      <c r="U545">
        <v>2044.49</v>
      </c>
      <c r="V545">
        <v>647.66</v>
      </c>
      <c r="W545" t="s">
        <v>31</v>
      </c>
      <c r="X545" t="s">
        <v>32</v>
      </c>
    </row>
    <row r="546" spans="1:24">
      <c r="A546" t="s">
        <v>511</v>
      </c>
      <c r="B546" s="2">
        <v>45852</v>
      </c>
      <c r="C546" s="2">
        <v>45852</v>
      </c>
      <c r="D546" s="5">
        <f>C546-B546</f>
        <v>0</v>
      </c>
      <c r="E546" s="5" t="str">
        <f>IF(D546&lt;0,"INVALID","OK")</f>
        <v>OK</v>
      </c>
      <c r="F546" t="s">
        <v>512</v>
      </c>
      <c r="G546" t="s">
        <v>70</v>
      </c>
      <c r="H546" t="s">
        <v>94</v>
      </c>
      <c r="I546" t="s">
        <v>37</v>
      </c>
      <c r="J546" t="s">
        <v>98</v>
      </c>
      <c r="K546" t="s">
        <v>99</v>
      </c>
      <c r="L546" t="s">
        <v>40</v>
      </c>
      <c r="M546" t="s">
        <v>157</v>
      </c>
      <c r="N546" t="s">
        <v>513</v>
      </c>
      <c r="O546" t="s">
        <v>2762</v>
      </c>
      <c r="P546">
        <v>5</v>
      </c>
      <c r="Q546">
        <v>383.1</v>
      </c>
      <c r="R546">
        <v>0.25</v>
      </c>
      <c r="S546" t="str">
        <f t="shared" si="8"/>
        <v>OK</v>
      </c>
      <c r="T546">
        <v>1436.62</v>
      </c>
      <c r="U546">
        <v>912.52</v>
      </c>
      <c r="V546">
        <v>524.1</v>
      </c>
      <c r="W546" t="s">
        <v>110</v>
      </c>
      <c r="X546" t="s">
        <v>67</v>
      </c>
    </row>
    <row r="547" spans="1:24">
      <c r="A547" t="s">
        <v>514</v>
      </c>
      <c r="B547" s="2">
        <v>45893</v>
      </c>
      <c r="C547" s="2">
        <v>45893</v>
      </c>
      <c r="D547" s="5">
        <f>C547-B547</f>
        <v>0</v>
      </c>
      <c r="E547" s="5" t="str">
        <f>IF(D547&lt;0,"INVALID","OK")</f>
        <v>OK</v>
      </c>
      <c r="F547" t="s">
        <v>515</v>
      </c>
      <c r="G547" t="s">
        <v>161</v>
      </c>
      <c r="H547" t="s">
        <v>36</v>
      </c>
      <c r="I547" t="s">
        <v>53</v>
      </c>
      <c r="J547" t="s">
        <v>184</v>
      </c>
      <c r="K547" t="s">
        <v>185</v>
      </c>
      <c r="L547" t="s">
        <v>40</v>
      </c>
      <c r="M547" t="s">
        <v>157</v>
      </c>
      <c r="N547" t="s">
        <v>516</v>
      </c>
      <c r="O547" t="s">
        <v>58</v>
      </c>
      <c r="P547">
        <v>1</v>
      </c>
      <c r="Q547">
        <v>3424.78</v>
      </c>
      <c r="R547">
        <v>0</v>
      </c>
      <c r="S547" t="str">
        <f t="shared" si="8"/>
        <v>OK</v>
      </c>
      <c r="T547">
        <v>3424.78</v>
      </c>
      <c r="U547">
        <v>1951.45</v>
      </c>
      <c r="V547">
        <v>1473.33</v>
      </c>
      <c r="W547" t="s">
        <v>31</v>
      </c>
      <c r="X547" t="s">
        <v>32</v>
      </c>
    </row>
    <row r="548" spans="1:24">
      <c r="A548" t="s">
        <v>517</v>
      </c>
      <c r="B548" s="2">
        <v>45902</v>
      </c>
      <c r="C548" s="2">
        <v>45703</v>
      </c>
      <c r="D548" s="5">
        <f>C548-B548</f>
        <v>-199</v>
      </c>
      <c r="E548" s="5" t="str">
        <f>IF(D548&lt;0,"INVALID","OK")</f>
        <v>INVALID</v>
      </c>
      <c r="F548" t="s">
        <v>518</v>
      </c>
      <c r="G548" t="s">
        <v>35</v>
      </c>
      <c r="H548" t="s">
        <v>94</v>
      </c>
      <c r="I548" t="s">
        <v>37</v>
      </c>
      <c r="J548" t="s">
        <v>227</v>
      </c>
      <c r="K548" t="s">
        <v>228</v>
      </c>
      <c r="L548" t="s">
        <v>27</v>
      </c>
      <c r="M548" t="s">
        <v>152</v>
      </c>
      <c r="N548" t="s">
        <v>519</v>
      </c>
      <c r="O548" t="s">
        <v>58</v>
      </c>
      <c r="P548">
        <v>9</v>
      </c>
      <c r="Q548">
        <v>4330.33</v>
      </c>
      <c r="R548">
        <v>0.2</v>
      </c>
      <c r="S548" t="str">
        <f t="shared" si="8"/>
        <v>OK</v>
      </c>
      <c r="T548">
        <v>31178.38</v>
      </c>
      <c r="U548">
        <v>21421.09</v>
      </c>
      <c r="V548">
        <v>9757.2900000000009</v>
      </c>
      <c r="W548" t="s">
        <v>31</v>
      </c>
      <c r="X548" t="s">
        <v>32</v>
      </c>
    </row>
    <row r="549" spans="1:24">
      <c r="A549" t="s">
        <v>520</v>
      </c>
      <c r="B549" s="2">
        <v>45666</v>
      </c>
      <c r="C549" s="2">
        <v>45666</v>
      </c>
      <c r="D549" s="5">
        <f>C549-B549</f>
        <v>0</v>
      </c>
      <c r="E549" s="5" t="str">
        <f>IF(D549&lt;0,"INVALID","OK")</f>
        <v>OK</v>
      </c>
      <c r="F549" t="s">
        <v>521</v>
      </c>
      <c r="G549" t="s">
        <v>131</v>
      </c>
      <c r="H549" t="s">
        <v>36</v>
      </c>
      <c r="I549" t="s">
        <v>24</v>
      </c>
      <c r="J549" t="s">
        <v>25</v>
      </c>
      <c r="K549" t="s">
        <v>26</v>
      </c>
      <c r="L549" t="s">
        <v>40</v>
      </c>
      <c r="M549" t="s">
        <v>65</v>
      </c>
      <c r="N549" t="s">
        <v>522</v>
      </c>
      <c r="O549" t="s">
        <v>43</v>
      </c>
      <c r="P549">
        <v>8</v>
      </c>
      <c r="Q549">
        <v>2667.07</v>
      </c>
      <c r="R549">
        <v>0.1</v>
      </c>
      <c r="S549" t="str">
        <f t="shared" si="8"/>
        <v>OK</v>
      </c>
      <c r="T549">
        <v>19202.900000000001</v>
      </c>
      <c r="U549">
        <v>15526.62</v>
      </c>
      <c r="V549">
        <v>3676.28</v>
      </c>
      <c r="W549" t="s">
        <v>31</v>
      </c>
      <c r="X549" t="s">
        <v>32</v>
      </c>
    </row>
    <row r="550" spans="1:24">
      <c r="A550" t="s">
        <v>526</v>
      </c>
      <c r="B550" s="2">
        <v>45718</v>
      </c>
      <c r="C550" s="2">
        <v>45841</v>
      </c>
      <c r="D550" s="5">
        <f>C550-B550</f>
        <v>123</v>
      </c>
      <c r="E550" s="5" t="str">
        <f>IF(D550&lt;0,"INVALID","OK")</f>
        <v>OK</v>
      </c>
      <c r="F550" t="s">
        <v>527</v>
      </c>
      <c r="G550" t="s">
        <v>78</v>
      </c>
      <c r="H550" t="s">
        <v>94</v>
      </c>
      <c r="I550" t="s">
        <v>53</v>
      </c>
      <c r="J550" t="s">
        <v>174</v>
      </c>
      <c r="K550" t="s">
        <v>175</v>
      </c>
      <c r="L550" t="s">
        <v>27</v>
      </c>
      <c r="M550" t="s">
        <v>90</v>
      </c>
      <c r="N550" t="s">
        <v>528</v>
      </c>
      <c r="O550" t="s">
        <v>58</v>
      </c>
      <c r="P550">
        <v>8</v>
      </c>
      <c r="Q550">
        <v>1287.6300000000001</v>
      </c>
      <c r="R550">
        <v>0</v>
      </c>
      <c r="S550" t="str">
        <f t="shared" si="8"/>
        <v>OK</v>
      </c>
      <c r="T550">
        <v>10301.040000000001</v>
      </c>
      <c r="U550">
        <v>6564.06</v>
      </c>
      <c r="V550">
        <v>3736.98</v>
      </c>
      <c r="W550" t="s">
        <v>31</v>
      </c>
      <c r="X550" t="s">
        <v>32</v>
      </c>
    </row>
    <row r="551" spans="1:24">
      <c r="A551" t="s">
        <v>544</v>
      </c>
      <c r="B551" s="2">
        <v>45965</v>
      </c>
      <c r="C551" s="2">
        <v>45760</v>
      </c>
      <c r="D551" s="5">
        <f>C551-B551</f>
        <v>-205</v>
      </c>
      <c r="E551" s="5" t="str">
        <f>IF(D551&lt;0,"INVALID","OK")</f>
        <v>INVALID</v>
      </c>
      <c r="F551" t="s">
        <v>545</v>
      </c>
      <c r="G551" t="s">
        <v>35</v>
      </c>
      <c r="H551" t="s">
        <v>36</v>
      </c>
      <c r="I551" t="s">
        <v>62</v>
      </c>
      <c r="J551" t="s">
        <v>189</v>
      </c>
      <c r="K551" t="s">
        <v>190</v>
      </c>
      <c r="L551" t="s">
        <v>27</v>
      </c>
      <c r="M551" t="s">
        <v>28</v>
      </c>
      <c r="N551" t="s">
        <v>546</v>
      </c>
      <c r="O551" t="s">
        <v>58</v>
      </c>
      <c r="P551">
        <v>4</v>
      </c>
      <c r="Q551">
        <v>4182.1499999999996</v>
      </c>
      <c r="R551">
        <v>0.1</v>
      </c>
      <c r="S551" t="str">
        <f t="shared" si="8"/>
        <v>OK</v>
      </c>
      <c r="T551">
        <v>15055.74</v>
      </c>
      <c r="U551">
        <v>9808.83</v>
      </c>
      <c r="V551">
        <v>5246.91</v>
      </c>
      <c r="W551" t="s">
        <v>31</v>
      </c>
      <c r="X551" t="s">
        <v>32</v>
      </c>
    </row>
    <row r="552" spans="1:24">
      <c r="A552" t="s">
        <v>547</v>
      </c>
      <c r="B552" s="2">
        <v>45868</v>
      </c>
      <c r="C552" s="2">
        <v>45870</v>
      </c>
      <c r="D552" s="5">
        <f>C552-B552</f>
        <v>2</v>
      </c>
      <c r="E552" s="5" t="str">
        <f>IF(D552&lt;0,"INVALID","OK")</f>
        <v>OK</v>
      </c>
      <c r="F552" t="s">
        <v>548</v>
      </c>
      <c r="G552" t="s">
        <v>131</v>
      </c>
      <c r="H552" t="s">
        <v>36</v>
      </c>
      <c r="I552" t="s">
        <v>53</v>
      </c>
      <c r="J552" t="s">
        <v>246</v>
      </c>
      <c r="K552" t="s">
        <v>247</v>
      </c>
      <c r="L552" t="s">
        <v>27</v>
      </c>
      <c r="M552" t="s">
        <v>123</v>
      </c>
      <c r="N552" t="s">
        <v>549</v>
      </c>
      <c r="O552" t="s">
        <v>43</v>
      </c>
      <c r="P552">
        <v>9</v>
      </c>
      <c r="Q552">
        <v>3165.43</v>
      </c>
      <c r="R552">
        <v>0.1</v>
      </c>
      <c r="S552" t="str">
        <f t="shared" si="8"/>
        <v>OK</v>
      </c>
      <c r="T552">
        <v>25639.98</v>
      </c>
      <c r="U552">
        <v>21635.08</v>
      </c>
      <c r="V552">
        <v>4004.9</v>
      </c>
      <c r="W552" t="s">
        <v>31</v>
      </c>
      <c r="X552" t="s">
        <v>32</v>
      </c>
    </row>
    <row r="553" spans="1:24">
      <c r="A553" t="s">
        <v>553</v>
      </c>
      <c r="B553" s="2">
        <v>45697</v>
      </c>
      <c r="C553" s="2">
        <v>45701</v>
      </c>
      <c r="D553" s="5">
        <f>C553-B553</f>
        <v>4</v>
      </c>
      <c r="E553" s="5" t="str">
        <f>IF(D553&lt;0,"INVALID","OK")</f>
        <v>OK</v>
      </c>
      <c r="F553" t="s">
        <v>554</v>
      </c>
      <c r="G553" t="s">
        <v>35</v>
      </c>
      <c r="H553" t="s">
        <v>94</v>
      </c>
      <c r="I553" t="s">
        <v>62</v>
      </c>
      <c r="J553" t="s">
        <v>71</v>
      </c>
      <c r="K553" t="s">
        <v>72</v>
      </c>
      <c r="L553" t="s">
        <v>73</v>
      </c>
      <c r="M553" t="s">
        <v>170</v>
      </c>
      <c r="N553" t="s">
        <v>555</v>
      </c>
      <c r="O553" t="s">
        <v>2762</v>
      </c>
      <c r="P553">
        <v>8</v>
      </c>
      <c r="Q553">
        <v>1696.07</v>
      </c>
      <c r="R553">
        <v>0.25</v>
      </c>
      <c r="S553" t="str">
        <f t="shared" si="8"/>
        <v>OK</v>
      </c>
      <c r="T553">
        <v>10176.42</v>
      </c>
      <c r="U553">
        <v>7604.47</v>
      </c>
      <c r="V553">
        <v>2571.9499999999998</v>
      </c>
      <c r="W553" t="s">
        <v>31</v>
      </c>
      <c r="X553" t="s">
        <v>32</v>
      </c>
    </row>
    <row r="554" spans="1:24">
      <c r="A554" t="s">
        <v>568</v>
      </c>
      <c r="B554" s="2">
        <v>45923</v>
      </c>
      <c r="C554" s="2">
        <v>45925</v>
      </c>
      <c r="D554" s="5">
        <f>C554-B554</f>
        <v>2</v>
      </c>
      <c r="E554" s="5" t="str">
        <f>IF(D554&lt;0,"INVALID","OK")</f>
        <v>OK</v>
      </c>
      <c r="F554" t="s">
        <v>569</v>
      </c>
      <c r="G554" t="s">
        <v>88</v>
      </c>
      <c r="H554" t="s">
        <v>23</v>
      </c>
      <c r="I554" t="s">
        <v>37</v>
      </c>
      <c r="J554" t="s">
        <v>38</v>
      </c>
      <c r="K554" t="s">
        <v>39</v>
      </c>
      <c r="L554" t="s">
        <v>27</v>
      </c>
      <c r="M554" t="s">
        <v>90</v>
      </c>
      <c r="N554" t="s">
        <v>570</v>
      </c>
      <c r="O554" t="s">
        <v>58</v>
      </c>
      <c r="P554">
        <v>7</v>
      </c>
      <c r="Q554">
        <v>3280.31</v>
      </c>
      <c r="R554">
        <v>0</v>
      </c>
      <c r="S554" t="str">
        <f t="shared" si="8"/>
        <v>OK</v>
      </c>
      <c r="T554">
        <v>22962.17</v>
      </c>
      <c r="U554">
        <v>15716.5</v>
      </c>
      <c r="V554">
        <v>7245.67</v>
      </c>
      <c r="W554" t="s">
        <v>101</v>
      </c>
      <c r="X554" t="s">
        <v>102</v>
      </c>
    </row>
    <row r="555" spans="1:24">
      <c r="A555" t="s">
        <v>573</v>
      </c>
      <c r="B555" s="2">
        <v>45683</v>
      </c>
      <c r="C555" s="2">
        <v>45691</v>
      </c>
      <c r="D555" s="5">
        <f>C555-B555</f>
        <v>8</v>
      </c>
      <c r="E555" s="5" t="str">
        <f>IF(D555&lt;0,"INVALID","OK")</f>
        <v>OK</v>
      </c>
      <c r="F555" t="s">
        <v>574</v>
      </c>
      <c r="G555" t="s">
        <v>22</v>
      </c>
      <c r="H555" t="s">
        <v>89</v>
      </c>
      <c r="I555" t="s">
        <v>62</v>
      </c>
      <c r="J555" t="s">
        <v>25</v>
      </c>
      <c r="K555" t="s">
        <v>108</v>
      </c>
      <c r="L555" t="s">
        <v>40</v>
      </c>
      <c r="M555" t="s">
        <v>56</v>
      </c>
      <c r="N555" t="s">
        <v>575</v>
      </c>
      <c r="O555" t="s">
        <v>43</v>
      </c>
      <c r="P555">
        <v>3</v>
      </c>
      <c r="Q555">
        <v>2859.32</v>
      </c>
      <c r="R555">
        <v>0.1</v>
      </c>
      <c r="S555" t="str">
        <f t="shared" si="8"/>
        <v>OK</v>
      </c>
      <c r="T555">
        <v>7720.16</v>
      </c>
      <c r="U555">
        <v>5881</v>
      </c>
      <c r="V555">
        <v>1839.16</v>
      </c>
      <c r="W555" t="s">
        <v>101</v>
      </c>
      <c r="X555" t="s">
        <v>102</v>
      </c>
    </row>
    <row r="556" spans="1:24">
      <c r="A556" t="s">
        <v>576</v>
      </c>
      <c r="B556" s="2">
        <v>45743</v>
      </c>
      <c r="C556" s="2">
        <v>45743</v>
      </c>
      <c r="D556" s="5">
        <f>C556-B556</f>
        <v>0</v>
      </c>
      <c r="E556" s="5" t="str">
        <f>IF(D556&lt;0,"INVALID","OK")</f>
        <v>OK</v>
      </c>
      <c r="F556" t="s">
        <v>577</v>
      </c>
      <c r="G556" t="s">
        <v>70</v>
      </c>
      <c r="H556" t="s">
        <v>36</v>
      </c>
      <c r="I556" t="s">
        <v>37</v>
      </c>
      <c r="J556" t="s">
        <v>144</v>
      </c>
      <c r="K556" t="s">
        <v>145</v>
      </c>
      <c r="L556" t="s">
        <v>73</v>
      </c>
      <c r="M556" t="s">
        <v>273</v>
      </c>
      <c r="N556" t="s">
        <v>578</v>
      </c>
      <c r="O556" t="s">
        <v>30</v>
      </c>
      <c r="P556">
        <v>7</v>
      </c>
      <c r="Q556">
        <v>2305.37</v>
      </c>
      <c r="R556">
        <v>0.25</v>
      </c>
      <c r="S556" t="str">
        <f t="shared" si="8"/>
        <v>OK</v>
      </c>
      <c r="T556">
        <v>12103.19</v>
      </c>
      <c r="U556">
        <v>6717.87</v>
      </c>
      <c r="V556">
        <v>5385.32</v>
      </c>
      <c r="W556" t="s">
        <v>31</v>
      </c>
      <c r="X556" t="s">
        <v>32</v>
      </c>
    </row>
    <row r="557" spans="1:24">
      <c r="A557" t="s">
        <v>585</v>
      </c>
      <c r="B557" s="2">
        <v>45687</v>
      </c>
      <c r="C557" s="2">
        <v>45749</v>
      </c>
      <c r="D557" s="5">
        <f>C557-B557</f>
        <v>62</v>
      </c>
      <c r="E557" s="5" t="str">
        <f>IF(D557&lt;0,"INVALID","OK")</f>
        <v>OK</v>
      </c>
      <c r="F557" t="s">
        <v>586</v>
      </c>
      <c r="G557" t="s">
        <v>113</v>
      </c>
      <c r="H557" t="s">
        <v>89</v>
      </c>
      <c r="I557" t="s">
        <v>24</v>
      </c>
      <c r="J557" t="s">
        <v>235</v>
      </c>
      <c r="K557" t="s">
        <v>236</v>
      </c>
      <c r="L557" t="s">
        <v>40</v>
      </c>
      <c r="M557" t="s">
        <v>65</v>
      </c>
      <c r="N557" t="s">
        <v>587</v>
      </c>
      <c r="O557" t="s">
        <v>43</v>
      </c>
      <c r="P557">
        <v>9</v>
      </c>
      <c r="Q557">
        <v>4430.5</v>
      </c>
      <c r="R557">
        <v>0.15</v>
      </c>
      <c r="S557" t="str">
        <f t="shared" si="8"/>
        <v>OK</v>
      </c>
      <c r="T557">
        <v>33893.32</v>
      </c>
      <c r="U557">
        <v>25750.35</v>
      </c>
      <c r="V557">
        <v>8142.97</v>
      </c>
      <c r="W557" t="s">
        <v>110</v>
      </c>
      <c r="X557" t="s">
        <v>67</v>
      </c>
    </row>
    <row r="558" spans="1:24">
      <c r="A558" t="s">
        <v>588</v>
      </c>
      <c r="B558" s="2">
        <v>45879</v>
      </c>
      <c r="C558" s="2">
        <v>45936</v>
      </c>
      <c r="D558" s="5">
        <f>C558-B558</f>
        <v>57</v>
      </c>
      <c r="E558" s="5" t="str">
        <f>IF(D558&lt;0,"INVALID","OK")</f>
        <v>OK</v>
      </c>
      <c r="F558" t="s">
        <v>589</v>
      </c>
      <c r="G558" t="s">
        <v>70</v>
      </c>
      <c r="H558" t="s">
        <v>36</v>
      </c>
      <c r="I558" t="s">
        <v>62</v>
      </c>
      <c r="J558" t="s">
        <v>63</v>
      </c>
      <c r="K558" t="s">
        <v>64</v>
      </c>
      <c r="L558" t="s">
        <v>27</v>
      </c>
      <c r="M558" t="s">
        <v>28</v>
      </c>
      <c r="N558" t="s">
        <v>590</v>
      </c>
      <c r="O558" t="s">
        <v>30</v>
      </c>
      <c r="P558">
        <v>4</v>
      </c>
      <c r="Q558">
        <v>1260.42</v>
      </c>
      <c r="R558">
        <v>0.05</v>
      </c>
      <c r="S558" t="str">
        <f t="shared" si="8"/>
        <v>OK</v>
      </c>
      <c r="T558">
        <v>4789.6000000000004</v>
      </c>
      <c r="U558">
        <v>4037.64</v>
      </c>
      <c r="V558">
        <v>751.96</v>
      </c>
      <c r="W558" t="s">
        <v>110</v>
      </c>
      <c r="X558" t="s">
        <v>67</v>
      </c>
    </row>
    <row r="559" spans="1:24">
      <c r="A559" t="s">
        <v>591</v>
      </c>
      <c r="B559" s="2">
        <v>45862</v>
      </c>
      <c r="C559" s="2">
        <v>45868</v>
      </c>
      <c r="D559" s="5">
        <f>C559-B559</f>
        <v>6</v>
      </c>
      <c r="E559" s="5" t="str">
        <f>IF(D559&lt;0,"INVALID","OK")</f>
        <v>OK</v>
      </c>
      <c r="F559" t="s">
        <v>592</v>
      </c>
      <c r="G559" t="s">
        <v>52</v>
      </c>
      <c r="H559" t="s">
        <v>23</v>
      </c>
      <c r="I559" t="s">
        <v>62</v>
      </c>
      <c r="J559" t="s">
        <v>25</v>
      </c>
      <c r="K559" t="s">
        <v>108</v>
      </c>
      <c r="L559" t="s">
        <v>27</v>
      </c>
      <c r="M559" t="s">
        <v>152</v>
      </c>
      <c r="N559" t="s">
        <v>593</v>
      </c>
      <c r="O559" t="s">
        <v>58</v>
      </c>
      <c r="P559">
        <v>1</v>
      </c>
      <c r="Q559">
        <v>1643.41</v>
      </c>
      <c r="R559">
        <v>0</v>
      </c>
      <c r="S559" t="str">
        <f t="shared" si="8"/>
        <v>OK</v>
      </c>
      <c r="T559">
        <v>1643.41</v>
      </c>
      <c r="U559">
        <v>907.4</v>
      </c>
      <c r="V559">
        <v>736.01</v>
      </c>
      <c r="W559" t="s">
        <v>110</v>
      </c>
      <c r="X559" t="s">
        <v>67</v>
      </c>
    </row>
    <row r="560" spans="1:24">
      <c r="A560" t="s">
        <v>597</v>
      </c>
      <c r="B560" s="2">
        <v>45921</v>
      </c>
      <c r="C560" s="2">
        <v>45926</v>
      </c>
      <c r="D560" s="5">
        <f>C560-B560</f>
        <v>5</v>
      </c>
      <c r="E560" s="5" t="str">
        <f>IF(D560&lt;0,"INVALID","OK")</f>
        <v>OK</v>
      </c>
      <c r="F560" t="s">
        <v>598</v>
      </c>
      <c r="G560" t="s">
        <v>140</v>
      </c>
      <c r="H560" t="s">
        <v>94</v>
      </c>
      <c r="I560" t="s">
        <v>62</v>
      </c>
      <c r="J560" t="s">
        <v>179</v>
      </c>
      <c r="K560" t="s">
        <v>180</v>
      </c>
      <c r="L560" t="s">
        <v>40</v>
      </c>
      <c r="M560" t="s">
        <v>41</v>
      </c>
      <c r="N560" t="s">
        <v>599</v>
      </c>
      <c r="O560" t="s">
        <v>2762</v>
      </c>
      <c r="P560">
        <v>6</v>
      </c>
      <c r="Q560">
        <v>2903.58</v>
      </c>
      <c r="R560">
        <v>0.1</v>
      </c>
      <c r="S560" t="str">
        <f t="shared" si="8"/>
        <v>OK</v>
      </c>
      <c r="T560">
        <v>15679.33</v>
      </c>
      <c r="U560">
        <v>12477.82</v>
      </c>
      <c r="V560">
        <v>3201.51</v>
      </c>
      <c r="W560" t="s">
        <v>110</v>
      </c>
      <c r="X560" t="s">
        <v>102</v>
      </c>
    </row>
    <row r="561" spans="1:24">
      <c r="A561" t="s">
        <v>600</v>
      </c>
      <c r="B561" s="2">
        <v>45909</v>
      </c>
      <c r="C561" s="2">
        <v>45914</v>
      </c>
      <c r="D561" s="5">
        <f>C561-B561</f>
        <v>5</v>
      </c>
      <c r="E561" s="5" t="str">
        <f>IF(D561&lt;0,"INVALID","OK")</f>
        <v>OK</v>
      </c>
      <c r="F561" t="s">
        <v>601</v>
      </c>
      <c r="G561" t="s">
        <v>117</v>
      </c>
      <c r="H561" t="s">
        <v>36</v>
      </c>
      <c r="I561" t="s">
        <v>37</v>
      </c>
      <c r="J561" t="s">
        <v>98</v>
      </c>
      <c r="K561" t="s">
        <v>99</v>
      </c>
      <c r="L561" t="s">
        <v>40</v>
      </c>
      <c r="M561" t="s">
        <v>157</v>
      </c>
      <c r="N561" t="s">
        <v>602</v>
      </c>
      <c r="O561" t="s">
        <v>30</v>
      </c>
      <c r="P561">
        <v>1</v>
      </c>
      <c r="Q561">
        <v>3154.42</v>
      </c>
      <c r="R561">
        <v>0.25</v>
      </c>
      <c r="S561" t="str">
        <f t="shared" si="8"/>
        <v>OK</v>
      </c>
      <c r="T561">
        <v>2365.8200000000002</v>
      </c>
      <c r="U561">
        <v>1547.99</v>
      </c>
      <c r="V561">
        <v>817.83</v>
      </c>
      <c r="W561" t="s">
        <v>31</v>
      </c>
      <c r="X561" t="s">
        <v>32</v>
      </c>
    </row>
    <row r="562" spans="1:24">
      <c r="A562" t="s">
        <v>606</v>
      </c>
      <c r="B562" s="2">
        <v>45708</v>
      </c>
      <c r="C562" s="2">
        <v>45714</v>
      </c>
      <c r="D562" s="5">
        <f>C562-B562</f>
        <v>6</v>
      </c>
      <c r="E562" s="5" t="str">
        <f>IF(D562&lt;0,"INVALID","OK")</f>
        <v>OK</v>
      </c>
      <c r="F562" t="s">
        <v>607</v>
      </c>
      <c r="G562" t="s">
        <v>22</v>
      </c>
      <c r="H562" t="s">
        <v>36</v>
      </c>
      <c r="I562" t="s">
        <v>62</v>
      </c>
      <c r="J562" t="s">
        <v>179</v>
      </c>
      <c r="K562" t="s">
        <v>180</v>
      </c>
      <c r="L562" t="s">
        <v>27</v>
      </c>
      <c r="M562" t="s">
        <v>90</v>
      </c>
      <c r="N562" t="s">
        <v>608</v>
      </c>
      <c r="O562" t="s">
        <v>49</v>
      </c>
      <c r="P562">
        <v>1</v>
      </c>
      <c r="Q562">
        <v>2557.85</v>
      </c>
      <c r="R562">
        <v>0.2</v>
      </c>
      <c r="S562" t="str">
        <f t="shared" si="8"/>
        <v>OK</v>
      </c>
      <c r="T562">
        <v>2046.28</v>
      </c>
      <c r="U562">
        <v>1449.54</v>
      </c>
      <c r="V562">
        <v>596.74</v>
      </c>
      <c r="W562" t="s">
        <v>31</v>
      </c>
      <c r="X562" t="s">
        <v>32</v>
      </c>
    </row>
    <row r="563" spans="1:24">
      <c r="A563" t="s">
        <v>609</v>
      </c>
      <c r="B563" s="2">
        <v>45887</v>
      </c>
      <c r="C563" s="2">
        <v>45887</v>
      </c>
      <c r="D563" s="5">
        <f>C563-B563</f>
        <v>0</v>
      </c>
      <c r="E563" s="5" t="str">
        <f>IF(D563&lt;0,"INVALID","OK")</f>
        <v>OK</v>
      </c>
      <c r="F563" t="s">
        <v>610</v>
      </c>
      <c r="G563" t="s">
        <v>52</v>
      </c>
      <c r="H563" t="s">
        <v>94</v>
      </c>
      <c r="I563" t="s">
        <v>53</v>
      </c>
      <c r="J563" t="s">
        <v>174</v>
      </c>
      <c r="K563" t="s">
        <v>175</v>
      </c>
      <c r="L563" t="s">
        <v>27</v>
      </c>
      <c r="M563" t="s">
        <v>123</v>
      </c>
      <c r="N563" t="s">
        <v>611</v>
      </c>
      <c r="O563" t="s">
        <v>49</v>
      </c>
      <c r="P563">
        <v>9</v>
      </c>
      <c r="Q563">
        <v>3030.93</v>
      </c>
      <c r="R563">
        <v>0.15</v>
      </c>
      <c r="S563" t="str">
        <f t="shared" si="8"/>
        <v>OK</v>
      </c>
      <c r="T563">
        <v>23186.61</v>
      </c>
      <c r="U563">
        <v>17906.54</v>
      </c>
      <c r="V563">
        <v>5280.07</v>
      </c>
      <c r="W563" t="s">
        <v>31</v>
      </c>
      <c r="X563" t="s">
        <v>102</v>
      </c>
    </row>
    <row r="564" spans="1:24">
      <c r="A564" t="s">
        <v>612</v>
      </c>
      <c r="B564" s="2">
        <v>45677</v>
      </c>
      <c r="C564" s="2">
        <v>45680</v>
      </c>
      <c r="D564" s="5">
        <f>C564-B564</f>
        <v>3</v>
      </c>
      <c r="E564" s="5" t="str">
        <f>IF(D564&lt;0,"INVALID","OK")</f>
        <v>OK</v>
      </c>
      <c r="F564" t="s">
        <v>613</v>
      </c>
      <c r="G564" t="s">
        <v>263</v>
      </c>
      <c r="H564" t="s">
        <v>23</v>
      </c>
      <c r="I564" t="s">
        <v>62</v>
      </c>
      <c r="J564" t="s">
        <v>63</v>
      </c>
      <c r="K564" t="s">
        <v>64</v>
      </c>
      <c r="L564" t="s">
        <v>73</v>
      </c>
      <c r="M564" t="s">
        <v>74</v>
      </c>
      <c r="N564" t="s">
        <v>614</v>
      </c>
      <c r="O564" t="s">
        <v>43</v>
      </c>
      <c r="P564">
        <v>5</v>
      </c>
      <c r="Q564">
        <v>639.27</v>
      </c>
      <c r="R564">
        <v>0.2</v>
      </c>
      <c r="S564" t="str">
        <f t="shared" si="8"/>
        <v>OK</v>
      </c>
      <c r="T564">
        <v>2557.08</v>
      </c>
      <c r="U564">
        <v>2025.69</v>
      </c>
      <c r="V564">
        <v>531.39</v>
      </c>
      <c r="W564" t="s">
        <v>31</v>
      </c>
      <c r="X564" t="s">
        <v>67</v>
      </c>
    </row>
    <row r="565" spans="1:24">
      <c r="A565" t="s">
        <v>615</v>
      </c>
      <c r="B565" s="2">
        <v>45913</v>
      </c>
      <c r="C565" s="2">
        <v>45913</v>
      </c>
      <c r="D565" s="5">
        <f>C565-B565</f>
        <v>0</v>
      </c>
      <c r="E565" s="5" t="str">
        <f>IF(D565&lt;0,"INVALID","OK")</f>
        <v>OK</v>
      </c>
      <c r="F565" t="s">
        <v>616</v>
      </c>
      <c r="G565" t="s">
        <v>161</v>
      </c>
      <c r="H565" t="s">
        <v>23</v>
      </c>
      <c r="I565" t="s">
        <v>37</v>
      </c>
      <c r="J565" t="s">
        <v>165</v>
      </c>
      <c r="K565" t="s">
        <v>166</v>
      </c>
      <c r="L565" t="s">
        <v>27</v>
      </c>
      <c r="M565" t="s">
        <v>47</v>
      </c>
      <c r="N565" t="s">
        <v>617</v>
      </c>
      <c r="O565" t="s">
        <v>58</v>
      </c>
      <c r="P565">
        <v>8</v>
      </c>
      <c r="Q565">
        <v>733.9</v>
      </c>
      <c r="R565">
        <v>0.05</v>
      </c>
      <c r="S565" t="str">
        <f t="shared" si="8"/>
        <v>OK</v>
      </c>
      <c r="T565">
        <v>5577.64</v>
      </c>
      <c r="U565">
        <v>3541.29</v>
      </c>
      <c r="V565">
        <v>2036.35</v>
      </c>
      <c r="W565" t="s">
        <v>110</v>
      </c>
      <c r="X565" t="s">
        <v>102</v>
      </c>
    </row>
    <row r="566" spans="1:24">
      <c r="A566" t="s">
        <v>618</v>
      </c>
      <c r="B566" s="2">
        <v>45847</v>
      </c>
      <c r="C566" s="2">
        <v>45915</v>
      </c>
      <c r="D566" s="5">
        <f>C566-B566</f>
        <v>68</v>
      </c>
      <c r="E566" s="5" t="str">
        <f>IF(D566&lt;0,"INVALID","OK")</f>
        <v>OK</v>
      </c>
      <c r="F566" t="s">
        <v>619</v>
      </c>
      <c r="G566" t="s">
        <v>140</v>
      </c>
      <c r="H566" t="s">
        <v>89</v>
      </c>
      <c r="I566" t="s">
        <v>37</v>
      </c>
      <c r="J566" t="s">
        <v>144</v>
      </c>
      <c r="K566" t="s">
        <v>145</v>
      </c>
      <c r="L566" t="s">
        <v>73</v>
      </c>
      <c r="M566" t="s">
        <v>79</v>
      </c>
      <c r="N566" t="s">
        <v>620</v>
      </c>
      <c r="O566" t="s">
        <v>58</v>
      </c>
      <c r="P566">
        <v>3</v>
      </c>
      <c r="Q566">
        <v>1711.32</v>
      </c>
      <c r="R566">
        <v>0</v>
      </c>
      <c r="S566" t="str">
        <f t="shared" si="8"/>
        <v>OK</v>
      </c>
      <c r="T566">
        <v>5133.96</v>
      </c>
      <c r="U566">
        <v>3930</v>
      </c>
      <c r="V566">
        <v>1203.96</v>
      </c>
      <c r="W566" t="s">
        <v>31</v>
      </c>
      <c r="X566" t="s">
        <v>32</v>
      </c>
    </row>
    <row r="567" spans="1:24">
      <c r="A567" t="s">
        <v>618</v>
      </c>
      <c r="B567" s="2">
        <v>45847</v>
      </c>
      <c r="C567" s="2">
        <v>45915</v>
      </c>
      <c r="D567" s="5">
        <f>C567-B567</f>
        <v>68</v>
      </c>
      <c r="E567" s="5" t="str">
        <f>IF(D567&lt;0,"INVALID","OK")</f>
        <v>OK</v>
      </c>
      <c r="F567" t="s">
        <v>619</v>
      </c>
      <c r="G567" t="s">
        <v>140</v>
      </c>
      <c r="H567" t="s">
        <v>89</v>
      </c>
      <c r="I567" t="s">
        <v>37</v>
      </c>
      <c r="J567" t="s">
        <v>144</v>
      </c>
      <c r="K567" t="s">
        <v>145</v>
      </c>
      <c r="L567" t="s">
        <v>73</v>
      </c>
      <c r="M567" t="s">
        <v>79</v>
      </c>
      <c r="N567" t="s">
        <v>620</v>
      </c>
      <c r="O567" t="s">
        <v>58</v>
      </c>
      <c r="P567">
        <v>3</v>
      </c>
      <c r="Q567">
        <v>1711.32</v>
      </c>
      <c r="R567">
        <v>0</v>
      </c>
      <c r="S567" t="str">
        <f t="shared" si="8"/>
        <v>OK</v>
      </c>
      <c r="T567">
        <v>5206.53</v>
      </c>
      <c r="U567">
        <v>3930</v>
      </c>
      <c r="V567">
        <v>1203.96</v>
      </c>
      <c r="W567" t="s">
        <v>31</v>
      </c>
      <c r="X567" t="s">
        <v>102</v>
      </c>
    </row>
    <row r="568" spans="1:24">
      <c r="A568" t="s">
        <v>621</v>
      </c>
      <c r="B568" s="2">
        <v>45711</v>
      </c>
      <c r="C568" s="2">
        <v>45713</v>
      </c>
      <c r="D568" s="5">
        <f>C568-B568</f>
        <v>2</v>
      </c>
      <c r="E568" s="5" t="str">
        <f>IF(D568&lt;0,"INVALID","OK")</f>
        <v>OK</v>
      </c>
      <c r="F568" t="s">
        <v>622</v>
      </c>
      <c r="G568" t="s">
        <v>22</v>
      </c>
      <c r="H568" t="s">
        <v>89</v>
      </c>
      <c r="I568" t="s">
        <v>37</v>
      </c>
      <c r="J568" t="s">
        <v>144</v>
      </c>
      <c r="K568" t="s">
        <v>145</v>
      </c>
      <c r="L568" t="s">
        <v>27</v>
      </c>
      <c r="M568" t="s">
        <v>90</v>
      </c>
      <c r="N568" t="s">
        <v>623</v>
      </c>
      <c r="O568" t="s">
        <v>43</v>
      </c>
      <c r="P568">
        <v>5</v>
      </c>
      <c r="Q568">
        <v>4246.2700000000004</v>
      </c>
      <c r="R568">
        <v>0.25</v>
      </c>
      <c r="S568" t="str">
        <f t="shared" si="8"/>
        <v>OK</v>
      </c>
      <c r="T568">
        <v>15923.51</v>
      </c>
      <c r="U568">
        <v>11291.8</v>
      </c>
      <c r="V568">
        <v>4631.71</v>
      </c>
      <c r="W568" t="s">
        <v>31</v>
      </c>
      <c r="X568" t="s">
        <v>32</v>
      </c>
    </row>
    <row r="569" spans="1:24">
      <c r="A569" t="s">
        <v>624</v>
      </c>
      <c r="B569" s="2">
        <v>45696</v>
      </c>
      <c r="C569" s="2">
        <v>45938</v>
      </c>
      <c r="D569" s="5">
        <f>C569-B569</f>
        <v>242</v>
      </c>
      <c r="E569" s="5" t="str">
        <f>IF(D569&lt;0,"INVALID","OK")</f>
        <v>OK</v>
      </c>
      <c r="F569" t="s">
        <v>625</v>
      </c>
      <c r="G569" t="s">
        <v>22</v>
      </c>
      <c r="H569" t="s">
        <v>89</v>
      </c>
      <c r="I569" t="s">
        <v>24</v>
      </c>
      <c r="J569" t="s">
        <v>349</v>
      </c>
      <c r="K569" t="s">
        <v>350</v>
      </c>
      <c r="L569" t="s">
        <v>40</v>
      </c>
      <c r="M569" t="s">
        <v>56</v>
      </c>
      <c r="N569" t="s">
        <v>626</v>
      </c>
      <c r="O569" t="s">
        <v>43</v>
      </c>
      <c r="P569">
        <v>9</v>
      </c>
      <c r="Q569">
        <v>2962.62</v>
      </c>
      <c r="R569">
        <v>0.1</v>
      </c>
      <c r="S569" t="str">
        <f t="shared" si="8"/>
        <v>OK</v>
      </c>
      <c r="T569">
        <v>23997.22</v>
      </c>
      <c r="U569">
        <v>16134.63</v>
      </c>
      <c r="V569">
        <v>7862.59</v>
      </c>
      <c r="W569" t="s">
        <v>101</v>
      </c>
      <c r="X569" t="s">
        <v>102</v>
      </c>
    </row>
    <row r="570" spans="1:24">
      <c r="A570" t="s">
        <v>630</v>
      </c>
      <c r="B570" s="2">
        <v>45928</v>
      </c>
      <c r="C570" s="2">
        <v>45757</v>
      </c>
      <c r="D570" s="5">
        <f>C570-B570</f>
        <v>-171</v>
      </c>
      <c r="E570" s="5" t="str">
        <f>IF(D570&lt;0,"INVALID","OK")</f>
        <v>INVALID</v>
      </c>
      <c r="F570" t="s">
        <v>631</v>
      </c>
      <c r="G570" t="s">
        <v>22</v>
      </c>
      <c r="H570" t="s">
        <v>36</v>
      </c>
      <c r="I570" t="s">
        <v>53</v>
      </c>
      <c r="J570" t="s">
        <v>174</v>
      </c>
      <c r="K570" t="s">
        <v>175</v>
      </c>
      <c r="L570" t="s">
        <v>40</v>
      </c>
      <c r="M570" t="s">
        <v>157</v>
      </c>
      <c r="N570" t="s">
        <v>632</v>
      </c>
      <c r="O570" t="s">
        <v>49</v>
      </c>
      <c r="P570">
        <v>6</v>
      </c>
      <c r="Q570">
        <v>1620.53</v>
      </c>
      <c r="R570">
        <v>0.15</v>
      </c>
      <c r="S570" t="str">
        <f t="shared" si="8"/>
        <v>OK</v>
      </c>
      <c r="T570">
        <v>8264.7000000000007</v>
      </c>
      <c r="U570">
        <v>4768.75</v>
      </c>
      <c r="V570">
        <v>3495.95</v>
      </c>
      <c r="W570" t="s">
        <v>110</v>
      </c>
      <c r="X570" t="s">
        <v>102</v>
      </c>
    </row>
    <row r="571" spans="1:24">
      <c r="A571" t="s">
        <v>636</v>
      </c>
      <c r="B571" s="2">
        <v>45734</v>
      </c>
      <c r="C571" s="2">
        <v>45742</v>
      </c>
      <c r="D571" s="5">
        <f>C571-B571</f>
        <v>8</v>
      </c>
      <c r="E571" s="5" t="str">
        <f>IF(D571&lt;0,"INVALID","OK")</f>
        <v>OK</v>
      </c>
      <c r="F571" t="s">
        <v>637</v>
      </c>
      <c r="G571" t="s">
        <v>70</v>
      </c>
      <c r="H571" t="s">
        <v>89</v>
      </c>
      <c r="I571" t="s">
        <v>37</v>
      </c>
      <c r="J571" t="s">
        <v>227</v>
      </c>
      <c r="K571" t="s">
        <v>228</v>
      </c>
      <c r="L571" t="s">
        <v>40</v>
      </c>
      <c r="M571" t="s">
        <v>157</v>
      </c>
      <c r="N571" t="s">
        <v>638</v>
      </c>
      <c r="O571" t="s">
        <v>58</v>
      </c>
      <c r="P571">
        <v>8</v>
      </c>
      <c r="Q571">
        <v>3563.09</v>
      </c>
      <c r="R571">
        <v>0.15</v>
      </c>
      <c r="S571" t="str">
        <f t="shared" si="8"/>
        <v>OK</v>
      </c>
      <c r="T571">
        <v>24229.01</v>
      </c>
      <c r="U571">
        <v>13910.64</v>
      </c>
      <c r="V571">
        <v>10318.370000000001</v>
      </c>
      <c r="W571" t="s">
        <v>31</v>
      </c>
      <c r="X571" t="s">
        <v>32</v>
      </c>
    </row>
    <row r="572" spans="1:24">
      <c r="A572" t="s">
        <v>651</v>
      </c>
      <c r="B572" s="2">
        <v>45909</v>
      </c>
      <c r="C572" s="2">
        <v>45939</v>
      </c>
      <c r="D572" s="5">
        <f>C572-B572</f>
        <v>30</v>
      </c>
      <c r="E572" s="5" t="str">
        <f>IF(D572&lt;0,"INVALID","OK")</f>
        <v>OK</v>
      </c>
      <c r="F572" t="s">
        <v>652</v>
      </c>
      <c r="G572" t="s">
        <v>113</v>
      </c>
      <c r="H572" t="s">
        <v>94</v>
      </c>
      <c r="I572" t="s">
        <v>53</v>
      </c>
      <c r="J572" t="s">
        <v>246</v>
      </c>
      <c r="K572" t="s">
        <v>247</v>
      </c>
      <c r="L572" t="s">
        <v>27</v>
      </c>
      <c r="M572" t="s">
        <v>47</v>
      </c>
      <c r="N572" t="s">
        <v>653</v>
      </c>
      <c r="O572" t="s">
        <v>30</v>
      </c>
      <c r="P572">
        <v>4</v>
      </c>
      <c r="Q572">
        <v>2551.4499999999998</v>
      </c>
      <c r="R572">
        <v>0</v>
      </c>
      <c r="S572" t="str">
        <f t="shared" si="8"/>
        <v>OK</v>
      </c>
      <c r="T572">
        <v>10205.799999999999</v>
      </c>
      <c r="U572">
        <v>5986.31</v>
      </c>
      <c r="V572">
        <v>4219.49</v>
      </c>
      <c r="W572" t="s">
        <v>31</v>
      </c>
      <c r="X572" t="s">
        <v>32</v>
      </c>
    </row>
    <row r="573" spans="1:24">
      <c r="A573" t="s">
        <v>657</v>
      </c>
      <c r="B573" s="2">
        <v>45832</v>
      </c>
      <c r="C573" s="2">
        <v>45835</v>
      </c>
      <c r="D573" s="5">
        <f>C573-B573</f>
        <v>3</v>
      </c>
      <c r="E573" s="5" t="str">
        <f>IF(D573&lt;0,"INVALID","OK")</f>
        <v>OK</v>
      </c>
      <c r="F573" t="s">
        <v>658</v>
      </c>
      <c r="G573" t="s">
        <v>70</v>
      </c>
      <c r="H573" t="s">
        <v>94</v>
      </c>
      <c r="I573" t="s">
        <v>53</v>
      </c>
      <c r="J573" t="s">
        <v>54</v>
      </c>
      <c r="K573" t="s">
        <v>55</v>
      </c>
      <c r="L573" t="s">
        <v>73</v>
      </c>
      <c r="M573" t="s">
        <v>79</v>
      </c>
      <c r="N573" t="s">
        <v>659</v>
      </c>
      <c r="O573" t="s">
        <v>58</v>
      </c>
      <c r="P573">
        <v>7</v>
      </c>
      <c r="Q573">
        <v>2304.86</v>
      </c>
      <c r="R573">
        <v>0.2</v>
      </c>
      <c r="S573" t="str">
        <f t="shared" si="8"/>
        <v>OK</v>
      </c>
      <c r="T573">
        <v>12907.22</v>
      </c>
      <c r="U573">
        <v>8327.89</v>
      </c>
      <c r="V573">
        <v>4579.33</v>
      </c>
      <c r="W573" t="s">
        <v>31</v>
      </c>
      <c r="X573" t="s">
        <v>102</v>
      </c>
    </row>
    <row r="574" spans="1:24">
      <c r="A574" t="s">
        <v>668</v>
      </c>
      <c r="B574" s="2">
        <v>45778</v>
      </c>
      <c r="C574" s="2">
        <v>45779</v>
      </c>
      <c r="D574" s="5">
        <f>C574-B574</f>
        <v>1</v>
      </c>
      <c r="E574" s="5" t="str">
        <f>IF(D574&lt;0,"INVALID","OK")</f>
        <v>OK</v>
      </c>
      <c r="F574" t="s">
        <v>669</v>
      </c>
      <c r="G574" t="s">
        <v>35</v>
      </c>
      <c r="H574" t="s">
        <v>23</v>
      </c>
      <c r="I574" t="s">
        <v>62</v>
      </c>
      <c r="J574" t="s">
        <v>71</v>
      </c>
      <c r="K574" t="s">
        <v>72</v>
      </c>
      <c r="L574" t="s">
        <v>40</v>
      </c>
      <c r="M574" t="s">
        <v>65</v>
      </c>
      <c r="N574" t="s">
        <v>670</v>
      </c>
      <c r="O574" t="s">
        <v>43</v>
      </c>
      <c r="P574">
        <v>3</v>
      </c>
      <c r="Q574">
        <v>2905.74</v>
      </c>
      <c r="R574">
        <v>0</v>
      </c>
      <c r="S574" t="str">
        <f t="shared" si="8"/>
        <v>OK</v>
      </c>
      <c r="T574">
        <v>8717.2199999999993</v>
      </c>
      <c r="U574">
        <v>6215.96</v>
      </c>
      <c r="V574">
        <v>2501.2600000000002</v>
      </c>
      <c r="W574" t="s">
        <v>31</v>
      </c>
      <c r="X574" t="s">
        <v>102</v>
      </c>
    </row>
    <row r="575" spans="1:24">
      <c r="A575" t="s">
        <v>671</v>
      </c>
      <c r="B575" s="2">
        <v>45798</v>
      </c>
      <c r="C575" s="2">
        <v>45805</v>
      </c>
      <c r="D575" s="5">
        <f>C575-B575</f>
        <v>7</v>
      </c>
      <c r="E575" s="5" t="str">
        <f>IF(D575&lt;0,"INVALID","OK")</f>
        <v>OK</v>
      </c>
      <c r="F575" t="s">
        <v>672</v>
      </c>
      <c r="G575" t="s">
        <v>113</v>
      </c>
      <c r="H575" t="s">
        <v>89</v>
      </c>
      <c r="I575" t="s">
        <v>37</v>
      </c>
      <c r="J575" t="s">
        <v>98</v>
      </c>
      <c r="K575" t="s">
        <v>99</v>
      </c>
      <c r="L575" t="s">
        <v>40</v>
      </c>
      <c r="M575" t="s">
        <v>157</v>
      </c>
      <c r="N575" t="s">
        <v>673</v>
      </c>
      <c r="O575" t="s">
        <v>43</v>
      </c>
      <c r="P575">
        <v>2</v>
      </c>
      <c r="Q575">
        <v>3559.57</v>
      </c>
      <c r="R575">
        <v>0.1</v>
      </c>
      <c r="S575" t="str">
        <f t="shared" si="8"/>
        <v>OK</v>
      </c>
      <c r="T575">
        <v>6553.95</v>
      </c>
      <c r="U575">
        <v>4923.09</v>
      </c>
      <c r="V575">
        <v>1484.14</v>
      </c>
      <c r="W575" t="s">
        <v>31</v>
      </c>
      <c r="X575" t="s">
        <v>32</v>
      </c>
    </row>
    <row r="576" spans="1:24">
      <c r="A576" t="s">
        <v>674</v>
      </c>
      <c r="B576" s="2">
        <v>45783</v>
      </c>
      <c r="C576" s="2">
        <v>45784</v>
      </c>
      <c r="D576" s="5">
        <f>C576-B576</f>
        <v>1</v>
      </c>
      <c r="E576" s="5" t="str">
        <f>IF(D576&lt;0,"INVALID","OK")</f>
        <v>OK</v>
      </c>
      <c r="F576" t="s">
        <v>675</v>
      </c>
      <c r="G576" t="s">
        <v>52</v>
      </c>
      <c r="H576" t="s">
        <v>23</v>
      </c>
      <c r="I576" t="s">
        <v>62</v>
      </c>
      <c r="J576" t="s">
        <v>25</v>
      </c>
      <c r="K576" t="s">
        <v>108</v>
      </c>
      <c r="L576" t="s">
        <v>40</v>
      </c>
      <c r="M576" t="s">
        <v>157</v>
      </c>
      <c r="N576" t="s">
        <v>676</v>
      </c>
      <c r="O576" t="s">
        <v>49</v>
      </c>
      <c r="P576">
        <v>9</v>
      </c>
      <c r="Q576">
        <v>3318.24</v>
      </c>
      <c r="R576">
        <v>0</v>
      </c>
      <c r="S576" t="str">
        <f t="shared" si="8"/>
        <v>OK</v>
      </c>
      <c r="T576">
        <v>25384.54</v>
      </c>
      <c r="U576">
        <v>16872.39</v>
      </c>
      <c r="V576">
        <v>8512.15</v>
      </c>
      <c r="W576" t="s">
        <v>31</v>
      </c>
      <c r="X576" t="s">
        <v>32</v>
      </c>
    </row>
    <row r="577" spans="1:24">
      <c r="A577" t="s">
        <v>677</v>
      </c>
      <c r="B577" s="2">
        <v>45767</v>
      </c>
      <c r="C577" s="2">
        <v>45768</v>
      </c>
      <c r="D577" s="5">
        <f>C577-B577</f>
        <v>1</v>
      </c>
      <c r="E577" s="5" t="str">
        <f>IF(D577&lt;0,"INVALID","OK")</f>
        <v>OK</v>
      </c>
      <c r="F577" t="s">
        <v>678</v>
      </c>
      <c r="G577" t="s">
        <v>88</v>
      </c>
      <c r="H577" t="s">
        <v>23</v>
      </c>
      <c r="I577" t="s">
        <v>53</v>
      </c>
      <c r="J577" t="s">
        <v>246</v>
      </c>
      <c r="K577" t="s">
        <v>247</v>
      </c>
      <c r="L577" t="s">
        <v>27</v>
      </c>
      <c r="M577" t="s">
        <v>123</v>
      </c>
      <c r="N577" t="s">
        <v>679</v>
      </c>
      <c r="O577" t="s">
        <v>49</v>
      </c>
      <c r="P577">
        <v>3</v>
      </c>
      <c r="Q577">
        <v>540.09</v>
      </c>
      <c r="R577">
        <v>0.1</v>
      </c>
      <c r="S577" t="str">
        <f t="shared" si="8"/>
        <v>OK</v>
      </c>
      <c r="T577">
        <v>1458.24</v>
      </c>
      <c r="U577">
        <v>943.32</v>
      </c>
      <c r="V577">
        <v>514.91999999999996</v>
      </c>
      <c r="W577" t="s">
        <v>31</v>
      </c>
      <c r="X577" t="s">
        <v>32</v>
      </c>
    </row>
    <row r="578" spans="1:24">
      <c r="A578" t="s">
        <v>689</v>
      </c>
      <c r="B578" s="2">
        <v>45685</v>
      </c>
      <c r="C578" s="2">
        <v>45688</v>
      </c>
      <c r="D578" s="5">
        <f>C578-B578</f>
        <v>3</v>
      </c>
      <c r="E578" s="5" t="str">
        <f>IF(D578&lt;0,"INVALID","OK")</f>
        <v>OK</v>
      </c>
      <c r="F578" t="s">
        <v>690</v>
      </c>
      <c r="G578" t="s">
        <v>113</v>
      </c>
      <c r="H578" t="s">
        <v>23</v>
      </c>
      <c r="I578" t="s">
        <v>62</v>
      </c>
      <c r="J578" t="s">
        <v>63</v>
      </c>
      <c r="K578" t="s">
        <v>64</v>
      </c>
      <c r="L578" t="s">
        <v>40</v>
      </c>
      <c r="M578" t="s">
        <v>56</v>
      </c>
      <c r="N578" t="s">
        <v>691</v>
      </c>
      <c r="O578" t="s">
        <v>49</v>
      </c>
      <c r="P578">
        <v>9</v>
      </c>
      <c r="Q578">
        <v>858.39</v>
      </c>
      <c r="R578">
        <v>0.05</v>
      </c>
      <c r="S578" t="str">
        <f t="shared" si="8"/>
        <v>OK</v>
      </c>
      <c r="T578">
        <v>7339.23</v>
      </c>
      <c r="U578">
        <v>5434.12</v>
      </c>
      <c r="V578">
        <v>1905.11</v>
      </c>
      <c r="W578" t="s">
        <v>110</v>
      </c>
      <c r="X578" t="s">
        <v>102</v>
      </c>
    </row>
    <row r="579" spans="1:24">
      <c r="A579" t="s">
        <v>692</v>
      </c>
      <c r="B579" s="2">
        <v>45860</v>
      </c>
      <c r="C579" s="2">
        <v>45862</v>
      </c>
      <c r="D579" s="5">
        <f>C579-B579</f>
        <v>2</v>
      </c>
      <c r="E579" s="5" t="str">
        <f>IF(D579&lt;0,"INVALID","OK")</f>
        <v>OK</v>
      </c>
      <c r="F579" t="s">
        <v>693</v>
      </c>
      <c r="G579" t="s">
        <v>78</v>
      </c>
      <c r="H579" t="s">
        <v>94</v>
      </c>
      <c r="I579" t="s">
        <v>53</v>
      </c>
      <c r="J579" t="s">
        <v>83</v>
      </c>
      <c r="K579" t="s">
        <v>84</v>
      </c>
      <c r="L579" t="s">
        <v>40</v>
      </c>
      <c r="M579" t="s">
        <v>56</v>
      </c>
      <c r="N579" t="s">
        <v>694</v>
      </c>
      <c r="O579" t="s">
        <v>43</v>
      </c>
      <c r="P579">
        <v>5</v>
      </c>
      <c r="Q579">
        <v>1922.83</v>
      </c>
      <c r="R579">
        <v>0</v>
      </c>
      <c r="S579" t="str">
        <f t="shared" ref="S579:S642" si="9">IF(R579&lt;0,"INVALID",IF(R579&gt;0.5,"INVALID","OK"))</f>
        <v>OK</v>
      </c>
      <c r="T579">
        <v>9614.15</v>
      </c>
      <c r="U579">
        <v>7576.84</v>
      </c>
      <c r="V579">
        <v>2037.31</v>
      </c>
      <c r="W579" t="s">
        <v>31</v>
      </c>
      <c r="X579" t="s">
        <v>32</v>
      </c>
    </row>
    <row r="580" spans="1:24">
      <c r="A580" t="s">
        <v>698</v>
      </c>
      <c r="B580" s="2">
        <v>45747</v>
      </c>
      <c r="C580" s="2">
        <v>45842</v>
      </c>
      <c r="D580" s="5">
        <f>C580-B580</f>
        <v>95</v>
      </c>
      <c r="E580" s="5" t="str">
        <f>IF(D580&lt;0,"INVALID","OK")</f>
        <v>OK</v>
      </c>
      <c r="F580" t="s">
        <v>389</v>
      </c>
      <c r="G580" t="s">
        <v>117</v>
      </c>
      <c r="H580" t="s">
        <v>36</v>
      </c>
      <c r="I580" t="s">
        <v>37</v>
      </c>
      <c r="J580" t="s">
        <v>144</v>
      </c>
      <c r="K580" t="s">
        <v>145</v>
      </c>
      <c r="L580" t="s">
        <v>27</v>
      </c>
      <c r="M580" t="s">
        <v>123</v>
      </c>
      <c r="N580" t="s">
        <v>699</v>
      </c>
      <c r="O580" t="s">
        <v>30</v>
      </c>
      <c r="P580">
        <v>5</v>
      </c>
      <c r="Q580">
        <v>4096.4399999999996</v>
      </c>
      <c r="R580">
        <v>0.15</v>
      </c>
      <c r="S580" t="str">
        <f t="shared" si="9"/>
        <v>OK</v>
      </c>
      <c r="T580">
        <v>17409.87</v>
      </c>
      <c r="U580">
        <v>14076.25</v>
      </c>
      <c r="V580">
        <v>3333.62</v>
      </c>
      <c r="W580" t="s">
        <v>31</v>
      </c>
      <c r="X580" t="s">
        <v>32</v>
      </c>
    </row>
    <row r="581" spans="1:24">
      <c r="A581" t="s">
        <v>706</v>
      </c>
      <c r="B581" s="2">
        <v>45835</v>
      </c>
      <c r="C581" s="2">
        <v>45843</v>
      </c>
      <c r="D581" s="5">
        <f>C581-B581</f>
        <v>8</v>
      </c>
      <c r="E581" s="5" t="str">
        <f>IF(D581&lt;0,"INVALID","OK")</f>
        <v>OK</v>
      </c>
      <c r="F581" t="s">
        <v>707</v>
      </c>
      <c r="G581" t="s">
        <v>113</v>
      </c>
      <c r="H581" t="s">
        <v>36</v>
      </c>
      <c r="I581" t="s">
        <v>24</v>
      </c>
      <c r="J581" t="s">
        <v>25</v>
      </c>
      <c r="K581" t="s">
        <v>26</v>
      </c>
      <c r="L581" t="s">
        <v>73</v>
      </c>
      <c r="M581" t="s">
        <v>79</v>
      </c>
      <c r="N581" t="s">
        <v>708</v>
      </c>
      <c r="O581" t="s">
        <v>49</v>
      </c>
      <c r="P581">
        <v>5</v>
      </c>
      <c r="Q581">
        <v>2868.44</v>
      </c>
      <c r="R581">
        <v>0.1</v>
      </c>
      <c r="S581" t="str">
        <f t="shared" si="9"/>
        <v>OK</v>
      </c>
      <c r="T581">
        <v>12907.98</v>
      </c>
      <c r="U581">
        <v>9197.08</v>
      </c>
      <c r="V581">
        <v>3710.9</v>
      </c>
      <c r="W581" t="s">
        <v>110</v>
      </c>
      <c r="X581" t="s">
        <v>67</v>
      </c>
    </row>
    <row r="582" spans="1:24">
      <c r="A582" t="s">
        <v>709</v>
      </c>
      <c r="B582" s="2">
        <v>45864</v>
      </c>
      <c r="C582" s="2">
        <v>45872</v>
      </c>
      <c r="D582" s="5">
        <f>C582-B582</f>
        <v>8</v>
      </c>
      <c r="E582" s="5" t="str">
        <f>IF(D582&lt;0,"INVALID","OK")</f>
        <v>OK</v>
      </c>
      <c r="F582" t="s">
        <v>710</v>
      </c>
      <c r="G582" t="s">
        <v>70</v>
      </c>
      <c r="H582" t="s">
        <v>23</v>
      </c>
      <c r="I582" t="s">
        <v>62</v>
      </c>
      <c r="J582" t="s">
        <v>71</v>
      </c>
      <c r="K582" t="s">
        <v>72</v>
      </c>
      <c r="L582" t="s">
        <v>27</v>
      </c>
      <c r="M582" t="s">
        <v>90</v>
      </c>
      <c r="N582" t="s">
        <v>711</v>
      </c>
      <c r="O582" t="s">
        <v>30</v>
      </c>
      <c r="P582">
        <v>2</v>
      </c>
      <c r="Q582">
        <v>2503.5300000000002</v>
      </c>
      <c r="R582">
        <v>-0.16</v>
      </c>
      <c r="S582" t="str">
        <f t="shared" si="9"/>
        <v>INVALID</v>
      </c>
      <c r="T582">
        <v>4756.71</v>
      </c>
      <c r="U582">
        <v>2954.86</v>
      </c>
      <c r="V582">
        <v>1801.85</v>
      </c>
      <c r="W582" t="s">
        <v>101</v>
      </c>
      <c r="X582" t="s">
        <v>67</v>
      </c>
    </row>
    <row r="583" spans="1:24">
      <c r="A583" t="s">
        <v>712</v>
      </c>
      <c r="B583" s="2">
        <v>45744</v>
      </c>
      <c r="C583" s="2">
        <v>45744</v>
      </c>
      <c r="D583" s="5">
        <f>C583-B583</f>
        <v>0</v>
      </c>
      <c r="E583" s="5" t="str">
        <f>IF(D583&lt;0,"INVALID","OK")</f>
        <v>OK</v>
      </c>
      <c r="F583" t="s">
        <v>713</v>
      </c>
      <c r="G583" t="s">
        <v>131</v>
      </c>
      <c r="H583" t="s">
        <v>89</v>
      </c>
      <c r="I583" t="s">
        <v>62</v>
      </c>
      <c r="J583" t="s">
        <v>189</v>
      </c>
      <c r="K583" t="s">
        <v>190</v>
      </c>
      <c r="L583" t="s">
        <v>73</v>
      </c>
      <c r="M583" t="s">
        <v>74</v>
      </c>
      <c r="N583" t="s">
        <v>714</v>
      </c>
      <c r="O583" t="s">
        <v>58</v>
      </c>
      <c r="P583">
        <v>8</v>
      </c>
      <c r="Q583">
        <v>1740.94</v>
      </c>
      <c r="R583">
        <v>0.05</v>
      </c>
      <c r="S583" t="str">
        <f t="shared" si="9"/>
        <v>OK</v>
      </c>
      <c r="T583">
        <v>13231.14</v>
      </c>
      <c r="U583">
        <v>11290.06</v>
      </c>
      <c r="V583">
        <v>1941.08</v>
      </c>
      <c r="W583" t="s">
        <v>31</v>
      </c>
      <c r="X583" t="s">
        <v>32</v>
      </c>
    </row>
    <row r="584" spans="1:24">
      <c r="A584" t="s">
        <v>718</v>
      </c>
      <c r="B584" s="2">
        <v>45858</v>
      </c>
      <c r="C584" s="2">
        <v>45861</v>
      </c>
      <c r="D584" s="5">
        <f>C584-B584</f>
        <v>3</v>
      </c>
      <c r="E584" s="5" t="str">
        <f>IF(D584&lt;0,"INVALID","OK")</f>
        <v>OK</v>
      </c>
      <c r="F584" t="s">
        <v>719</v>
      </c>
      <c r="G584" t="s">
        <v>35</v>
      </c>
      <c r="H584" t="s">
        <v>94</v>
      </c>
      <c r="I584" t="s">
        <v>37</v>
      </c>
      <c r="J584" t="s">
        <v>98</v>
      </c>
      <c r="K584" t="s">
        <v>99</v>
      </c>
      <c r="L584" t="s">
        <v>40</v>
      </c>
      <c r="M584" t="s">
        <v>41</v>
      </c>
      <c r="N584" t="s">
        <v>720</v>
      </c>
      <c r="O584" t="s">
        <v>30</v>
      </c>
      <c r="P584">
        <v>4</v>
      </c>
      <c r="Q584">
        <v>477.69</v>
      </c>
      <c r="R584">
        <v>0.15</v>
      </c>
      <c r="S584" t="str">
        <f t="shared" si="9"/>
        <v>OK</v>
      </c>
      <c r="T584">
        <v>1624.15</v>
      </c>
      <c r="U584">
        <v>1217.99</v>
      </c>
      <c r="V584">
        <v>406.16</v>
      </c>
      <c r="W584" t="s">
        <v>31</v>
      </c>
      <c r="X584" t="s">
        <v>32</v>
      </c>
    </row>
    <row r="585" spans="1:24">
      <c r="A585" t="s">
        <v>721</v>
      </c>
      <c r="B585" s="2">
        <v>45768</v>
      </c>
      <c r="C585" s="2">
        <v>45773</v>
      </c>
      <c r="D585" s="5">
        <f>C585-B585</f>
        <v>5</v>
      </c>
      <c r="E585" s="5" t="str">
        <f>IF(D585&lt;0,"INVALID","OK")</f>
        <v>OK</v>
      </c>
      <c r="F585" t="s">
        <v>722</v>
      </c>
      <c r="G585" t="s">
        <v>61</v>
      </c>
      <c r="H585" t="s">
        <v>23</v>
      </c>
      <c r="I585" t="s">
        <v>62</v>
      </c>
      <c r="J585" t="s">
        <v>63</v>
      </c>
      <c r="K585" t="s">
        <v>64</v>
      </c>
      <c r="L585" t="s">
        <v>27</v>
      </c>
      <c r="M585" t="s">
        <v>90</v>
      </c>
      <c r="N585" t="s">
        <v>723</v>
      </c>
      <c r="O585" t="s">
        <v>43</v>
      </c>
      <c r="P585">
        <v>6</v>
      </c>
      <c r="Q585">
        <v>873.59</v>
      </c>
      <c r="R585">
        <v>0.2</v>
      </c>
      <c r="S585" t="str">
        <f t="shared" si="9"/>
        <v>OK</v>
      </c>
      <c r="T585">
        <v>4193.2299999999996</v>
      </c>
      <c r="U585">
        <v>3329.99</v>
      </c>
      <c r="V585">
        <v>863.24</v>
      </c>
      <c r="W585" t="s">
        <v>31</v>
      </c>
      <c r="X585" t="s">
        <v>32</v>
      </c>
    </row>
    <row r="586" spans="1:24">
      <c r="A586" t="s">
        <v>724</v>
      </c>
      <c r="B586" s="2">
        <v>45795</v>
      </c>
      <c r="C586" s="2">
        <v>45797</v>
      </c>
      <c r="D586" s="5">
        <f>C586-B586</f>
        <v>2</v>
      </c>
      <c r="E586" s="5" t="str">
        <f>IF(D586&lt;0,"INVALID","OK")</f>
        <v>OK</v>
      </c>
      <c r="F586" t="s">
        <v>725</v>
      </c>
      <c r="G586" t="s">
        <v>161</v>
      </c>
      <c r="H586" t="s">
        <v>36</v>
      </c>
      <c r="I586" t="s">
        <v>24</v>
      </c>
      <c r="J586" t="s">
        <v>135</v>
      </c>
      <c r="K586" t="s">
        <v>136</v>
      </c>
      <c r="L586" t="s">
        <v>40</v>
      </c>
      <c r="M586" t="s">
        <v>56</v>
      </c>
      <c r="N586" t="s">
        <v>726</v>
      </c>
      <c r="O586" t="s">
        <v>49</v>
      </c>
      <c r="P586">
        <v>2</v>
      </c>
      <c r="Q586">
        <v>215.13</v>
      </c>
      <c r="R586">
        <v>0</v>
      </c>
      <c r="S586" t="str">
        <f t="shared" si="9"/>
        <v>OK</v>
      </c>
      <c r="T586">
        <v>430.26</v>
      </c>
      <c r="U586">
        <v>286.38</v>
      </c>
      <c r="V586">
        <v>143.88</v>
      </c>
      <c r="W586" t="s">
        <v>31</v>
      </c>
      <c r="X586" t="s">
        <v>32</v>
      </c>
    </row>
    <row r="587" spans="1:24">
      <c r="A587" t="s">
        <v>730</v>
      </c>
      <c r="B587" s="2">
        <v>45837</v>
      </c>
      <c r="C587" s="2">
        <v>45784</v>
      </c>
      <c r="D587" s="5">
        <f>C587-B587</f>
        <v>-53</v>
      </c>
      <c r="E587" s="5" t="str">
        <f>IF(D587&lt;0,"INVALID","OK")</f>
        <v>INVALID</v>
      </c>
      <c r="F587" t="s">
        <v>731</v>
      </c>
      <c r="G587" t="s">
        <v>161</v>
      </c>
      <c r="H587" t="s">
        <v>23</v>
      </c>
      <c r="I587" t="s">
        <v>24</v>
      </c>
      <c r="J587" t="s">
        <v>121</v>
      </c>
      <c r="K587" t="s">
        <v>122</v>
      </c>
      <c r="L587" t="s">
        <v>40</v>
      </c>
      <c r="M587" t="s">
        <v>65</v>
      </c>
      <c r="N587" t="s">
        <v>732</v>
      </c>
      <c r="O587" t="s">
        <v>43</v>
      </c>
      <c r="P587">
        <v>1</v>
      </c>
      <c r="Q587">
        <v>999.83</v>
      </c>
      <c r="R587">
        <v>0</v>
      </c>
      <c r="S587" t="str">
        <f t="shared" si="9"/>
        <v>OK</v>
      </c>
      <c r="T587">
        <v>999.83</v>
      </c>
      <c r="U587">
        <v>634.91</v>
      </c>
      <c r="V587">
        <v>364.92</v>
      </c>
      <c r="W587" t="s">
        <v>31</v>
      </c>
      <c r="X587" t="s">
        <v>32</v>
      </c>
    </row>
    <row r="588" spans="1:24">
      <c r="A588" t="s">
        <v>733</v>
      </c>
      <c r="B588" s="2">
        <v>45882</v>
      </c>
      <c r="C588" s="2">
        <v>45883</v>
      </c>
      <c r="D588" s="5">
        <f>C588-B588</f>
        <v>1</v>
      </c>
      <c r="E588" s="5" t="str">
        <f>IF(D588&lt;0,"INVALID","OK")</f>
        <v>OK</v>
      </c>
      <c r="F588" t="s">
        <v>734</v>
      </c>
      <c r="G588" t="s">
        <v>140</v>
      </c>
      <c r="H588" t="s">
        <v>36</v>
      </c>
      <c r="I588" t="s">
        <v>53</v>
      </c>
      <c r="J588" t="s">
        <v>83</v>
      </c>
      <c r="K588" t="s">
        <v>84</v>
      </c>
      <c r="L588" t="s">
        <v>27</v>
      </c>
      <c r="M588" t="s">
        <v>28</v>
      </c>
      <c r="N588" t="s">
        <v>735</v>
      </c>
      <c r="O588" t="s">
        <v>49</v>
      </c>
      <c r="P588">
        <v>9</v>
      </c>
      <c r="Q588">
        <v>864.98</v>
      </c>
      <c r="R588">
        <v>0.1</v>
      </c>
      <c r="S588" t="str">
        <f t="shared" si="9"/>
        <v>OK</v>
      </c>
      <c r="T588">
        <v>7006.34</v>
      </c>
      <c r="U588">
        <v>4640.88</v>
      </c>
      <c r="V588">
        <v>2365.46</v>
      </c>
      <c r="W588" t="s">
        <v>31</v>
      </c>
      <c r="X588" t="s">
        <v>32</v>
      </c>
    </row>
    <row r="589" spans="1:24">
      <c r="A589" t="s">
        <v>754</v>
      </c>
      <c r="B589" s="2">
        <v>45757</v>
      </c>
      <c r="C589" s="2">
        <v>45762</v>
      </c>
      <c r="D589" s="5">
        <f>C589-B589</f>
        <v>5</v>
      </c>
      <c r="E589" s="5" t="str">
        <f>IF(D589&lt;0,"INVALID","OK")</f>
        <v>OK</v>
      </c>
      <c r="F589" t="s">
        <v>755</v>
      </c>
      <c r="G589" t="s">
        <v>46</v>
      </c>
      <c r="H589" t="s">
        <v>23</v>
      </c>
      <c r="I589" t="s">
        <v>62</v>
      </c>
      <c r="J589" t="s">
        <v>179</v>
      </c>
      <c r="K589" t="s">
        <v>180</v>
      </c>
      <c r="L589" t="s">
        <v>40</v>
      </c>
      <c r="M589" t="s">
        <v>41</v>
      </c>
      <c r="N589" t="s">
        <v>756</v>
      </c>
      <c r="O589" t="s">
        <v>58</v>
      </c>
      <c r="P589">
        <v>8</v>
      </c>
      <c r="Q589">
        <v>1839.87</v>
      </c>
      <c r="R589">
        <v>0.25</v>
      </c>
      <c r="S589" t="str">
        <f t="shared" si="9"/>
        <v>OK</v>
      </c>
      <c r="T589">
        <v>11039.22</v>
      </c>
      <c r="U589">
        <v>7642.91</v>
      </c>
      <c r="V589">
        <v>3396.31</v>
      </c>
      <c r="W589" t="s">
        <v>154</v>
      </c>
      <c r="X589" t="s">
        <v>102</v>
      </c>
    </row>
    <row r="590" spans="1:24">
      <c r="A590" t="s">
        <v>757</v>
      </c>
      <c r="B590" s="2">
        <v>45661</v>
      </c>
      <c r="C590" s="2">
        <v>45755</v>
      </c>
      <c r="D590" s="5">
        <f>C590-B590</f>
        <v>94</v>
      </c>
      <c r="E590" s="5" t="str">
        <f>IF(D590&lt;0,"INVALID","OK")</f>
        <v>OK</v>
      </c>
      <c r="F590" t="s">
        <v>758</v>
      </c>
      <c r="G590" t="s">
        <v>88</v>
      </c>
      <c r="H590" t="s">
        <v>23</v>
      </c>
      <c r="I590" t="s">
        <v>37</v>
      </c>
      <c r="J590" t="s">
        <v>38</v>
      </c>
      <c r="K590" t="s">
        <v>39</v>
      </c>
      <c r="L590" t="s">
        <v>40</v>
      </c>
      <c r="M590" t="s">
        <v>157</v>
      </c>
      <c r="N590" t="s">
        <v>759</v>
      </c>
      <c r="O590" t="s">
        <v>30</v>
      </c>
      <c r="P590">
        <v>5</v>
      </c>
      <c r="Q590">
        <v>1021.28</v>
      </c>
      <c r="R590">
        <v>0.1</v>
      </c>
      <c r="S590" t="str">
        <f t="shared" si="9"/>
        <v>OK</v>
      </c>
      <c r="T590">
        <v>4595.76</v>
      </c>
      <c r="U590">
        <v>3396.8</v>
      </c>
      <c r="V590">
        <v>1198.96</v>
      </c>
      <c r="W590" t="s">
        <v>101</v>
      </c>
      <c r="X590" t="s">
        <v>67</v>
      </c>
    </row>
    <row r="591" spans="1:24">
      <c r="A591" t="s">
        <v>760</v>
      </c>
      <c r="B591" s="2">
        <v>45714</v>
      </c>
      <c r="C591" s="2">
        <v>45715</v>
      </c>
      <c r="D591" s="5">
        <f>C591-B591</f>
        <v>1</v>
      </c>
      <c r="E591" s="5" t="str">
        <f>IF(D591&lt;0,"INVALID","OK")</f>
        <v>OK</v>
      </c>
      <c r="F591" t="s">
        <v>761</v>
      </c>
      <c r="G591" t="s">
        <v>113</v>
      </c>
      <c r="H591" t="s">
        <v>89</v>
      </c>
      <c r="I591" t="s">
        <v>62</v>
      </c>
      <c r="J591" t="s">
        <v>179</v>
      </c>
      <c r="K591" t="s">
        <v>180</v>
      </c>
      <c r="L591" t="s">
        <v>40</v>
      </c>
      <c r="M591" t="s">
        <v>157</v>
      </c>
      <c r="N591" t="s">
        <v>762</v>
      </c>
      <c r="O591" t="s">
        <v>58</v>
      </c>
      <c r="P591">
        <v>5</v>
      </c>
      <c r="Q591">
        <v>258.27999999999997</v>
      </c>
      <c r="R591">
        <v>0</v>
      </c>
      <c r="S591" t="str">
        <f t="shared" si="9"/>
        <v>OK</v>
      </c>
      <c r="T591">
        <v>1291.4000000000001</v>
      </c>
      <c r="U591">
        <v>756.93</v>
      </c>
      <c r="V591">
        <v>534.47</v>
      </c>
      <c r="W591" t="s">
        <v>31</v>
      </c>
      <c r="X591" t="s">
        <v>32</v>
      </c>
    </row>
    <row r="592" spans="1:24">
      <c r="A592" t="s">
        <v>770</v>
      </c>
      <c r="B592" s="2">
        <v>45992</v>
      </c>
      <c r="C592" s="2">
        <v>45672</v>
      </c>
      <c r="D592" s="5">
        <f>C592-B592</f>
        <v>-320</v>
      </c>
      <c r="E592" s="5" t="str">
        <f>IF(D592&lt;0,"INVALID","OK")</f>
        <v>INVALID</v>
      </c>
      <c r="F592" t="s">
        <v>771</v>
      </c>
      <c r="G592" t="s">
        <v>35</v>
      </c>
      <c r="H592" t="s">
        <v>89</v>
      </c>
      <c r="I592" t="s">
        <v>53</v>
      </c>
      <c r="J592" t="s">
        <v>174</v>
      </c>
      <c r="K592" t="s">
        <v>175</v>
      </c>
      <c r="L592" t="s">
        <v>40</v>
      </c>
      <c r="M592" t="s">
        <v>65</v>
      </c>
      <c r="N592" t="s">
        <v>772</v>
      </c>
      <c r="O592" t="s">
        <v>43</v>
      </c>
      <c r="P592">
        <v>4</v>
      </c>
      <c r="Q592">
        <v>1531.53</v>
      </c>
      <c r="R592">
        <v>0.2</v>
      </c>
      <c r="S592" t="str">
        <f t="shared" si="9"/>
        <v>OK</v>
      </c>
      <c r="T592">
        <v>4900.8999999999996</v>
      </c>
      <c r="U592">
        <v>3552.69</v>
      </c>
      <c r="V592">
        <v>1348.21</v>
      </c>
      <c r="W592" t="s">
        <v>31</v>
      </c>
      <c r="X592" t="s">
        <v>32</v>
      </c>
    </row>
    <row r="593" spans="1:24">
      <c r="A593" t="s">
        <v>773</v>
      </c>
      <c r="B593" s="2">
        <v>45776</v>
      </c>
      <c r="C593" s="2">
        <v>45779</v>
      </c>
      <c r="D593" s="5">
        <f>C593-B593</f>
        <v>3</v>
      </c>
      <c r="E593" s="5" t="str">
        <f>IF(D593&lt;0,"INVALID","OK")</f>
        <v>OK</v>
      </c>
      <c r="F593" t="s">
        <v>774</v>
      </c>
      <c r="G593" t="s">
        <v>70</v>
      </c>
      <c r="H593" t="s">
        <v>36</v>
      </c>
      <c r="I593" t="s">
        <v>62</v>
      </c>
      <c r="J593" t="s">
        <v>189</v>
      </c>
      <c r="K593" t="s">
        <v>190</v>
      </c>
      <c r="L593" t="s">
        <v>27</v>
      </c>
      <c r="M593" t="s">
        <v>123</v>
      </c>
      <c r="N593" t="s">
        <v>775</v>
      </c>
      <c r="O593" t="s">
        <v>49</v>
      </c>
      <c r="P593">
        <v>6</v>
      </c>
      <c r="Q593">
        <v>4308.09</v>
      </c>
      <c r="R593">
        <v>0</v>
      </c>
      <c r="S593" t="str">
        <f t="shared" si="9"/>
        <v>OK</v>
      </c>
      <c r="T593">
        <v>25848.54</v>
      </c>
      <c r="U593">
        <v>17729.09</v>
      </c>
      <c r="V593">
        <v>8119.45</v>
      </c>
      <c r="W593" t="s">
        <v>31</v>
      </c>
      <c r="X593" t="s">
        <v>32</v>
      </c>
    </row>
    <row r="594" spans="1:24">
      <c r="A594" t="s">
        <v>776</v>
      </c>
      <c r="B594" s="2">
        <v>45707</v>
      </c>
      <c r="C594" s="2">
        <v>45714</v>
      </c>
      <c r="D594" s="5">
        <f>C594-B594</f>
        <v>7</v>
      </c>
      <c r="E594" s="5" t="str">
        <f>IF(D594&lt;0,"INVALID","OK")</f>
        <v>OK</v>
      </c>
      <c r="F594" t="s">
        <v>777</v>
      </c>
      <c r="G594" t="s">
        <v>35</v>
      </c>
      <c r="H594" t="s">
        <v>89</v>
      </c>
      <c r="I594" t="s">
        <v>62</v>
      </c>
      <c r="J594" t="s">
        <v>63</v>
      </c>
      <c r="K594" t="s">
        <v>64</v>
      </c>
      <c r="L594" t="s">
        <v>40</v>
      </c>
      <c r="M594" t="s">
        <v>56</v>
      </c>
      <c r="N594" t="s">
        <v>778</v>
      </c>
      <c r="O594" t="s">
        <v>49</v>
      </c>
      <c r="P594">
        <v>3</v>
      </c>
      <c r="Q594">
        <v>490.3</v>
      </c>
      <c r="R594">
        <v>0.2</v>
      </c>
      <c r="S594" t="str">
        <f t="shared" si="9"/>
        <v>OK</v>
      </c>
      <c r="T594">
        <v>1176.72</v>
      </c>
      <c r="U594">
        <v>654.33000000000004</v>
      </c>
      <c r="V594">
        <v>522.39</v>
      </c>
      <c r="W594" t="s">
        <v>110</v>
      </c>
      <c r="X594" t="s">
        <v>102</v>
      </c>
    </row>
    <row r="595" spans="1:24">
      <c r="A595" t="s">
        <v>779</v>
      </c>
      <c r="B595" s="2">
        <v>45932</v>
      </c>
      <c r="C595" s="2">
        <v>45938</v>
      </c>
      <c r="D595" s="5">
        <f>C595-B595</f>
        <v>6</v>
      </c>
      <c r="E595" s="5" t="str">
        <f>IF(D595&lt;0,"INVALID","OK")</f>
        <v>OK</v>
      </c>
      <c r="F595" t="s">
        <v>780</v>
      </c>
      <c r="G595" t="s">
        <v>46</v>
      </c>
      <c r="H595" t="s">
        <v>36</v>
      </c>
      <c r="I595" t="s">
        <v>24</v>
      </c>
      <c r="J595" t="s">
        <v>121</v>
      </c>
      <c r="K595" t="s">
        <v>122</v>
      </c>
      <c r="L595" t="s">
        <v>40</v>
      </c>
      <c r="M595" t="s">
        <v>56</v>
      </c>
      <c r="N595" t="s">
        <v>781</v>
      </c>
      <c r="O595" t="s">
        <v>58</v>
      </c>
      <c r="P595">
        <v>4</v>
      </c>
      <c r="Q595">
        <v>3944.64</v>
      </c>
      <c r="R595">
        <v>0.25</v>
      </c>
      <c r="S595" t="str">
        <f t="shared" si="9"/>
        <v>OK</v>
      </c>
      <c r="T595">
        <v>11833.92</v>
      </c>
      <c r="U595">
        <v>6682.92</v>
      </c>
      <c r="V595">
        <v>5151</v>
      </c>
      <c r="W595" t="s">
        <v>31</v>
      </c>
      <c r="X595" t="s">
        <v>67</v>
      </c>
    </row>
    <row r="596" spans="1:24">
      <c r="A596" t="s">
        <v>779</v>
      </c>
      <c r="B596" s="2">
        <v>45932</v>
      </c>
      <c r="C596" s="2">
        <v>45938</v>
      </c>
      <c r="D596" s="5">
        <f>C596-B596</f>
        <v>6</v>
      </c>
      <c r="E596" s="5" t="str">
        <f>IF(D596&lt;0,"INVALID","OK")</f>
        <v>OK</v>
      </c>
      <c r="F596" t="s">
        <v>780</v>
      </c>
      <c r="G596" t="s">
        <v>46</v>
      </c>
      <c r="H596" t="s">
        <v>36</v>
      </c>
      <c r="I596" t="s">
        <v>24</v>
      </c>
      <c r="J596" t="s">
        <v>121</v>
      </c>
      <c r="K596" t="s">
        <v>122</v>
      </c>
      <c r="L596" t="s">
        <v>40</v>
      </c>
      <c r="M596" t="s">
        <v>56</v>
      </c>
      <c r="N596" t="s">
        <v>781</v>
      </c>
      <c r="O596" t="s">
        <v>58</v>
      </c>
      <c r="P596">
        <v>4</v>
      </c>
      <c r="Q596">
        <v>3944.64</v>
      </c>
      <c r="R596">
        <v>0.25</v>
      </c>
      <c r="S596" t="str">
        <f t="shared" si="9"/>
        <v>OK</v>
      </c>
      <c r="T596">
        <v>12116.89</v>
      </c>
      <c r="U596">
        <v>6682.92</v>
      </c>
      <c r="V596">
        <v>5151</v>
      </c>
      <c r="W596" t="s">
        <v>31</v>
      </c>
      <c r="X596" t="s">
        <v>102</v>
      </c>
    </row>
    <row r="597" spans="1:24">
      <c r="A597" t="s">
        <v>785</v>
      </c>
      <c r="B597" s="2">
        <v>45934</v>
      </c>
      <c r="C597" s="2">
        <v>45762</v>
      </c>
      <c r="D597" s="5">
        <f>C597-B597</f>
        <v>-172</v>
      </c>
      <c r="E597" s="5" t="str">
        <f>IF(D597&lt;0,"INVALID","OK")</f>
        <v>INVALID</v>
      </c>
      <c r="F597" t="s">
        <v>786</v>
      </c>
      <c r="G597" t="s">
        <v>161</v>
      </c>
      <c r="H597" t="s">
        <v>94</v>
      </c>
      <c r="I597" t="s">
        <v>2762</v>
      </c>
      <c r="J597" t="s">
        <v>184</v>
      </c>
      <c r="K597" t="s">
        <v>185</v>
      </c>
      <c r="L597" t="s">
        <v>73</v>
      </c>
      <c r="M597" t="s">
        <v>79</v>
      </c>
      <c r="N597" t="s">
        <v>787</v>
      </c>
      <c r="O597" t="s">
        <v>43</v>
      </c>
      <c r="P597">
        <v>1</v>
      </c>
      <c r="Q597">
        <v>2208.27</v>
      </c>
      <c r="R597">
        <v>0.1</v>
      </c>
      <c r="S597" t="str">
        <f t="shared" si="9"/>
        <v>OK</v>
      </c>
      <c r="T597">
        <v>1987.44</v>
      </c>
      <c r="U597">
        <v>1110.23</v>
      </c>
      <c r="V597">
        <v>877.21</v>
      </c>
      <c r="W597" t="s">
        <v>31</v>
      </c>
      <c r="X597" t="s">
        <v>32</v>
      </c>
    </row>
    <row r="598" spans="1:24">
      <c r="A598" t="s">
        <v>794</v>
      </c>
      <c r="B598" s="2">
        <v>45836</v>
      </c>
      <c r="C598" s="2">
        <v>45842</v>
      </c>
      <c r="D598" s="5">
        <f>C598-B598</f>
        <v>6</v>
      </c>
      <c r="E598" s="5" t="str">
        <f>IF(D598&lt;0,"INVALID","OK")</f>
        <v>OK</v>
      </c>
      <c r="F598" t="s">
        <v>795</v>
      </c>
      <c r="G598" t="s">
        <v>140</v>
      </c>
      <c r="H598" t="s">
        <v>23</v>
      </c>
      <c r="I598" t="s">
        <v>53</v>
      </c>
      <c r="J598" t="s">
        <v>54</v>
      </c>
      <c r="K598" t="s">
        <v>55</v>
      </c>
      <c r="L598" t="s">
        <v>40</v>
      </c>
      <c r="M598" t="s">
        <v>157</v>
      </c>
      <c r="N598" t="s">
        <v>796</v>
      </c>
      <c r="O598" t="s">
        <v>49</v>
      </c>
      <c r="P598">
        <v>3</v>
      </c>
      <c r="Q598">
        <v>2886.23</v>
      </c>
      <c r="R598">
        <v>0</v>
      </c>
      <c r="S598" t="str">
        <f t="shared" si="9"/>
        <v>OK</v>
      </c>
      <c r="T598">
        <v>8658.69</v>
      </c>
      <c r="U598">
        <v>5535.94</v>
      </c>
      <c r="V598">
        <v>3122.75</v>
      </c>
      <c r="W598" t="s">
        <v>101</v>
      </c>
      <c r="X598" t="s">
        <v>102</v>
      </c>
    </row>
    <row r="599" spans="1:24">
      <c r="A599" t="s">
        <v>803</v>
      </c>
      <c r="B599" s="2">
        <v>45812</v>
      </c>
      <c r="C599" s="2">
        <v>45818</v>
      </c>
      <c r="D599" s="5">
        <f>C599-B599</f>
        <v>6</v>
      </c>
      <c r="E599" s="5" t="str">
        <f>IF(D599&lt;0,"INVALID","OK")</f>
        <v>OK</v>
      </c>
      <c r="F599" t="s">
        <v>804</v>
      </c>
      <c r="G599" t="s">
        <v>117</v>
      </c>
      <c r="H599" t="s">
        <v>23</v>
      </c>
      <c r="I599" t="s">
        <v>53</v>
      </c>
      <c r="J599" t="s">
        <v>83</v>
      </c>
      <c r="K599" t="s">
        <v>84</v>
      </c>
      <c r="L599" t="s">
        <v>73</v>
      </c>
      <c r="M599" t="s">
        <v>170</v>
      </c>
      <c r="N599" t="s">
        <v>805</v>
      </c>
      <c r="O599" t="s">
        <v>58</v>
      </c>
      <c r="P599">
        <v>4</v>
      </c>
      <c r="Q599">
        <v>223.37</v>
      </c>
      <c r="R599">
        <v>0.25</v>
      </c>
      <c r="S599" t="str">
        <f t="shared" si="9"/>
        <v>OK</v>
      </c>
      <c r="T599">
        <v>670.11</v>
      </c>
      <c r="U599">
        <v>559.57000000000005</v>
      </c>
      <c r="V599">
        <v>110.54</v>
      </c>
      <c r="W599" t="s">
        <v>31</v>
      </c>
      <c r="X599" t="s">
        <v>32</v>
      </c>
    </row>
    <row r="600" spans="1:24">
      <c r="A600" t="s">
        <v>830</v>
      </c>
      <c r="B600" s="2">
        <v>45844</v>
      </c>
      <c r="C600" s="2">
        <v>45815</v>
      </c>
      <c r="D600" s="5">
        <f>C600-B600</f>
        <v>-29</v>
      </c>
      <c r="E600" s="5" t="str">
        <f>IF(D600&lt;0,"INVALID","OK")</f>
        <v>INVALID</v>
      </c>
      <c r="F600" t="s">
        <v>831</v>
      </c>
      <c r="G600" t="s">
        <v>131</v>
      </c>
      <c r="H600" t="s">
        <v>89</v>
      </c>
      <c r="I600" t="s">
        <v>24</v>
      </c>
      <c r="J600" t="s">
        <v>235</v>
      </c>
      <c r="K600" t="s">
        <v>236</v>
      </c>
      <c r="L600" t="s">
        <v>27</v>
      </c>
      <c r="M600" t="s">
        <v>123</v>
      </c>
      <c r="N600" t="s">
        <v>832</v>
      </c>
      <c r="O600" t="s">
        <v>58</v>
      </c>
      <c r="P600">
        <v>1</v>
      </c>
      <c r="Q600">
        <v>1617.2</v>
      </c>
      <c r="R600">
        <v>0.25</v>
      </c>
      <c r="S600" t="str">
        <f t="shared" si="9"/>
        <v>OK</v>
      </c>
      <c r="T600">
        <v>1212.9000000000001</v>
      </c>
      <c r="U600">
        <v>690.52</v>
      </c>
      <c r="V600">
        <v>522.38</v>
      </c>
      <c r="W600" t="s">
        <v>110</v>
      </c>
      <c r="X600" t="s">
        <v>102</v>
      </c>
    </row>
    <row r="601" spans="1:24">
      <c r="A601" t="s">
        <v>833</v>
      </c>
      <c r="B601" s="2">
        <v>45695</v>
      </c>
      <c r="C601" s="2">
        <v>45695</v>
      </c>
      <c r="D601" s="5">
        <f>C601-B601</f>
        <v>0</v>
      </c>
      <c r="E601" s="5" t="str">
        <f>IF(D601&lt;0,"INVALID","OK")</f>
        <v>OK</v>
      </c>
      <c r="F601" t="s">
        <v>834</v>
      </c>
      <c r="G601" t="s">
        <v>52</v>
      </c>
      <c r="H601" t="s">
        <v>23</v>
      </c>
      <c r="I601" t="s">
        <v>24</v>
      </c>
      <c r="J601" t="s">
        <v>135</v>
      </c>
      <c r="K601" t="s">
        <v>136</v>
      </c>
      <c r="L601" t="s">
        <v>27</v>
      </c>
      <c r="M601" t="s">
        <v>47</v>
      </c>
      <c r="N601" t="s">
        <v>835</v>
      </c>
      <c r="O601" t="s">
        <v>30</v>
      </c>
      <c r="P601">
        <v>3</v>
      </c>
      <c r="Q601">
        <v>1999.24</v>
      </c>
      <c r="R601">
        <v>0.05</v>
      </c>
      <c r="S601" t="str">
        <f t="shared" si="9"/>
        <v>OK</v>
      </c>
      <c r="T601">
        <v>5697.83</v>
      </c>
      <c r="U601">
        <v>4251.5</v>
      </c>
      <c r="V601">
        <v>1446.33</v>
      </c>
      <c r="W601" t="s">
        <v>31</v>
      </c>
      <c r="X601" t="s">
        <v>32</v>
      </c>
    </row>
    <row r="602" spans="1:24">
      <c r="A602" t="s">
        <v>836</v>
      </c>
      <c r="B602" s="2">
        <v>45867</v>
      </c>
      <c r="C602" s="2">
        <v>45871</v>
      </c>
      <c r="D602" s="5">
        <f>C602-B602</f>
        <v>4</v>
      </c>
      <c r="E602" s="5" t="str">
        <f>IF(D602&lt;0,"INVALID","OK")</f>
        <v>OK</v>
      </c>
      <c r="F602" t="s">
        <v>837</v>
      </c>
      <c r="G602" t="s">
        <v>131</v>
      </c>
      <c r="H602" t="s">
        <v>36</v>
      </c>
      <c r="I602" t="s">
        <v>2762</v>
      </c>
      <c r="J602" t="s">
        <v>71</v>
      </c>
      <c r="K602" t="s">
        <v>72</v>
      </c>
      <c r="L602" t="s">
        <v>73</v>
      </c>
      <c r="M602" t="s">
        <v>74</v>
      </c>
      <c r="N602" t="s">
        <v>838</v>
      </c>
      <c r="O602" t="s">
        <v>49</v>
      </c>
      <c r="P602">
        <v>1</v>
      </c>
      <c r="Q602">
        <v>4499.46</v>
      </c>
      <c r="R602">
        <v>0.1</v>
      </c>
      <c r="S602" t="str">
        <f t="shared" si="9"/>
        <v>OK</v>
      </c>
      <c r="T602">
        <v>4049.51</v>
      </c>
      <c r="U602">
        <v>2509.1999999999998</v>
      </c>
      <c r="V602">
        <v>1540.31</v>
      </c>
      <c r="W602" t="s">
        <v>31</v>
      </c>
      <c r="X602" t="s">
        <v>32</v>
      </c>
    </row>
    <row r="603" spans="1:24">
      <c r="A603" t="s">
        <v>854</v>
      </c>
      <c r="B603" s="2">
        <v>45870</v>
      </c>
      <c r="C603" s="2">
        <v>45871</v>
      </c>
      <c r="D603" s="5">
        <f>C603-B603</f>
        <v>1</v>
      </c>
      <c r="E603" s="5" t="str">
        <f>IF(D603&lt;0,"INVALID","OK")</f>
        <v>OK</v>
      </c>
      <c r="F603" t="s">
        <v>855</v>
      </c>
      <c r="G603" t="s">
        <v>35</v>
      </c>
      <c r="H603" t="s">
        <v>89</v>
      </c>
      <c r="I603" t="s">
        <v>24</v>
      </c>
      <c r="J603" t="s">
        <v>25</v>
      </c>
      <c r="K603" t="s">
        <v>26</v>
      </c>
      <c r="L603" t="s">
        <v>40</v>
      </c>
      <c r="M603" t="s">
        <v>56</v>
      </c>
      <c r="N603" t="s">
        <v>856</v>
      </c>
      <c r="O603" t="s">
        <v>49</v>
      </c>
      <c r="P603">
        <v>4</v>
      </c>
      <c r="Q603">
        <v>2790.29</v>
      </c>
      <c r="R603">
        <v>0.2</v>
      </c>
      <c r="S603" t="str">
        <f t="shared" si="9"/>
        <v>OK</v>
      </c>
      <c r="T603">
        <v>8928.93</v>
      </c>
      <c r="U603">
        <v>5634.38</v>
      </c>
      <c r="V603">
        <v>3294.55</v>
      </c>
      <c r="W603" t="s">
        <v>31</v>
      </c>
      <c r="X603" t="s">
        <v>32</v>
      </c>
    </row>
    <row r="604" spans="1:24">
      <c r="A604" t="s">
        <v>860</v>
      </c>
      <c r="B604" s="2">
        <v>45753</v>
      </c>
      <c r="C604" s="2">
        <v>45757</v>
      </c>
      <c r="D604" s="5">
        <f>C604-B604</f>
        <v>4</v>
      </c>
      <c r="E604" s="5" t="str">
        <f>IF(D604&lt;0,"INVALID","OK")</f>
        <v>OK</v>
      </c>
      <c r="F604" t="s">
        <v>861</v>
      </c>
      <c r="G604" t="s">
        <v>61</v>
      </c>
      <c r="H604" t="s">
        <v>89</v>
      </c>
      <c r="I604" t="s">
        <v>62</v>
      </c>
      <c r="J604" t="s">
        <v>179</v>
      </c>
      <c r="K604" t="s">
        <v>180</v>
      </c>
      <c r="L604" t="s">
        <v>40</v>
      </c>
      <c r="M604" t="s">
        <v>41</v>
      </c>
      <c r="N604" t="s">
        <v>862</v>
      </c>
      <c r="O604" t="s">
        <v>30</v>
      </c>
      <c r="P604">
        <v>6</v>
      </c>
      <c r="Q604">
        <v>1022.16</v>
      </c>
      <c r="R604">
        <v>0</v>
      </c>
      <c r="S604" t="str">
        <f t="shared" si="9"/>
        <v>OK</v>
      </c>
      <c r="T604">
        <v>6132.96</v>
      </c>
      <c r="U604">
        <v>4881.1000000000004</v>
      </c>
      <c r="V604">
        <v>1251.8599999999999</v>
      </c>
      <c r="W604" t="s">
        <v>31</v>
      </c>
      <c r="X604" t="s">
        <v>32</v>
      </c>
    </row>
    <row r="605" spans="1:24">
      <c r="A605" t="s">
        <v>863</v>
      </c>
      <c r="B605" s="2">
        <v>45833</v>
      </c>
      <c r="C605" s="2">
        <v>45836</v>
      </c>
      <c r="D605" s="5">
        <f>C605-B605</f>
        <v>3</v>
      </c>
      <c r="E605" s="5" t="str">
        <f>IF(D605&lt;0,"INVALID","OK")</f>
        <v>OK</v>
      </c>
      <c r="F605" t="s">
        <v>864</v>
      </c>
      <c r="G605" t="s">
        <v>52</v>
      </c>
      <c r="H605" t="s">
        <v>89</v>
      </c>
      <c r="I605" t="s">
        <v>24</v>
      </c>
      <c r="J605" t="s">
        <v>235</v>
      </c>
      <c r="K605" t="s">
        <v>236</v>
      </c>
      <c r="L605" t="s">
        <v>27</v>
      </c>
      <c r="M605" t="s">
        <v>123</v>
      </c>
      <c r="N605" t="s">
        <v>865</v>
      </c>
      <c r="O605" t="s">
        <v>49</v>
      </c>
      <c r="P605">
        <v>2</v>
      </c>
      <c r="Q605">
        <v>1455.92</v>
      </c>
      <c r="R605">
        <v>0.2</v>
      </c>
      <c r="S605" t="str">
        <f t="shared" si="9"/>
        <v>OK</v>
      </c>
      <c r="T605">
        <v>2329.4699999999998</v>
      </c>
      <c r="U605">
        <v>1603.62</v>
      </c>
      <c r="V605">
        <v>725.85</v>
      </c>
      <c r="W605" t="s">
        <v>110</v>
      </c>
      <c r="X605" t="s">
        <v>102</v>
      </c>
    </row>
    <row r="606" spans="1:24">
      <c r="A606" t="s">
        <v>869</v>
      </c>
      <c r="B606" s="2">
        <v>45658</v>
      </c>
      <c r="C606" s="2">
        <v>45717</v>
      </c>
      <c r="D606" s="5">
        <f>C606-B606</f>
        <v>59</v>
      </c>
      <c r="E606" s="5" t="str">
        <f>IF(D606&lt;0,"INVALID","OK")</f>
        <v>OK</v>
      </c>
      <c r="F606" t="s">
        <v>870</v>
      </c>
      <c r="G606" t="s">
        <v>61</v>
      </c>
      <c r="H606" t="s">
        <v>23</v>
      </c>
      <c r="I606" t="s">
        <v>62</v>
      </c>
      <c r="J606" t="s">
        <v>71</v>
      </c>
      <c r="K606" t="s">
        <v>72</v>
      </c>
      <c r="L606" t="s">
        <v>73</v>
      </c>
      <c r="M606" t="s">
        <v>74</v>
      </c>
      <c r="N606" t="s">
        <v>871</v>
      </c>
      <c r="O606" t="s">
        <v>43</v>
      </c>
      <c r="P606">
        <v>7</v>
      </c>
      <c r="Q606">
        <v>1000.55</v>
      </c>
      <c r="R606">
        <v>0.2</v>
      </c>
      <c r="S606" t="str">
        <f t="shared" si="9"/>
        <v>OK</v>
      </c>
      <c r="T606">
        <v>5603.08</v>
      </c>
      <c r="U606">
        <v>3132.52</v>
      </c>
      <c r="V606">
        <v>2470.56</v>
      </c>
      <c r="W606" t="s">
        <v>31</v>
      </c>
      <c r="X606" t="s">
        <v>102</v>
      </c>
    </row>
    <row r="607" spans="1:24">
      <c r="A607" t="s">
        <v>872</v>
      </c>
      <c r="B607" s="2">
        <v>45692</v>
      </c>
      <c r="C607" s="2">
        <v>45698</v>
      </c>
      <c r="D607" s="5">
        <f>C607-B607</f>
        <v>6</v>
      </c>
      <c r="E607" s="5" t="str">
        <f>IF(D607&lt;0,"INVALID","OK")</f>
        <v>OK</v>
      </c>
      <c r="F607" t="s">
        <v>873</v>
      </c>
      <c r="G607" t="s">
        <v>46</v>
      </c>
      <c r="H607" t="s">
        <v>89</v>
      </c>
      <c r="I607" t="s">
        <v>62</v>
      </c>
      <c r="J607" t="s">
        <v>63</v>
      </c>
      <c r="K607" t="s">
        <v>64</v>
      </c>
      <c r="L607" t="s">
        <v>73</v>
      </c>
      <c r="M607" t="s">
        <v>170</v>
      </c>
      <c r="N607" t="s">
        <v>874</v>
      </c>
      <c r="O607" t="s">
        <v>49</v>
      </c>
      <c r="P607">
        <v>7</v>
      </c>
      <c r="Q607">
        <v>1830</v>
      </c>
      <c r="R607">
        <v>0</v>
      </c>
      <c r="S607" t="str">
        <f t="shared" si="9"/>
        <v>OK</v>
      </c>
      <c r="T607">
        <v>12810</v>
      </c>
      <c r="U607">
        <v>9334.1200000000008</v>
      </c>
      <c r="V607">
        <v>3475.88</v>
      </c>
      <c r="W607" t="s">
        <v>31</v>
      </c>
      <c r="X607" t="s">
        <v>32</v>
      </c>
    </row>
    <row r="608" spans="1:24">
      <c r="A608" t="s">
        <v>878</v>
      </c>
      <c r="B608" s="2">
        <v>45878</v>
      </c>
      <c r="C608" s="2">
        <v>45881</v>
      </c>
      <c r="D608" s="5">
        <f>C608-B608</f>
        <v>3</v>
      </c>
      <c r="E608" s="5" t="str">
        <f>IF(D608&lt;0,"INVALID","OK")</f>
        <v>OK</v>
      </c>
      <c r="F608" t="s">
        <v>879</v>
      </c>
      <c r="G608" t="s">
        <v>161</v>
      </c>
      <c r="H608" t="s">
        <v>89</v>
      </c>
      <c r="I608" t="s">
        <v>53</v>
      </c>
      <c r="J608" t="s">
        <v>174</v>
      </c>
      <c r="K608" t="s">
        <v>175</v>
      </c>
      <c r="L608" t="s">
        <v>73</v>
      </c>
      <c r="M608" t="s">
        <v>74</v>
      </c>
      <c r="N608" t="s">
        <v>880</v>
      </c>
      <c r="O608" t="s">
        <v>30</v>
      </c>
      <c r="P608">
        <v>2</v>
      </c>
      <c r="Q608">
        <v>3237.27</v>
      </c>
      <c r="R608">
        <v>0</v>
      </c>
      <c r="S608" t="str">
        <f t="shared" si="9"/>
        <v>OK</v>
      </c>
      <c r="T608">
        <v>6474.54</v>
      </c>
      <c r="U608">
        <v>5095.91</v>
      </c>
      <c r="V608">
        <v>1378.63</v>
      </c>
      <c r="W608" t="s">
        <v>31</v>
      </c>
      <c r="X608" t="s">
        <v>67</v>
      </c>
    </row>
    <row r="609" spans="1:24">
      <c r="A609" t="s">
        <v>887</v>
      </c>
      <c r="B609" s="2">
        <v>45923</v>
      </c>
      <c r="C609" s="2">
        <v>45927</v>
      </c>
      <c r="D609" s="5">
        <f>C609-B609</f>
        <v>4</v>
      </c>
      <c r="E609" s="5" t="str">
        <f>IF(D609&lt;0,"INVALID","OK")</f>
        <v>OK</v>
      </c>
      <c r="F609" t="s">
        <v>888</v>
      </c>
      <c r="G609" t="s">
        <v>88</v>
      </c>
      <c r="H609" t="s">
        <v>89</v>
      </c>
      <c r="I609" t="s">
        <v>37</v>
      </c>
      <c r="J609" t="s">
        <v>98</v>
      </c>
      <c r="K609" t="s">
        <v>99</v>
      </c>
      <c r="L609" t="s">
        <v>27</v>
      </c>
      <c r="M609" t="s">
        <v>152</v>
      </c>
      <c r="N609" t="s">
        <v>889</v>
      </c>
      <c r="O609" t="s">
        <v>43</v>
      </c>
      <c r="P609">
        <v>7</v>
      </c>
      <c r="Q609">
        <v>2897.12</v>
      </c>
      <c r="R609">
        <v>0.25</v>
      </c>
      <c r="S609" t="str">
        <f t="shared" si="9"/>
        <v>OK</v>
      </c>
      <c r="T609">
        <v>15209.88</v>
      </c>
      <c r="U609">
        <v>10891.15</v>
      </c>
      <c r="V609">
        <v>4318.7299999999996</v>
      </c>
      <c r="W609" t="s">
        <v>154</v>
      </c>
      <c r="X609" t="s">
        <v>102</v>
      </c>
    </row>
    <row r="610" spans="1:24">
      <c r="A610" t="s">
        <v>890</v>
      </c>
      <c r="B610" s="2">
        <v>45826</v>
      </c>
      <c r="C610" s="2">
        <v>45832</v>
      </c>
      <c r="D610" s="5">
        <f>C610-B610</f>
        <v>6</v>
      </c>
      <c r="E610" s="5" t="str">
        <f>IF(D610&lt;0,"INVALID","OK")</f>
        <v>OK</v>
      </c>
      <c r="F610" t="s">
        <v>891</v>
      </c>
      <c r="G610" t="s">
        <v>131</v>
      </c>
      <c r="H610" t="s">
        <v>89</v>
      </c>
      <c r="I610" t="s">
        <v>24</v>
      </c>
      <c r="J610" t="s">
        <v>25</v>
      </c>
      <c r="K610" t="s">
        <v>26</v>
      </c>
      <c r="L610" t="s">
        <v>27</v>
      </c>
      <c r="M610" t="s">
        <v>90</v>
      </c>
      <c r="N610" t="s">
        <v>892</v>
      </c>
      <c r="O610" t="s">
        <v>58</v>
      </c>
      <c r="P610">
        <v>3</v>
      </c>
      <c r="Q610">
        <v>686.74</v>
      </c>
      <c r="R610">
        <v>0.2</v>
      </c>
      <c r="S610" t="str">
        <f t="shared" si="9"/>
        <v>OK</v>
      </c>
      <c r="T610">
        <v>1648.18</v>
      </c>
      <c r="U610">
        <v>987.91</v>
      </c>
      <c r="V610">
        <v>660.27</v>
      </c>
      <c r="W610" t="s">
        <v>154</v>
      </c>
      <c r="X610" t="s">
        <v>67</v>
      </c>
    </row>
    <row r="611" spans="1:24">
      <c r="A611" t="s">
        <v>893</v>
      </c>
      <c r="B611" s="2">
        <v>45803</v>
      </c>
      <c r="C611" s="2">
        <v>45809</v>
      </c>
      <c r="D611" s="5">
        <f>C611-B611</f>
        <v>6</v>
      </c>
      <c r="E611" s="5" t="str">
        <f>IF(D611&lt;0,"INVALID","OK")</f>
        <v>OK</v>
      </c>
      <c r="F611" t="s">
        <v>628</v>
      </c>
      <c r="G611" t="s">
        <v>52</v>
      </c>
      <c r="H611" t="s">
        <v>36</v>
      </c>
      <c r="I611" t="s">
        <v>24</v>
      </c>
      <c r="J611" t="s">
        <v>349</v>
      </c>
      <c r="K611" t="s">
        <v>350</v>
      </c>
      <c r="L611" t="s">
        <v>73</v>
      </c>
      <c r="M611" t="s">
        <v>170</v>
      </c>
      <c r="N611" t="s">
        <v>894</v>
      </c>
      <c r="O611" t="s">
        <v>43</v>
      </c>
      <c r="P611">
        <v>4</v>
      </c>
      <c r="Q611">
        <v>3349.86</v>
      </c>
      <c r="R611">
        <v>0</v>
      </c>
      <c r="S611" t="str">
        <f t="shared" si="9"/>
        <v>OK</v>
      </c>
      <c r="T611">
        <v>13399.44</v>
      </c>
      <c r="U611">
        <v>8581.35</v>
      </c>
      <c r="V611">
        <v>4818.09</v>
      </c>
      <c r="W611" t="s">
        <v>110</v>
      </c>
      <c r="X611" t="s">
        <v>102</v>
      </c>
    </row>
    <row r="612" spans="1:24">
      <c r="A612" t="s">
        <v>895</v>
      </c>
      <c r="B612" s="2">
        <v>45875</v>
      </c>
      <c r="C612" s="2">
        <v>45938</v>
      </c>
      <c r="D612" s="5">
        <f>C612-B612</f>
        <v>63</v>
      </c>
      <c r="E612" s="5" t="str">
        <f>IF(D612&lt;0,"INVALID","OK")</f>
        <v>OK</v>
      </c>
      <c r="F612" t="s">
        <v>896</v>
      </c>
      <c r="G612" t="s">
        <v>140</v>
      </c>
      <c r="H612" t="s">
        <v>36</v>
      </c>
      <c r="I612" t="s">
        <v>24</v>
      </c>
      <c r="J612" t="s">
        <v>349</v>
      </c>
      <c r="K612" t="s">
        <v>350</v>
      </c>
      <c r="L612" t="s">
        <v>27</v>
      </c>
      <c r="M612" t="s">
        <v>152</v>
      </c>
      <c r="N612" t="s">
        <v>897</v>
      </c>
      <c r="O612" t="s">
        <v>30</v>
      </c>
      <c r="P612">
        <v>9</v>
      </c>
      <c r="Q612">
        <v>4042.45</v>
      </c>
      <c r="R612">
        <v>0.1</v>
      </c>
      <c r="S612" t="str">
        <f t="shared" si="9"/>
        <v>OK</v>
      </c>
      <c r="T612">
        <v>32743.84</v>
      </c>
      <c r="U612">
        <v>22452.05</v>
      </c>
      <c r="V612">
        <v>10291.790000000001</v>
      </c>
      <c r="W612" t="s">
        <v>110</v>
      </c>
      <c r="X612" t="s">
        <v>102</v>
      </c>
    </row>
    <row r="613" spans="1:24">
      <c r="A613" t="s">
        <v>904</v>
      </c>
      <c r="B613" s="2">
        <v>45780</v>
      </c>
      <c r="C613" s="2">
        <v>45787</v>
      </c>
      <c r="D613" s="5">
        <f>C613-B613</f>
        <v>7</v>
      </c>
      <c r="E613" s="5" t="str">
        <f>IF(D613&lt;0,"INVALID","OK")</f>
        <v>OK</v>
      </c>
      <c r="F613" t="s">
        <v>905</v>
      </c>
      <c r="G613" t="s">
        <v>78</v>
      </c>
      <c r="H613" t="s">
        <v>94</v>
      </c>
      <c r="I613" t="s">
        <v>62</v>
      </c>
      <c r="J613" t="s">
        <v>63</v>
      </c>
      <c r="K613" t="s">
        <v>64</v>
      </c>
      <c r="L613" t="s">
        <v>27</v>
      </c>
      <c r="M613" t="s">
        <v>123</v>
      </c>
      <c r="N613" t="s">
        <v>906</v>
      </c>
      <c r="O613" t="s">
        <v>30</v>
      </c>
      <c r="P613">
        <v>3</v>
      </c>
      <c r="Q613">
        <v>4339.24</v>
      </c>
      <c r="R613">
        <v>0</v>
      </c>
      <c r="S613" t="str">
        <f t="shared" si="9"/>
        <v>OK</v>
      </c>
      <c r="T613">
        <v>13017.72</v>
      </c>
      <c r="U613">
        <v>10170.57</v>
      </c>
      <c r="V613">
        <v>2847.15</v>
      </c>
      <c r="W613" t="s">
        <v>31</v>
      </c>
      <c r="X613" t="s">
        <v>32</v>
      </c>
    </row>
    <row r="614" spans="1:24">
      <c r="A614" t="s">
        <v>907</v>
      </c>
      <c r="B614" s="2">
        <v>45805</v>
      </c>
      <c r="C614" s="2">
        <v>45753</v>
      </c>
      <c r="D614" s="5">
        <f>C614-B614</f>
        <v>-52</v>
      </c>
      <c r="E614" s="5" t="str">
        <f>IF(D614&lt;0,"INVALID","OK")</f>
        <v>INVALID</v>
      </c>
      <c r="F614" t="s">
        <v>908</v>
      </c>
      <c r="G614" t="s">
        <v>161</v>
      </c>
      <c r="H614" t="s">
        <v>89</v>
      </c>
      <c r="I614" t="s">
        <v>37</v>
      </c>
      <c r="J614" t="s">
        <v>227</v>
      </c>
      <c r="K614" t="s">
        <v>228</v>
      </c>
      <c r="L614" t="s">
        <v>40</v>
      </c>
      <c r="M614" t="s">
        <v>56</v>
      </c>
      <c r="N614" t="s">
        <v>909</v>
      </c>
      <c r="O614" t="s">
        <v>49</v>
      </c>
      <c r="P614">
        <v>4</v>
      </c>
      <c r="Q614">
        <v>261.8</v>
      </c>
      <c r="R614">
        <v>0.25</v>
      </c>
      <c r="S614" t="str">
        <f t="shared" si="9"/>
        <v>OK</v>
      </c>
      <c r="T614">
        <v>785.4</v>
      </c>
      <c r="U614">
        <v>557.22</v>
      </c>
      <c r="V614">
        <v>228.18</v>
      </c>
      <c r="W614" t="s">
        <v>31</v>
      </c>
      <c r="X614" t="s">
        <v>32</v>
      </c>
    </row>
    <row r="615" spans="1:24">
      <c r="A615" t="s">
        <v>910</v>
      </c>
      <c r="B615" s="2">
        <v>45886</v>
      </c>
      <c r="C615" s="2">
        <v>45886</v>
      </c>
      <c r="D615" s="5">
        <f>C615-B615</f>
        <v>0</v>
      </c>
      <c r="E615" s="5" t="str">
        <f>IF(D615&lt;0,"INVALID","OK")</f>
        <v>OK</v>
      </c>
      <c r="F615" t="s">
        <v>911</v>
      </c>
      <c r="G615" t="s">
        <v>127</v>
      </c>
      <c r="H615" t="s">
        <v>94</v>
      </c>
      <c r="I615" t="s">
        <v>24</v>
      </c>
      <c r="J615" t="s">
        <v>121</v>
      </c>
      <c r="K615" t="s">
        <v>122</v>
      </c>
      <c r="L615" t="s">
        <v>73</v>
      </c>
      <c r="M615" t="s">
        <v>74</v>
      </c>
      <c r="N615" t="s">
        <v>912</v>
      </c>
      <c r="O615" t="s">
        <v>49</v>
      </c>
      <c r="P615">
        <v>7</v>
      </c>
      <c r="Q615">
        <v>632.20000000000005</v>
      </c>
      <c r="R615">
        <v>0.25</v>
      </c>
      <c r="S615" t="str">
        <f t="shared" si="9"/>
        <v>OK</v>
      </c>
      <c r="T615">
        <v>3319.05</v>
      </c>
      <c r="U615">
        <v>2124.6</v>
      </c>
      <c r="V615">
        <v>1194.45</v>
      </c>
      <c r="W615" t="s">
        <v>31</v>
      </c>
      <c r="X615" t="s">
        <v>32</v>
      </c>
    </row>
    <row r="616" spans="1:24">
      <c r="A616" t="s">
        <v>913</v>
      </c>
      <c r="B616" s="2">
        <v>45698</v>
      </c>
      <c r="C616" s="2">
        <v>45700</v>
      </c>
      <c r="D616" s="5">
        <f>C616-B616</f>
        <v>2</v>
      </c>
      <c r="E616" s="5" t="str">
        <f>IF(D616&lt;0,"INVALID","OK")</f>
        <v>OK</v>
      </c>
      <c r="F616" t="s">
        <v>914</v>
      </c>
      <c r="G616" t="s">
        <v>117</v>
      </c>
      <c r="H616" t="s">
        <v>36</v>
      </c>
      <c r="I616" t="s">
        <v>62</v>
      </c>
      <c r="J616" t="s">
        <v>25</v>
      </c>
      <c r="K616" t="s">
        <v>108</v>
      </c>
      <c r="L616" t="s">
        <v>40</v>
      </c>
      <c r="M616" t="s">
        <v>41</v>
      </c>
      <c r="N616" t="s">
        <v>915</v>
      </c>
      <c r="O616" t="s">
        <v>43</v>
      </c>
      <c r="P616">
        <v>1</v>
      </c>
      <c r="Q616">
        <v>1925.86</v>
      </c>
      <c r="R616">
        <v>0</v>
      </c>
      <c r="S616" t="str">
        <f t="shared" si="9"/>
        <v>OK</v>
      </c>
      <c r="T616">
        <v>1925.86</v>
      </c>
      <c r="U616">
        <v>1321.89</v>
      </c>
      <c r="V616">
        <v>603.97</v>
      </c>
      <c r="W616" t="s">
        <v>31</v>
      </c>
      <c r="X616" t="s">
        <v>32</v>
      </c>
    </row>
    <row r="617" spans="1:24">
      <c r="A617" t="s">
        <v>925</v>
      </c>
      <c r="B617" s="2">
        <v>45701</v>
      </c>
      <c r="C617" s="2">
        <v>45701</v>
      </c>
      <c r="D617" s="5">
        <f>C617-B617</f>
        <v>0</v>
      </c>
      <c r="E617" s="5" t="str">
        <f>IF(D617&lt;0,"INVALID","OK")</f>
        <v>OK</v>
      </c>
      <c r="F617" t="s">
        <v>926</v>
      </c>
      <c r="G617" t="s">
        <v>46</v>
      </c>
      <c r="H617" t="s">
        <v>23</v>
      </c>
      <c r="I617" t="s">
        <v>37</v>
      </c>
      <c r="J617" t="s">
        <v>144</v>
      </c>
      <c r="K617" t="s">
        <v>145</v>
      </c>
      <c r="L617" t="s">
        <v>27</v>
      </c>
      <c r="M617" t="s">
        <v>28</v>
      </c>
      <c r="N617" t="s">
        <v>927</v>
      </c>
      <c r="O617" t="s">
        <v>30</v>
      </c>
      <c r="P617">
        <v>9</v>
      </c>
      <c r="Q617">
        <v>2521.63</v>
      </c>
      <c r="R617">
        <v>0</v>
      </c>
      <c r="S617" t="str">
        <f t="shared" si="9"/>
        <v>OK</v>
      </c>
      <c r="T617">
        <v>22694.67</v>
      </c>
      <c r="U617">
        <v>15405.36</v>
      </c>
      <c r="V617">
        <v>7289.31</v>
      </c>
      <c r="W617" t="s">
        <v>31</v>
      </c>
      <c r="X617" t="s">
        <v>102</v>
      </c>
    </row>
    <row r="618" spans="1:24">
      <c r="A618" t="s">
        <v>937</v>
      </c>
      <c r="B618" s="2">
        <v>45812</v>
      </c>
      <c r="C618" s="2">
        <v>45812</v>
      </c>
      <c r="D618" s="5">
        <f>C618-B618</f>
        <v>0</v>
      </c>
      <c r="E618" s="5" t="str">
        <f>IF(D618&lt;0,"INVALID","OK")</f>
        <v>OK</v>
      </c>
      <c r="F618" t="s">
        <v>789</v>
      </c>
      <c r="G618" t="s">
        <v>46</v>
      </c>
      <c r="H618" t="s">
        <v>89</v>
      </c>
      <c r="I618" t="s">
        <v>24</v>
      </c>
      <c r="J618" t="s">
        <v>235</v>
      </c>
      <c r="K618" t="s">
        <v>236</v>
      </c>
      <c r="L618" t="s">
        <v>73</v>
      </c>
      <c r="M618" t="s">
        <v>74</v>
      </c>
      <c r="N618" t="s">
        <v>938</v>
      </c>
      <c r="O618" t="s">
        <v>30</v>
      </c>
      <c r="P618">
        <v>1</v>
      </c>
      <c r="Q618">
        <v>2133.73</v>
      </c>
      <c r="R618">
        <v>0.15</v>
      </c>
      <c r="S618" t="str">
        <f t="shared" si="9"/>
        <v>OK</v>
      </c>
      <c r="T618">
        <v>2008.39</v>
      </c>
      <c r="U618">
        <v>1002.57</v>
      </c>
      <c r="V618">
        <v>811.1</v>
      </c>
      <c r="W618" t="s">
        <v>110</v>
      </c>
      <c r="X618" t="s">
        <v>67</v>
      </c>
    </row>
    <row r="619" spans="1:24">
      <c r="A619" t="s">
        <v>939</v>
      </c>
      <c r="B619" s="2">
        <v>45841</v>
      </c>
      <c r="C619" s="2">
        <v>45730</v>
      </c>
      <c r="D619" s="5">
        <f>C619-B619</f>
        <v>-111</v>
      </c>
      <c r="E619" s="5" t="str">
        <f>IF(D619&lt;0,"INVALID","OK")</f>
        <v>INVALID</v>
      </c>
      <c r="F619" t="s">
        <v>940</v>
      </c>
      <c r="G619" t="s">
        <v>113</v>
      </c>
      <c r="H619" t="s">
        <v>36</v>
      </c>
      <c r="I619" t="s">
        <v>24</v>
      </c>
      <c r="J619" t="s">
        <v>349</v>
      </c>
      <c r="K619" t="s">
        <v>350</v>
      </c>
      <c r="L619" t="s">
        <v>73</v>
      </c>
      <c r="M619" t="s">
        <v>74</v>
      </c>
      <c r="N619" t="s">
        <v>941</v>
      </c>
      <c r="O619" t="s">
        <v>43</v>
      </c>
      <c r="P619">
        <v>1</v>
      </c>
      <c r="Q619">
        <v>3979.64</v>
      </c>
      <c r="R619">
        <v>0.05</v>
      </c>
      <c r="S619" t="str">
        <f t="shared" si="9"/>
        <v>OK</v>
      </c>
      <c r="T619">
        <v>3780.66</v>
      </c>
      <c r="U619">
        <v>2148.31</v>
      </c>
      <c r="V619">
        <v>1632.35</v>
      </c>
      <c r="W619" t="s">
        <v>31</v>
      </c>
      <c r="X619" t="s">
        <v>102</v>
      </c>
    </row>
    <row r="620" spans="1:24">
      <c r="A620" t="s">
        <v>948</v>
      </c>
      <c r="B620" s="2">
        <v>45863</v>
      </c>
      <c r="C620" s="2">
        <v>45865</v>
      </c>
      <c r="D620" s="5">
        <f>C620-B620</f>
        <v>2</v>
      </c>
      <c r="E620" s="5" t="str">
        <f>IF(D620&lt;0,"INVALID","OK")</f>
        <v>OK</v>
      </c>
      <c r="F620" t="s">
        <v>949</v>
      </c>
      <c r="G620" t="s">
        <v>263</v>
      </c>
      <c r="H620" t="s">
        <v>23</v>
      </c>
      <c r="I620" t="s">
        <v>37</v>
      </c>
      <c r="J620" t="s">
        <v>227</v>
      </c>
      <c r="K620" t="s">
        <v>228</v>
      </c>
      <c r="L620" t="s">
        <v>27</v>
      </c>
      <c r="M620" t="s">
        <v>152</v>
      </c>
      <c r="N620" t="s">
        <v>950</v>
      </c>
      <c r="O620" t="s">
        <v>30</v>
      </c>
      <c r="P620">
        <v>6</v>
      </c>
      <c r="Q620">
        <v>3438.38</v>
      </c>
      <c r="R620">
        <v>0.2</v>
      </c>
      <c r="S620" t="str">
        <f t="shared" si="9"/>
        <v>OK</v>
      </c>
      <c r="T620">
        <v>16504.22</v>
      </c>
      <c r="U620">
        <v>11262.71</v>
      </c>
      <c r="V620">
        <v>5241.51</v>
      </c>
      <c r="W620" t="s">
        <v>31</v>
      </c>
      <c r="X620" t="s">
        <v>32</v>
      </c>
    </row>
    <row r="621" spans="1:24">
      <c r="A621" t="s">
        <v>954</v>
      </c>
      <c r="B621" s="2">
        <v>45729</v>
      </c>
      <c r="C621" s="2">
        <v>45736</v>
      </c>
      <c r="D621" s="5">
        <f>C621-B621</f>
        <v>7</v>
      </c>
      <c r="E621" s="5" t="str">
        <f>IF(D621&lt;0,"INVALID","OK")</f>
        <v>OK</v>
      </c>
      <c r="F621" t="s">
        <v>955</v>
      </c>
      <c r="G621" t="s">
        <v>70</v>
      </c>
      <c r="H621" t="s">
        <v>23</v>
      </c>
      <c r="I621" t="s">
        <v>62</v>
      </c>
      <c r="J621" t="s">
        <v>63</v>
      </c>
      <c r="K621" t="s">
        <v>64</v>
      </c>
      <c r="L621" t="s">
        <v>40</v>
      </c>
      <c r="M621" t="s">
        <v>56</v>
      </c>
      <c r="N621" t="s">
        <v>956</v>
      </c>
      <c r="O621" t="s">
        <v>49</v>
      </c>
      <c r="P621">
        <v>1</v>
      </c>
      <c r="Q621">
        <v>1814.01</v>
      </c>
      <c r="R621">
        <v>0</v>
      </c>
      <c r="S621" t="str">
        <f t="shared" si="9"/>
        <v>OK</v>
      </c>
      <c r="T621">
        <v>1814.01</v>
      </c>
      <c r="U621">
        <v>1033.47</v>
      </c>
      <c r="V621">
        <v>780.54</v>
      </c>
      <c r="W621" t="s">
        <v>31</v>
      </c>
      <c r="X621" t="s">
        <v>32</v>
      </c>
    </row>
    <row r="622" spans="1:24">
      <c r="A622" t="s">
        <v>960</v>
      </c>
      <c r="B622" s="2">
        <v>45884</v>
      </c>
      <c r="C622" s="2">
        <v>45889</v>
      </c>
      <c r="D622" s="5">
        <f>C622-B622</f>
        <v>5</v>
      </c>
      <c r="E622" s="5" t="str">
        <f>IF(D622&lt;0,"INVALID","OK")</f>
        <v>OK</v>
      </c>
      <c r="F622" t="s">
        <v>961</v>
      </c>
      <c r="G622" t="s">
        <v>78</v>
      </c>
      <c r="H622" t="s">
        <v>94</v>
      </c>
      <c r="I622" t="s">
        <v>24</v>
      </c>
      <c r="J622" t="s">
        <v>25</v>
      </c>
      <c r="K622" t="s">
        <v>26</v>
      </c>
      <c r="L622" t="s">
        <v>27</v>
      </c>
      <c r="M622" t="s">
        <v>123</v>
      </c>
      <c r="N622" t="s">
        <v>962</v>
      </c>
      <c r="O622" t="s">
        <v>58</v>
      </c>
      <c r="P622">
        <v>9</v>
      </c>
      <c r="Q622">
        <v>4081.77</v>
      </c>
      <c r="R622">
        <v>0</v>
      </c>
      <c r="S622" t="str">
        <f t="shared" si="9"/>
        <v>OK</v>
      </c>
      <c r="T622">
        <v>36735.93</v>
      </c>
      <c r="U622">
        <v>30820.84</v>
      </c>
      <c r="V622">
        <v>5915.09</v>
      </c>
      <c r="W622" t="s">
        <v>31</v>
      </c>
      <c r="X622" t="s">
        <v>32</v>
      </c>
    </row>
    <row r="623" spans="1:24">
      <c r="A623" t="s">
        <v>972</v>
      </c>
      <c r="B623" s="2">
        <v>45827</v>
      </c>
      <c r="C623" s="2">
        <v>45835</v>
      </c>
      <c r="D623" s="5">
        <f>C623-B623</f>
        <v>8</v>
      </c>
      <c r="E623" s="5" t="str">
        <f>IF(D623&lt;0,"INVALID","OK")</f>
        <v>OK</v>
      </c>
      <c r="F623" t="s">
        <v>973</v>
      </c>
      <c r="G623" t="s">
        <v>22</v>
      </c>
      <c r="H623" t="s">
        <v>94</v>
      </c>
      <c r="I623" t="s">
        <v>53</v>
      </c>
      <c r="J623" t="s">
        <v>246</v>
      </c>
      <c r="K623" t="s">
        <v>247</v>
      </c>
      <c r="L623" t="s">
        <v>40</v>
      </c>
      <c r="M623" t="s">
        <v>157</v>
      </c>
      <c r="N623" t="s">
        <v>974</v>
      </c>
      <c r="O623" t="s">
        <v>49</v>
      </c>
      <c r="P623">
        <v>2</v>
      </c>
      <c r="Q623">
        <v>4346.6899999999996</v>
      </c>
      <c r="R623">
        <v>0.05</v>
      </c>
      <c r="S623" t="str">
        <f t="shared" si="9"/>
        <v>OK</v>
      </c>
      <c r="T623">
        <v>8258.7099999999991</v>
      </c>
      <c r="U623">
        <v>7018.97</v>
      </c>
      <c r="V623">
        <v>1239.74</v>
      </c>
      <c r="W623" t="s">
        <v>31</v>
      </c>
      <c r="X623" t="s">
        <v>32</v>
      </c>
    </row>
    <row r="624" spans="1:24">
      <c r="A624" t="s">
        <v>975</v>
      </c>
      <c r="B624" s="2">
        <v>45891</v>
      </c>
      <c r="C624" s="2">
        <v>45895</v>
      </c>
      <c r="D624" s="5">
        <f>C624-B624</f>
        <v>4</v>
      </c>
      <c r="E624" s="5" t="str">
        <f>IF(D624&lt;0,"INVALID","OK")</f>
        <v>OK</v>
      </c>
      <c r="F624" t="s">
        <v>976</v>
      </c>
      <c r="G624" t="s">
        <v>161</v>
      </c>
      <c r="H624" t="s">
        <v>94</v>
      </c>
      <c r="I624" t="s">
        <v>37</v>
      </c>
      <c r="J624" t="s">
        <v>227</v>
      </c>
      <c r="K624" t="s">
        <v>228</v>
      </c>
      <c r="L624" t="s">
        <v>40</v>
      </c>
      <c r="M624" t="s">
        <v>41</v>
      </c>
      <c r="N624" t="s">
        <v>977</v>
      </c>
      <c r="O624" t="s">
        <v>58</v>
      </c>
      <c r="P624">
        <v>1</v>
      </c>
      <c r="Q624">
        <v>1842.63</v>
      </c>
      <c r="R624">
        <v>0.1</v>
      </c>
      <c r="S624" t="str">
        <f t="shared" si="9"/>
        <v>OK</v>
      </c>
      <c r="T624">
        <v>1658.37</v>
      </c>
      <c r="U624">
        <v>971.12</v>
      </c>
      <c r="V624">
        <v>687.25</v>
      </c>
      <c r="W624" t="s">
        <v>31</v>
      </c>
      <c r="X624" t="s">
        <v>32</v>
      </c>
    </row>
    <row r="625" spans="1:24">
      <c r="A625" t="s">
        <v>981</v>
      </c>
      <c r="B625" s="2">
        <v>45716</v>
      </c>
      <c r="C625" s="2">
        <v>45719</v>
      </c>
      <c r="D625" s="5">
        <f>C625-B625</f>
        <v>3</v>
      </c>
      <c r="E625" s="5" t="str">
        <f>IF(D625&lt;0,"INVALID","OK")</f>
        <v>OK</v>
      </c>
      <c r="F625" t="s">
        <v>982</v>
      </c>
      <c r="G625" t="s">
        <v>263</v>
      </c>
      <c r="H625" t="s">
        <v>94</v>
      </c>
      <c r="I625" t="s">
        <v>24</v>
      </c>
      <c r="J625" t="s">
        <v>235</v>
      </c>
      <c r="K625" t="s">
        <v>236</v>
      </c>
      <c r="L625" t="s">
        <v>27</v>
      </c>
      <c r="M625" t="s">
        <v>47</v>
      </c>
      <c r="N625" t="s">
        <v>983</v>
      </c>
      <c r="O625" t="s">
        <v>43</v>
      </c>
      <c r="P625">
        <v>9</v>
      </c>
      <c r="Q625">
        <v>3748.95</v>
      </c>
      <c r="R625">
        <v>0</v>
      </c>
      <c r="S625" t="str">
        <f t="shared" si="9"/>
        <v>OK</v>
      </c>
      <c r="T625">
        <v>33740.550000000003</v>
      </c>
      <c r="U625">
        <v>24621.89</v>
      </c>
      <c r="V625">
        <v>9118.66</v>
      </c>
      <c r="W625" t="s">
        <v>110</v>
      </c>
      <c r="X625" t="s">
        <v>67</v>
      </c>
    </row>
    <row r="626" spans="1:24">
      <c r="A626" t="s">
        <v>987</v>
      </c>
      <c r="B626" s="2">
        <v>45854</v>
      </c>
      <c r="C626" s="2">
        <v>45860</v>
      </c>
      <c r="D626" s="5">
        <f>C626-B626</f>
        <v>6</v>
      </c>
      <c r="E626" s="5" t="str">
        <f>IF(D626&lt;0,"INVALID","OK")</f>
        <v>OK</v>
      </c>
      <c r="F626" t="s">
        <v>988</v>
      </c>
      <c r="G626" t="s">
        <v>113</v>
      </c>
      <c r="H626" t="s">
        <v>23</v>
      </c>
      <c r="I626" t="s">
        <v>37</v>
      </c>
      <c r="J626" t="s">
        <v>38</v>
      </c>
      <c r="K626" t="s">
        <v>39</v>
      </c>
      <c r="L626" t="s">
        <v>73</v>
      </c>
      <c r="M626" t="s">
        <v>170</v>
      </c>
      <c r="N626" t="s">
        <v>989</v>
      </c>
      <c r="O626" t="s">
        <v>30</v>
      </c>
      <c r="P626">
        <v>6</v>
      </c>
      <c r="Q626">
        <v>4159.33</v>
      </c>
      <c r="R626">
        <v>0.25</v>
      </c>
      <c r="S626" t="str">
        <f t="shared" si="9"/>
        <v>OK</v>
      </c>
      <c r="T626">
        <v>18716.990000000002</v>
      </c>
      <c r="U626">
        <v>12282.43</v>
      </c>
      <c r="V626">
        <v>6434.56</v>
      </c>
      <c r="W626" t="s">
        <v>31</v>
      </c>
      <c r="X626" t="s">
        <v>102</v>
      </c>
    </row>
    <row r="627" spans="1:24">
      <c r="A627" t="s">
        <v>990</v>
      </c>
      <c r="B627" s="2">
        <v>45833</v>
      </c>
      <c r="C627" s="2">
        <v>45836</v>
      </c>
      <c r="D627" s="5">
        <f>C627-B627</f>
        <v>3</v>
      </c>
      <c r="E627" s="5" t="str">
        <f>IF(D627&lt;0,"INVALID","OK")</f>
        <v>OK</v>
      </c>
      <c r="F627" t="s">
        <v>991</v>
      </c>
      <c r="G627" t="s">
        <v>88</v>
      </c>
      <c r="H627" t="s">
        <v>36</v>
      </c>
      <c r="I627" t="s">
        <v>37</v>
      </c>
      <c r="J627" t="s">
        <v>165</v>
      </c>
      <c r="K627" t="s">
        <v>166</v>
      </c>
      <c r="L627" t="s">
        <v>27</v>
      </c>
      <c r="M627" t="s">
        <v>152</v>
      </c>
      <c r="N627" t="s">
        <v>992</v>
      </c>
      <c r="O627" t="s">
        <v>58</v>
      </c>
      <c r="P627">
        <v>3</v>
      </c>
      <c r="Q627">
        <v>3476.05</v>
      </c>
      <c r="R627">
        <v>0.1</v>
      </c>
      <c r="S627" t="str">
        <f t="shared" si="9"/>
        <v>OK</v>
      </c>
      <c r="T627">
        <v>9385.34</v>
      </c>
      <c r="U627">
        <v>5828.54</v>
      </c>
      <c r="V627">
        <v>3556.8</v>
      </c>
      <c r="W627" t="s">
        <v>31</v>
      </c>
      <c r="X627" t="s">
        <v>32</v>
      </c>
    </row>
    <row r="628" spans="1:24">
      <c r="A628" t="s">
        <v>993</v>
      </c>
      <c r="B628" s="2">
        <v>45801</v>
      </c>
      <c r="C628" s="2">
        <v>45803</v>
      </c>
      <c r="D628" s="5">
        <f>C628-B628</f>
        <v>2</v>
      </c>
      <c r="E628" s="5" t="str">
        <f>IF(D628&lt;0,"INVALID","OK")</f>
        <v>OK</v>
      </c>
      <c r="F628" t="s">
        <v>994</v>
      </c>
      <c r="G628" t="s">
        <v>88</v>
      </c>
      <c r="H628" t="s">
        <v>94</v>
      </c>
      <c r="I628" t="s">
        <v>24</v>
      </c>
      <c r="J628" t="s">
        <v>235</v>
      </c>
      <c r="K628" t="s">
        <v>236</v>
      </c>
      <c r="L628" t="s">
        <v>40</v>
      </c>
      <c r="M628" t="s">
        <v>56</v>
      </c>
      <c r="N628" t="s">
        <v>995</v>
      </c>
      <c r="O628" t="s">
        <v>43</v>
      </c>
      <c r="P628">
        <v>6</v>
      </c>
      <c r="Q628">
        <v>3495.41</v>
      </c>
      <c r="R628">
        <v>0.15</v>
      </c>
      <c r="S628" t="str">
        <f t="shared" si="9"/>
        <v>OK</v>
      </c>
      <c r="T628">
        <v>17826.59</v>
      </c>
      <c r="U628">
        <v>10855.35</v>
      </c>
      <c r="V628">
        <v>6971.24</v>
      </c>
      <c r="W628" t="s">
        <v>31</v>
      </c>
      <c r="X628" t="s">
        <v>32</v>
      </c>
    </row>
    <row r="629" spans="1:24">
      <c r="A629" t="s">
        <v>999</v>
      </c>
      <c r="B629" s="2">
        <v>45680</v>
      </c>
      <c r="C629" s="2">
        <v>45683</v>
      </c>
      <c r="D629" s="5">
        <f>C629-B629</f>
        <v>3</v>
      </c>
      <c r="E629" s="5" t="str">
        <f>IF(D629&lt;0,"INVALID","OK")</f>
        <v>OK</v>
      </c>
      <c r="F629" t="s">
        <v>1000</v>
      </c>
      <c r="G629" t="s">
        <v>46</v>
      </c>
      <c r="H629" t="s">
        <v>23</v>
      </c>
      <c r="I629" t="s">
        <v>53</v>
      </c>
      <c r="J629" t="s">
        <v>184</v>
      </c>
      <c r="K629" t="s">
        <v>185</v>
      </c>
      <c r="L629" t="s">
        <v>73</v>
      </c>
      <c r="M629" t="s">
        <v>79</v>
      </c>
      <c r="N629" t="s">
        <v>1001</v>
      </c>
      <c r="O629" t="s">
        <v>49</v>
      </c>
      <c r="P629">
        <v>7</v>
      </c>
      <c r="Q629">
        <v>348.49</v>
      </c>
      <c r="R629">
        <v>0.2</v>
      </c>
      <c r="S629" t="str">
        <f t="shared" si="9"/>
        <v>OK</v>
      </c>
      <c r="T629">
        <v>1951.54</v>
      </c>
      <c r="U629">
        <v>1609.95</v>
      </c>
      <c r="V629">
        <v>341.59</v>
      </c>
      <c r="W629" t="s">
        <v>154</v>
      </c>
      <c r="X629" t="s">
        <v>102</v>
      </c>
    </row>
    <row r="630" spans="1:24">
      <c r="A630" t="s">
        <v>1008</v>
      </c>
      <c r="B630" s="2">
        <v>45805</v>
      </c>
      <c r="C630" s="2">
        <v>45663</v>
      </c>
      <c r="D630" s="5">
        <f>C630-B630</f>
        <v>-142</v>
      </c>
      <c r="E630" s="5" t="str">
        <f>IF(D630&lt;0,"INVALID","OK")</f>
        <v>INVALID</v>
      </c>
      <c r="F630" t="s">
        <v>1009</v>
      </c>
      <c r="G630" t="s">
        <v>46</v>
      </c>
      <c r="H630" t="s">
        <v>94</v>
      </c>
      <c r="I630" t="s">
        <v>37</v>
      </c>
      <c r="J630" t="s">
        <v>144</v>
      </c>
      <c r="K630" t="s">
        <v>145</v>
      </c>
      <c r="L630" t="s">
        <v>73</v>
      </c>
      <c r="M630" t="s">
        <v>170</v>
      </c>
      <c r="N630" t="s">
        <v>1010</v>
      </c>
      <c r="O630" t="s">
        <v>43</v>
      </c>
      <c r="P630">
        <v>4</v>
      </c>
      <c r="Q630">
        <v>1654.11</v>
      </c>
      <c r="R630">
        <v>0.05</v>
      </c>
      <c r="S630" t="str">
        <f t="shared" si="9"/>
        <v>OK</v>
      </c>
      <c r="T630">
        <v>6285.62</v>
      </c>
      <c r="U630">
        <v>3705.38</v>
      </c>
      <c r="V630">
        <v>2580.2399999999998</v>
      </c>
      <c r="W630" t="s">
        <v>31</v>
      </c>
      <c r="X630" t="s">
        <v>32</v>
      </c>
    </row>
    <row r="631" spans="1:24">
      <c r="A631" t="s">
        <v>1011</v>
      </c>
      <c r="B631" s="2">
        <v>45753</v>
      </c>
      <c r="C631" s="2">
        <v>45820</v>
      </c>
      <c r="D631" s="5">
        <f>C631-B631</f>
        <v>67</v>
      </c>
      <c r="E631" s="5" t="str">
        <f>IF(D631&lt;0,"INVALID","OK")</f>
        <v>OK</v>
      </c>
      <c r="F631" t="s">
        <v>1012</v>
      </c>
      <c r="G631" t="s">
        <v>78</v>
      </c>
      <c r="H631" t="s">
        <v>23</v>
      </c>
      <c r="I631" t="s">
        <v>62</v>
      </c>
      <c r="J631" t="s">
        <v>189</v>
      </c>
      <c r="K631" t="s">
        <v>190</v>
      </c>
      <c r="L631" t="s">
        <v>27</v>
      </c>
      <c r="M631" t="s">
        <v>123</v>
      </c>
      <c r="N631" t="s">
        <v>1013</v>
      </c>
      <c r="O631" t="s">
        <v>43</v>
      </c>
      <c r="P631">
        <v>2</v>
      </c>
      <c r="Q631">
        <v>2703.28</v>
      </c>
      <c r="R631">
        <v>0.25</v>
      </c>
      <c r="S631" t="str">
        <f t="shared" si="9"/>
        <v>OK</v>
      </c>
      <c r="T631">
        <v>4054.92</v>
      </c>
      <c r="U631">
        <v>2424.83</v>
      </c>
      <c r="V631">
        <v>1630.09</v>
      </c>
      <c r="W631" t="s">
        <v>31</v>
      </c>
      <c r="X631" t="s">
        <v>32</v>
      </c>
    </row>
    <row r="632" spans="1:24">
      <c r="A632" t="s">
        <v>1023</v>
      </c>
      <c r="B632" s="2">
        <v>45708</v>
      </c>
      <c r="C632" s="2">
        <v>45711</v>
      </c>
      <c r="D632" s="5">
        <f>C632-B632</f>
        <v>3</v>
      </c>
      <c r="E632" s="5" t="str">
        <f>IF(D632&lt;0,"INVALID","OK")</f>
        <v>OK</v>
      </c>
      <c r="F632" t="s">
        <v>1024</v>
      </c>
      <c r="G632" t="s">
        <v>127</v>
      </c>
      <c r="H632" t="s">
        <v>23</v>
      </c>
      <c r="I632" t="s">
        <v>24</v>
      </c>
      <c r="J632" t="s">
        <v>25</v>
      </c>
      <c r="K632" t="s">
        <v>26</v>
      </c>
      <c r="L632" t="s">
        <v>73</v>
      </c>
      <c r="M632" t="s">
        <v>170</v>
      </c>
      <c r="N632" t="s">
        <v>1025</v>
      </c>
      <c r="O632" t="s">
        <v>30</v>
      </c>
      <c r="P632">
        <v>4</v>
      </c>
      <c r="Q632">
        <v>3673.11</v>
      </c>
      <c r="R632">
        <v>0</v>
      </c>
      <c r="S632" t="str">
        <f t="shared" si="9"/>
        <v>OK</v>
      </c>
      <c r="T632">
        <v>14692.44</v>
      </c>
      <c r="U632">
        <v>10082.19</v>
      </c>
      <c r="V632">
        <v>4610.25</v>
      </c>
      <c r="W632" t="s">
        <v>31</v>
      </c>
      <c r="X632" t="s">
        <v>32</v>
      </c>
    </row>
    <row r="633" spans="1:24">
      <c r="A633" t="s">
        <v>1026</v>
      </c>
      <c r="B633" s="2">
        <v>45850</v>
      </c>
      <c r="C633" s="2">
        <v>45857</v>
      </c>
      <c r="D633" s="5">
        <f>C633-B633</f>
        <v>7</v>
      </c>
      <c r="E633" s="5" t="str">
        <f>IF(D633&lt;0,"INVALID","OK")</f>
        <v>OK</v>
      </c>
      <c r="F633" t="s">
        <v>1027</v>
      </c>
      <c r="G633" t="s">
        <v>61</v>
      </c>
      <c r="H633" t="s">
        <v>89</v>
      </c>
      <c r="I633" t="s">
        <v>24</v>
      </c>
      <c r="J633" t="s">
        <v>135</v>
      </c>
      <c r="K633" t="s">
        <v>136</v>
      </c>
      <c r="L633" t="s">
        <v>40</v>
      </c>
      <c r="M633" t="s">
        <v>41</v>
      </c>
      <c r="N633" t="s">
        <v>1028</v>
      </c>
      <c r="O633" t="s">
        <v>49</v>
      </c>
      <c r="P633">
        <v>9</v>
      </c>
      <c r="Q633">
        <v>4093.04</v>
      </c>
      <c r="R633">
        <v>0.2</v>
      </c>
      <c r="S633" t="str">
        <f t="shared" si="9"/>
        <v>OK</v>
      </c>
      <c r="T633">
        <v>29469.89</v>
      </c>
      <c r="U633">
        <v>18935.509999999998</v>
      </c>
      <c r="V633">
        <v>10534.38</v>
      </c>
      <c r="W633" t="s">
        <v>110</v>
      </c>
      <c r="X633" t="s">
        <v>67</v>
      </c>
    </row>
    <row r="634" spans="1:24">
      <c r="A634" t="s">
        <v>1029</v>
      </c>
      <c r="B634" s="2">
        <v>45821</v>
      </c>
      <c r="C634" s="2">
        <v>45827</v>
      </c>
      <c r="D634" s="5">
        <f>C634-B634</f>
        <v>6</v>
      </c>
      <c r="E634" s="5" t="str">
        <f>IF(D634&lt;0,"INVALID","OK")</f>
        <v>OK</v>
      </c>
      <c r="F634" t="s">
        <v>1030</v>
      </c>
      <c r="G634" t="s">
        <v>140</v>
      </c>
      <c r="H634" t="s">
        <v>23</v>
      </c>
      <c r="I634" t="s">
        <v>24</v>
      </c>
      <c r="J634" t="s">
        <v>25</v>
      </c>
      <c r="K634" t="s">
        <v>26</v>
      </c>
      <c r="L634" t="s">
        <v>40</v>
      </c>
      <c r="M634" t="s">
        <v>41</v>
      </c>
      <c r="N634" t="s">
        <v>1031</v>
      </c>
      <c r="O634" t="s">
        <v>49</v>
      </c>
      <c r="P634">
        <v>4</v>
      </c>
      <c r="Q634">
        <v>731.57</v>
      </c>
      <c r="R634">
        <v>0.2</v>
      </c>
      <c r="S634" t="str">
        <f t="shared" si="9"/>
        <v>OK</v>
      </c>
      <c r="T634">
        <v>2341.02</v>
      </c>
      <c r="U634">
        <v>1565.49</v>
      </c>
      <c r="V634">
        <v>775.53</v>
      </c>
      <c r="W634" t="s">
        <v>31</v>
      </c>
      <c r="X634" t="s">
        <v>32</v>
      </c>
    </row>
    <row r="635" spans="1:24">
      <c r="A635" t="s">
        <v>1044</v>
      </c>
      <c r="B635" s="2">
        <v>45807</v>
      </c>
      <c r="C635" s="2">
        <v>45808</v>
      </c>
      <c r="D635" s="5">
        <f>C635-B635</f>
        <v>1</v>
      </c>
      <c r="E635" s="5" t="str">
        <f>IF(D635&lt;0,"INVALID","OK")</f>
        <v>OK</v>
      </c>
      <c r="F635" t="s">
        <v>1045</v>
      </c>
      <c r="G635" t="s">
        <v>117</v>
      </c>
      <c r="H635" t="s">
        <v>89</v>
      </c>
      <c r="I635" t="s">
        <v>24</v>
      </c>
      <c r="J635" t="s">
        <v>135</v>
      </c>
      <c r="K635" t="s">
        <v>136</v>
      </c>
      <c r="L635" t="s">
        <v>73</v>
      </c>
      <c r="M635" t="s">
        <v>170</v>
      </c>
      <c r="N635" t="s">
        <v>1046</v>
      </c>
      <c r="O635" t="s">
        <v>49</v>
      </c>
      <c r="P635">
        <v>8</v>
      </c>
      <c r="Q635">
        <v>2081.4299999999998</v>
      </c>
      <c r="R635">
        <v>0.25</v>
      </c>
      <c r="S635" t="str">
        <f t="shared" si="9"/>
        <v>OK</v>
      </c>
      <c r="T635">
        <v>12488.58</v>
      </c>
      <c r="U635">
        <v>10717.4</v>
      </c>
      <c r="V635">
        <v>1771.18</v>
      </c>
      <c r="W635" t="s">
        <v>101</v>
      </c>
      <c r="X635" t="s">
        <v>67</v>
      </c>
    </row>
    <row r="636" spans="1:24">
      <c r="A636" t="s">
        <v>1047</v>
      </c>
      <c r="B636" s="2">
        <v>45795</v>
      </c>
      <c r="C636" s="2">
        <v>45797</v>
      </c>
      <c r="D636" s="5">
        <f>C636-B636</f>
        <v>2</v>
      </c>
      <c r="E636" s="5" t="str">
        <f>IF(D636&lt;0,"INVALID","OK")</f>
        <v>OK</v>
      </c>
      <c r="F636" t="s">
        <v>1048</v>
      </c>
      <c r="G636" t="s">
        <v>46</v>
      </c>
      <c r="H636" t="s">
        <v>89</v>
      </c>
      <c r="I636" t="s">
        <v>62</v>
      </c>
      <c r="J636" t="s">
        <v>71</v>
      </c>
      <c r="K636" t="s">
        <v>72</v>
      </c>
      <c r="L636" t="s">
        <v>27</v>
      </c>
      <c r="M636" t="s">
        <v>90</v>
      </c>
      <c r="N636" t="s">
        <v>1049</v>
      </c>
      <c r="O636" t="s">
        <v>58</v>
      </c>
      <c r="P636">
        <v>9</v>
      </c>
      <c r="Q636">
        <v>847.76</v>
      </c>
      <c r="R636">
        <v>0.15</v>
      </c>
      <c r="S636" t="str">
        <f t="shared" si="9"/>
        <v>OK</v>
      </c>
      <c r="T636">
        <v>6485.36</v>
      </c>
      <c r="U636">
        <v>5376.17</v>
      </c>
      <c r="V636">
        <v>1109.19</v>
      </c>
      <c r="W636" t="s">
        <v>154</v>
      </c>
      <c r="X636" t="s">
        <v>102</v>
      </c>
    </row>
    <row r="637" spans="1:24">
      <c r="A637" t="s">
        <v>1047</v>
      </c>
      <c r="B637" s="2">
        <v>45795</v>
      </c>
      <c r="C637" s="2">
        <v>45797</v>
      </c>
      <c r="D637" s="5">
        <f>C637-B637</f>
        <v>2</v>
      </c>
      <c r="E637" s="5" t="str">
        <f>IF(D637&lt;0,"INVALID","OK")</f>
        <v>OK</v>
      </c>
      <c r="F637" t="s">
        <v>1048</v>
      </c>
      <c r="G637" t="s">
        <v>46</v>
      </c>
      <c r="H637" t="s">
        <v>89</v>
      </c>
      <c r="I637" t="s">
        <v>62</v>
      </c>
      <c r="J637" t="s">
        <v>71</v>
      </c>
      <c r="K637" t="s">
        <v>72</v>
      </c>
      <c r="L637" t="s">
        <v>27</v>
      </c>
      <c r="M637" t="s">
        <v>90</v>
      </c>
      <c r="N637" t="s">
        <v>1049</v>
      </c>
      <c r="O637" t="s">
        <v>58</v>
      </c>
      <c r="P637">
        <v>9</v>
      </c>
      <c r="Q637">
        <v>847.76</v>
      </c>
      <c r="R637">
        <v>0.15</v>
      </c>
      <c r="S637" t="str">
        <f t="shared" si="9"/>
        <v>OK</v>
      </c>
      <c r="T637">
        <v>6589.37</v>
      </c>
      <c r="U637">
        <v>5376.17</v>
      </c>
      <c r="V637">
        <v>1109.19</v>
      </c>
      <c r="W637" t="s">
        <v>154</v>
      </c>
      <c r="X637" t="s">
        <v>32</v>
      </c>
    </row>
    <row r="638" spans="1:24">
      <c r="A638" t="s">
        <v>1056</v>
      </c>
      <c r="B638" s="2">
        <v>45898</v>
      </c>
      <c r="C638" s="2">
        <v>45904</v>
      </c>
      <c r="D638" s="5">
        <f>C638-B638</f>
        <v>6</v>
      </c>
      <c r="E638" s="5" t="str">
        <f>IF(D638&lt;0,"INVALID","OK")</f>
        <v>OK</v>
      </c>
      <c r="F638" t="s">
        <v>1057</v>
      </c>
      <c r="G638" t="s">
        <v>78</v>
      </c>
      <c r="H638" t="s">
        <v>89</v>
      </c>
      <c r="I638" t="s">
        <v>53</v>
      </c>
      <c r="J638" t="s">
        <v>184</v>
      </c>
      <c r="K638" t="s">
        <v>185</v>
      </c>
      <c r="L638" t="s">
        <v>40</v>
      </c>
      <c r="M638" t="s">
        <v>41</v>
      </c>
      <c r="N638" t="s">
        <v>1058</v>
      </c>
      <c r="O638" t="s">
        <v>49</v>
      </c>
      <c r="P638">
        <v>9</v>
      </c>
      <c r="Q638">
        <v>2996.97</v>
      </c>
      <c r="R638">
        <v>0.15</v>
      </c>
      <c r="S638" t="str">
        <f t="shared" si="9"/>
        <v>OK</v>
      </c>
      <c r="T638">
        <v>22926.82</v>
      </c>
      <c r="U638">
        <v>14621.59</v>
      </c>
      <c r="V638">
        <v>8305.23</v>
      </c>
      <c r="W638" t="s">
        <v>31</v>
      </c>
      <c r="X638" t="s">
        <v>32</v>
      </c>
    </row>
    <row r="639" spans="1:24">
      <c r="A639" t="s">
        <v>1076</v>
      </c>
      <c r="B639" s="2">
        <v>45869</v>
      </c>
      <c r="C639" s="2">
        <v>45696</v>
      </c>
      <c r="D639" s="5">
        <f>C639-B639</f>
        <v>-173</v>
      </c>
      <c r="E639" s="5" t="str">
        <f>IF(D639&lt;0,"INVALID","OK")</f>
        <v>INVALID</v>
      </c>
      <c r="F639" t="s">
        <v>1077</v>
      </c>
      <c r="G639" t="s">
        <v>140</v>
      </c>
      <c r="H639" t="s">
        <v>94</v>
      </c>
      <c r="I639" t="s">
        <v>53</v>
      </c>
      <c r="J639" t="s">
        <v>83</v>
      </c>
      <c r="K639" t="s">
        <v>84</v>
      </c>
      <c r="L639" t="s">
        <v>27</v>
      </c>
      <c r="M639" t="s">
        <v>90</v>
      </c>
      <c r="N639" t="s">
        <v>1078</v>
      </c>
      <c r="O639" t="s">
        <v>43</v>
      </c>
      <c r="P639">
        <v>1</v>
      </c>
      <c r="Q639">
        <v>1947.88</v>
      </c>
      <c r="R639">
        <v>0.15</v>
      </c>
      <c r="S639" t="str">
        <f t="shared" si="9"/>
        <v>OK</v>
      </c>
      <c r="T639">
        <v>1655.7</v>
      </c>
      <c r="U639">
        <v>1354.8</v>
      </c>
      <c r="V639">
        <v>300.89999999999998</v>
      </c>
      <c r="W639" t="s">
        <v>31</v>
      </c>
      <c r="X639" t="s">
        <v>102</v>
      </c>
    </row>
    <row r="640" spans="1:24">
      <c r="A640" t="s">
        <v>1079</v>
      </c>
      <c r="B640" s="2">
        <v>45916</v>
      </c>
      <c r="C640" s="2">
        <v>45922</v>
      </c>
      <c r="D640" s="5">
        <f>C640-B640</f>
        <v>6</v>
      </c>
      <c r="E640" s="5" t="str">
        <f>IF(D640&lt;0,"INVALID","OK")</f>
        <v>OK</v>
      </c>
      <c r="F640" t="s">
        <v>1080</v>
      </c>
      <c r="G640" t="s">
        <v>131</v>
      </c>
      <c r="H640" t="s">
        <v>94</v>
      </c>
      <c r="I640" t="s">
        <v>37</v>
      </c>
      <c r="J640" t="s">
        <v>98</v>
      </c>
      <c r="K640" t="s">
        <v>99</v>
      </c>
      <c r="L640" t="s">
        <v>73</v>
      </c>
      <c r="M640" t="s">
        <v>79</v>
      </c>
      <c r="N640" t="s">
        <v>1081</v>
      </c>
      <c r="O640" t="s">
        <v>30</v>
      </c>
      <c r="P640">
        <v>5</v>
      </c>
      <c r="Q640">
        <v>3671.2</v>
      </c>
      <c r="R640">
        <v>0.15</v>
      </c>
      <c r="S640" t="str">
        <f t="shared" si="9"/>
        <v>OK</v>
      </c>
      <c r="T640">
        <v>15602.6</v>
      </c>
      <c r="U640">
        <v>11908.52</v>
      </c>
      <c r="V640">
        <v>3694.08</v>
      </c>
      <c r="W640" t="s">
        <v>31</v>
      </c>
      <c r="X640" t="s">
        <v>32</v>
      </c>
    </row>
    <row r="641" spans="1:24">
      <c r="A641" t="s">
        <v>1082</v>
      </c>
      <c r="B641" s="2">
        <v>45860</v>
      </c>
      <c r="C641" s="2">
        <v>45860</v>
      </c>
      <c r="D641" s="5">
        <f>C641-B641</f>
        <v>0</v>
      </c>
      <c r="E641" s="5" t="str">
        <f>IF(D641&lt;0,"INVALID","OK")</f>
        <v>OK</v>
      </c>
      <c r="F641" t="s">
        <v>1083</v>
      </c>
      <c r="G641" t="s">
        <v>131</v>
      </c>
      <c r="H641" t="s">
        <v>89</v>
      </c>
      <c r="I641" t="s">
        <v>37</v>
      </c>
      <c r="J641" t="s">
        <v>227</v>
      </c>
      <c r="K641" t="s">
        <v>228</v>
      </c>
      <c r="L641" t="s">
        <v>40</v>
      </c>
      <c r="M641" t="s">
        <v>56</v>
      </c>
      <c r="N641" t="s">
        <v>1084</v>
      </c>
      <c r="O641" t="s">
        <v>43</v>
      </c>
      <c r="P641">
        <v>5</v>
      </c>
      <c r="Q641">
        <v>3187.05</v>
      </c>
      <c r="R641">
        <v>0.05</v>
      </c>
      <c r="S641" t="str">
        <f t="shared" si="9"/>
        <v>OK</v>
      </c>
      <c r="T641">
        <v>15138.49</v>
      </c>
      <c r="U641">
        <v>11235.72</v>
      </c>
      <c r="V641">
        <v>3902.77</v>
      </c>
      <c r="W641" t="s">
        <v>31</v>
      </c>
      <c r="X641" t="s">
        <v>32</v>
      </c>
    </row>
    <row r="642" spans="1:24">
      <c r="A642" t="s">
        <v>1088</v>
      </c>
      <c r="B642" s="2">
        <v>45806</v>
      </c>
      <c r="C642" s="2">
        <v>45812</v>
      </c>
      <c r="D642" s="5">
        <f>C642-B642</f>
        <v>6</v>
      </c>
      <c r="E642" s="5" t="str">
        <f>IF(D642&lt;0,"INVALID","OK")</f>
        <v>OK</v>
      </c>
      <c r="F642" t="s">
        <v>1089</v>
      </c>
      <c r="G642" t="s">
        <v>161</v>
      </c>
      <c r="H642" t="s">
        <v>23</v>
      </c>
      <c r="I642" t="s">
        <v>62</v>
      </c>
      <c r="J642" t="s">
        <v>63</v>
      </c>
      <c r="K642" t="s">
        <v>64</v>
      </c>
      <c r="L642" t="s">
        <v>27</v>
      </c>
      <c r="M642" t="s">
        <v>123</v>
      </c>
      <c r="N642" t="s">
        <v>1090</v>
      </c>
      <c r="O642" t="s">
        <v>49</v>
      </c>
      <c r="P642">
        <v>6</v>
      </c>
      <c r="Q642">
        <v>3100.68</v>
      </c>
      <c r="R642">
        <v>0</v>
      </c>
      <c r="S642" t="str">
        <f t="shared" si="9"/>
        <v>OK</v>
      </c>
      <c r="T642">
        <v>18604.080000000002</v>
      </c>
      <c r="U642">
        <v>15834.3</v>
      </c>
      <c r="V642">
        <v>2769.78</v>
      </c>
      <c r="W642" t="s">
        <v>31</v>
      </c>
      <c r="X642" t="s">
        <v>32</v>
      </c>
    </row>
    <row r="643" spans="1:24">
      <c r="A643" t="s">
        <v>1091</v>
      </c>
      <c r="B643" s="2">
        <v>45789</v>
      </c>
      <c r="C643" s="2">
        <v>45795</v>
      </c>
      <c r="D643" s="5">
        <f>C643-B643</f>
        <v>6</v>
      </c>
      <c r="E643" s="5" t="str">
        <f>IF(D643&lt;0,"INVALID","OK")</f>
        <v>OK</v>
      </c>
      <c r="F643" t="s">
        <v>1092</v>
      </c>
      <c r="G643" t="s">
        <v>78</v>
      </c>
      <c r="H643" t="s">
        <v>36</v>
      </c>
      <c r="I643" t="s">
        <v>62</v>
      </c>
      <c r="J643" t="s">
        <v>63</v>
      </c>
      <c r="K643" t="s">
        <v>64</v>
      </c>
      <c r="L643" t="s">
        <v>27</v>
      </c>
      <c r="M643" t="s">
        <v>123</v>
      </c>
      <c r="N643" t="s">
        <v>1093</v>
      </c>
      <c r="O643" t="s">
        <v>58</v>
      </c>
      <c r="P643">
        <v>4</v>
      </c>
      <c r="Q643">
        <v>4053.03</v>
      </c>
      <c r="R643">
        <v>0.05</v>
      </c>
      <c r="S643" t="str">
        <f t="shared" ref="S643:S706" si="10">IF(R643&lt;0,"INVALID",IF(R643&gt;0.5,"INVALID","OK"))</f>
        <v>OK</v>
      </c>
      <c r="T643">
        <v>15401.51</v>
      </c>
      <c r="U643">
        <v>8650.42</v>
      </c>
      <c r="V643">
        <v>6751.09</v>
      </c>
      <c r="W643" t="s">
        <v>31</v>
      </c>
      <c r="X643" t="s">
        <v>32</v>
      </c>
    </row>
    <row r="644" spans="1:24">
      <c r="A644" t="s">
        <v>1100</v>
      </c>
      <c r="B644" s="2">
        <v>45804</v>
      </c>
      <c r="C644" s="2">
        <v>45805</v>
      </c>
      <c r="D644" s="5">
        <f>C644-B644</f>
        <v>1</v>
      </c>
      <c r="E644" s="5" t="str">
        <f>IF(D644&lt;0,"INVALID","OK")</f>
        <v>OK</v>
      </c>
      <c r="F644" t="s">
        <v>1101</v>
      </c>
      <c r="G644" t="s">
        <v>127</v>
      </c>
      <c r="H644" t="s">
        <v>23</v>
      </c>
      <c r="I644" t="s">
        <v>53</v>
      </c>
      <c r="J644" t="s">
        <v>83</v>
      </c>
      <c r="K644" t="s">
        <v>84</v>
      </c>
      <c r="L644" t="s">
        <v>73</v>
      </c>
      <c r="M644" t="s">
        <v>273</v>
      </c>
      <c r="N644" t="s">
        <v>1102</v>
      </c>
      <c r="O644" t="s">
        <v>30</v>
      </c>
      <c r="P644">
        <v>2</v>
      </c>
      <c r="Q644">
        <v>3911.96</v>
      </c>
      <c r="R644">
        <v>0</v>
      </c>
      <c r="S644" t="str">
        <f t="shared" si="10"/>
        <v>OK</v>
      </c>
      <c r="T644">
        <v>7823.92</v>
      </c>
      <c r="U644">
        <v>6034.63</v>
      </c>
      <c r="V644">
        <v>1789.29</v>
      </c>
      <c r="W644" t="s">
        <v>31</v>
      </c>
      <c r="X644" t="s">
        <v>32</v>
      </c>
    </row>
    <row r="645" spans="1:24">
      <c r="A645" t="s">
        <v>1103</v>
      </c>
      <c r="B645" s="2">
        <v>45830</v>
      </c>
      <c r="C645" s="2">
        <v>45835</v>
      </c>
      <c r="D645" s="5">
        <f>C645-B645</f>
        <v>5</v>
      </c>
      <c r="E645" s="5" t="str">
        <f>IF(D645&lt;0,"INVALID","OK")</f>
        <v>OK</v>
      </c>
      <c r="F645" t="s">
        <v>1104</v>
      </c>
      <c r="G645" t="s">
        <v>140</v>
      </c>
      <c r="H645" t="s">
        <v>94</v>
      </c>
      <c r="I645" t="s">
        <v>2762</v>
      </c>
      <c r="J645" t="s">
        <v>349</v>
      </c>
      <c r="K645" t="s">
        <v>350</v>
      </c>
      <c r="L645" t="s">
        <v>73</v>
      </c>
      <c r="M645" t="s">
        <v>170</v>
      </c>
      <c r="N645" t="s">
        <v>1105</v>
      </c>
      <c r="O645" t="s">
        <v>49</v>
      </c>
      <c r="P645">
        <v>2</v>
      </c>
      <c r="Q645">
        <v>1468.05</v>
      </c>
      <c r="R645">
        <v>0</v>
      </c>
      <c r="S645" t="str">
        <f t="shared" si="10"/>
        <v>OK</v>
      </c>
      <c r="T645">
        <v>2936.1</v>
      </c>
      <c r="U645">
        <v>1923.1</v>
      </c>
      <c r="V645">
        <v>1013</v>
      </c>
      <c r="W645" t="s">
        <v>31</v>
      </c>
      <c r="X645" t="s">
        <v>32</v>
      </c>
    </row>
    <row r="646" spans="1:24">
      <c r="A646" t="s">
        <v>1109</v>
      </c>
      <c r="B646" s="2">
        <v>45824</v>
      </c>
      <c r="C646" s="2">
        <v>45826</v>
      </c>
      <c r="D646" s="5">
        <f>C646-B646</f>
        <v>2</v>
      </c>
      <c r="E646" s="5" t="str">
        <f>IF(D646&lt;0,"INVALID","OK")</f>
        <v>OK</v>
      </c>
      <c r="F646" t="s">
        <v>1110</v>
      </c>
      <c r="G646" t="s">
        <v>117</v>
      </c>
      <c r="H646" t="s">
        <v>94</v>
      </c>
      <c r="I646" t="s">
        <v>62</v>
      </c>
      <c r="J646" t="s">
        <v>71</v>
      </c>
      <c r="K646" t="s">
        <v>72</v>
      </c>
      <c r="L646" t="s">
        <v>27</v>
      </c>
      <c r="M646" t="s">
        <v>28</v>
      </c>
      <c r="N646" t="s">
        <v>1111</v>
      </c>
      <c r="O646" t="s">
        <v>49</v>
      </c>
      <c r="P646">
        <v>3</v>
      </c>
      <c r="Q646">
        <v>4289.37</v>
      </c>
      <c r="R646">
        <v>0.1</v>
      </c>
      <c r="S646" t="str">
        <f t="shared" si="10"/>
        <v>OK</v>
      </c>
      <c r="T646">
        <v>11581.3</v>
      </c>
      <c r="U646">
        <v>6829.43</v>
      </c>
      <c r="V646">
        <v>4751.87</v>
      </c>
      <c r="W646" t="s">
        <v>31</v>
      </c>
      <c r="X646" t="s">
        <v>32</v>
      </c>
    </row>
    <row r="647" spans="1:24">
      <c r="A647" t="s">
        <v>1109</v>
      </c>
      <c r="B647" s="2">
        <v>45824</v>
      </c>
      <c r="C647" s="2">
        <v>45826</v>
      </c>
      <c r="D647" s="5">
        <f>C647-B647</f>
        <v>2</v>
      </c>
      <c r="E647" s="5" t="str">
        <f>IF(D647&lt;0,"INVALID","OK")</f>
        <v>OK</v>
      </c>
      <c r="F647" t="s">
        <v>1110</v>
      </c>
      <c r="G647" t="s">
        <v>117</v>
      </c>
      <c r="H647" t="s">
        <v>94</v>
      </c>
      <c r="I647" t="s">
        <v>62</v>
      </c>
      <c r="J647" t="s">
        <v>71</v>
      </c>
      <c r="K647" t="s">
        <v>72</v>
      </c>
      <c r="L647" t="s">
        <v>27</v>
      </c>
      <c r="M647" t="s">
        <v>28</v>
      </c>
      <c r="N647" t="s">
        <v>1111</v>
      </c>
      <c r="O647" t="s">
        <v>49</v>
      </c>
      <c r="P647">
        <v>3</v>
      </c>
      <c r="Q647">
        <v>4289.37</v>
      </c>
      <c r="R647">
        <v>0.1</v>
      </c>
      <c r="S647" t="str">
        <f t="shared" si="10"/>
        <v>OK</v>
      </c>
      <c r="T647">
        <v>11778.71</v>
      </c>
      <c r="U647">
        <v>6829.43</v>
      </c>
      <c r="V647">
        <v>4751.87</v>
      </c>
      <c r="W647" t="s">
        <v>31</v>
      </c>
      <c r="X647" t="s">
        <v>102</v>
      </c>
    </row>
    <row r="648" spans="1:24">
      <c r="A648" t="s">
        <v>1120</v>
      </c>
      <c r="B648" s="2">
        <v>45708</v>
      </c>
      <c r="C648" s="2">
        <v>45710</v>
      </c>
      <c r="D648" s="5">
        <f>C648-B648</f>
        <v>2</v>
      </c>
      <c r="E648" s="5" t="str">
        <f>IF(D648&lt;0,"INVALID","OK")</f>
        <v>OK</v>
      </c>
      <c r="F648" t="s">
        <v>1121</v>
      </c>
      <c r="G648" t="s">
        <v>78</v>
      </c>
      <c r="H648" t="s">
        <v>89</v>
      </c>
      <c r="I648" t="s">
        <v>37</v>
      </c>
      <c r="J648" t="s">
        <v>227</v>
      </c>
      <c r="K648" t="s">
        <v>228</v>
      </c>
      <c r="L648" t="s">
        <v>40</v>
      </c>
      <c r="M648" t="s">
        <v>157</v>
      </c>
      <c r="N648" t="s">
        <v>1122</v>
      </c>
      <c r="O648" t="s">
        <v>58</v>
      </c>
      <c r="P648">
        <v>8</v>
      </c>
      <c r="Q648">
        <v>3265.76</v>
      </c>
      <c r="R648">
        <v>0.2</v>
      </c>
      <c r="S648" t="str">
        <f t="shared" si="10"/>
        <v>OK</v>
      </c>
      <c r="T648">
        <v>20900.86</v>
      </c>
      <c r="U648">
        <v>12513.14</v>
      </c>
      <c r="V648">
        <v>8387.7199999999993</v>
      </c>
      <c r="W648" t="s">
        <v>31</v>
      </c>
      <c r="X648" t="s">
        <v>32</v>
      </c>
    </row>
    <row r="649" spans="1:24">
      <c r="A649" t="s">
        <v>1126</v>
      </c>
      <c r="B649" s="2">
        <v>45908</v>
      </c>
      <c r="C649" s="2">
        <v>45909</v>
      </c>
      <c r="D649" s="5">
        <f>C649-B649</f>
        <v>1</v>
      </c>
      <c r="E649" s="5" t="str">
        <f>IF(D649&lt;0,"INVALID","OK")</f>
        <v>OK</v>
      </c>
      <c r="F649" t="s">
        <v>1127</v>
      </c>
      <c r="G649" t="s">
        <v>140</v>
      </c>
      <c r="H649" t="s">
        <v>94</v>
      </c>
      <c r="I649" t="s">
        <v>62</v>
      </c>
      <c r="J649" t="s">
        <v>179</v>
      </c>
      <c r="K649" t="s">
        <v>180</v>
      </c>
      <c r="L649" t="s">
        <v>40</v>
      </c>
      <c r="M649" t="s">
        <v>65</v>
      </c>
      <c r="N649" t="s">
        <v>1128</v>
      </c>
      <c r="O649" t="s">
        <v>30</v>
      </c>
      <c r="P649">
        <v>2</v>
      </c>
      <c r="Q649">
        <v>3960.33</v>
      </c>
      <c r="R649">
        <v>0.05</v>
      </c>
      <c r="S649" t="str">
        <f t="shared" si="10"/>
        <v>OK</v>
      </c>
      <c r="T649">
        <v>7524.63</v>
      </c>
      <c r="U649">
        <v>6229.6</v>
      </c>
      <c r="V649">
        <v>1295.03</v>
      </c>
      <c r="W649" t="s">
        <v>31</v>
      </c>
      <c r="X649" t="s">
        <v>32</v>
      </c>
    </row>
    <row r="650" spans="1:24">
      <c r="A650" t="s">
        <v>1129</v>
      </c>
      <c r="B650" s="2">
        <v>45862</v>
      </c>
      <c r="C650" s="2">
        <v>45665</v>
      </c>
      <c r="D650" s="5">
        <f>C650-B650</f>
        <v>-197</v>
      </c>
      <c r="E650" s="5" t="str">
        <f>IF(D650&lt;0,"INVALID","OK")</f>
        <v>INVALID</v>
      </c>
      <c r="F650" t="s">
        <v>1130</v>
      </c>
      <c r="G650" t="s">
        <v>263</v>
      </c>
      <c r="H650" t="s">
        <v>36</v>
      </c>
      <c r="I650" t="s">
        <v>37</v>
      </c>
      <c r="J650" t="s">
        <v>227</v>
      </c>
      <c r="K650" t="s">
        <v>228</v>
      </c>
      <c r="L650" t="s">
        <v>27</v>
      </c>
      <c r="M650" t="s">
        <v>152</v>
      </c>
      <c r="N650" t="s">
        <v>1131</v>
      </c>
      <c r="O650" t="s">
        <v>49</v>
      </c>
      <c r="P650">
        <v>8</v>
      </c>
      <c r="Q650">
        <v>1528.92</v>
      </c>
      <c r="R650">
        <v>0</v>
      </c>
      <c r="S650" t="str">
        <f t="shared" si="10"/>
        <v>OK</v>
      </c>
      <c r="T650">
        <v>12231.36</v>
      </c>
      <c r="U650">
        <v>8766.9</v>
      </c>
      <c r="V650">
        <v>3464.46</v>
      </c>
      <c r="W650" t="s">
        <v>31</v>
      </c>
      <c r="X650" t="s">
        <v>32</v>
      </c>
    </row>
    <row r="651" spans="1:24">
      <c r="A651" t="s">
        <v>1132</v>
      </c>
      <c r="B651" s="2">
        <v>45933</v>
      </c>
      <c r="C651" s="2">
        <v>45938</v>
      </c>
      <c r="D651" s="5">
        <f>C651-B651</f>
        <v>5</v>
      </c>
      <c r="E651" s="5" t="str">
        <f>IF(D651&lt;0,"INVALID","OK")</f>
        <v>OK</v>
      </c>
      <c r="F651" t="s">
        <v>1133</v>
      </c>
      <c r="G651" t="s">
        <v>127</v>
      </c>
      <c r="H651" t="s">
        <v>89</v>
      </c>
      <c r="I651" t="s">
        <v>62</v>
      </c>
      <c r="J651" t="s">
        <v>71</v>
      </c>
      <c r="K651" t="s">
        <v>72</v>
      </c>
      <c r="L651" t="s">
        <v>73</v>
      </c>
      <c r="M651" t="s">
        <v>273</v>
      </c>
      <c r="N651" t="s">
        <v>1134</v>
      </c>
      <c r="O651" t="s">
        <v>43</v>
      </c>
      <c r="P651">
        <v>9</v>
      </c>
      <c r="Q651">
        <v>3837</v>
      </c>
      <c r="R651">
        <v>0.1</v>
      </c>
      <c r="S651" t="str">
        <f t="shared" si="10"/>
        <v>OK</v>
      </c>
      <c r="T651">
        <v>31079.7</v>
      </c>
      <c r="U651">
        <v>17758.25</v>
      </c>
      <c r="V651">
        <v>13321.45</v>
      </c>
      <c r="W651" t="s">
        <v>31</v>
      </c>
      <c r="X651" t="s">
        <v>32</v>
      </c>
    </row>
    <row r="652" spans="1:24">
      <c r="A652" t="s">
        <v>1141</v>
      </c>
      <c r="B652" s="2">
        <v>45860</v>
      </c>
      <c r="C652" s="2">
        <v>45866</v>
      </c>
      <c r="D652" s="5">
        <f>C652-B652</f>
        <v>6</v>
      </c>
      <c r="E652" s="5" t="str">
        <f>IF(D652&lt;0,"INVALID","OK")</f>
        <v>OK</v>
      </c>
      <c r="F652" t="s">
        <v>1142</v>
      </c>
      <c r="G652" t="s">
        <v>117</v>
      </c>
      <c r="H652" t="s">
        <v>89</v>
      </c>
      <c r="I652" t="s">
        <v>53</v>
      </c>
      <c r="J652" t="s">
        <v>184</v>
      </c>
      <c r="K652" t="s">
        <v>185</v>
      </c>
      <c r="L652" t="s">
        <v>40</v>
      </c>
      <c r="M652" t="s">
        <v>65</v>
      </c>
      <c r="N652" t="s">
        <v>1143</v>
      </c>
      <c r="O652" t="s">
        <v>30</v>
      </c>
      <c r="P652">
        <v>6</v>
      </c>
      <c r="Q652">
        <v>1607.46</v>
      </c>
      <c r="R652">
        <v>0.2</v>
      </c>
      <c r="S652" t="str">
        <f t="shared" si="10"/>
        <v>OK</v>
      </c>
      <c r="T652">
        <v>7715.81</v>
      </c>
      <c r="U652">
        <v>4258.42</v>
      </c>
      <c r="V652">
        <v>3457.39</v>
      </c>
      <c r="W652" t="s">
        <v>31</v>
      </c>
      <c r="X652" t="s">
        <v>32</v>
      </c>
    </row>
    <row r="653" spans="1:24">
      <c r="A653" t="s">
        <v>1150</v>
      </c>
      <c r="B653" s="2">
        <v>45927</v>
      </c>
      <c r="C653" s="2">
        <v>45929</v>
      </c>
      <c r="D653" s="5">
        <f>C653-B653</f>
        <v>2</v>
      </c>
      <c r="E653" s="5" t="str">
        <f>IF(D653&lt;0,"INVALID","OK")</f>
        <v>OK</v>
      </c>
      <c r="F653" t="s">
        <v>1151</v>
      </c>
      <c r="G653" t="s">
        <v>263</v>
      </c>
      <c r="H653" t="s">
        <v>94</v>
      </c>
      <c r="I653" t="s">
        <v>37</v>
      </c>
      <c r="J653" t="s">
        <v>227</v>
      </c>
      <c r="K653" t="s">
        <v>228</v>
      </c>
      <c r="L653" t="s">
        <v>40</v>
      </c>
      <c r="M653" t="s">
        <v>56</v>
      </c>
      <c r="N653" t="s">
        <v>1152</v>
      </c>
      <c r="O653" t="s">
        <v>30</v>
      </c>
      <c r="P653">
        <v>9</v>
      </c>
      <c r="Q653">
        <v>2867.55</v>
      </c>
      <c r="R653">
        <v>0.25</v>
      </c>
      <c r="S653" t="str">
        <f t="shared" si="10"/>
        <v>OK</v>
      </c>
      <c r="T653">
        <v>19355.96</v>
      </c>
      <c r="U653">
        <v>15012.45</v>
      </c>
      <c r="V653">
        <v>4017.4</v>
      </c>
      <c r="W653" t="s">
        <v>31</v>
      </c>
      <c r="X653" t="s">
        <v>32</v>
      </c>
    </row>
    <row r="654" spans="1:24">
      <c r="A654" t="s">
        <v>1156</v>
      </c>
      <c r="B654" s="2">
        <v>45800</v>
      </c>
      <c r="C654" s="2">
        <v>45804</v>
      </c>
      <c r="D654" s="5">
        <f>C654-B654</f>
        <v>4</v>
      </c>
      <c r="E654" s="5" t="str">
        <f>IF(D654&lt;0,"INVALID","OK")</f>
        <v>OK</v>
      </c>
      <c r="F654" t="s">
        <v>1157</v>
      </c>
      <c r="G654" t="s">
        <v>70</v>
      </c>
      <c r="H654" t="s">
        <v>36</v>
      </c>
      <c r="I654" t="s">
        <v>53</v>
      </c>
      <c r="J654" t="s">
        <v>54</v>
      </c>
      <c r="K654" t="s">
        <v>55</v>
      </c>
      <c r="L654" t="s">
        <v>27</v>
      </c>
      <c r="M654" t="s">
        <v>123</v>
      </c>
      <c r="N654" t="s">
        <v>1158</v>
      </c>
      <c r="O654" t="s">
        <v>49</v>
      </c>
      <c r="P654">
        <v>6</v>
      </c>
      <c r="Q654">
        <v>719.44</v>
      </c>
      <c r="R654">
        <v>0.25</v>
      </c>
      <c r="S654" t="str">
        <f t="shared" si="10"/>
        <v>OK</v>
      </c>
      <c r="T654">
        <v>3237.48</v>
      </c>
      <c r="U654">
        <v>2118.34</v>
      </c>
      <c r="V654">
        <v>1119.1400000000001</v>
      </c>
      <c r="W654" t="s">
        <v>110</v>
      </c>
      <c r="X654" t="s">
        <v>67</v>
      </c>
    </row>
    <row r="655" spans="1:24">
      <c r="A655" t="s">
        <v>1159</v>
      </c>
      <c r="B655" s="2">
        <v>45884</v>
      </c>
      <c r="C655" s="2">
        <v>45886</v>
      </c>
      <c r="D655" s="5">
        <f>C655-B655</f>
        <v>2</v>
      </c>
      <c r="E655" s="5" t="str">
        <f>IF(D655&lt;0,"INVALID","OK")</f>
        <v>OK</v>
      </c>
      <c r="F655" t="s">
        <v>1160</v>
      </c>
      <c r="G655" t="s">
        <v>161</v>
      </c>
      <c r="H655" t="s">
        <v>36</v>
      </c>
      <c r="I655" t="s">
        <v>37</v>
      </c>
      <c r="J655" t="s">
        <v>165</v>
      </c>
      <c r="K655" t="s">
        <v>166</v>
      </c>
      <c r="L655" t="s">
        <v>73</v>
      </c>
      <c r="M655" t="s">
        <v>79</v>
      </c>
      <c r="N655" t="s">
        <v>1161</v>
      </c>
      <c r="O655" t="s">
        <v>49</v>
      </c>
      <c r="P655">
        <v>5</v>
      </c>
      <c r="Q655">
        <v>2862.6</v>
      </c>
      <c r="R655">
        <v>0.25</v>
      </c>
      <c r="S655" t="str">
        <f t="shared" si="10"/>
        <v>OK</v>
      </c>
      <c r="T655">
        <v>10734.75</v>
      </c>
      <c r="U655">
        <v>6475.73</v>
      </c>
      <c r="V655">
        <v>4259.0200000000004</v>
      </c>
      <c r="W655" t="s">
        <v>31</v>
      </c>
      <c r="X655" t="s">
        <v>32</v>
      </c>
    </row>
    <row r="656" spans="1:24">
      <c r="A656" t="s">
        <v>1162</v>
      </c>
      <c r="B656" s="2">
        <v>45709</v>
      </c>
      <c r="C656" s="2">
        <v>45715</v>
      </c>
      <c r="D656" s="5">
        <f>C656-B656</f>
        <v>6</v>
      </c>
      <c r="E656" s="5" t="str">
        <f>IF(D656&lt;0,"INVALID","OK")</f>
        <v>OK</v>
      </c>
      <c r="F656" t="s">
        <v>1163</v>
      </c>
      <c r="G656" t="s">
        <v>61</v>
      </c>
      <c r="H656" t="s">
        <v>23</v>
      </c>
      <c r="I656" t="s">
        <v>24</v>
      </c>
      <c r="J656" t="s">
        <v>25</v>
      </c>
      <c r="K656" t="s">
        <v>26</v>
      </c>
      <c r="L656" t="s">
        <v>27</v>
      </c>
      <c r="M656" t="s">
        <v>47</v>
      </c>
      <c r="N656" t="s">
        <v>1164</v>
      </c>
      <c r="O656" t="s">
        <v>43</v>
      </c>
      <c r="P656">
        <v>9</v>
      </c>
      <c r="Q656">
        <v>1431.67</v>
      </c>
      <c r="R656">
        <v>0.2</v>
      </c>
      <c r="S656" t="str">
        <f t="shared" si="10"/>
        <v>OK</v>
      </c>
      <c r="T656">
        <v>10308.02</v>
      </c>
      <c r="U656">
        <v>5822.31</v>
      </c>
      <c r="V656">
        <v>4485.71</v>
      </c>
      <c r="W656" t="s">
        <v>31</v>
      </c>
      <c r="X656" t="s">
        <v>32</v>
      </c>
    </row>
    <row r="657" spans="1:24">
      <c r="A657" t="s">
        <v>1171</v>
      </c>
      <c r="B657" s="2">
        <v>45835</v>
      </c>
      <c r="C657" s="2">
        <v>45837</v>
      </c>
      <c r="D657" s="5">
        <f>C657-B657</f>
        <v>2</v>
      </c>
      <c r="E657" s="5" t="str">
        <f>IF(D657&lt;0,"INVALID","OK")</f>
        <v>OK</v>
      </c>
      <c r="F657" t="s">
        <v>1172</v>
      </c>
      <c r="G657" t="s">
        <v>140</v>
      </c>
      <c r="H657" t="s">
        <v>94</v>
      </c>
      <c r="I657" t="s">
        <v>53</v>
      </c>
      <c r="J657" t="s">
        <v>54</v>
      </c>
      <c r="K657" t="s">
        <v>55</v>
      </c>
      <c r="L657" t="s">
        <v>40</v>
      </c>
      <c r="M657" t="s">
        <v>65</v>
      </c>
      <c r="N657" t="s">
        <v>1173</v>
      </c>
      <c r="O657" t="s">
        <v>49</v>
      </c>
      <c r="P657">
        <v>5</v>
      </c>
      <c r="Q657">
        <v>621.70000000000005</v>
      </c>
      <c r="R657">
        <v>0.2</v>
      </c>
      <c r="S657" t="str">
        <f t="shared" si="10"/>
        <v>OK</v>
      </c>
      <c r="T657">
        <v>2486.8000000000002</v>
      </c>
      <c r="U657">
        <v>2131.73</v>
      </c>
      <c r="V657">
        <v>355.07</v>
      </c>
      <c r="W657" t="s">
        <v>110</v>
      </c>
      <c r="X657" t="s">
        <v>102</v>
      </c>
    </row>
    <row r="658" spans="1:24">
      <c r="A658" t="s">
        <v>1174</v>
      </c>
      <c r="B658" s="2">
        <v>45678</v>
      </c>
      <c r="C658" s="2">
        <v>45686</v>
      </c>
      <c r="D658" s="5">
        <f>C658-B658</f>
        <v>8</v>
      </c>
      <c r="E658" s="5" t="str">
        <f>IF(D658&lt;0,"INVALID","OK")</f>
        <v>OK</v>
      </c>
      <c r="F658" t="s">
        <v>1175</v>
      </c>
      <c r="G658" t="s">
        <v>35</v>
      </c>
      <c r="H658" t="s">
        <v>94</v>
      </c>
      <c r="I658" t="s">
        <v>53</v>
      </c>
      <c r="J658" t="s">
        <v>83</v>
      </c>
      <c r="K658" t="s">
        <v>84</v>
      </c>
      <c r="L658" t="s">
        <v>73</v>
      </c>
      <c r="M658" t="s">
        <v>273</v>
      </c>
      <c r="N658" t="s">
        <v>1176</v>
      </c>
      <c r="O658" t="s">
        <v>30</v>
      </c>
      <c r="P658">
        <v>8</v>
      </c>
      <c r="Q658">
        <v>546.13</v>
      </c>
      <c r="R658">
        <v>0</v>
      </c>
      <c r="S658" t="str">
        <f t="shared" si="10"/>
        <v>OK</v>
      </c>
      <c r="T658">
        <v>4369.04</v>
      </c>
      <c r="U658">
        <v>3716.88</v>
      </c>
      <c r="V658">
        <v>652.16</v>
      </c>
      <c r="W658" t="s">
        <v>31</v>
      </c>
      <c r="X658" t="s">
        <v>67</v>
      </c>
    </row>
    <row r="659" spans="1:24">
      <c r="A659" t="s">
        <v>1177</v>
      </c>
      <c r="B659" s="2">
        <v>45878</v>
      </c>
      <c r="C659" s="2">
        <v>45876</v>
      </c>
      <c r="D659" s="5">
        <f>C659-B659</f>
        <v>-2</v>
      </c>
      <c r="E659" s="5" t="str">
        <f>IF(D659&lt;0,"INVALID","OK")</f>
        <v>INVALID</v>
      </c>
      <c r="F659" t="s">
        <v>1178</v>
      </c>
      <c r="G659" t="s">
        <v>70</v>
      </c>
      <c r="H659" t="s">
        <v>94</v>
      </c>
      <c r="I659" t="s">
        <v>62</v>
      </c>
      <c r="J659" t="s">
        <v>179</v>
      </c>
      <c r="K659" t="s">
        <v>180</v>
      </c>
      <c r="L659" t="s">
        <v>40</v>
      </c>
      <c r="M659" t="s">
        <v>157</v>
      </c>
      <c r="N659" t="s">
        <v>1179</v>
      </c>
      <c r="O659" t="s">
        <v>30</v>
      </c>
      <c r="P659">
        <v>5</v>
      </c>
      <c r="Q659">
        <v>1253.92</v>
      </c>
      <c r="R659">
        <v>0.05</v>
      </c>
      <c r="S659" t="str">
        <f t="shared" si="10"/>
        <v>OK</v>
      </c>
      <c r="T659">
        <v>5956.12</v>
      </c>
      <c r="U659">
        <v>4379.18</v>
      </c>
      <c r="V659">
        <v>1576.94</v>
      </c>
      <c r="W659" t="s">
        <v>110</v>
      </c>
      <c r="X659" t="s">
        <v>102</v>
      </c>
    </row>
    <row r="660" spans="1:24">
      <c r="A660" t="s">
        <v>1186</v>
      </c>
      <c r="B660" s="2">
        <v>45661</v>
      </c>
      <c r="C660" s="2">
        <v>45749</v>
      </c>
      <c r="D660" s="5">
        <f>C660-B660</f>
        <v>88</v>
      </c>
      <c r="E660" s="5" t="str">
        <f>IF(D660&lt;0,"INVALID","OK")</f>
        <v>OK</v>
      </c>
      <c r="F660" t="s">
        <v>1187</v>
      </c>
      <c r="G660" t="s">
        <v>140</v>
      </c>
      <c r="H660" t="s">
        <v>89</v>
      </c>
      <c r="I660" t="s">
        <v>37</v>
      </c>
      <c r="J660" t="s">
        <v>38</v>
      </c>
      <c r="K660" t="s">
        <v>39</v>
      </c>
      <c r="L660" t="s">
        <v>40</v>
      </c>
      <c r="M660" t="s">
        <v>65</v>
      </c>
      <c r="N660" t="s">
        <v>1188</v>
      </c>
      <c r="O660" t="s">
        <v>30</v>
      </c>
      <c r="P660">
        <v>9</v>
      </c>
      <c r="Q660">
        <v>4165.58</v>
      </c>
      <c r="R660">
        <v>0.05</v>
      </c>
      <c r="S660" t="str">
        <f t="shared" si="10"/>
        <v>OK</v>
      </c>
      <c r="T660">
        <v>35615.71</v>
      </c>
      <c r="U660">
        <v>20389.71</v>
      </c>
      <c r="V660">
        <v>15226</v>
      </c>
      <c r="W660" t="s">
        <v>110</v>
      </c>
      <c r="X660" t="s">
        <v>102</v>
      </c>
    </row>
    <row r="661" spans="1:24">
      <c r="A661" t="s">
        <v>1192</v>
      </c>
      <c r="B661" s="2">
        <v>45845</v>
      </c>
      <c r="C661" s="2">
        <v>45850</v>
      </c>
      <c r="D661" s="5">
        <f>C661-B661</f>
        <v>5</v>
      </c>
      <c r="E661" s="5" t="str">
        <f>IF(D661&lt;0,"INVALID","OK")</f>
        <v>OK</v>
      </c>
      <c r="F661" t="s">
        <v>1193</v>
      </c>
      <c r="G661" t="s">
        <v>161</v>
      </c>
      <c r="H661" t="s">
        <v>89</v>
      </c>
      <c r="I661" t="s">
        <v>37</v>
      </c>
      <c r="J661" t="s">
        <v>98</v>
      </c>
      <c r="K661" t="s">
        <v>99</v>
      </c>
      <c r="L661" t="s">
        <v>40</v>
      </c>
      <c r="M661" t="s">
        <v>41</v>
      </c>
      <c r="N661" t="s">
        <v>1194</v>
      </c>
      <c r="O661" t="s">
        <v>30</v>
      </c>
      <c r="P661">
        <v>5</v>
      </c>
      <c r="Q661">
        <v>1831.37</v>
      </c>
      <c r="R661">
        <v>0.25</v>
      </c>
      <c r="S661" t="str">
        <f t="shared" si="10"/>
        <v>OK</v>
      </c>
      <c r="T661">
        <v>6867.64</v>
      </c>
      <c r="U661">
        <v>5205.3599999999997</v>
      </c>
      <c r="V661">
        <v>1662.28</v>
      </c>
      <c r="W661" t="s">
        <v>31</v>
      </c>
      <c r="X661" t="s">
        <v>32</v>
      </c>
    </row>
    <row r="662" spans="1:24">
      <c r="A662" t="s">
        <v>1195</v>
      </c>
      <c r="B662" s="2">
        <v>45737</v>
      </c>
      <c r="C662" s="2">
        <v>45740</v>
      </c>
      <c r="D662" s="5">
        <f>C662-B662</f>
        <v>3</v>
      </c>
      <c r="E662" s="5" t="str">
        <f>IF(D662&lt;0,"INVALID","OK")</f>
        <v>OK</v>
      </c>
      <c r="F662" t="s">
        <v>1196</v>
      </c>
      <c r="G662" t="s">
        <v>127</v>
      </c>
      <c r="H662" t="s">
        <v>36</v>
      </c>
      <c r="I662" t="s">
        <v>53</v>
      </c>
      <c r="J662" t="s">
        <v>83</v>
      </c>
      <c r="K662" t="s">
        <v>84</v>
      </c>
      <c r="L662" t="s">
        <v>40</v>
      </c>
      <c r="M662" t="s">
        <v>65</v>
      </c>
      <c r="N662" t="s">
        <v>1197</v>
      </c>
      <c r="O662" t="s">
        <v>30</v>
      </c>
      <c r="P662">
        <v>5</v>
      </c>
      <c r="Q662">
        <v>1239.1500000000001</v>
      </c>
      <c r="R662">
        <v>0</v>
      </c>
      <c r="S662" t="str">
        <f t="shared" si="10"/>
        <v>OK</v>
      </c>
      <c r="T662">
        <v>6195.75</v>
      </c>
      <c r="U662">
        <v>3967.02</v>
      </c>
      <c r="V662">
        <v>2228.73</v>
      </c>
      <c r="W662" t="s">
        <v>31</v>
      </c>
      <c r="X662" t="s">
        <v>32</v>
      </c>
    </row>
    <row r="663" spans="1:24">
      <c r="A663" t="s">
        <v>1201</v>
      </c>
      <c r="B663" s="2">
        <v>45673</v>
      </c>
      <c r="C663" s="2">
        <v>45679</v>
      </c>
      <c r="D663" s="5">
        <f>C663-B663</f>
        <v>6</v>
      </c>
      <c r="E663" s="5" t="str">
        <f>IF(D663&lt;0,"INVALID","OK")</f>
        <v>OK</v>
      </c>
      <c r="F663" t="s">
        <v>1202</v>
      </c>
      <c r="G663" t="s">
        <v>131</v>
      </c>
      <c r="H663" t="s">
        <v>89</v>
      </c>
      <c r="I663" t="s">
        <v>24</v>
      </c>
      <c r="J663" t="s">
        <v>25</v>
      </c>
      <c r="K663" t="s">
        <v>26</v>
      </c>
      <c r="L663" t="s">
        <v>40</v>
      </c>
      <c r="M663" t="s">
        <v>41</v>
      </c>
      <c r="N663" t="s">
        <v>1203</v>
      </c>
      <c r="O663" t="s">
        <v>43</v>
      </c>
      <c r="P663">
        <v>2</v>
      </c>
      <c r="Q663">
        <v>4418.28</v>
      </c>
      <c r="R663">
        <v>0</v>
      </c>
      <c r="S663" t="str">
        <f t="shared" si="10"/>
        <v>OK</v>
      </c>
      <c r="T663">
        <v>8836.56</v>
      </c>
      <c r="U663">
        <v>5867.75</v>
      </c>
      <c r="V663">
        <v>2968.81</v>
      </c>
      <c r="W663" t="s">
        <v>31</v>
      </c>
      <c r="X663" t="s">
        <v>32</v>
      </c>
    </row>
    <row r="664" spans="1:24">
      <c r="A664" t="s">
        <v>1207</v>
      </c>
      <c r="B664" s="2">
        <v>45815</v>
      </c>
      <c r="C664" s="2">
        <v>45815</v>
      </c>
      <c r="D664" s="5">
        <f>C664-B664</f>
        <v>0</v>
      </c>
      <c r="E664" s="5" t="str">
        <f>IF(D664&lt;0,"INVALID","OK")</f>
        <v>OK</v>
      </c>
      <c r="F664" t="s">
        <v>1208</v>
      </c>
      <c r="G664" t="s">
        <v>127</v>
      </c>
      <c r="H664" t="s">
        <v>94</v>
      </c>
      <c r="I664" t="s">
        <v>24</v>
      </c>
      <c r="J664" t="s">
        <v>25</v>
      </c>
      <c r="K664" t="s">
        <v>26</v>
      </c>
      <c r="L664" t="s">
        <v>73</v>
      </c>
      <c r="M664" t="s">
        <v>74</v>
      </c>
      <c r="N664" t="s">
        <v>1209</v>
      </c>
      <c r="O664" t="s">
        <v>43</v>
      </c>
      <c r="P664">
        <v>9</v>
      </c>
      <c r="Q664">
        <v>243.19</v>
      </c>
      <c r="R664">
        <v>0.05</v>
      </c>
      <c r="S664" t="str">
        <f t="shared" si="10"/>
        <v>OK</v>
      </c>
      <c r="T664">
        <v>2079.27</v>
      </c>
      <c r="U664">
        <v>1512.17</v>
      </c>
      <c r="V664">
        <v>567.1</v>
      </c>
      <c r="W664" t="s">
        <v>101</v>
      </c>
      <c r="X664" t="s">
        <v>102</v>
      </c>
    </row>
    <row r="665" spans="1:24">
      <c r="A665" t="s">
        <v>1210</v>
      </c>
      <c r="B665" s="2">
        <v>45680</v>
      </c>
      <c r="C665" s="2">
        <v>45687</v>
      </c>
      <c r="D665" s="5">
        <f>C665-B665</f>
        <v>7</v>
      </c>
      <c r="E665" s="5" t="str">
        <f>IF(D665&lt;0,"INVALID","OK")</f>
        <v>OK</v>
      </c>
      <c r="F665" t="s">
        <v>1211</v>
      </c>
      <c r="G665" t="s">
        <v>113</v>
      </c>
      <c r="H665" t="s">
        <v>23</v>
      </c>
      <c r="I665" t="s">
        <v>24</v>
      </c>
      <c r="J665" t="s">
        <v>349</v>
      </c>
      <c r="K665" t="s">
        <v>350</v>
      </c>
      <c r="L665" t="s">
        <v>27</v>
      </c>
      <c r="M665" t="s">
        <v>90</v>
      </c>
      <c r="N665" t="s">
        <v>1212</v>
      </c>
      <c r="O665" t="s">
        <v>58</v>
      </c>
      <c r="P665">
        <v>9</v>
      </c>
      <c r="Q665">
        <v>1169.3699999999999</v>
      </c>
      <c r="R665">
        <v>0.15</v>
      </c>
      <c r="S665" t="str">
        <f t="shared" si="10"/>
        <v>OK</v>
      </c>
      <c r="T665">
        <v>8945.68</v>
      </c>
      <c r="U665">
        <v>6740.35</v>
      </c>
      <c r="V665">
        <v>2205.33</v>
      </c>
      <c r="W665" t="s">
        <v>31</v>
      </c>
      <c r="X665" t="s">
        <v>32</v>
      </c>
    </row>
    <row r="666" spans="1:24">
      <c r="A666" t="s">
        <v>1219</v>
      </c>
      <c r="B666" s="2">
        <v>45885</v>
      </c>
      <c r="C666" s="2">
        <v>45887</v>
      </c>
      <c r="D666" s="5">
        <f>C666-B666</f>
        <v>2</v>
      </c>
      <c r="E666" s="5" t="str">
        <f>IF(D666&lt;0,"INVALID","OK")</f>
        <v>OK</v>
      </c>
      <c r="F666" t="s">
        <v>640</v>
      </c>
      <c r="G666" t="s">
        <v>263</v>
      </c>
      <c r="H666" t="s">
        <v>23</v>
      </c>
      <c r="I666" t="s">
        <v>37</v>
      </c>
      <c r="J666" t="s">
        <v>227</v>
      </c>
      <c r="K666" t="s">
        <v>228</v>
      </c>
      <c r="L666" t="s">
        <v>40</v>
      </c>
      <c r="M666" t="s">
        <v>65</v>
      </c>
      <c r="N666" t="s">
        <v>1220</v>
      </c>
      <c r="O666" t="s">
        <v>43</v>
      </c>
      <c r="P666">
        <v>5</v>
      </c>
      <c r="Q666">
        <v>1530.36</v>
      </c>
      <c r="R666">
        <v>0</v>
      </c>
      <c r="S666" t="str">
        <f t="shared" si="10"/>
        <v>OK</v>
      </c>
      <c r="T666">
        <v>7651.8</v>
      </c>
      <c r="U666">
        <v>5171.78</v>
      </c>
      <c r="V666">
        <v>2480.02</v>
      </c>
      <c r="W666" t="s">
        <v>31</v>
      </c>
      <c r="X666" t="s">
        <v>32</v>
      </c>
    </row>
    <row r="667" spans="1:24">
      <c r="A667" t="s">
        <v>1221</v>
      </c>
      <c r="B667" s="2">
        <v>45760</v>
      </c>
      <c r="C667" s="2">
        <v>45760</v>
      </c>
      <c r="D667" s="5">
        <f>C667-B667</f>
        <v>0</v>
      </c>
      <c r="E667" s="5" t="str">
        <f>IF(D667&lt;0,"INVALID","OK")</f>
        <v>OK</v>
      </c>
      <c r="F667" t="s">
        <v>1222</v>
      </c>
      <c r="G667" t="s">
        <v>131</v>
      </c>
      <c r="H667" t="s">
        <v>36</v>
      </c>
      <c r="I667" t="s">
        <v>24</v>
      </c>
      <c r="J667" t="s">
        <v>135</v>
      </c>
      <c r="K667" t="s">
        <v>136</v>
      </c>
      <c r="L667" t="s">
        <v>27</v>
      </c>
      <c r="M667" t="s">
        <v>123</v>
      </c>
      <c r="N667" t="s">
        <v>1223</v>
      </c>
      <c r="O667" t="s">
        <v>30</v>
      </c>
      <c r="P667">
        <v>9</v>
      </c>
      <c r="Q667">
        <v>1118.68</v>
      </c>
      <c r="R667">
        <v>0</v>
      </c>
      <c r="S667" t="str">
        <f t="shared" si="10"/>
        <v>OK</v>
      </c>
      <c r="T667">
        <v>10068.120000000001</v>
      </c>
      <c r="U667">
        <v>8595.3700000000008</v>
      </c>
      <c r="V667">
        <v>1472.75</v>
      </c>
      <c r="W667" t="s">
        <v>31</v>
      </c>
      <c r="X667" t="s">
        <v>32</v>
      </c>
    </row>
    <row r="668" spans="1:24">
      <c r="A668" t="s">
        <v>1221</v>
      </c>
      <c r="B668" s="2">
        <v>45760</v>
      </c>
      <c r="C668" s="2">
        <v>45760</v>
      </c>
      <c r="D668" s="5">
        <f>C668-B668</f>
        <v>0</v>
      </c>
      <c r="E668" s="5" t="str">
        <f>IF(D668&lt;0,"INVALID","OK")</f>
        <v>OK</v>
      </c>
      <c r="F668" t="s">
        <v>1222</v>
      </c>
      <c r="G668" t="s">
        <v>131</v>
      </c>
      <c r="H668" t="s">
        <v>36</v>
      </c>
      <c r="I668" t="s">
        <v>24</v>
      </c>
      <c r="J668" t="s">
        <v>135</v>
      </c>
      <c r="K668" t="s">
        <v>136</v>
      </c>
      <c r="L668" t="s">
        <v>27</v>
      </c>
      <c r="M668" t="s">
        <v>123</v>
      </c>
      <c r="N668" t="s">
        <v>1223</v>
      </c>
      <c r="O668" t="s">
        <v>30</v>
      </c>
      <c r="P668">
        <v>9</v>
      </c>
      <c r="Q668">
        <v>1118.68</v>
      </c>
      <c r="R668">
        <v>0</v>
      </c>
      <c r="S668" t="str">
        <f t="shared" si="10"/>
        <v>OK</v>
      </c>
      <c r="T668">
        <v>10348.43</v>
      </c>
      <c r="U668">
        <v>8595.3700000000008</v>
      </c>
      <c r="V668">
        <v>1472.75</v>
      </c>
      <c r="W668" t="s">
        <v>31</v>
      </c>
      <c r="X668" t="s">
        <v>102</v>
      </c>
    </row>
    <row r="669" spans="1:24">
      <c r="A669" t="s">
        <v>1224</v>
      </c>
      <c r="B669" s="2">
        <v>45715</v>
      </c>
      <c r="C669" s="2">
        <v>45716</v>
      </c>
      <c r="D669" s="5">
        <f>C669-B669</f>
        <v>1</v>
      </c>
      <c r="E669" s="5" t="str">
        <f>IF(D669&lt;0,"INVALID","OK")</f>
        <v>OK</v>
      </c>
      <c r="F669" t="s">
        <v>1225</v>
      </c>
      <c r="G669" t="s">
        <v>88</v>
      </c>
      <c r="H669" t="s">
        <v>36</v>
      </c>
      <c r="I669" t="s">
        <v>24</v>
      </c>
      <c r="J669" t="s">
        <v>135</v>
      </c>
      <c r="K669" t="s">
        <v>136</v>
      </c>
      <c r="L669" t="s">
        <v>27</v>
      </c>
      <c r="M669" t="s">
        <v>90</v>
      </c>
      <c r="N669" t="s">
        <v>1226</v>
      </c>
      <c r="O669" t="s">
        <v>58</v>
      </c>
      <c r="P669">
        <v>6</v>
      </c>
      <c r="Q669">
        <v>2393.25</v>
      </c>
      <c r="R669">
        <v>0</v>
      </c>
      <c r="S669" t="str">
        <f t="shared" si="10"/>
        <v>OK</v>
      </c>
      <c r="T669">
        <v>14359.5</v>
      </c>
      <c r="U669">
        <v>8117.71</v>
      </c>
      <c r="V669">
        <v>6241.79</v>
      </c>
      <c r="W669" t="s">
        <v>31</v>
      </c>
      <c r="X669" t="s">
        <v>32</v>
      </c>
    </row>
    <row r="670" spans="1:24">
      <c r="A670" t="s">
        <v>1233</v>
      </c>
      <c r="B670" s="2">
        <v>45801</v>
      </c>
      <c r="C670" s="2">
        <v>45807</v>
      </c>
      <c r="D670" s="5">
        <f>C670-B670</f>
        <v>6</v>
      </c>
      <c r="E670" s="5" t="str">
        <f>IF(D670&lt;0,"INVALID","OK")</f>
        <v>OK</v>
      </c>
      <c r="F670" t="s">
        <v>1234</v>
      </c>
      <c r="G670" t="s">
        <v>263</v>
      </c>
      <c r="H670" t="s">
        <v>36</v>
      </c>
      <c r="I670" t="s">
        <v>37</v>
      </c>
      <c r="J670" t="s">
        <v>38</v>
      </c>
      <c r="K670" t="s">
        <v>39</v>
      </c>
      <c r="L670" t="s">
        <v>27</v>
      </c>
      <c r="M670" t="s">
        <v>123</v>
      </c>
      <c r="N670" t="s">
        <v>1235</v>
      </c>
      <c r="O670" t="s">
        <v>43</v>
      </c>
      <c r="P670">
        <v>1</v>
      </c>
      <c r="Q670">
        <v>2564.7399999999998</v>
      </c>
      <c r="R670">
        <v>0</v>
      </c>
      <c r="S670" t="str">
        <f t="shared" si="10"/>
        <v>OK</v>
      </c>
      <c r="T670">
        <v>2564.7399999999998</v>
      </c>
      <c r="U670">
        <v>1754.58</v>
      </c>
      <c r="V670">
        <v>810.16</v>
      </c>
      <c r="W670" t="s">
        <v>31</v>
      </c>
      <c r="X670" t="s">
        <v>32</v>
      </c>
    </row>
    <row r="671" spans="1:24">
      <c r="A671" t="s">
        <v>1236</v>
      </c>
      <c r="B671" s="2">
        <v>45799</v>
      </c>
      <c r="C671" s="2">
        <v>45799</v>
      </c>
      <c r="D671" s="5">
        <f>C671-B671</f>
        <v>0</v>
      </c>
      <c r="E671" s="5" t="str">
        <f>IF(D671&lt;0,"INVALID","OK")</f>
        <v>OK</v>
      </c>
      <c r="F671" t="s">
        <v>1237</v>
      </c>
      <c r="G671" t="s">
        <v>35</v>
      </c>
      <c r="H671" t="s">
        <v>23</v>
      </c>
      <c r="I671" t="s">
        <v>62</v>
      </c>
      <c r="J671" t="s">
        <v>189</v>
      </c>
      <c r="K671" t="s">
        <v>190</v>
      </c>
      <c r="L671" t="s">
        <v>73</v>
      </c>
      <c r="M671" t="s">
        <v>74</v>
      </c>
      <c r="N671" t="s">
        <v>1238</v>
      </c>
      <c r="O671" t="s">
        <v>58</v>
      </c>
      <c r="P671">
        <v>2</v>
      </c>
      <c r="Q671">
        <v>3910.61</v>
      </c>
      <c r="R671">
        <v>0</v>
      </c>
      <c r="S671" t="str">
        <f t="shared" si="10"/>
        <v>OK</v>
      </c>
      <c r="T671">
        <v>7821.22</v>
      </c>
      <c r="U671">
        <v>4994.46</v>
      </c>
      <c r="V671">
        <v>2826.76</v>
      </c>
      <c r="W671" t="s">
        <v>31</v>
      </c>
      <c r="X671" t="s">
        <v>32</v>
      </c>
    </row>
    <row r="672" spans="1:24">
      <c r="A672" t="s">
        <v>1245</v>
      </c>
      <c r="B672" s="2">
        <v>45919</v>
      </c>
      <c r="C672" s="2">
        <v>45923</v>
      </c>
      <c r="D672" s="5">
        <f>C672-B672</f>
        <v>4</v>
      </c>
      <c r="E672" s="5" t="str">
        <f>IF(D672&lt;0,"INVALID","OK")</f>
        <v>OK</v>
      </c>
      <c r="F672" t="s">
        <v>1246</v>
      </c>
      <c r="G672" t="s">
        <v>52</v>
      </c>
      <c r="H672" t="s">
        <v>94</v>
      </c>
      <c r="I672" t="s">
        <v>24</v>
      </c>
      <c r="J672" t="s">
        <v>349</v>
      </c>
      <c r="K672" t="s">
        <v>350</v>
      </c>
      <c r="L672" t="s">
        <v>27</v>
      </c>
      <c r="M672" t="s">
        <v>152</v>
      </c>
      <c r="N672" t="s">
        <v>1247</v>
      </c>
      <c r="O672" t="s">
        <v>58</v>
      </c>
      <c r="P672">
        <v>4</v>
      </c>
      <c r="Q672">
        <v>4387.1499999999996</v>
      </c>
      <c r="R672">
        <v>0.05</v>
      </c>
      <c r="S672" t="str">
        <f t="shared" si="10"/>
        <v>OK</v>
      </c>
      <c r="T672">
        <v>16671.169999999998</v>
      </c>
      <c r="U672">
        <v>10833.19</v>
      </c>
      <c r="V672">
        <v>5837.98</v>
      </c>
      <c r="W672" t="s">
        <v>154</v>
      </c>
      <c r="X672" t="s">
        <v>67</v>
      </c>
    </row>
    <row r="673" spans="1:24">
      <c r="A673" t="s">
        <v>1248</v>
      </c>
      <c r="B673" s="2">
        <v>45720</v>
      </c>
      <c r="C673" s="2">
        <v>45724</v>
      </c>
      <c r="D673" s="5">
        <f>C673-B673</f>
        <v>4</v>
      </c>
      <c r="E673" s="5" t="str">
        <f>IF(D673&lt;0,"INVALID","OK")</f>
        <v>OK</v>
      </c>
      <c r="F673" t="s">
        <v>156</v>
      </c>
      <c r="G673" t="s">
        <v>52</v>
      </c>
      <c r="H673" t="s">
        <v>36</v>
      </c>
      <c r="I673" t="s">
        <v>37</v>
      </c>
      <c r="J673" t="s">
        <v>144</v>
      </c>
      <c r="K673" t="s">
        <v>145</v>
      </c>
      <c r="L673" t="s">
        <v>73</v>
      </c>
      <c r="M673" t="s">
        <v>170</v>
      </c>
      <c r="N673" t="s">
        <v>1249</v>
      </c>
      <c r="O673" t="s">
        <v>49</v>
      </c>
      <c r="P673">
        <v>3</v>
      </c>
      <c r="Q673">
        <v>4361.8500000000004</v>
      </c>
      <c r="R673">
        <v>0.2</v>
      </c>
      <c r="S673" t="str">
        <f t="shared" si="10"/>
        <v>OK</v>
      </c>
      <c r="T673">
        <v>10468.44</v>
      </c>
      <c r="U673">
        <v>8399.8700000000008</v>
      </c>
      <c r="V673">
        <v>2068.5700000000002</v>
      </c>
      <c r="W673" t="s">
        <v>31</v>
      </c>
      <c r="X673" t="s">
        <v>32</v>
      </c>
    </row>
    <row r="674" spans="1:24">
      <c r="A674" t="s">
        <v>1250</v>
      </c>
      <c r="B674" s="2">
        <v>45836</v>
      </c>
      <c r="C674" s="2">
        <v>45843</v>
      </c>
      <c r="D674" s="5">
        <f>C674-B674</f>
        <v>7</v>
      </c>
      <c r="E674" s="5" t="str">
        <f>IF(D674&lt;0,"INVALID","OK")</f>
        <v>OK</v>
      </c>
      <c r="F674" t="s">
        <v>1251</v>
      </c>
      <c r="G674" t="s">
        <v>70</v>
      </c>
      <c r="H674" t="s">
        <v>89</v>
      </c>
      <c r="I674" t="s">
        <v>37</v>
      </c>
      <c r="J674" t="s">
        <v>98</v>
      </c>
      <c r="K674" t="s">
        <v>99</v>
      </c>
      <c r="L674" t="s">
        <v>27</v>
      </c>
      <c r="M674" t="s">
        <v>47</v>
      </c>
      <c r="N674" t="s">
        <v>1252</v>
      </c>
      <c r="O674" t="s">
        <v>49</v>
      </c>
      <c r="P674">
        <v>2</v>
      </c>
      <c r="Q674">
        <v>2242.75</v>
      </c>
      <c r="R674">
        <v>0</v>
      </c>
      <c r="S674" t="str">
        <f t="shared" si="10"/>
        <v>OK</v>
      </c>
      <c r="T674">
        <v>4485.5</v>
      </c>
      <c r="U674">
        <v>3131.86</v>
      </c>
      <c r="V674">
        <v>1353.64</v>
      </c>
      <c r="W674" t="s">
        <v>31</v>
      </c>
      <c r="X674" t="s">
        <v>67</v>
      </c>
    </row>
    <row r="675" spans="1:24">
      <c r="A675" t="s">
        <v>1256</v>
      </c>
      <c r="B675" s="2">
        <v>45832</v>
      </c>
      <c r="C675" s="2">
        <v>45838</v>
      </c>
      <c r="D675" s="5">
        <f>C675-B675</f>
        <v>6</v>
      </c>
      <c r="E675" s="5" t="str">
        <f>IF(D675&lt;0,"INVALID","OK")</f>
        <v>OK</v>
      </c>
      <c r="F675" t="s">
        <v>1257</v>
      </c>
      <c r="G675" t="s">
        <v>52</v>
      </c>
      <c r="H675" t="s">
        <v>23</v>
      </c>
      <c r="I675" t="s">
        <v>24</v>
      </c>
      <c r="J675" t="s">
        <v>235</v>
      </c>
      <c r="K675" t="s">
        <v>236</v>
      </c>
      <c r="L675" t="s">
        <v>27</v>
      </c>
      <c r="M675" t="s">
        <v>90</v>
      </c>
      <c r="N675" t="s">
        <v>1258</v>
      </c>
      <c r="O675" t="s">
        <v>58</v>
      </c>
      <c r="P675">
        <v>6</v>
      </c>
      <c r="Q675">
        <v>365.76</v>
      </c>
      <c r="R675">
        <v>0.1</v>
      </c>
      <c r="S675" t="str">
        <f t="shared" si="10"/>
        <v>OK</v>
      </c>
      <c r="T675">
        <v>1975.1</v>
      </c>
      <c r="U675">
        <v>1115.3499999999999</v>
      </c>
      <c r="V675">
        <v>859.75</v>
      </c>
      <c r="W675" t="s">
        <v>31</v>
      </c>
      <c r="X675" t="s">
        <v>32</v>
      </c>
    </row>
    <row r="676" spans="1:24">
      <c r="A676" t="s">
        <v>1259</v>
      </c>
      <c r="B676" s="2">
        <v>45700</v>
      </c>
      <c r="C676" s="2">
        <v>45702</v>
      </c>
      <c r="D676" s="5">
        <f>C676-B676</f>
        <v>2</v>
      </c>
      <c r="E676" s="5" t="str">
        <f>IF(D676&lt;0,"INVALID","OK")</f>
        <v>OK</v>
      </c>
      <c r="F676" t="s">
        <v>1260</v>
      </c>
      <c r="G676" t="s">
        <v>131</v>
      </c>
      <c r="H676" t="s">
        <v>23</v>
      </c>
      <c r="I676" t="s">
        <v>62</v>
      </c>
      <c r="J676" t="s">
        <v>63</v>
      </c>
      <c r="K676" t="s">
        <v>64</v>
      </c>
      <c r="L676" t="s">
        <v>40</v>
      </c>
      <c r="M676" t="s">
        <v>56</v>
      </c>
      <c r="N676" t="s">
        <v>1261</v>
      </c>
      <c r="O676" t="s">
        <v>30</v>
      </c>
      <c r="P676">
        <v>8</v>
      </c>
      <c r="Q676">
        <v>2786.66</v>
      </c>
      <c r="R676">
        <v>0.1</v>
      </c>
      <c r="S676" t="str">
        <f t="shared" si="10"/>
        <v>OK</v>
      </c>
      <c r="T676">
        <v>20063.95</v>
      </c>
      <c r="U676">
        <v>14363.38</v>
      </c>
      <c r="V676">
        <v>5700.57</v>
      </c>
      <c r="W676" t="s">
        <v>31</v>
      </c>
      <c r="X676" t="s">
        <v>32</v>
      </c>
    </row>
    <row r="677" spans="1:24">
      <c r="A677" t="s">
        <v>1262</v>
      </c>
      <c r="B677" s="2">
        <v>45938</v>
      </c>
      <c r="C677" s="2">
        <v>45882</v>
      </c>
      <c r="D677" s="5">
        <f>C677-B677</f>
        <v>-56</v>
      </c>
      <c r="E677" s="5" t="str">
        <f>IF(D677&lt;0,"INVALID","OK")</f>
        <v>INVALID</v>
      </c>
      <c r="F677" t="s">
        <v>1263</v>
      </c>
      <c r="G677" t="s">
        <v>113</v>
      </c>
      <c r="H677" t="s">
        <v>36</v>
      </c>
      <c r="I677" t="s">
        <v>62</v>
      </c>
      <c r="J677" t="s">
        <v>71</v>
      </c>
      <c r="K677" t="s">
        <v>72</v>
      </c>
      <c r="L677" t="s">
        <v>40</v>
      </c>
      <c r="M677" t="s">
        <v>65</v>
      </c>
      <c r="N677" t="s">
        <v>1264</v>
      </c>
      <c r="O677" t="s">
        <v>58</v>
      </c>
      <c r="P677">
        <v>5</v>
      </c>
      <c r="Q677">
        <v>352.86</v>
      </c>
      <c r="R677">
        <v>0</v>
      </c>
      <c r="S677" t="str">
        <f t="shared" si="10"/>
        <v>OK</v>
      </c>
      <c r="T677">
        <v>1764.3</v>
      </c>
      <c r="U677">
        <v>1332.49</v>
      </c>
      <c r="V677">
        <v>431.81</v>
      </c>
      <c r="W677" t="s">
        <v>110</v>
      </c>
      <c r="X677" t="s">
        <v>67</v>
      </c>
    </row>
    <row r="678" spans="1:24">
      <c r="A678" t="s">
        <v>1274</v>
      </c>
      <c r="B678" s="2">
        <v>45702</v>
      </c>
      <c r="C678" s="2">
        <v>45702</v>
      </c>
      <c r="D678" s="5">
        <f>C678-B678</f>
        <v>0</v>
      </c>
      <c r="E678" s="5" t="str">
        <f>IF(D678&lt;0,"INVALID","OK")</f>
        <v>OK</v>
      </c>
      <c r="F678" t="s">
        <v>1275</v>
      </c>
      <c r="G678" t="s">
        <v>161</v>
      </c>
      <c r="H678" t="s">
        <v>23</v>
      </c>
      <c r="I678" t="s">
        <v>53</v>
      </c>
      <c r="J678" t="s">
        <v>174</v>
      </c>
      <c r="K678" t="s">
        <v>175</v>
      </c>
      <c r="L678" t="s">
        <v>27</v>
      </c>
      <c r="M678" t="s">
        <v>123</v>
      </c>
      <c r="N678" t="s">
        <v>1276</v>
      </c>
      <c r="O678" t="s">
        <v>49</v>
      </c>
      <c r="P678">
        <v>1</v>
      </c>
      <c r="Q678">
        <v>714.43</v>
      </c>
      <c r="R678">
        <v>0</v>
      </c>
      <c r="S678" t="str">
        <f t="shared" si="10"/>
        <v>OK</v>
      </c>
      <c r="T678">
        <v>714.43</v>
      </c>
      <c r="U678">
        <v>565.44000000000005</v>
      </c>
      <c r="V678">
        <v>148.99</v>
      </c>
      <c r="W678" t="s">
        <v>31</v>
      </c>
      <c r="X678" t="s">
        <v>32</v>
      </c>
    </row>
    <row r="679" spans="1:24">
      <c r="A679" t="s">
        <v>1289</v>
      </c>
      <c r="B679" s="2">
        <v>45761</v>
      </c>
      <c r="C679" s="2">
        <v>45769</v>
      </c>
      <c r="D679" s="5">
        <f>C679-B679</f>
        <v>8</v>
      </c>
      <c r="E679" s="5" t="str">
        <f>IF(D679&lt;0,"INVALID","OK")</f>
        <v>OK</v>
      </c>
      <c r="F679" t="s">
        <v>1290</v>
      </c>
      <c r="G679" t="s">
        <v>88</v>
      </c>
      <c r="H679" t="s">
        <v>36</v>
      </c>
      <c r="I679" t="s">
        <v>53</v>
      </c>
      <c r="J679" t="s">
        <v>174</v>
      </c>
      <c r="K679" t="s">
        <v>175</v>
      </c>
      <c r="L679" t="s">
        <v>73</v>
      </c>
      <c r="M679" t="s">
        <v>273</v>
      </c>
      <c r="N679" t="s">
        <v>1291</v>
      </c>
      <c r="O679" t="s">
        <v>58</v>
      </c>
      <c r="P679">
        <v>2</v>
      </c>
      <c r="Q679">
        <v>638.73</v>
      </c>
      <c r="R679">
        <v>0.05</v>
      </c>
      <c r="S679" t="str">
        <f t="shared" si="10"/>
        <v>OK</v>
      </c>
      <c r="T679">
        <v>1213.5899999999999</v>
      </c>
      <c r="U679">
        <v>956.22</v>
      </c>
      <c r="V679">
        <v>257.37</v>
      </c>
      <c r="W679" t="s">
        <v>31</v>
      </c>
      <c r="X679" t="s">
        <v>32</v>
      </c>
    </row>
    <row r="680" spans="1:24">
      <c r="A680" t="s">
        <v>1292</v>
      </c>
      <c r="B680" s="2">
        <v>45817</v>
      </c>
      <c r="C680" s="2">
        <v>45818</v>
      </c>
      <c r="D680" s="5">
        <f>C680-B680</f>
        <v>1</v>
      </c>
      <c r="E680" s="5" t="str">
        <f>IF(D680&lt;0,"INVALID","OK")</f>
        <v>OK</v>
      </c>
      <c r="F680" t="s">
        <v>1293</v>
      </c>
      <c r="G680" t="s">
        <v>131</v>
      </c>
      <c r="H680" t="s">
        <v>36</v>
      </c>
      <c r="I680" t="s">
        <v>24</v>
      </c>
      <c r="J680" t="s">
        <v>135</v>
      </c>
      <c r="K680" t="s">
        <v>136</v>
      </c>
      <c r="L680" t="s">
        <v>40</v>
      </c>
      <c r="M680" t="s">
        <v>41</v>
      </c>
      <c r="N680" t="s">
        <v>1294</v>
      </c>
      <c r="O680" t="s">
        <v>30</v>
      </c>
      <c r="P680">
        <v>2</v>
      </c>
      <c r="Q680">
        <v>1731.88</v>
      </c>
      <c r="R680">
        <v>0</v>
      </c>
      <c r="S680" t="str">
        <f t="shared" si="10"/>
        <v>OK</v>
      </c>
      <c r="T680">
        <v>3463.76</v>
      </c>
      <c r="U680">
        <v>2143.7399999999998</v>
      </c>
      <c r="V680">
        <v>1320.02</v>
      </c>
      <c r="W680" t="s">
        <v>31</v>
      </c>
      <c r="X680" t="s">
        <v>32</v>
      </c>
    </row>
    <row r="681" spans="1:24">
      <c r="A681" t="s">
        <v>1298</v>
      </c>
      <c r="B681" s="2">
        <v>45771</v>
      </c>
      <c r="C681" s="2">
        <v>45776</v>
      </c>
      <c r="D681" s="5">
        <f>C681-B681</f>
        <v>5</v>
      </c>
      <c r="E681" s="5" t="str">
        <f>IF(D681&lt;0,"INVALID","OK")</f>
        <v>OK</v>
      </c>
      <c r="F681" t="s">
        <v>1299</v>
      </c>
      <c r="G681" t="s">
        <v>161</v>
      </c>
      <c r="H681" t="s">
        <v>36</v>
      </c>
      <c r="I681" t="s">
        <v>53</v>
      </c>
      <c r="J681" t="s">
        <v>83</v>
      </c>
      <c r="K681" t="s">
        <v>84</v>
      </c>
      <c r="L681" t="s">
        <v>27</v>
      </c>
      <c r="M681" t="s">
        <v>28</v>
      </c>
      <c r="N681" t="s">
        <v>1300</v>
      </c>
      <c r="O681" t="s">
        <v>43</v>
      </c>
      <c r="P681">
        <v>1</v>
      </c>
      <c r="Q681">
        <v>4358.5</v>
      </c>
      <c r="R681">
        <v>0.25</v>
      </c>
      <c r="S681" t="str">
        <f t="shared" si="10"/>
        <v>OK</v>
      </c>
      <c r="T681">
        <v>3268.88</v>
      </c>
      <c r="U681">
        <v>1993.74</v>
      </c>
      <c r="V681">
        <v>1275.1400000000001</v>
      </c>
      <c r="W681" t="s">
        <v>31</v>
      </c>
      <c r="X681" t="s">
        <v>32</v>
      </c>
    </row>
    <row r="682" spans="1:24">
      <c r="A682" t="s">
        <v>1301</v>
      </c>
      <c r="B682" s="2">
        <v>45814</v>
      </c>
      <c r="C682" s="2">
        <v>45819</v>
      </c>
      <c r="D682" s="5">
        <f>C682-B682</f>
        <v>5</v>
      </c>
      <c r="E682" s="5" t="str">
        <f>IF(D682&lt;0,"INVALID","OK")</f>
        <v>OK</v>
      </c>
      <c r="F682" t="s">
        <v>1302</v>
      </c>
      <c r="G682" t="s">
        <v>131</v>
      </c>
      <c r="H682" t="s">
        <v>36</v>
      </c>
      <c r="I682" t="s">
        <v>24</v>
      </c>
      <c r="J682" t="s">
        <v>135</v>
      </c>
      <c r="K682" t="s">
        <v>136</v>
      </c>
      <c r="L682" t="s">
        <v>27</v>
      </c>
      <c r="M682" t="s">
        <v>28</v>
      </c>
      <c r="N682" t="s">
        <v>1303</v>
      </c>
      <c r="O682" t="s">
        <v>43</v>
      </c>
      <c r="P682">
        <v>7</v>
      </c>
      <c r="Q682">
        <v>878.09</v>
      </c>
      <c r="R682">
        <v>-0.1</v>
      </c>
      <c r="S682" t="str">
        <f t="shared" si="10"/>
        <v>INVALID</v>
      </c>
      <c r="T682">
        <v>5839.3</v>
      </c>
      <c r="U682">
        <v>4877.38</v>
      </c>
      <c r="V682">
        <v>961.92</v>
      </c>
      <c r="W682" t="s">
        <v>31</v>
      </c>
      <c r="X682" t="s">
        <v>32</v>
      </c>
    </row>
    <row r="683" spans="1:24">
      <c r="A683" t="s">
        <v>1304</v>
      </c>
      <c r="B683" s="2">
        <v>45725</v>
      </c>
      <c r="C683" s="2">
        <v>45732</v>
      </c>
      <c r="D683" s="5">
        <f>C683-B683</f>
        <v>7</v>
      </c>
      <c r="E683" s="5" t="str">
        <f>IF(D683&lt;0,"INVALID","OK")</f>
        <v>OK</v>
      </c>
      <c r="F683" t="s">
        <v>1305</v>
      </c>
      <c r="G683" t="s">
        <v>52</v>
      </c>
      <c r="H683" t="s">
        <v>36</v>
      </c>
      <c r="I683" t="s">
        <v>37</v>
      </c>
      <c r="J683" t="s">
        <v>227</v>
      </c>
      <c r="K683" t="s">
        <v>228</v>
      </c>
      <c r="L683" t="s">
        <v>40</v>
      </c>
      <c r="M683" t="s">
        <v>41</v>
      </c>
      <c r="N683" t="s">
        <v>1306</v>
      </c>
      <c r="O683" t="s">
        <v>43</v>
      </c>
      <c r="P683">
        <v>3</v>
      </c>
      <c r="Q683">
        <v>2625.85</v>
      </c>
      <c r="R683">
        <v>0</v>
      </c>
      <c r="S683" t="str">
        <f t="shared" si="10"/>
        <v>OK</v>
      </c>
      <c r="T683">
        <v>7877.55</v>
      </c>
      <c r="U683">
        <v>5562.77</v>
      </c>
      <c r="V683">
        <v>2314.7800000000002</v>
      </c>
      <c r="W683" t="s">
        <v>31</v>
      </c>
      <c r="X683" t="s">
        <v>32</v>
      </c>
    </row>
    <row r="684" spans="1:24">
      <c r="A684" t="s">
        <v>1319</v>
      </c>
      <c r="B684" s="2">
        <v>45713</v>
      </c>
      <c r="C684" s="2">
        <v>45713</v>
      </c>
      <c r="D684" s="5">
        <f>C684-B684</f>
        <v>0</v>
      </c>
      <c r="E684" s="5" t="str">
        <f>IF(D684&lt;0,"INVALID","OK")</f>
        <v>OK</v>
      </c>
      <c r="F684" t="s">
        <v>1320</v>
      </c>
      <c r="G684" t="s">
        <v>263</v>
      </c>
      <c r="H684" t="s">
        <v>36</v>
      </c>
      <c r="I684" t="s">
        <v>62</v>
      </c>
      <c r="J684" t="s">
        <v>189</v>
      </c>
      <c r="K684" t="s">
        <v>190</v>
      </c>
      <c r="L684" t="s">
        <v>40</v>
      </c>
      <c r="M684" t="s">
        <v>56</v>
      </c>
      <c r="N684" t="s">
        <v>1321</v>
      </c>
      <c r="O684" t="s">
        <v>58</v>
      </c>
      <c r="P684">
        <v>2</v>
      </c>
      <c r="Q684">
        <v>3924.2</v>
      </c>
      <c r="R684">
        <v>0.25</v>
      </c>
      <c r="S684" t="str">
        <f t="shared" si="10"/>
        <v>OK</v>
      </c>
      <c r="T684">
        <v>5886.3</v>
      </c>
      <c r="U684">
        <v>3621.76</v>
      </c>
      <c r="V684">
        <v>2264.54</v>
      </c>
      <c r="W684" t="s">
        <v>110</v>
      </c>
      <c r="X684" t="s">
        <v>102</v>
      </c>
    </row>
    <row r="685" spans="1:24">
      <c r="A685" t="s">
        <v>1325</v>
      </c>
      <c r="B685" s="2">
        <v>45870</v>
      </c>
      <c r="C685" s="2">
        <v>45872</v>
      </c>
      <c r="D685" s="5">
        <f>C685-B685</f>
        <v>2</v>
      </c>
      <c r="E685" s="5" t="str">
        <f>IF(D685&lt;0,"INVALID","OK")</f>
        <v>OK</v>
      </c>
      <c r="F685" t="s">
        <v>1326</v>
      </c>
      <c r="G685" t="s">
        <v>131</v>
      </c>
      <c r="H685" t="s">
        <v>23</v>
      </c>
      <c r="I685" t="s">
        <v>62</v>
      </c>
      <c r="J685" t="s">
        <v>63</v>
      </c>
      <c r="K685" t="s">
        <v>64</v>
      </c>
      <c r="L685" t="s">
        <v>40</v>
      </c>
      <c r="M685" t="s">
        <v>65</v>
      </c>
      <c r="N685" t="s">
        <v>1327</v>
      </c>
      <c r="O685" t="s">
        <v>49</v>
      </c>
      <c r="P685">
        <v>4</v>
      </c>
      <c r="Q685">
        <v>1773.46</v>
      </c>
      <c r="R685">
        <v>0</v>
      </c>
      <c r="S685" t="str">
        <f t="shared" si="10"/>
        <v>OK</v>
      </c>
      <c r="T685">
        <v>7093.84</v>
      </c>
      <c r="U685">
        <v>4587.49</v>
      </c>
      <c r="V685">
        <v>2506.35</v>
      </c>
      <c r="W685" t="s">
        <v>154</v>
      </c>
      <c r="X685" t="s">
        <v>102</v>
      </c>
    </row>
    <row r="686" spans="1:24">
      <c r="A686" t="s">
        <v>1328</v>
      </c>
      <c r="B686" s="2">
        <v>45701</v>
      </c>
      <c r="C686" s="2">
        <v>45703</v>
      </c>
      <c r="D686" s="5">
        <f>C686-B686</f>
        <v>2</v>
      </c>
      <c r="E686" s="5" t="str">
        <f>IF(D686&lt;0,"INVALID","OK")</f>
        <v>OK</v>
      </c>
      <c r="F686" t="s">
        <v>1329</v>
      </c>
      <c r="G686" t="s">
        <v>22</v>
      </c>
      <c r="H686" t="s">
        <v>23</v>
      </c>
      <c r="I686" t="s">
        <v>37</v>
      </c>
      <c r="J686" t="s">
        <v>165</v>
      </c>
      <c r="K686" t="s">
        <v>166</v>
      </c>
      <c r="L686" t="s">
        <v>73</v>
      </c>
      <c r="M686" t="s">
        <v>74</v>
      </c>
      <c r="N686" t="s">
        <v>1330</v>
      </c>
      <c r="O686" t="s">
        <v>43</v>
      </c>
      <c r="P686">
        <v>1</v>
      </c>
      <c r="Q686">
        <v>3025.46</v>
      </c>
      <c r="R686">
        <v>0.25</v>
      </c>
      <c r="S686" t="str">
        <f t="shared" si="10"/>
        <v>OK</v>
      </c>
      <c r="T686">
        <v>2269.1</v>
      </c>
      <c r="U686">
        <v>1593.59</v>
      </c>
      <c r="V686">
        <v>675.51</v>
      </c>
      <c r="W686" t="s">
        <v>101</v>
      </c>
      <c r="X686" t="s">
        <v>102</v>
      </c>
    </row>
    <row r="687" spans="1:24">
      <c r="A687" t="s">
        <v>1334</v>
      </c>
      <c r="B687" s="2">
        <v>45892</v>
      </c>
      <c r="C687" s="2">
        <v>45897</v>
      </c>
      <c r="D687" s="5">
        <f>C687-B687</f>
        <v>5</v>
      </c>
      <c r="E687" s="5" t="str">
        <f>IF(D687&lt;0,"INVALID","OK")</f>
        <v>OK</v>
      </c>
      <c r="F687" t="s">
        <v>1335</v>
      </c>
      <c r="G687" t="s">
        <v>52</v>
      </c>
      <c r="H687" t="s">
        <v>94</v>
      </c>
      <c r="I687" t="s">
        <v>62</v>
      </c>
      <c r="J687" t="s">
        <v>25</v>
      </c>
      <c r="K687" t="s">
        <v>108</v>
      </c>
      <c r="L687" t="s">
        <v>40</v>
      </c>
      <c r="M687" t="s">
        <v>41</v>
      </c>
      <c r="N687" t="s">
        <v>1336</v>
      </c>
      <c r="O687" t="s">
        <v>49</v>
      </c>
      <c r="P687">
        <v>1</v>
      </c>
      <c r="Q687">
        <v>4167.8100000000004</v>
      </c>
      <c r="R687">
        <v>0.2</v>
      </c>
      <c r="S687" t="str">
        <f t="shared" si="10"/>
        <v>OK</v>
      </c>
      <c r="T687">
        <v>3334.25</v>
      </c>
      <c r="U687">
        <v>2768.77</v>
      </c>
      <c r="V687">
        <v>565.48</v>
      </c>
      <c r="W687" t="s">
        <v>154</v>
      </c>
      <c r="X687" t="s">
        <v>102</v>
      </c>
    </row>
    <row r="688" spans="1:24">
      <c r="A688" t="s">
        <v>1340</v>
      </c>
      <c r="B688" s="2">
        <v>45882</v>
      </c>
      <c r="C688" s="2">
        <v>45886</v>
      </c>
      <c r="D688" s="5">
        <f>C688-B688</f>
        <v>4</v>
      </c>
      <c r="E688" s="5" t="str">
        <f>IF(D688&lt;0,"INVALID","OK")</f>
        <v>OK</v>
      </c>
      <c r="F688" t="s">
        <v>1341</v>
      </c>
      <c r="G688" t="s">
        <v>78</v>
      </c>
      <c r="H688" t="s">
        <v>94</v>
      </c>
      <c r="I688" t="s">
        <v>62</v>
      </c>
      <c r="J688" t="s">
        <v>71</v>
      </c>
      <c r="K688" t="s">
        <v>72</v>
      </c>
      <c r="L688" t="s">
        <v>73</v>
      </c>
      <c r="M688" t="s">
        <v>74</v>
      </c>
      <c r="N688" t="s">
        <v>1342</v>
      </c>
      <c r="O688" t="s">
        <v>30</v>
      </c>
      <c r="P688">
        <v>8</v>
      </c>
      <c r="Q688">
        <v>1918.23</v>
      </c>
      <c r="R688">
        <v>0</v>
      </c>
      <c r="S688" t="str">
        <f t="shared" si="10"/>
        <v>OK</v>
      </c>
      <c r="T688">
        <v>15345.84</v>
      </c>
      <c r="U688">
        <v>10735.33</v>
      </c>
      <c r="V688">
        <v>4610.51</v>
      </c>
      <c r="W688" t="s">
        <v>110</v>
      </c>
      <c r="X688" t="s">
        <v>67</v>
      </c>
    </row>
    <row r="689" spans="1:24">
      <c r="A689" t="s">
        <v>1349</v>
      </c>
      <c r="B689" s="2">
        <v>45665</v>
      </c>
      <c r="C689" s="2">
        <v>45673</v>
      </c>
      <c r="D689" s="5">
        <f>C689-B689</f>
        <v>8</v>
      </c>
      <c r="E689" s="5" t="str">
        <f>IF(D689&lt;0,"INVALID","OK")</f>
        <v>OK</v>
      </c>
      <c r="F689" t="s">
        <v>1350</v>
      </c>
      <c r="G689" t="s">
        <v>78</v>
      </c>
      <c r="H689" t="s">
        <v>23</v>
      </c>
      <c r="I689" t="s">
        <v>53</v>
      </c>
      <c r="J689" t="s">
        <v>54</v>
      </c>
      <c r="K689" t="s">
        <v>55</v>
      </c>
      <c r="L689" t="s">
        <v>40</v>
      </c>
      <c r="M689" t="s">
        <v>56</v>
      </c>
      <c r="N689" t="s">
        <v>1351</v>
      </c>
      <c r="O689" t="s">
        <v>49</v>
      </c>
      <c r="P689">
        <v>8</v>
      </c>
      <c r="Q689">
        <v>638.95000000000005</v>
      </c>
      <c r="R689">
        <v>0.25</v>
      </c>
      <c r="S689" t="str">
        <f t="shared" si="10"/>
        <v>OK</v>
      </c>
      <c r="T689">
        <v>3833.7</v>
      </c>
      <c r="U689">
        <v>2886.35</v>
      </c>
      <c r="V689">
        <v>947.35</v>
      </c>
      <c r="W689" t="s">
        <v>31</v>
      </c>
      <c r="X689" t="s">
        <v>32</v>
      </c>
    </row>
    <row r="690" spans="1:24">
      <c r="A690" t="s">
        <v>1352</v>
      </c>
      <c r="B690" s="2">
        <v>45686</v>
      </c>
      <c r="C690" s="2">
        <v>45693</v>
      </c>
      <c r="D690" s="5">
        <f>C690-B690</f>
        <v>7</v>
      </c>
      <c r="E690" s="5" t="str">
        <f>IF(D690&lt;0,"INVALID","OK")</f>
        <v>OK</v>
      </c>
      <c r="F690" t="s">
        <v>1353</v>
      </c>
      <c r="G690" t="s">
        <v>35</v>
      </c>
      <c r="H690" t="s">
        <v>23</v>
      </c>
      <c r="I690" t="s">
        <v>62</v>
      </c>
      <c r="J690" t="s">
        <v>179</v>
      </c>
      <c r="K690" t="s">
        <v>180</v>
      </c>
      <c r="L690" t="s">
        <v>27</v>
      </c>
      <c r="M690" t="s">
        <v>47</v>
      </c>
      <c r="N690" t="s">
        <v>1354</v>
      </c>
      <c r="O690" t="s">
        <v>49</v>
      </c>
      <c r="P690">
        <v>6</v>
      </c>
      <c r="Q690">
        <v>3863</v>
      </c>
      <c r="R690">
        <v>0.2</v>
      </c>
      <c r="S690" t="str">
        <f t="shared" si="10"/>
        <v>OK</v>
      </c>
      <c r="T690">
        <v>18542.400000000001</v>
      </c>
      <c r="U690">
        <v>11193.75</v>
      </c>
      <c r="V690">
        <v>7348.65</v>
      </c>
      <c r="W690" t="s">
        <v>31</v>
      </c>
      <c r="X690" t="s">
        <v>32</v>
      </c>
    </row>
    <row r="691" spans="1:24">
      <c r="A691" t="s">
        <v>1358</v>
      </c>
      <c r="B691" s="2">
        <v>45926</v>
      </c>
      <c r="C691" s="2">
        <v>45930</v>
      </c>
      <c r="D691" s="5">
        <f>C691-B691</f>
        <v>4</v>
      </c>
      <c r="E691" s="5" t="str">
        <f>IF(D691&lt;0,"INVALID","OK")</f>
        <v>OK</v>
      </c>
      <c r="F691" t="s">
        <v>1359</v>
      </c>
      <c r="G691" t="s">
        <v>131</v>
      </c>
      <c r="H691" t="s">
        <v>94</v>
      </c>
      <c r="I691" t="s">
        <v>24</v>
      </c>
      <c r="J691" t="s">
        <v>235</v>
      </c>
      <c r="K691" t="s">
        <v>236</v>
      </c>
      <c r="L691" t="s">
        <v>73</v>
      </c>
      <c r="M691" t="s">
        <v>170</v>
      </c>
      <c r="N691" t="s">
        <v>1360</v>
      </c>
      <c r="O691" t="s">
        <v>43</v>
      </c>
      <c r="P691">
        <v>2</v>
      </c>
      <c r="Q691">
        <v>688.83</v>
      </c>
      <c r="R691">
        <v>0.05</v>
      </c>
      <c r="S691" t="str">
        <f t="shared" si="10"/>
        <v>OK</v>
      </c>
      <c r="T691">
        <v>1308.78</v>
      </c>
      <c r="U691">
        <v>843</v>
      </c>
      <c r="V691">
        <v>465.78</v>
      </c>
      <c r="W691" t="s">
        <v>31</v>
      </c>
      <c r="X691" t="s">
        <v>32</v>
      </c>
    </row>
    <row r="692" spans="1:24">
      <c r="A692" t="s">
        <v>1361</v>
      </c>
      <c r="B692" s="2">
        <v>45734</v>
      </c>
      <c r="C692" s="2">
        <v>45735</v>
      </c>
      <c r="D692" s="5">
        <f>C692-B692</f>
        <v>1</v>
      </c>
      <c r="E692" s="5" t="str">
        <f>IF(D692&lt;0,"INVALID","OK")</f>
        <v>OK</v>
      </c>
      <c r="F692" t="s">
        <v>1362</v>
      </c>
      <c r="G692" t="s">
        <v>46</v>
      </c>
      <c r="H692" t="s">
        <v>89</v>
      </c>
      <c r="I692" t="s">
        <v>53</v>
      </c>
      <c r="J692" t="s">
        <v>246</v>
      </c>
      <c r="K692" t="s">
        <v>247</v>
      </c>
      <c r="L692" t="s">
        <v>73</v>
      </c>
      <c r="M692" t="s">
        <v>273</v>
      </c>
      <c r="N692" t="s">
        <v>1363</v>
      </c>
      <c r="O692" t="s">
        <v>58</v>
      </c>
      <c r="P692">
        <v>2</v>
      </c>
      <c r="Q692">
        <v>1209.99</v>
      </c>
      <c r="R692">
        <v>0.25</v>
      </c>
      <c r="S692" t="str">
        <f t="shared" si="10"/>
        <v>OK</v>
      </c>
      <c r="T692">
        <v>1814.99</v>
      </c>
      <c r="U692">
        <v>1120.06</v>
      </c>
      <c r="V692">
        <v>694.93</v>
      </c>
      <c r="W692" t="s">
        <v>110</v>
      </c>
      <c r="X692" t="s">
        <v>67</v>
      </c>
    </row>
    <row r="693" spans="1:24">
      <c r="A693" t="s">
        <v>1364</v>
      </c>
      <c r="B693" s="2">
        <v>45822</v>
      </c>
      <c r="C693" s="2">
        <v>45827</v>
      </c>
      <c r="D693" s="5">
        <f>C693-B693</f>
        <v>5</v>
      </c>
      <c r="E693" s="5" t="str">
        <f>IF(D693&lt;0,"INVALID","OK")</f>
        <v>OK</v>
      </c>
      <c r="F693" t="s">
        <v>1365</v>
      </c>
      <c r="G693" t="s">
        <v>140</v>
      </c>
      <c r="H693" t="s">
        <v>36</v>
      </c>
      <c r="I693" t="s">
        <v>24</v>
      </c>
      <c r="J693" t="s">
        <v>349</v>
      </c>
      <c r="K693" t="s">
        <v>350</v>
      </c>
      <c r="L693" t="s">
        <v>27</v>
      </c>
      <c r="M693" t="s">
        <v>152</v>
      </c>
      <c r="N693" t="s">
        <v>1366</v>
      </c>
      <c r="O693" t="s">
        <v>43</v>
      </c>
      <c r="P693">
        <v>3</v>
      </c>
      <c r="Q693">
        <v>1037.45</v>
      </c>
      <c r="R693">
        <v>0.2</v>
      </c>
      <c r="S693" t="str">
        <f t="shared" si="10"/>
        <v>OK</v>
      </c>
      <c r="T693">
        <v>2489.88</v>
      </c>
      <c r="U693">
        <v>1707.52</v>
      </c>
      <c r="V693">
        <v>782.36</v>
      </c>
      <c r="W693" t="s">
        <v>110</v>
      </c>
      <c r="X693" t="s">
        <v>102</v>
      </c>
    </row>
    <row r="694" spans="1:24">
      <c r="A694" t="s">
        <v>1367</v>
      </c>
      <c r="B694" s="2">
        <v>45903</v>
      </c>
      <c r="C694" s="2">
        <v>45906</v>
      </c>
      <c r="D694" s="5">
        <f>C694-B694</f>
        <v>3</v>
      </c>
      <c r="E694" s="5" t="str">
        <f>IF(D694&lt;0,"INVALID","OK")</f>
        <v>OK</v>
      </c>
      <c r="F694" t="s">
        <v>1368</v>
      </c>
      <c r="G694" t="s">
        <v>263</v>
      </c>
      <c r="H694" t="s">
        <v>23</v>
      </c>
      <c r="I694" t="s">
        <v>62</v>
      </c>
      <c r="J694" t="s">
        <v>71</v>
      </c>
      <c r="K694" t="s">
        <v>72</v>
      </c>
      <c r="L694" t="s">
        <v>73</v>
      </c>
      <c r="M694" t="s">
        <v>79</v>
      </c>
      <c r="N694" t="s">
        <v>1369</v>
      </c>
      <c r="O694" t="s">
        <v>43</v>
      </c>
      <c r="P694">
        <v>7</v>
      </c>
      <c r="Q694">
        <v>688.85</v>
      </c>
      <c r="R694">
        <v>0.15</v>
      </c>
      <c r="S694" t="str">
        <f t="shared" si="10"/>
        <v>OK</v>
      </c>
      <c r="T694">
        <v>4098.66</v>
      </c>
      <c r="U694">
        <v>2678.06</v>
      </c>
      <c r="V694">
        <v>1420.6</v>
      </c>
      <c r="W694" t="s">
        <v>31</v>
      </c>
      <c r="X694" t="s">
        <v>32</v>
      </c>
    </row>
    <row r="695" spans="1:24">
      <c r="A695" t="s">
        <v>1382</v>
      </c>
      <c r="B695" s="2">
        <v>45769</v>
      </c>
      <c r="C695" s="2">
        <v>45771</v>
      </c>
      <c r="D695" s="5">
        <f>C695-B695</f>
        <v>2</v>
      </c>
      <c r="E695" s="5" t="str">
        <f>IF(D695&lt;0,"INVALID","OK")</f>
        <v>OK</v>
      </c>
      <c r="F695" t="s">
        <v>1383</v>
      </c>
      <c r="G695" t="s">
        <v>46</v>
      </c>
      <c r="H695" t="s">
        <v>89</v>
      </c>
      <c r="I695" t="s">
        <v>2762</v>
      </c>
      <c r="J695" t="s">
        <v>227</v>
      </c>
      <c r="K695" t="s">
        <v>228</v>
      </c>
      <c r="L695" t="s">
        <v>73</v>
      </c>
      <c r="M695" t="s">
        <v>74</v>
      </c>
      <c r="N695" t="s">
        <v>1384</v>
      </c>
      <c r="O695" t="s">
        <v>58</v>
      </c>
      <c r="P695">
        <v>9</v>
      </c>
      <c r="Q695">
        <v>2939.44</v>
      </c>
      <c r="R695">
        <v>0</v>
      </c>
      <c r="S695" t="str">
        <f t="shared" si="10"/>
        <v>OK</v>
      </c>
      <c r="T695">
        <v>26454.959999999999</v>
      </c>
      <c r="U695">
        <v>17630.25</v>
      </c>
      <c r="V695">
        <v>8824.7099999999991</v>
      </c>
      <c r="W695" t="s">
        <v>31</v>
      </c>
      <c r="X695" t="s">
        <v>32</v>
      </c>
    </row>
    <row r="696" spans="1:24">
      <c r="A696" t="s">
        <v>1385</v>
      </c>
      <c r="B696" s="2">
        <v>45731</v>
      </c>
      <c r="C696" s="2">
        <v>45738</v>
      </c>
      <c r="D696" s="5">
        <f>C696-B696</f>
        <v>7</v>
      </c>
      <c r="E696" s="5" t="str">
        <f>IF(D696&lt;0,"INVALID","OK")</f>
        <v>OK</v>
      </c>
      <c r="F696" t="s">
        <v>1386</v>
      </c>
      <c r="G696" t="s">
        <v>22</v>
      </c>
      <c r="H696" t="s">
        <v>36</v>
      </c>
      <c r="I696" t="s">
        <v>37</v>
      </c>
      <c r="J696" t="s">
        <v>98</v>
      </c>
      <c r="K696" t="s">
        <v>99</v>
      </c>
      <c r="L696" t="s">
        <v>73</v>
      </c>
      <c r="M696" t="s">
        <v>170</v>
      </c>
      <c r="N696" t="s">
        <v>1387</v>
      </c>
      <c r="O696" t="s">
        <v>43</v>
      </c>
      <c r="P696">
        <v>2</v>
      </c>
      <c r="Q696">
        <v>1235.93</v>
      </c>
      <c r="R696">
        <v>0.25</v>
      </c>
      <c r="S696" t="str">
        <f t="shared" si="10"/>
        <v>OK</v>
      </c>
      <c r="T696">
        <v>1853.89</v>
      </c>
      <c r="U696">
        <v>1101.23</v>
      </c>
      <c r="V696">
        <v>752.66</v>
      </c>
      <c r="W696" t="s">
        <v>110</v>
      </c>
      <c r="X696" t="s">
        <v>67</v>
      </c>
    </row>
    <row r="697" spans="1:24">
      <c r="A697" t="s">
        <v>1388</v>
      </c>
      <c r="B697" s="2">
        <v>45717</v>
      </c>
      <c r="C697" s="2">
        <v>45872</v>
      </c>
      <c r="D697" s="5">
        <f>C697-B697</f>
        <v>155</v>
      </c>
      <c r="E697" s="5" t="str">
        <f>IF(D697&lt;0,"INVALID","OK")</f>
        <v>OK</v>
      </c>
      <c r="F697" t="s">
        <v>1389</v>
      </c>
      <c r="G697" t="s">
        <v>78</v>
      </c>
      <c r="H697" t="s">
        <v>94</v>
      </c>
      <c r="I697" t="s">
        <v>24</v>
      </c>
      <c r="J697" t="s">
        <v>25</v>
      </c>
      <c r="K697" t="s">
        <v>26</v>
      </c>
      <c r="L697" t="s">
        <v>73</v>
      </c>
      <c r="M697" t="s">
        <v>79</v>
      </c>
      <c r="N697" t="s">
        <v>1390</v>
      </c>
      <c r="O697" t="s">
        <v>43</v>
      </c>
      <c r="P697">
        <v>8</v>
      </c>
      <c r="Q697">
        <v>2943.1</v>
      </c>
      <c r="R697">
        <v>0.25</v>
      </c>
      <c r="S697" t="str">
        <f t="shared" si="10"/>
        <v>OK</v>
      </c>
      <c r="T697">
        <v>17658.599999999999</v>
      </c>
      <c r="U697">
        <v>13842.48</v>
      </c>
      <c r="V697">
        <v>3816.12</v>
      </c>
      <c r="W697" t="s">
        <v>31</v>
      </c>
      <c r="X697" t="s">
        <v>32</v>
      </c>
    </row>
    <row r="698" spans="1:24">
      <c r="A698" t="s">
        <v>1403</v>
      </c>
      <c r="B698" s="2">
        <v>45758</v>
      </c>
      <c r="C698" s="2">
        <v>45762</v>
      </c>
      <c r="D698" s="5">
        <f>C698-B698</f>
        <v>4</v>
      </c>
      <c r="E698" s="5" t="str">
        <f>IF(D698&lt;0,"INVALID","OK")</f>
        <v>OK</v>
      </c>
      <c r="F698" t="s">
        <v>1404</v>
      </c>
      <c r="G698" t="s">
        <v>35</v>
      </c>
      <c r="H698" t="s">
        <v>94</v>
      </c>
      <c r="I698" t="s">
        <v>24</v>
      </c>
      <c r="J698" t="s">
        <v>135</v>
      </c>
      <c r="K698" t="s">
        <v>136</v>
      </c>
      <c r="L698" t="s">
        <v>73</v>
      </c>
      <c r="M698" t="s">
        <v>74</v>
      </c>
      <c r="N698" t="s">
        <v>1405</v>
      </c>
      <c r="O698" t="s">
        <v>30</v>
      </c>
      <c r="P698">
        <v>5</v>
      </c>
      <c r="Q698">
        <v>652.78</v>
      </c>
      <c r="R698">
        <v>0</v>
      </c>
      <c r="S698" t="str">
        <f t="shared" si="10"/>
        <v>OK</v>
      </c>
      <c r="T698">
        <v>3263.9</v>
      </c>
      <c r="U698">
        <v>2068.44</v>
      </c>
      <c r="V698">
        <v>1195.46</v>
      </c>
      <c r="W698" t="s">
        <v>31</v>
      </c>
      <c r="X698" t="s">
        <v>32</v>
      </c>
    </row>
    <row r="699" spans="1:24">
      <c r="A699" t="s">
        <v>1406</v>
      </c>
      <c r="B699" s="2">
        <v>45759</v>
      </c>
      <c r="C699" s="2">
        <v>45767</v>
      </c>
      <c r="D699" s="5">
        <f>C699-B699</f>
        <v>8</v>
      </c>
      <c r="E699" s="5" t="str">
        <f>IF(D699&lt;0,"INVALID","OK")</f>
        <v>OK</v>
      </c>
      <c r="F699" t="s">
        <v>1407</v>
      </c>
      <c r="G699" t="s">
        <v>263</v>
      </c>
      <c r="H699" t="s">
        <v>94</v>
      </c>
      <c r="I699" t="s">
        <v>24</v>
      </c>
      <c r="J699" t="s">
        <v>349</v>
      </c>
      <c r="K699" t="s">
        <v>350</v>
      </c>
      <c r="L699" t="s">
        <v>73</v>
      </c>
      <c r="M699" t="s">
        <v>273</v>
      </c>
      <c r="N699" t="s">
        <v>1408</v>
      </c>
      <c r="O699" t="s">
        <v>58</v>
      </c>
      <c r="P699">
        <v>1</v>
      </c>
      <c r="Q699">
        <v>2737.71</v>
      </c>
      <c r="R699">
        <v>0.15</v>
      </c>
      <c r="S699" t="str">
        <f t="shared" si="10"/>
        <v>OK</v>
      </c>
      <c r="T699">
        <v>2327.0500000000002</v>
      </c>
      <c r="U699">
        <v>1919.42</v>
      </c>
      <c r="V699">
        <v>407.63</v>
      </c>
      <c r="W699" t="s">
        <v>31</v>
      </c>
      <c r="X699" t="s">
        <v>67</v>
      </c>
    </row>
    <row r="700" spans="1:24">
      <c r="A700" t="s">
        <v>1415</v>
      </c>
      <c r="B700" s="2">
        <v>45784</v>
      </c>
      <c r="C700" s="2">
        <v>45782</v>
      </c>
      <c r="D700" s="5">
        <f>C700-B700</f>
        <v>-2</v>
      </c>
      <c r="E700" s="5" t="str">
        <f>IF(D700&lt;0,"INVALID","OK")</f>
        <v>INVALID</v>
      </c>
      <c r="F700" t="s">
        <v>1416</v>
      </c>
      <c r="G700" t="s">
        <v>78</v>
      </c>
      <c r="H700" t="s">
        <v>89</v>
      </c>
      <c r="I700" t="s">
        <v>37</v>
      </c>
      <c r="J700" t="s">
        <v>227</v>
      </c>
      <c r="K700" t="s">
        <v>228</v>
      </c>
      <c r="L700" t="s">
        <v>73</v>
      </c>
      <c r="M700" t="s">
        <v>170</v>
      </c>
      <c r="N700" t="s">
        <v>1417</v>
      </c>
      <c r="O700" t="s">
        <v>58</v>
      </c>
      <c r="P700">
        <v>1</v>
      </c>
      <c r="Q700">
        <v>2266.4699999999998</v>
      </c>
      <c r="R700">
        <v>0.2</v>
      </c>
      <c r="S700" t="str">
        <f t="shared" si="10"/>
        <v>OK</v>
      </c>
      <c r="T700">
        <v>1813.18</v>
      </c>
      <c r="U700">
        <v>1363.64</v>
      </c>
      <c r="V700">
        <v>449.54</v>
      </c>
      <c r="W700" t="s">
        <v>31</v>
      </c>
      <c r="X700" t="s">
        <v>32</v>
      </c>
    </row>
    <row r="701" spans="1:24">
      <c r="A701" t="s">
        <v>1418</v>
      </c>
      <c r="B701" s="2">
        <v>45838</v>
      </c>
      <c r="C701" s="2">
        <v>45841</v>
      </c>
      <c r="D701" s="5">
        <f>C701-B701</f>
        <v>3</v>
      </c>
      <c r="E701" s="5" t="str">
        <f>IF(D701&lt;0,"INVALID","OK")</f>
        <v>OK</v>
      </c>
      <c r="F701" t="s">
        <v>1419</v>
      </c>
      <c r="G701" t="s">
        <v>127</v>
      </c>
      <c r="H701" t="s">
        <v>94</v>
      </c>
      <c r="I701" t="s">
        <v>62</v>
      </c>
      <c r="J701" t="s">
        <v>189</v>
      </c>
      <c r="K701" t="s">
        <v>190</v>
      </c>
      <c r="L701" t="s">
        <v>27</v>
      </c>
      <c r="M701" t="s">
        <v>123</v>
      </c>
      <c r="N701" t="s">
        <v>1420</v>
      </c>
      <c r="O701" t="s">
        <v>43</v>
      </c>
      <c r="P701">
        <v>5</v>
      </c>
      <c r="Q701">
        <v>665.25</v>
      </c>
      <c r="R701">
        <v>0</v>
      </c>
      <c r="S701" t="str">
        <f t="shared" si="10"/>
        <v>OK</v>
      </c>
      <c r="T701">
        <v>3326.25</v>
      </c>
      <c r="U701">
        <v>2689.36</v>
      </c>
      <c r="V701">
        <v>636.89</v>
      </c>
      <c r="W701" t="s">
        <v>101</v>
      </c>
      <c r="X701" t="s">
        <v>102</v>
      </c>
    </row>
    <row r="702" spans="1:24">
      <c r="A702" t="s">
        <v>1426</v>
      </c>
      <c r="B702" s="2">
        <v>45669</v>
      </c>
      <c r="C702" s="2">
        <v>45676</v>
      </c>
      <c r="D702" s="5">
        <f>C702-B702</f>
        <v>7</v>
      </c>
      <c r="E702" s="5" t="str">
        <f>IF(D702&lt;0,"INVALID","OK")</f>
        <v>OK</v>
      </c>
      <c r="F702" t="s">
        <v>1427</v>
      </c>
      <c r="G702" t="s">
        <v>127</v>
      </c>
      <c r="H702" t="s">
        <v>23</v>
      </c>
      <c r="I702" t="s">
        <v>37</v>
      </c>
      <c r="J702" t="s">
        <v>227</v>
      </c>
      <c r="K702" t="s">
        <v>228</v>
      </c>
      <c r="L702" t="s">
        <v>40</v>
      </c>
      <c r="M702" t="s">
        <v>41</v>
      </c>
      <c r="N702" t="s">
        <v>1428</v>
      </c>
      <c r="O702" t="s">
        <v>49</v>
      </c>
      <c r="P702">
        <v>1</v>
      </c>
      <c r="Q702">
        <v>1842.31</v>
      </c>
      <c r="R702">
        <v>0</v>
      </c>
      <c r="S702" t="str">
        <f t="shared" si="10"/>
        <v>OK</v>
      </c>
      <c r="T702">
        <v>1842.31</v>
      </c>
      <c r="U702">
        <v>1019.17</v>
      </c>
      <c r="V702">
        <v>823.14</v>
      </c>
      <c r="W702" t="s">
        <v>31</v>
      </c>
      <c r="X702" t="s">
        <v>32</v>
      </c>
    </row>
    <row r="703" spans="1:24">
      <c r="A703" t="s">
        <v>1432</v>
      </c>
      <c r="B703" s="2">
        <v>45881</v>
      </c>
      <c r="C703" s="2">
        <v>45885</v>
      </c>
      <c r="D703" s="5">
        <f>C703-B703</f>
        <v>4</v>
      </c>
      <c r="E703" s="5" t="str">
        <f>IF(D703&lt;0,"INVALID","OK")</f>
        <v>OK</v>
      </c>
      <c r="F703" t="s">
        <v>1433</v>
      </c>
      <c r="G703" t="s">
        <v>61</v>
      </c>
      <c r="H703" t="s">
        <v>23</v>
      </c>
      <c r="I703" t="s">
        <v>37</v>
      </c>
      <c r="J703" t="s">
        <v>165</v>
      </c>
      <c r="K703" t="s">
        <v>166</v>
      </c>
      <c r="L703" t="s">
        <v>73</v>
      </c>
      <c r="M703" t="s">
        <v>74</v>
      </c>
      <c r="N703" t="s">
        <v>1434</v>
      </c>
      <c r="O703" t="s">
        <v>43</v>
      </c>
      <c r="P703">
        <v>9</v>
      </c>
      <c r="Q703">
        <v>2379.2399999999998</v>
      </c>
      <c r="R703">
        <v>0.05</v>
      </c>
      <c r="S703" t="str">
        <f t="shared" si="10"/>
        <v>OK</v>
      </c>
      <c r="T703">
        <v>20342.5</v>
      </c>
      <c r="U703">
        <v>12407.51</v>
      </c>
      <c r="V703">
        <v>7934.99</v>
      </c>
      <c r="W703" t="s">
        <v>31</v>
      </c>
      <c r="X703" t="s">
        <v>32</v>
      </c>
    </row>
    <row r="704" spans="1:24">
      <c r="A704" t="s">
        <v>1438</v>
      </c>
      <c r="B704" s="2">
        <v>45918</v>
      </c>
      <c r="C704" s="2">
        <v>45919</v>
      </c>
      <c r="D704" s="5">
        <f>C704-B704</f>
        <v>1</v>
      </c>
      <c r="E704" s="5" t="str">
        <f>IF(D704&lt;0,"INVALID","OK")</f>
        <v>OK</v>
      </c>
      <c r="F704" t="s">
        <v>1439</v>
      </c>
      <c r="G704" t="s">
        <v>131</v>
      </c>
      <c r="H704" t="s">
        <v>94</v>
      </c>
      <c r="I704" t="s">
        <v>53</v>
      </c>
      <c r="J704" t="s">
        <v>83</v>
      </c>
      <c r="K704" t="s">
        <v>84</v>
      </c>
      <c r="L704" t="s">
        <v>27</v>
      </c>
      <c r="M704" t="s">
        <v>123</v>
      </c>
      <c r="N704" t="s">
        <v>1440</v>
      </c>
      <c r="O704" t="s">
        <v>43</v>
      </c>
      <c r="P704">
        <v>8</v>
      </c>
      <c r="Q704">
        <v>4242.51</v>
      </c>
      <c r="R704">
        <v>0</v>
      </c>
      <c r="S704" t="str">
        <f t="shared" si="10"/>
        <v>OK</v>
      </c>
      <c r="T704">
        <v>33940.080000000002</v>
      </c>
      <c r="U704">
        <v>23754.19</v>
      </c>
      <c r="V704">
        <v>10185.89</v>
      </c>
      <c r="W704" t="s">
        <v>31</v>
      </c>
      <c r="X704" t="s">
        <v>32</v>
      </c>
    </row>
    <row r="705" spans="1:24">
      <c r="A705" t="s">
        <v>1441</v>
      </c>
      <c r="B705" s="2">
        <v>45938</v>
      </c>
      <c r="C705" s="2">
        <v>45879</v>
      </c>
      <c r="D705" s="5">
        <f>C705-B705</f>
        <v>-59</v>
      </c>
      <c r="E705" s="5" t="str">
        <f>IF(D705&lt;0,"INVALID","OK")</f>
        <v>INVALID</v>
      </c>
      <c r="F705" t="s">
        <v>1442</v>
      </c>
      <c r="G705" t="s">
        <v>140</v>
      </c>
      <c r="H705" t="s">
        <v>94</v>
      </c>
      <c r="I705" t="s">
        <v>53</v>
      </c>
      <c r="J705" t="s">
        <v>54</v>
      </c>
      <c r="K705" t="s">
        <v>55</v>
      </c>
      <c r="L705" t="s">
        <v>40</v>
      </c>
      <c r="M705" t="s">
        <v>157</v>
      </c>
      <c r="N705" t="s">
        <v>1443</v>
      </c>
      <c r="O705" t="s">
        <v>58</v>
      </c>
      <c r="P705">
        <v>6</v>
      </c>
      <c r="Q705">
        <v>4288.7</v>
      </c>
      <c r="R705">
        <v>0.15</v>
      </c>
      <c r="S705" t="str">
        <f t="shared" si="10"/>
        <v>OK</v>
      </c>
      <c r="T705">
        <v>21872.37</v>
      </c>
      <c r="U705">
        <v>13829.5</v>
      </c>
      <c r="V705">
        <v>8042.87</v>
      </c>
      <c r="W705" t="s">
        <v>110</v>
      </c>
      <c r="X705" t="s">
        <v>102</v>
      </c>
    </row>
    <row r="706" spans="1:24">
      <c r="A706" t="s">
        <v>1449</v>
      </c>
      <c r="B706" s="2">
        <v>45820</v>
      </c>
      <c r="C706" s="2">
        <v>45827</v>
      </c>
      <c r="D706" s="5">
        <f>C706-B706</f>
        <v>7</v>
      </c>
      <c r="E706" s="5" t="str">
        <f>IF(D706&lt;0,"INVALID","OK")</f>
        <v>OK</v>
      </c>
      <c r="F706" t="s">
        <v>1450</v>
      </c>
      <c r="G706" t="s">
        <v>61</v>
      </c>
      <c r="H706" t="s">
        <v>89</v>
      </c>
      <c r="I706" t="s">
        <v>24</v>
      </c>
      <c r="J706" t="s">
        <v>349</v>
      </c>
      <c r="K706" t="s">
        <v>350</v>
      </c>
      <c r="L706" t="s">
        <v>40</v>
      </c>
      <c r="M706" t="s">
        <v>65</v>
      </c>
      <c r="N706" t="s">
        <v>1451</v>
      </c>
      <c r="O706" t="s">
        <v>58</v>
      </c>
      <c r="P706">
        <v>9</v>
      </c>
      <c r="Q706">
        <v>2278.5700000000002</v>
      </c>
      <c r="R706">
        <v>0.25</v>
      </c>
      <c r="S706" t="str">
        <f t="shared" si="10"/>
        <v>OK</v>
      </c>
      <c r="T706">
        <v>15380.35</v>
      </c>
      <c r="U706">
        <v>9907.3700000000008</v>
      </c>
      <c r="V706">
        <v>5472.98</v>
      </c>
      <c r="W706" t="s">
        <v>31</v>
      </c>
      <c r="X706" t="s">
        <v>32</v>
      </c>
    </row>
    <row r="707" spans="1:24">
      <c r="A707" t="s">
        <v>1458</v>
      </c>
      <c r="B707" s="2">
        <v>45780</v>
      </c>
      <c r="C707" s="2">
        <v>45788</v>
      </c>
      <c r="D707" s="5">
        <f>C707-B707</f>
        <v>8</v>
      </c>
      <c r="E707" s="5" t="str">
        <f>IF(D707&lt;0,"INVALID","OK")</f>
        <v>OK</v>
      </c>
      <c r="F707" t="s">
        <v>1459</v>
      </c>
      <c r="G707" t="s">
        <v>140</v>
      </c>
      <c r="H707" t="s">
        <v>36</v>
      </c>
      <c r="I707" t="s">
        <v>62</v>
      </c>
      <c r="J707" t="s">
        <v>71</v>
      </c>
      <c r="K707" t="s">
        <v>72</v>
      </c>
      <c r="L707" t="s">
        <v>27</v>
      </c>
      <c r="M707" t="s">
        <v>90</v>
      </c>
      <c r="N707" t="s">
        <v>1460</v>
      </c>
      <c r="O707" t="s">
        <v>43</v>
      </c>
      <c r="P707">
        <v>5</v>
      </c>
      <c r="Q707">
        <v>1483.52</v>
      </c>
      <c r="R707">
        <v>0</v>
      </c>
      <c r="S707" t="str">
        <f t="shared" ref="S707:S770" si="11">IF(R707&lt;0,"INVALID",IF(R707&gt;0.5,"INVALID","OK"))</f>
        <v>OK</v>
      </c>
      <c r="T707">
        <v>7417.6</v>
      </c>
      <c r="U707">
        <v>4955.8599999999997</v>
      </c>
      <c r="V707">
        <v>2461.7399999999998</v>
      </c>
      <c r="W707" t="s">
        <v>31</v>
      </c>
      <c r="X707" t="s">
        <v>32</v>
      </c>
    </row>
    <row r="708" spans="1:24">
      <c r="A708" t="s">
        <v>1461</v>
      </c>
      <c r="B708" s="2">
        <v>45739</v>
      </c>
      <c r="C708" s="2">
        <v>45744</v>
      </c>
      <c r="D708" s="5">
        <f>C708-B708</f>
        <v>5</v>
      </c>
      <c r="E708" s="5" t="str">
        <f>IF(D708&lt;0,"INVALID","OK")</f>
        <v>OK</v>
      </c>
      <c r="F708" t="s">
        <v>1462</v>
      </c>
      <c r="G708" t="s">
        <v>70</v>
      </c>
      <c r="H708" t="s">
        <v>36</v>
      </c>
      <c r="I708" t="s">
        <v>24</v>
      </c>
      <c r="J708" t="s">
        <v>25</v>
      </c>
      <c r="K708" t="s">
        <v>26</v>
      </c>
      <c r="L708" t="s">
        <v>40</v>
      </c>
      <c r="M708" t="s">
        <v>56</v>
      </c>
      <c r="N708" t="s">
        <v>1463</v>
      </c>
      <c r="O708" t="s">
        <v>58</v>
      </c>
      <c r="P708">
        <v>9</v>
      </c>
      <c r="Q708">
        <v>3298</v>
      </c>
      <c r="R708">
        <v>0.15</v>
      </c>
      <c r="S708" t="str">
        <f t="shared" si="11"/>
        <v>OK</v>
      </c>
      <c r="T708">
        <v>25229.7</v>
      </c>
      <c r="U708">
        <v>20170.43</v>
      </c>
      <c r="V708">
        <v>5059.2700000000004</v>
      </c>
      <c r="W708" t="s">
        <v>31</v>
      </c>
      <c r="X708" t="s">
        <v>32</v>
      </c>
    </row>
    <row r="709" spans="1:24">
      <c r="A709" t="s">
        <v>1479</v>
      </c>
      <c r="B709" s="2">
        <v>45930</v>
      </c>
      <c r="C709" s="2">
        <v>45936</v>
      </c>
      <c r="D709" s="5">
        <f>C709-B709</f>
        <v>6</v>
      </c>
      <c r="E709" s="5" t="str">
        <f>IF(D709&lt;0,"INVALID","OK")</f>
        <v>OK</v>
      </c>
      <c r="F709" t="s">
        <v>1480</v>
      </c>
      <c r="G709" t="s">
        <v>127</v>
      </c>
      <c r="H709" t="s">
        <v>89</v>
      </c>
      <c r="I709" t="s">
        <v>2762</v>
      </c>
      <c r="J709" t="s">
        <v>25</v>
      </c>
      <c r="K709" t="s">
        <v>26</v>
      </c>
      <c r="L709" t="s">
        <v>73</v>
      </c>
      <c r="M709" t="s">
        <v>79</v>
      </c>
      <c r="N709" t="s">
        <v>1481</v>
      </c>
      <c r="O709" t="s">
        <v>30</v>
      </c>
      <c r="P709">
        <v>9</v>
      </c>
      <c r="Q709">
        <v>1359.88</v>
      </c>
      <c r="R709">
        <v>0.05</v>
      </c>
      <c r="S709" t="str">
        <f t="shared" si="11"/>
        <v>OK</v>
      </c>
      <c r="T709">
        <v>11626.97</v>
      </c>
      <c r="U709">
        <v>7394.07</v>
      </c>
      <c r="V709">
        <v>4232.8999999999996</v>
      </c>
      <c r="W709" t="s">
        <v>31</v>
      </c>
      <c r="X709" t="s">
        <v>32</v>
      </c>
    </row>
    <row r="710" spans="1:24">
      <c r="A710" t="s">
        <v>1482</v>
      </c>
      <c r="B710" s="2">
        <v>45802</v>
      </c>
      <c r="C710" s="2">
        <v>45803</v>
      </c>
      <c r="D710" s="5">
        <f>C710-B710</f>
        <v>1</v>
      </c>
      <c r="E710" s="5" t="str">
        <f>IF(D710&lt;0,"INVALID","OK")</f>
        <v>OK</v>
      </c>
      <c r="F710" t="s">
        <v>1483</v>
      </c>
      <c r="G710" t="s">
        <v>78</v>
      </c>
      <c r="H710" t="s">
        <v>89</v>
      </c>
      <c r="I710" t="s">
        <v>53</v>
      </c>
      <c r="J710" t="s">
        <v>83</v>
      </c>
      <c r="K710" t="s">
        <v>84</v>
      </c>
      <c r="L710" t="s">
        <v>27</v>
      </c>
      <c r="M710" t="s">
        <v>28</v>
      </c>
      <c r="N710" t="s">
        <v>1484</v>
      </c>
      <c r="O710" t="s">
        <v>58</v>
      </c>
      <c r="P710">
        <v>3</v>
      </c>
      <c r="Q710">
        <v>3378.15</v>
      </c>
      <c r="R710">
        <v>0.15</v>
      </c>
      <c r="S710" t="str">
        <f t="shared" si="11"/>
        <v>OK</v>
      </c>
      <c r="T710">
        <v>8614.2800000000007</v>
      </c>
      <c r="U710">
        <v>7052.08</v>
      </c>
      <c r="V710">
        <v>1562.2</v>
      </c>
      <c r="W710" t="s">
        <v>31</v>
      </c>
      <c r="X710" t="s">
        <v>32</v>
      </c>
    </row>
    <row r="711" spans="1:24">
      <c r="A711" t="s">
        <v>1488</v>
      </c>
      <c r="B711" s="2">
        <v>45840</v>
      </c>
      <c r="C711" s="2">
        <v>45696</v>
      </c>
      <c r="D711" s="5">
        <f>C711-B711</f>
        <v>-144</v>
      </c>
      <c r="E711" s="5" t="str">
        <f>IF(D711&lt;0,"INVALID","OK")</f>
        <v>INVALID</v>
      </c>
      <c r="F711" t="s">
        <v>1489</v>
      </c>
      <c r="G711" t="s">
        <v>52</v>
      </c>
      <c r="H711" t="s">
        <v>89</v>
      </c>
      <c r="I711" t="s">
        <v>62</v>
      </c>
      <c r="J711" t="s">
        <v>71</v>
      </c>
      <c r="K711" t="s">
        <v>72</v>
      </c>
      <c r="L711" t="s">
        <v>73</v>
      </c>
      <c r="M711" t="s">
        <v>170</v>
      </c>
      <c r="N711" t="s">
        <v>1490</v>
      </c>
      <c r="O711" t="s">
        <v>58</v>
      </c>
      <c r="P711">
        <v>4</v>
      </c>
      <c r="Q711">
        <v>889.5</v>
      </c>
      <c r="R711">
        <v>0.2</v>
      </c>
      <c r="S711" t="str">
        <f t="shared" si="11"/>
        <v>OK</v>
      </c>
      <c r="T711">
        <v>2846.4</v>
      </c>
      <c r="U711">
        <v>2132.37</v>
      </c>
      <c r="V711">
        <v>714.03</v>
      </c>
      <c r="W711" t="s">
        <v>31</v>
      </c>
      <c r="X711" t="s">
        <v>32</v>
      </c>
    </row>
    <row r="712" spans="1:24">
      <c r="A712" t="s">
        <v>1491</v>
      </c>
      <c r="B712" s="2">
        <v>45964</v>
      </c>
      <c r="C712" s="2">
        <v>45731</v>
      </c>
      <c r="D712" s="5">
        <f>C712-B712</f>
        <v>-233</v>
      </c>
      <c r="E712" s="5" t="str">
        <f>IF(D712&lt;0,"INVALID","OK")</f>
        <v>INVALID</v>
      </c>
      <c r="F712" t="s">
        <v>1492</v>
      </c>
      <c r="G712" t="s">
        <v>52</v>
      </c>
      <c r="H712" t="s">
        <v>89</v>
      </c>
      <c r="I712" t="s">
        <v>37</v>
      </c>
      <c r="J712" t="s">
        <v>144</v>
      </c>
      <c r="K712" t="s">
        <v>145</v>
      </c>
      <c r="L712" t="s">
        <v>27</v>
      </c>
      <c r="M712" t="s">
        <v>28</v>
      </c>
      <c r="N712" t="s">
        <v>1493</v>
      </c>
      <c r="O712" t="s">
        <v>43</v>
      </c>
      <c r="P712">
        <v>3</v>
      </c>
      <c r="Q712">
        <v>3625.08</v>
      </c>
      <c r="R712">
        <v>0.05</v>
      </c>
      <c r="S712" t="str">
        <f t="shared" si="11"/>
        <v>OK</v>
      </c>
      <c r="T712">
        <v>10331.48</v>
      </c>
      <c r="U712">
        <v>7131.91</v>
      </c>
      <c r="V712">
        <v>3199.57</v>
      </c>
      <c r="W712" t="s">
        <v>110</v>
      </c>
      <c r="X712" t="s">
        <v>67</v>
      </c>
    </row>
    <row r="713" spans="1:24">
      <c r="A713" t="s">
        <v>1503</v>
      </c>
      <c r="B713" s="2">
        <v>45666</v>
      </c>
      <c r="C713" s="2">
        <v>45664</v>
      </c>
      <c r="D713" s="5">
        <f>C713-B713</f>
        <v>-2</v>
      </c>
      <c r="E713" s="5" t="str">
        <f>IF(D713&lt;0,"INVALID","OK")</f>
        <v>INVALID</v>
      </c>
      <c r="F713" t="s">
        <v>1504</v>
      </c>
      <c r="G713" t="s">
        <v>127</v>
      </c>
      <c r="H713" t="s">
        <v>94</v>
      </c>
      <c r="I713" t="s">
        <v>37</v>
      </c>
      <c r="J713" t="s">
        <v>98</v>
      </c>
      <c r="K713" t="s">
        <v>99</v>
      </c>
      <c r="L713" t="s">
        <v>27</v>
      </c>
      <c r="M713" t="s">
        <v>152</v>
      </c>
      <c r="N713" t="s">
        <v>1505</v>
      </c>
      <c r="O713" t="s">
        <v>30</v>
      </c>
      <c r="P713">
        <v>3</v>
      </c>
      <c r="Q713">
        <v>2188.33</v>
      </c>
      <c r="R713">
        <v>0</v>
      </c>
      <c r="S713" t="str">
        <f t="shared" si="11"/>
        <v>OK</v>
      </c>
      <c r="T713">
        <v>6564.99</v>
      </c>
      <c r="U713">
        <v>5407.24</v>
      </c>
      <c r="V713">
        <v>1157.75</v>
      </c>
      <c r="W713" t="s">
        <v>31</v>
      </c>
      <c r="X713" t="s">
        <v>32</v>
      </c>
    </row>
    <row r="714" spans="1:24">
      <c r="A714" t="s">
        <v>1524</v>
      </c>
      <c r="B714" s="2">
        <v>45717</v>
      </c>
      <c r="C714" s="2">
        <v>45724</v>
      </c>
      <c r="D714" s="5">
        <f>C714-B714</f>
        <v>7</v>
      </c>
      <c r="E714" s="5" t="str">
        <f>IF(D714&lt;0,"INVALID","OK")</f>
        <v>OK</v>
      </c>
      <c r="F714" t="s">
        <v>1525</v>
      </c>
      <c r="G714" t="s">
        <v>70</v>
      </c>
      <c r="H714" t="s">
        <v>23</v>
      </c>
      <c r="I714" t="s">
        <v>37</v>
      </c>
      <c r="J714" t="s">
        <v>98</v>
      </c>
      <c r="K714" t="s">
        <v>99</v>
      </c>
      <c r="L714" t="s">
        <v>40</v>
      </c>
      <c r="M714" t="s">
        <v>65</v>
      </c>
      <c r="N714" t="s">
        <v>1526</v>
      </c>
      <c r="O714" t="s">
        <v>43</v>
      </c>
      <c r="P714">
        <v>8</v>
      </c>
      <c r="Q714">
        <v>3378.82</v>
      </c>
      <c r="R714">
        <v>0.25</v>
      </c>
      <c r="S714" t="str">
        <f t="shared" si="11"/>
        <v>OK</v>
      </c>
      <c r="T714">
        <v>20272.919999999998</v>
      </c>
      <c r="U714">
        <v>15873.38</v>
      </c>
      <c r="V714">
        <v>4399.54</v>
      </c>
      <c r="W714" t="s">
        <v>110</v>
      </c>
      <c r="X714" t="s">
        <v>102</v>
      </c>
    </row>
    <row r="715" spans="1:24">
      <c r="A715" t="s">
        <v>1530</v>
      </c>
      <c r="B715" s="2">
        <v>45892</v>
      </c>
      <c r="C715" s="2">
        <v>45897</v>
      </c>
      <c r="D715" s="5">
        <f>C715-B715</f>
        <v>5</v>
      </c>
      <c r="E715" s="5" t="str">
        <f>IF(D715&lt;0,"INVALID","OK")</f>
        <v>OK</v>
      </c>
      <c r="F715" t="s">
        <v>1531</v>
      </c>
      <c r="G715" t="s">
        <v>70</v>
      </c>
      <c r="H715" t="s">
        <v>89</v>
      </c>
      <c r="I715" t="s">
        <v>62</v>
      </c>
      <c r="J715" t="s">
        <v>179</v>
      </c>
      <c r="K715" t="s">
        <v>180</v>
      </c>
      <c r="L715" t="s">
        <v>40</v>
      </c>
      <c r="M715" t="s">
        <v>65</v>
      </c>
      <c r="N715" t="s">
        <v>1532</v>
      </c>
      <c r="O715" t="s">
        <v>58</v>
      </c>
      <c r="P715">
        <v>6</v>
      </c>
      <c r="Q715">
        <v>2193.23</v>
      </c>
      <c r="R715">
        <v>0.1</v>
      </c>
      <c r="S715" t="str">
        <f t="shared" si="11"/>
        <v>OK</v>
      </c>
      <c r="T715">
        <v>11843.44</v>
      </c>
      <c r="U715">
        <v>9356.8799999999992</v>
      </c>
      <c r="V715">
        <v>2486.56</v>
      </c>
      <c r="W715" t="s">
        <v>31</v>
      </c>
      <c r="X715" t="s">
        <v>67</v>
      </c>
    </row>
    <row r="716" spans="1:24">
      <c r="A716" t="s">
        <v>1539</v>
      </c>
      <c r="B716" s="2">
        <v>45662</v>
      </c>
      <c r="C716" s="2">
        <v>45666</v>
      </c>
      <c r="D716" s="5">
        <f>C716-B716</f>
        <v>4</v>
      </c>
      <c r="E716" s="5" t="str">
        <f>IF(D716&lt;0,"INVALID","OK")</f>
        <v>OK</v>
      </c>
      <c r="F716" t="s">
        <v>1540</v>
      </c>
      <c r="G716" t="s">
        <v>78</v>
      </c>
      <c r="H716" t="s">
        <v>36</v>
      </c>
      <c r="I716" t="s">
        <v>53</v>
      </c>
      <c r="J716" t="s">
        <v>246</v>
      </c>
      <c r="K716" t="s">
        <v>247</v>
      </c>
      <c r="L716" t="s">
        <v>27</v>
      </c>
      <c r="M716" t="s">
        <v>123</v>
      </c>
      <c r="N716" t="s">
        <v>1541</v>
      </c>
      <c r="O716" t="s">
        <v>2762</v>
      </c>
      <c r="P716">
        <v>5</v>
      </c>
      <c r="Q716">
        <v>905.16</v>
      </c>
      <c r="R716">
        <v>0</v>
      </c>
      <c r="S716" t="str">
        <f t="shared" si="11"/>
        <v>OK</v>
      </c>
      <c r="T716">
        <v>4525.8</v>
      </c>
      <c r="U716">
        <v>2714.51</v>
      </c>
      <c r="V716">
        <v>1811.29</v>
      </c>
      <c r="W716" t="s">
        <v>31</v>
      </c>
      <c r="X716" t="s">
        <v>32</v>
      </c>
    </row>
    <row r="717" spans="1:24">
      <c r="A717" t="s">
        <v>1542</v>
      </c>
      <c r="B717" s="2">
        <v>45813</v>
      </c>
      <c r="C717" s="2">
        <v>45821</v>
      </c>
      <c r="D717" s="5">
        <f>C717-B717</f>
        <v>8</v>
      </c>
      <c r="E717" s="5" t="str">
        <f>IF(D717&lt;0,"INVALID","OK")</f>
        <v>OK</v>
      </c>
      <c r="F717" t="s">
        <v>1543</v>
      </c>
      <c r="G717" t="s">
        <v>46</v>
      </c>
      <c r="H717" t="s">
        <v>23</v>
      </c>
      <c r="I717" t="s">
        <v>24</v>
      </c>
      <c r="J717" t="s">
        <v>135</v>
      </c>
      <c r="K717" t="s">
        <v>136</v>
      </c>
      <c r="L717" t="s">
        <v>73</v>
      </c>
      <c r="M717" t="s">
        <v>273</v>
      </c>
      <c r="N717" t="s">
        <v>1544</v>
      </c>
      <c r="O717" t="s">
        <v>43</v>
      </c>
      <c r="P717">
        <v>4</v>
      </c>
      <c r="Q717">
        <v>2793.88</v>
      </c>
      <c r="R717" t="s">
        <v>766</v>
      </c>
      <c r="S717" t="str">
        <f t="shared" si="11"/>
        <v>INVALID</v>
      </c>
      <c r="T717">
        <v>10616.74</v>
      </c>
      <c r="U717">
        <v>6353.59</v>
      </c>
      <c r="V717">
        <v>4263.1499999999996</v>
      </c>
      <c r="W717" t="s">
        <v>31</v>
      </c>
      <c r="X717" t="s">
        <v>32</v>
      </c>
    </row>
    <row r="718" spans="1:24">
      <c r="A718" t="s">
        <v>1554</v>
      </c>
      <c r="B718" s="2">
        <v>45679</v>
      </c>
      <c r="C718" s="2">
        <v>45680</v>
      </c>
      <c r="D718" s="5">
        <f>C718-B718</f>
        <v>1</v>
      </c>
      <c r="E718" s="5" t="str">
        <f>IF(D718&lt;0,"INVALID","OK")</f>
        <v>OK</v>
      </c>
      <c r="F718" t="s">
        <v>1555</v>
      </c>
      <c r="G718" t="s">
        <v>117</v>
      </c>
      <c r="H718" t="s">
        <v>89</v>
      </c>
      <c r="I718" t="s">
        <v>62</v>
      </c>
      <c r="J718" t="s">
        <v>189</v>
      </c>
      <c r="K718" t="s">
        <v>190</v>
      </c>
      <c r="L718" t="s">
        <v>40</v>
      </c>
      <c r="M718" t="s">
        <v>157</v>
      </c>
      <c r="N718" t="s">
        <v>1556</v>
      </c>
      <c r="O718" t="s">
        <v>58</v>
      </c>
      <c r="P718">
        <v>4</v>
      </c>
      <c r="Q718">
        <v>2555.19</v>
      </c>
      <c r="R718">
        <v>0.25</v>
      </c>
      <c r="S718" t="str">
        <f t="shared" si="11"/>
        <v>OK</v>
      </c>
      <c r="T718">
        <v>7665.57</v>
      </c>
      <c r="U718">
        <v>5595.6</v>
      </c>
      <c r="V718">
        <v>2069.9699999999998</v>
      </c>
      <c r="W718" t="s">
        <v>31</v>
      </c>
      <c r="X718" t="s">
        <v>32</v>
      </c>
    </row>
    <row r="719" spans="1:24">
      <c r="A719" t="s">
        <v>1557</v>
      </c>
      <c r="B719" s="2">
        <v>45830</v>
      </c>
      <c r="C719" s="2">
        <v>45834</v>
      </c>
      <c r="D719" s="5">
        <f>C719-B719</f>
        <v>4</v>
      </c>
      <c r="E719" s="5" t="str">
        <f>IF(D719&lt;0,"INVALID","OK")</f>
        <v>OK</v>
      </c>
      <c r="F719" t="s">
        <v>1558</v>
      </c>
      <c r="G719" t="s">
        <v>117</v>
      </c>
      <c r="H719" t="s">
        <v>89</v>
      </c>
      <c r="I719" t="s">
        <v>62</v>
      </c>
      <c r="J719" t="s">
        <v>189</v>
      </c>
      <c r="K719" t="s">
        <v>190</v>
      </c>
      <c r="L719" t="s">
        <v>40</v>
      </c>
      <c r="M719" t="s">
        <v>41</v>
      </c>
      <c r="N719" t="s">
        <v>1559</v>
      </c>
      <c r="O719" t="s">
        <v>58</v>
      </c>
      <c r="P719">
        <v>3</v>
      </c>
      <c r="Q719">
        <v>1946.18</v>
      </c>
      <c r="R719">
        <v>0.2</v>
      </c>
      <c r="S719" t="str">
        <f t="shared" si="11"/>
        <v>OK</v>
      </c>
      <c r="T719">
        <v>4670.83</v>
      </c>
      <c r="U719">
        <v>3166.49</v>
      </c>
      <c r="V719">
        <v>1504.34</v>
      </c>
      <c r="W719" t="s">
        <v>31</v>
      </c>
      <c r="X719" t="s">
        <v>32</v>
      </c>
    </row>
    <row r="720" spans="1:24">
      <c r="A720" t="s">
        <v>1560</v>
      </c>
      <c r="B720" s="2">
        <v>45818</v>
      </c>
      <c r="C720" s="2">
        <v>45825</v>
      </c>
      <c r="D720" s="5">
        <f>C720-B720</f>
        <v>7</v>
      </c>
      <c r="E720" s="5" t="str">
        <f>IF(D720&lt;0,"INVALID","OK")</f>
        <v>OK</v>
      </c>
      <c r="F720" t="s">
        <v>1561</v>
      </c>
      <c r="G720" t="s">
        <v>117</v>
      </c>
      <c r="H720" t="s">
        <v>89</v>
      </c>
      <c r="I720" t="s">
        <v>53</v>
      </c>
      <c r="J720" t="s">
        <v>54</v>
      </c>
      <c r="K720" t="s">
        <v>55</v>
      </c>
      <c r="L720" t="s">
        <v>40</v>
      </c>
      <c r="M720" t="s">
        <v>56</v>
      </c>
      <c r="N720" t="s">
        <v>1562</v>
      </c>
      <c r="O720" t="s">
        <v>58</v>
      </c>
      <c r="P720">
        <v>5</v>
      </c>
      <c r="Q720">
        <v>1231.0999999999999</v>
      </c>
      <c r="R720">
        <v>0</v>
      </c>
      <c r="S720" t="str">
        <f t="shared" si="11"/>
        <v>OK</v>
      </c>
      <c r="T720">
        <v>6155.5</v>
      </c>
      <c r="U720">
        <v>4282.09</v>
      </c>
      <c r="V720">
        <v>1873.41</v>
      </c>
      <c r="W720" t="s">
        <v>101</v>
      </c>
      <c r="X720" t="s">
        <v>102</v>
      </c>
    </row>
    <row r="721" spans="1:24">
      <c r="A721" t="s">
        <v>1572</v>
      </c>
      <c r="B721" s="2">
        <v>45776</v>
      </c>
      <c r="C721" s="2">
        <v>45777</v>
      </c>
      <c r="D721" s="5">
        <f>C721-B721</f>
        <v>1</v>
      </c>
      <c r="E721" s="5" t="str">
        <f>IF(D721&lt;0,"INVALID","OK")</f>
        <v>OK</v>
      </c>
      <c r="F721" t="s">
        <v>1573</v>
      </c>
      <c r="G721" t="s">
        <v>35</v>
      </c>
      <c r="H721" t="s">
        <v>89</v>
      </c>
      <c r="I721" t="s">
        <v>53</v>
      </c>
      <c r="J721" t="s">
        <v>184</v>
      </c>
      <c r="K721" t="s">
        <v>185</v>
      </c>
      <c r="L721" t="s">
        <v>73</v>
      </c>
      <c r="M721" t="s">
        <v>74</v>
      </c>
      <c r="N721" t="s">
        <v>1574</v>
      </c>
      <c r="O721" t="s">
        <v>58</v>
      </c>
      <c r="P721">
        <v>4</v>
      </c>
      <c r="Q721">
        <v>606.58000000000004</v>
      </c>
      <c r="R721">
        <v>0.2</v>
      </c>
      <c r="S721" t="str">
        <f t="shared" si="11"/>
        <v>OK</v>
      </c>
      <c r="T721">
        <v>1941.06</v>
      </c>
      <c r="U721">
        <v>1207.42</v>
      </c>
      <c r="V721">
        <v>733.64</v>
      </c>
      <c r="W721" t="s">
        <v>31</v>
      </c>
      <c r="X721" t="s">
        <v>32</v>
      </c>
    </row>
    <row r="722" spans="1:24">
      <c r="A722" t="s">
        <v>1575</v>
      </c>
      <c r="B722" s="2">
        <v>45836</v>
      </c>
      <c r="C722" s="2">
        <v>45840</v>
      </c>
      <c r="D722" s="5">
        <f>C722-B722</f>
        <v>4</v>
      </c>
      <c r="E722" s="5" t="str">
        <f>IF(D722&lt;0,"INVALID","OK")</f>
        <v>OK</v>
      </c>
      <c r="F722" t="s">
        <v>1576</v>
      </c>
      <c r="G722" t="s">
        <v>61</v>
      </c>
      <c r="H722" t="s">
        <v>89</v>
      </c>
      <c r="I722" t="s">
        <v>53</v>
      </c>
      <c r="J722" t="s">
        <v>83</v>
      </c>
      <c r="K722" t="s">
        <v>84</v>
      </c>
      <c r="L722" t="s">
        <v>27</v>
      </c>
      <c r="M722" t="s">
        <v>123</v>
      </c>
      <c r="N722" t="s">
        <v>1577</v>
      </c>
      <c r="O722" t="s">
        <v>30</v>
      </c>
      <c r="P722">
        <v>2</v>
      </c>
      <c r="Q722">
        <v>2725.44</v>
      </c>
      <c r="R722">
        <v>0.25</v>
      </c>
      <c r="S722" t="str">
        <f t="shared" si="11"/>
        <v>OK</v>
      </c>
      <c r="T722">
        <v>4088.16</v>
      </c>
      <c r="U722">
        <v>3205.68</v>
      </c>
      <c r="V722">
        <v>882.48</v>
      </c>
      <c r="W722" t="s">
        <v>31</v>
      </c>
      <c r="X722" t="s">
        <v>32</v>
      </c>
    </row>
    <row r="723" spans="1:24">
      <c r="A723" t="s">
        <v>1578</v>
      </c>
      <c r="B723" s="2">
        <v>45701</v>
      </c>
      <c r="C723" s="2">
        <v>45701</v>
      </c>
      <c r="D723" s="5">
        <f>C723-B723</f>
        <v>0</v>
      </c>
      <c r="E723" s="5" t="str">
        <f>IF(D723&lt;0,"INVALID","OK")</f>
        <v>OK</v>
      </c>
      <c r="F723" t="s">
        <v>1579</v>
      </c>
      <c r="G723" t="s">
        <v>263</v>
      </c>
      <c r="H723" t="s">
        <v>89</v>
      </c>
      <c r="I723" t="s">
        <v>37</v>
      </c>
      <c r="J723" t="s">
        <v>38</v>
      </c>
      <c r="K723" t="s">
        <v>39</v>
      </c>
      <c r="L723" t="s">
        <v>27</v>
      </c>
      <c r="M723" t="s">
        <v>28</v>
      </c>
      <c r="N723" t="s">
        <v>1580</v>
      </c>
      <c r="O723" t="s">
        <v>30</v>
      </c>
      <c r="P723">
        <v>7</v>
      </c>
      <c r="Q723">
        <v>2296.6999999999998</v>
      </c>
      <c r="R723">
        <v>0.05</v>
      </c>
      <c r="S723" t="str">
        <f t="shared" si="11"/>
        <v>OK</v>
      </c>
      <c r="T723">
        <v>15273.05</v>
      </c>
      <c r="U723">
        <v>11088.76</v>
      </c>
      <c r="V723">
        <v>4184.29</v>
      </c>
      <c r="W723" t="s">
        <v>31</v>
      </c>
      <c r="X723" t="s">
        <v>32</v>
      </c>
    </row>
    <row r="724" spans="1:24">
      <c r="A724" t="s">
        <v>1587</v>
      </c>
      <c r="B724" s="2">
        <v>45842</v>
      </c>
      <c r="C724" s="2">
        <v>45844</v>
      </c>
      <c r="D724" s="5">
        <f>C724-B724</f>
        <v>2</v>
      </c>
      <c r="E724" s="5" t="str">
        <f>IF(D724&lt;0,"INVALID","OK")</f>
        <v>OK</v>
      </c>
      <c r="F724" t="s">
        <v>1588</v>
      </c>
      <c r="G724" t="s">
        <v>263</v>
      </c>
      <c r="H724" t="s">
        <v>36</v>
      </c>
      <c r="I724" t="s">
        <v>37</v>
      </c>
      <c r="J724" t="s">
        <v>227</v>
      </c>
      <c r="K724" t="s">
        <v>228</v>
      </c>
      <c r="L724" t="s">
        <v>40</v>
      </c>
      <c r="M724" t="s">
        <v>65</v>
      </c>
      <c r="N724" t="s">
        <v>1589</v>
      </c>
      <c r="O724" t="s">
        <v>30</v>
      </c>
      <c r="P724">
        <v>2</v>
      </c>
      <c r="Q724">
        <v>3686.42</v>
      </c>
      <c r="R724">
        <v>0.1</v>
      </c>
      <c r="S724" t="str">
        <f t="shared" si="11"/>
        <v>OK</v>
      </c>
      <c r="T724">
        <v>6635.56</v>
      </c>
      <c r="U724">
        <v>3652.91</v>
      </c>
      <c r="V724">
        <v>2982.65</v>
      </c>
      <c r="W724" t="s">
        <v>31</v>
      </c>
      <c r="X724" t="s">
        <v>32</v>
      </c>
    </row>
    <row r="725" spans="1:24">
      <c r="A725" t="s">
        <v>1593</v>
      </c>
      <c r="B725" s="2">
        <v>45907</v>
      </c>
      <c r="C725" s="2">
        <v>45910</v>
      </c>
      <c r="D725" s="5">
        <f>C725-B725</f>
        <v>3</v>
      </c>
      <c r="E725" s="5" t="str">
        <f>IF(D725&lt;0,"INVALID","OK")</f>
        <v>OK</v>
      </c>
      <c r="F725" t="s">
        <v>1594</v>
      </c>
      <c r="G725" t="s">
        <v>22</v>
      </c>
      <c r="H725" t="s">
        <v>23</v>
      </c>
      <c r="I725" t="s">
        <v>24</v>
      </c>
      <c r="J725" t="s">
        <v>121</v>
      </c>
      <c r="K725" t="s">
        <v>122</v>
      </c>
      <c r="L725" t="s">
        <v>40</v>
      </c>
      <c r="M725" t="s">
        <v>65</v>
      </c>
      <c r="N725" t="s">
        <v>1595</v>
      </c>
      <c r="O725" t="s">
        <v>43</v>
      </c>
      <c r="P725">
        <v>2</v>
      </c>
      <c r="Q725">
        <v>447.55</v>
      </c>
      <c r="R725">
        <v>0.05</v>
      </c>
      <c r="S725" t="str">
        <f t="shared" si="11"/>
        <v>OK</v>
      </c>
      <c r="T725">
        <v>850.35</v>
      </c>
      <c r="U725">
        <v>600.98</v>
      </c>
      <c r="V725">
        <v>249.37</v>
      </c>
      <c r="W725" t="s">
        <v>101</v>
      </c>
      <c r="X725" t="s">
        <v>67</v>
      </c>
    </row>
    <row r="726" spans="1:24">
      <c r="A726" t="s">
        <v>1610</v>
      </c>
      <c r="B726" s="2">
        <v>45700</v>
      </c>
      <c r="C726" s="2">
        <v>45705</v>
      </c>
      <c r="D726" s="5">
        <f>C726-B726</f>
        <v>5</v>
      </c>
      <c r="E726" s="5" t="str">
        <f>IF(D726&lt;0,"INVALID","OK")</f>
        <v>OK</v>
      </c>
      <c r="F726" t="s">
        <v>1611</v>
      </c>
      <c r="G726" t="s">
        <v>52</v>
      </c>
      <c r="H726" t="s">
        <v>89</v>
      </c>
      <c r="I726" t="s">
        <v>62</v>
      </c>
      <c r="J726" t="s">
        <v>179</v>
      </c>
      <c r="K726" t="s">
        <v>180</v>
      </c>
      <c r="L726" t="s">
        <v>27</v>
      </c>
      <c r="M726" t="s">
        <v>47</v>
      </c>
      <c r="N726" t="s">
        <v>1612</v>
      </c>
      <c r="O726" t="s">
        <v>58</v>
      </c>
      <c r="P726">
        <v>4</v>
      </c>
      <c r="Q726">
        <v>4328.12</v>
      </c>
      <c r="R726">
        <v>0</v>
      </c>
      <c r="S726" t="str">
        <f t="shared" si="11"/>
        <v>OK</v>
      </c>
      <c r="T726">
        <v>17312.48</v>
      </c>
      <c r="U726">
        <v>14424.22</v>
      </c>
      <c r="V726">
        <v>2888.26</v>
      </c>
      <c r="W726" t="s">
        <v>31</v>
      </c>
      <c r="X726" t="s">
        <v>32</v>
      </c>
    </row>
    <row r="727" spans="1:24">
      <c r="A727" t="s">
        <v>1619</v>
      </c>
      <c r="B727" s="2">
        <v>45762</v>
      </c>
      <c r="C727" s="2">
        <v>45769</v>
      </c>
      <c r="D727" s="5">
        <f>C727-B727</f>
        <v>7</v>
      </c>
      <c r="E727" s="5" t="str">
        <f>IF(D727&lt;0,"INVALID","OK")</f>
        <v>OK</v>
      </c>
      <c r="F727" t="s">
        <v>1620</v>
      </c>
      <c r="G727" t="s">
        <v>46</v>
      </c>
      <c r="H727" t="s">
        <v>36</v>
      </c>
      <c r="I727" t="s">
        <v>24</v>
      </c>
      <c r="J727" t="s">
        <v>235</v>
      </c>
      <c r="K727" t="s">
        <v>236</v>
      </c>
      <c r="L727" t="s">
        <v>27</v>
      </c>
      <c r="M727" t="s">
        <v>152</v>
      </c>
      <c r="N727" t="s">
        <v>1621</v>
      </c>
      <c r="O727" t="s">
        <v>43</v>
      </c>
      <c r="P727">
        <v>4</v>
      </c>
      <c r="Q727">
        <v>2990.42</v>
      </c>
      <c r="R727">
        <v>0.25</v>
      </c>
      <c r="S727" t="str">
        <f t="shared" si="11"/>
        <v>OK</v>
      </c>
      <c r="T727">
        <v>8971.26</v>
      </c>
      <c r="U727">
        <v>6814.35</v>
      </c>
      <c r="V727">
        <v>2156.91</v>
      </c>
      <c r="W727" t="s">
        <v>31</v>
      </c>
      <c r="X727" t="s">
        <v>32</v>
      </c>
    </row>
    <row r="728" spans="1:24">
      <c r="A728" t="s">
        <v>1625</v>
      </c>
      <c r="B728" s="2">
        <v>45789</v>
      </c>
      <c r="C728" s="2">
        <v>45791</v>
      </c>
      <c r="D728" s="5">
        <f>C728-B728</f>
        <v>2</v>
      </c>
      <c r="E728" s="5" t="str">
        <f>IF(D728&lt;0,"INVALID","OK")</f>
        <v>OK</v>
      </c>
      <c r="F728" t="s">
        <v>1626</v>
      </c>
      <c r="G728" t="s">
        <v>78</v>
      </c>
      <c r="H728" t="s">
        <v>23</v>
      </c>
      <c r="I728" t="s">
        <v>62</v>
      </c>
      <c r="J728" t="s">
        <v>179</v>
      </c>
      <c r="K728" t="s">
        <v>180</v>
      </c>
      <c r="L728" t="s">
        <v>73</v>
      </c>
      <c r="M728" t="s">
        <v>273</v>
      </c>
      <c r="N728" t="s">
        <v>1627</v>
      </c>
      <c r="O728" t="s">
        <v>43</v>
      </c>
      <c r="P728">
        <v>8</v>
      </c>
      <c r="Q728">
        <v>3631.44</v>
      </c>
      <c r="R728">
        <v>0.2</v>
      </c>
      <c r="S728" t="str">
        <f t="shared" si="11"/>
        <v>OK</v>
      </c>
      <c r="T728">
        <v>23241.22</v>
      </c>
      <c r="U728">
        <v>17220.900000000001</v>
      </c>
      <c r="V728">
        <v>6020.32</v>
      </c>
      <c r="W728" t="s">
        <v>31</v>
      </c>
      <c r="X728" t="s">
        <v>32</v>
      </c>
    </row>
    <row r="729" spans="1:24">
      <c r="A729" t="s">
        <v>1634</v>
      </c>
      <c r="B729" s="2">
        <v>45718</v>
      </c>
      <c r="C729" s="2">
        <v>45719</v>
      </c>
      <c r="D729" s="5">
        <f>C729-B729</f>
        <v>1</v>
      </c>
      <c r="E729" s="5" t="str">
        <f>IF(D729&lt;0,"INVALID","OK")</f>
        <v>OK</v>
      </c>
      <c r="F729" t="s">
        <v>1246</v>
      </c>
      <c r="G729" t="s">
        <v>46</v>
      </c>
      <c r="H729" t="s">
        <v>89</v>
      </c>
      <c r="I729" t="s">
        <v>53</v>
      </c>
      <c r="J729" t="s">
        <v>184</v>
      </c>
      <c r="K729" t="s">
        <v>185</v>
      </c>
      <c r="L729" t="s">
        <v>27</v>
      </c>
      <c r="M729" t="s">
        <v>90</v>
      </c>
      <c r="N729" t="s">
        <v>1635</v>
      </c>
      <c r="O729" t="s">
        <v>30</v>
      </c>
      <c r="P729">
        <v>2</v>
      </c>
      <c r="Q729">
        <v>4031.45</v>
      </c>
      <c r="R729">
        <v>0.25</v>
      </c>
      <c r="S729" t="str">
        <f t="shared" si="11"/>
        <v>OK</v>
      </c>
      <c r="T729">
        <v>6047.17</v>
      </c>
      <c r="U729">
        <v>3368.79</v>
      </c>
      <c r="V729">
        <v>2678.38</v>
      </c>
      <c r="W729" t="s">
        <v>31</v>
      </c>
      <c r="X729" t="s">
        <v>32</v>
      </c>
    </row>
    <row r="730" spans="1:24">
      <c r="A730" t="s">
        <v>1636</v>
      </c>
      <c r="B730" s="2">
        <v>45835</v>
      </c>
      <c r="C730" s="2">
        <v>45840</v>
      </c>
      <c r="D730" s="5">
        <f>C730-B730</f>
        <v>5</v>
      </c>
      <c r="E730" s="5" t="str">
        <f>IF(D730&lt;0,"INVALID","OK")</f>
        <v>OK</v>
      </c>
      <c r="F730" t="s">
        <v>1637</v>
      </c>
      <c r="G730" t="s">
        <v>127</v>
      </c>
      <c r="H730" t="s">
        <v>89</v>
      </c>
      <c r="I730" t="s">
        <v>53</v>
      </c>
      <c r="J730" t="s">
        <v>184</v>
      </c>
      <c r="K730" t="s">
        <v>185</v>
      </c>
      <c r="L730" t="s">
        <v>73</v>
      </c>
      <c r="M730" t="s">
        <v>74</v>
      </c>
      <c r="N730" t="s">
        <v>1638</v>
      </c>
      <c r="O730" t="s">
        <v>49</v>
      </c>
      <c r="P730">
        <v>6</v>
      </c>
      <c r="Q730">
        <v>1099.49</v>
      </c>
      <c r="R730">
        <v>0.1</v>
      </c>
      <c r="S730" t="str">
        <f t="shared" si="11"/>
        <v>OK</v>
      </c>
      <c r="T730">
        <v>6212.38</v>
      </c>
      <c r="U730">
        <v>4088.46</v>
      </c>
      <c r="V730">
        <v>1848.79</v>
      </c>
      <c r="W730" t="s">
        <v>31</v>
      </c>
      <c r="X730" t="s">
        <v>32</v>
      </c>
    </row>
    <row r="731" spans="1:24">
      <c r="A731" t="s">
        <v>1642</v>
      </c>
      <c r="B731" s="2">
        <v>45758</v>
      </c>
      <c r="C731" s="2">
        <v>45758</v>
      </c>
      <c r="D731" s="5">
        <f>C731-B731</f>
        <v>0</v>
      </c>
      <c r="E731" s="5" t="str">
        <f>IF(D731&lt;0,"INVALID","OK")</f>
        <v>OK</v>
      </c>
      <c r="F731" t="s">
        <v>1643</v>
      </c>
      <c r="G731" t="s">
        <v>117</v>
      </c>
      <c r="H731" t="s">
        <v>89</v>
      </c>
      <c r="I731" t="s">
        <v>24</v>
      </c>
      <c r="J731" t="s">
        <v>349</v>
      </c>
      <c r="K731" t="s">
        <v>350</v>
      </c>
      <c r="L731" t="s">
        <v>27</v>
      </c>
      <c r="M731" t="s">
        <v>28</v>
      </c>
      <c r="N731" t="s">
        <v>1644</v>
      </c>
      <c r="O731" t="s">
        <v>58</v>
      </c>
      <c r="P731">
        <v>1</v>
      </c>
      <c r="Q731">
        <v>4458.49</v>
      </c>
      <c r="R731">
        <v>-7.0000000000000007E-2</v>
      </c>
      <c r="S731" t="str">
        <f t="shared" si="11"/>
        <v>INVALID</v>
      </c>
      <c r="T731">
        <v>3566.79</v>
      </c>
      <c r="U731">
        <v>2083.41</v>
      </c>
      <c r="V731">
        <v>1483.38</v>
      </c>
      <c r="W731" t="s">
        <v>31</v>
      </c>
      <c r="X731" t="s">
        <v>32</v>
      </c>
    </row>
    <row r="732" spans="1:24">
      <c r="A732" t="s">
        <v>1648</v>
      </c>
      <c r="B732" s="2">
        <v>45802</v>
      </c>
      <c r="C732" s="2">
        <v>45804</v>
      </c>
      <c r="D732" s="5">
        <f>C732-B732</f>
        <v>2</v>
      </c>
      <c r="E732" s="5" t="str">
        <f>IF(D732&lt;0,"INVALID","OK")</f>
        <v>OK</v>
      </c>
      <c r="F732" t="s">
        <v>1649</v>
      </c>
      <c r="G732" t="s">
        <v>117</v>
      </c>
      <c r="H732" t="s">
        <v>23</v>
      </c>
      <c r="I732" t="s">
        <v>37</v>
      </c>
      <c r="J732" t="s">
        <v>38</v>
      </c>
      <c r="K732" t="s">
        <v>39</v>
      </c>
      <c r="L732" t="s">
        <v>40</v>
      </c>
      <c r="M732" t="s">
        <v>56</v>
      </c>
      <c r="N732" t="s">
        <v>1650</v>
      </c>
      <c r="O732" t="s">
        <v>30</v>
      </c>
      <c r="P732">
        <v>7</v>
      </c>
      <c r="Q732">
        <v>2123.2800000000002</v>
      </c>
      <c r="R732">
        <v>0.2</v>
      </c>
      <c r="S732" t="str">
        <f t="shared" si="11"/>
        <v>OK</v>
      </c>
      <c r="T732">
        <v>11890.37</v>
      </c>
      <c r="U732">
        <v>9234.5300000000007</v>
      </c>
      <c r="V732">
        <v>2655.84</v>
      </c>
      <c r="W732" t="s">
        <v>101</v>
      </c>
      <c r="X732" t="s">
        <v>102</v>
      </c>
    </row>
    <row r="733" spans="1:24">
      <c r="A733" t="s">
        <v>1651</v>
      </c>
      <c r="B733" s="2">
        <v>45777</v>
      </c>
      <c r="C733" s="2">
        <v>45773</v>
      </c>
      <c r="D733" s="5">
        <f>C733-B733</f>
        <v>-4</v>
      </c>
      <c r="E733" s="5" t="str">
        <f>IF(D733&lt;0,"INVALID","OK")</f>
        <v>INVALID</v>
      </c>
      <c r="F733" t="s">
        <v>1652</v>
      </c>
      <c r="G733" t="s">
        <v>161</v>
      </c>
      <c r="H733" t="s">
        <v>89</v>
      </c>
      <c r="I733" t="s">
        <v>37</v>
      </c>
      <c r="J733" t="s">
        <v>38</v>
      </c>
      <c r="K733" t="s">
        <v>39</v>
      </c>
      <c r="L733" t="s">
        <v>40</v>
      </c>
      <c r="M733" t="s">
        <v>41</v>
      </c>
      <c r="N733" t="s">
        <v>1653</v>
      </c>
      <c r="O733" t="s">
        <v>49</v>
      </c>
      <c r="P733">
        <v>7</v>
      </c>
      <c r="Q733">
        <v>1604.13</v>
      </c>
      <c r="R733">
        <v>0.25</v>
      </c>
      <c r="S733" t="str">
        <f t="shared" si="11"/>
        <v>OK</v>
      </c>
      <c r="T733">
        <v>8421.68</v>
      </c>
      <c r="U733">
        <v>6534.47</v>
      </c>
      <c r="V733">
        <v>1887.21</v>
      </c>
      <c r="W733" t="s">
        <v>31</v>
      </c>
      <c r="X733" t="s">
        <v>67</v>
      </c>
    </row>
    <row r="734" spans="1:24">
      <c r="A734" t="s">
        <v>1654</v>
      </c>
      <c r="B734" s="2">
        <v>45723</v>
      </c>
      <c r="C734" s="2">
        <v>45845</v>
      </c>
      <c r="D734" s="5">
        <f>C734-B734</f>
        <v>122</v>
      </c>
      <c r="E734" s="5" t="str">
        <f>IF(D734&lt;0,"INVALID","OK")</f>
        <v>OK</v>
      </c>
      <c r="F734" t="s">
        <v>1655</v>
      </c>
      <c r="G734" t="s">
        <v>113</v>
      </c>
      <c r="H734" t="s">
        <v>23</v>
      </c>
      <c r="I734" t="s">
        <v>24</v>
      </c>
      <c r="J734" t="s">
        <v>135</v>
      </c>
      <c r="K734" t="s">
        <v>136</v>
      </c>
      <c r="L734" t="s">
        <v>40</v>
      </c>
      <c r="M734" t="s">
        <v>41</v>
      </c>
      <c r="N734" t="s">
        <v>1656</v>
      </c>
      <c r="O734" t="s">
        <v>58</v>
      </c>
      <c r="P734">
        <v>4</v>
      </c>
      <c r="Q734">
        <v>4365.21</v>
      </c>
      <c r="R734">
        <v>0.2</v>
      </c>
      <c r="S734" t="str">
        <f t="shared" si="11"/>
        <v>OK</v>
      </c>
      <c r="T734">
        <v>13968.67</v>
      </c>
      <c r="U734">
        <v>8857.58</v>
      </c>
      <c r="V734">
        <v>5111.09</v>
      </c>
      <c r="W734" t="s">
        <v>110</v>
      </c>
      <c r="X734" t="s">
        <v>67</v>
      </c>
    </row>
    <row r="735" spans="1:24">
      <c r="A735" t="s">
        <v>1660</v>
      </c>
      <c r="B735" s="2">
        <v>45741</v>
      </c>
      <c r="C735" s="2">
        <v>45748</v>
      </c>
      <c r="D735" s="5">
        <f>C735-B735</f>
        <v>7</v>
      </c>
      <c r="E735" s="5" t="str">
        <f>IF(D735&lt;0,"INVALID","OK")</f>
        <v>OK</v>
      </c>
      <c r="F735" t="s">
        <v>1661</v>
      </c>
      <c r="G735" t="s">
        <v>161</v>
      </c>
      <c r="H735" t="s">
        <v>23</v>
      </c>
      <c r="I735" t="s">
        <v>24</v>
      </c>
      <c r="J735" t="s">
        <v>121</v>
      </c>
      <c r="K735" t="s">
        <v>122</v>
      </c>
      <c r="L735" t="s">
        <v>27</v>
      </c>
      <c r="M735" t="s">
        <v>90</v>
      </c>
      <c r="N735" t="s">
        <v>1662</v>
      </c>
      <c r="O735" t="s">
        <v>30</v>
      </c>
      <c r="P735">
        <v>6</v>
      </c>
      <c r="Q735">
        <v>2192.11</v>
      </c>
      <c r="R735">
        <v>0.05</v>
      </c>
      <c r="S735" t="str">
        <f t="shared" si="11"/>
        <v>OK</v>
      </c>
      <c r="T735">
        <v>12495.03</v>
      </c>
      <c r="U735">
        <v>9184.52</v>
      </c>
      <c r="V735">
        <v>3310.51</v>
      </c>
      <c r="W735" t="s">
        <v>31</v>
      </c>
      <c r="X735" t="s">
        <v>32</v>
      </c>
    </row>
    <row r="736" spans="1:24">
      <c r="A736" t="s">
        <v>1663</v>
      </c>
      <c r="B736" s="2">
        <v>45716</v>
      </c>
      <c r="C736" s="2">
        <v>45724</v>
      </c>
      <c r="D736" s="5">
        <f>C736-B736</f>
        <v>8</v>
      </c>
      <c r="E736" s="5" t="str">
        <f>IF(D736&lt;0,"INVALID","OK")</f>
        <v>OK</v>
      </c>
      <c r="F736" t="s">
        <v>1664</v>
      </c>
      <c r="G736" t="s">
        <v>78</v>
      </c>
      <c r="H736" t="s">
        <v>36</v>
      </c>
      <c r="I736" t="s">
        <v>37</v>
      </c>
      <c r="J736" t="s">
        <v>227</v>
      </c>
      <c r="K736" t="s">
        <v>228</v>
      </c>
      <c r="L736" t="s">
        <v>73</v>
      </c>
      <c r="M736" t="s">
        <v>170</v>
      </c>
      <c r="N736" t="s">
        <v>1665</v>
      </c>
      <c r="O736" t="s">
        <v>49</v>
      </c>
      <c r="P736">
        <v>9</v>
      </c>
      <c r="Q736">
        <v>3670.54</v>
      </c>
      <c r="R736">
        <v>0</v>
      </c>
      <c r="S736" t="str">
        <f t="shared" si="11"/>
        <v>OK</v>
      </c>
      <c r="T736">
        <v>33034.86</v>
      </c>
      <c r="U736">
        <v>24539.83</v>
      </c>
      <c r="V736">
        <v>8495.0300000000007</v>
      </c>
      <c r="W736" t="s">
        <v>31</v>
      </c>
      <c r="X736" t="s">
        <v>32</v>
      </c>
    </row>
    <row r="737" spans="1:24">
      <c r="A737" t="s">
        <v>1675</v>
      </c>
      <c r="B737" s="2">
        <v>45856</v>
      </c>
      <c r="C737" s="2">
        <v>45859</v>
      </c>
      <c r="D737" s="5">
        <f>C737-B737</f>
        <v>3</v>
      </c>
      <c r="E737" s="5" t="str">
        <f>IF(D737&lt;0,"INVALID","OK")</f>
        <v>OK</v>
      </c>
      <c r="F737" t="s">
        <v>1676</v>
      </c>
      <c r="G737" t="s">
        <v>113</v>
      </c>
      <c r="H737" t="s">
        <v>23</v>
      </c>
      <c r="I737" t="s">
        <v>37</v>
      </c>
      <c r="J737" t="s">
        <v>38</v>
      </c>
      <c r="K737" t="s">
        <v>39</v>
      </c>
      <c r="L737" t="s">
        <v>40</v>
      </c>
      <c r="M737" t="s">
        <v>41</v>
      </c>
      <c r="N737" t="s">
        <v>1677</v>
      </c>
      <c r="O737" t="s">
        <v>30</v>
      </c>
      <c r="P737">
        <v>4</v>
      </c>
      <c r="Q737">
        <v>284.04000000000002</v>
      </c>
      <c r="R737">
        <v>0</v>
      </c>
      <c r="S737" t="str">
        <f t="shared" si="11"/>
        <v>OK</v>
      </c>
      <c r="T737">
        <v>908.93</v>
      </c>
      <c r="U737">
        <v>572.08000000000004</v>
      </c>
      <c r="V737">
        <v>336.85</v>
      </c>
      <c r="W737" t="s">
        <v>31</v>
      </c>
      <c r="X737" t="s">
        <v>32</v>
      </c>
    </row>
    <row r="738" spans="1:24">
      <c r="A738" t="s">
        <v>1678</v>
      </c>
      <c r="B738" s="2">
        <v>45667</v>
      </c>
      <c r="C738" s="2">
        <v>45935</v>
      </c>
      <c r="D738" s="5">
        <f>C738-B738</f>
        <v>268</v>
      </c>
      <c r="E738" s="5" t="str">
        <f>IF(D738&lt;0,"INVALID","OK")</f>
        <v>OK</v>
      </c>
      <c r="F738" t="s">
        <v>1679</v>
      </c>
      <c r="G738" t="s">
        <v>88</v>
      </c>
      <c r="H738" t="s">
        <v>94</v>
      </c>
      <c r="I738" t="s">
        <v>24</v>
      </c>
      <c r="J738" t="s">
        <v>235</v>
      </c>
      <c r="K738" t="s">
        <v>236</v>
      </c>
      <c r="L738" t="s">
        <v>27</v>
      </c>
      <c r="M738" t="s">
        <v>28</v>
      </c>
      <c r="N738" t="s">
        <v>1680</v>
      </c>
      <c r="O738" t="s">
        <v>49</v>
      </c>
      <c r="P738">
        <v>5</v>
      </c>
      <c r="Q738">
        <v>3247.56</v>
      </c>
      <c r="R738">
        <v>0.15</v>
      </c>
      <c r="S738" t="str">
        <f t="shared" si="11"/>
        <v>OK</v>
      </c>
      <c r="T738">
        <v>13802.13</v>
      </c>
      <c r="U738">
        <v>10075.93</v>
      </c>
      <c r="V738">
        <v>3726.2</v>
      </c>
      <c r="W738" t="s">
        <v>31</v>
      </c>
      <c r="X738" t="s">
        <v>32</v>
      </c>
    </row>
    <row r="739" spans="1:24">
      <c r="A739" t="s">
        <v>1686</v>
      </c>
      <c r="B739" s="2">
        <v>45807</v>
      </c>
      <c r="C739" s="2">
        <v>45809</v>
      </c>
      <c r="D739" s="5">
        <f>C739-B739</f>
        <v>2</v>
      </c>
      <c r="E739" s="5" t="str">
        <f>IF(D739&lt;0,"INVALID","OK")</f>
        <v>OK</v>
      </c>
      <c r="F739" t="s">
        <v>1687</v>
      </c>
      <c r="G739" t="s">
        <v>117</v>
      </c>
      <c r="H739" t="s">
        <v>94</v>
      </c>
      <c r="I739" t="s">
        <v>53</v>
      </c>
      <c r="J739" t="s">
        <v>246</v>
      </c>
      <c r="K739" t="s">
        <v>247</v>
      </c>
      <c r="L739" t="s">
        <v>27</v>
      </c>
      <c r="M739" t="s">
        <v>152</v>
      </c>
      <c r="N739" t="s">
        <v>1688</v>
      </c>
      <c r="O739" t="s">
        <v>58</v>
      </c>
      <c r="P739">
        <v>9</v>
      </c>
      <c r="Q739">
        <v>1994.51</v>
      </c>
      <c r="R739">
        <v>0.05</v>
      </c>
      <c r="S739" t="str">
        <f t="shared" si="11"/>
        <v>OK</v>
      </c>
      <c r="T739">
        <v>17053.060000000001</v>
      </c>
      <c r="U739">
        <v>10742.38</v>
      </c>
      <c r="V739">
        <v>6310.68</v>
      </c>
      <c r="W739" t="s">
        <v>31</v>
      </c>
      <c r="X739" t="s">
        <v>32</v>
      </c>
    </row>
    <row r="740" spans="1:24">
      <c r="A740" t="s">
        <v>1692</v>
      </c>
      <c r="B740" s="2">
        <v>45935</v>
      </c>
      <c r="C740" s="2">
        <v>45940</v>
      </c>
      <c r="D740" s="5">
        <f>C740-B740</f>
        <v>5</v>
      </c>
      <c r="E740" s="5" t="str">
        <f>IF(D740&lt;0,"INVALID","OK")</f>
        <v>OK</v>
      </c>
      <c r="F740" t="s">
        <v>1693</v>
      </c>
      <c r="G740" t="s">
        <v>113</v>
      </c>
      <c r="H740" t="s">
        <v>89</v>
      </c>
      <c r="I740" t="s">
        <v>37</v>
      </c>
      <c r="J740" t="s">
        <v>165</v>
      </c>
      <c r="K740" t="s">
        <v>166</v>
      </c>
      <c r="L740" t="s">
        <v>40</v>
      </c>
      <c r="M740" t="s">
        <v>41</v>
      </c>
      <c r="N740" t="s">
        <v>1694</v>
      </c>
      <c r="O740" t="s">
        <v>30</v>
      </c>
      <c r="P740">
        <v>9</v>
      </c>
      <c r="Q740">
        <v>2089.14</v>
      </c>
      <c r="R740">
        <v>0.05</v>
      </c>
      <c r="S740" t="str">
        <f t="shared" si="11"/>
        <v>OK</v>
      </c>
      <c r="T740">
        <v>17862.150000000001</v>
      </c>
      <c r="U740">
        <v>9892.2099999999991</v>
      </c>
      <c r="V740">
        <v>7969.94</v>
      </c>
      <c r="W740" t="s">
        <v>154</v>
      </c>
      <c r="X740" t="s">
        <v>67</v>
      </c>
    </row>
    <row r="741" spans="1:24">
      <c r="A741" t="s">
        <v>1698</v>
      </c>
      <c r="B741" s="2">
        <v>45774</v>
      </c>
      <c r="C741" s="2">
        <v>45782</v>
      </c>
      <c r="D741" s="5">
        <f>C741-B741</f>
        <v>8</v>
      </c>
      <c r="E741" s="5" t="str">
        <f>IF(D741&lt;0,"INVALID","OK")</f>
        <v>OK</v>
      </c>
      <c r="F741" t="s">
        <v>1699</v>
      </c>
      <c r="G741" t="s">
        <v>140</v>
      </c>
      <c r="H741" t="s">
        <v>94</v>
      </c>
      <c r="I741" t="s">
        <v>37</v>
      </c>
      <c r="J741" t="s">
        <v>144</v>
      </c>
      <c r="K741" t="s">
        <v>145</v>
      </c>
      <c r="L741" t="s">
        <v>73</v>
      </c>
      <c r="M741" t="s">
        <v>74</v>
      </c>
      <c r="N741" t="s">
        <v>1700</v>
      </c>
      <c r="O741" t="s">
        <v>30</v>
      </c>
      <c r="P741">
        <v>4</v>
      </c>
      <c r="Q741">
        <v>3963.39</v>
      </c>
      <c r="R741">
        <v>0.1</v>
      </c>
      <c r="S741" t="str">
        <f t="shared" si="11"/>
        <v>OK</v>
      </c>
      <c r="T741">
        <v>14268.2</v>
      </c>
      <c r="U741">
        <v>11705.3</v>
      </c>
      <c r="V741">
        <v>2562.9</v>
      </c>
      <c r="W741" t="s">
        <v>110</v>
      </c>
      <c r="X741" t="s">
        <v>102</v>
      </c>
    </row>
    <row r="742" spans="1:24">
      <c r="A742" t="s">
        <v>1704</v>
      </c>
      <c r="B742" s="2">
        <v>45757</v>
      </c>
      <c r="C742" s="2">
        <v>45764</v>
      </c>
      <c r="D742" s="5">
        <f>C742-B742</f>
        <v>7</v>
      </c>
      <c r="E742" s="5" t="str">
        <f>IF(D742&lt;0,"INVALID","OK")</f>
        <v>OK</v>
      </c>
      <c r="F742" t="s">
        <v>1705</v>
      </c>
      <c r="G742" t="s">
        <v>61</v>
      </c>
      <c r="H742" t="s">
        <v>36</v>
      </c>
      <c r="I742" t="s">
        <v>62</v>
      </c>
      <c r="J742" t="s">
        <v>25</v>
      </c>
      <c r="K742" t="s">
        <v>108</v>
      </c>
      <c r="L742" t="s">
        <v>40</v>
      </c>
      <c r="M742" t="s">
        <v>65</v>
      </c>
      <c r="N742" t="s">
        <v>1706</v>
      </c>
      <c r="O742" t="s">
        <v>49</v>
      </c>
      <c r="P742">
        <v>7</v>
      </c>
      <c r="Q742">
        <v>3788.9</v>
      </c>
      <c r="R742">
        <v>0.25</v>
      </c>
      <c r="S742" t="str">
        <f t="shared" si="11"/>
        <v>OK</v>
      </c>
      <c r="T742">
        <v>19891.72</v>
      </c>
      <c r="U742">
        <v>12295.76</v>
      </c>
      <c r="V742">
        <v>7595.96</v>
      </c>
      <c r="W742" t="s">
        <v>154</v>
      </c>
      <c r="X742" t="s">
        <v>67</v>
      </c>
    </row>
    <row r="743" spans="1:24">
      <c r="A743" t="s">
        <v>1713</v>
      </c>
      <c r="B743" s="2">
        <v>45842</v>
      </c>
      <c r="C743" s="2">
        <v>45842</v>
      </c>
      <c r="D743" s="5">
        <f>C743-B743</f>
        <v>0</v>
      </c>
      <c r="E743" s="5" t="str">
        <f>IF(D743&lt;0,"INVALID","OK")</f>
        <v>OK</v>
      </c>
      <c r="F743" t="s">
        <v>1714</v>
      </c>
      <c r="G743" t="s">
        <v>35</v>
      </c>
      <c r="H743" t="s">
        <v>36</v>
      </c>
      <c r="I743" t="s">
        <v>53</v>
      </c>
      <c r="J743" t="s">
        <v>246</v>
      </c>
      <c r="K743" t="s">
        <v>247</v>
      </c>
      <c r="L743" t="s">
        <v>40</v>
      </c>
      <c r="M743" t="s">
        <v>65</v>
      </c>
      <c r="N743" t="s">
        <v>1715</v>
      </c>
      <c r="O743" t="s">
        <v>58</v>
      </c>
      <c r="P743">
        <v>3</v>
      </c>
      <c r="Q743">
        <v>705.35</v>
      </c>
      <c r="R743">
        <v>0.1</v>
      </c>
      <c r="S743" t="str">
        <f t="shared" si="11"/>
        <v>OK</v>
      </c>
      <c r="T743">
        <v>1904.45</v>
      </c>
      <c r="U743">
        <v>1316.54</v>
      </c>
      <c r="V743">
        <v>587.91</v>
      </c>
      <c r="W743" t="s">
        <v>31</v>
      </c>
      <c r="X743" t="s">
        <v>67</v>
      </c>
    </row>
    <row r="744" spans="1:24">
      <c r="A744" t="s">
        <v>1719</v>
      </c>
      <c r="B744" s="2">
        <v>45876</v>
      </c>
      <c r="C744" s="2">
        <v>45847</v>
      </c>
      <c r="D744" s="5">
        <f>C744-B744</f>
        <v>-29</v>
      </c>
      <c r="E744" s="5" t="str">
        <f>IF(D744&lt;0,"INVALID","OK")</f>
        <v>INVALID</v>
      </c>
      <c r="F744" t="s">
        <v>1720</v>
      </c>
      <c r="G744" t="s">
        <v>131</v>
      </c>
      <c r="H744" t="s">
        <v>23</v>
      </c>
      <c r="I744" t="s">
        <v>62</v>
      </c>
      <c r="J744" t="s">
        <v>63</v>
      </c>
      <c r="K744" t="s">
        <v>64</v>
      </c>
      <c r="L744" t="s">
        <v>73</v>
      </c>
      <c r="M744" t="s">
        <v>79</v>
      </c>
      <c r="N744" t="s">
        <v>1721</v>
      </c>
      <c r="O744" t="s">
        <v>43</v>
      </c>
      <c r="P744">
        <v>3</v>
      </c>
      <c r="Q744">
        <v>2880.56</v>
      </c>
      <c r="R744">
        <v>0</v>
      </c>
      <c r="S744" t="str">
        <f t="shared" si="11"/>
        <v>OK</v>
      </c>
      <c r="T744">
        <v>8641.68</v>
      </c>
      <c r="U744">
        <v>5747.09</v>
      </c>
      <c r="V744">
        <v>2894.59</v>
      </c>
      <c r="W744" t="s">
        <v>31</v>
      </c>
      <c r="X744" t="s">
        <v>102</v>
      </c>
    </row>
    <row r="745" spans="1:24">
      <c r="A745" t="s">
        <v>1728</v>
      </c>
      <c r="B745" s="2">
        <v>45686</v>
      </c>
      <c r="C745" s="2">
        <v>45693</v>
      </c>
      <c r="D745" s="5">
        <f>C745-B745</f>
        <v>7</v>
      </c>
      <c r="E745" s="5" t="str">
        <f>IF(D745&lt;0,"INVALID","OK")</f>
        <v>OK</v>
      </c>
      <c r="F745" t="s">
        <v>1729</v>
      </c>
      <c r="G745" t="s">
        <v>61</v>
      </c>
      <c r="H745" t="s">
        <v>23</v>
      </c>
      <c r="I745" t="s">
        <v>53</v>
      </c>
      <c r="J745" t="s">
        <v>184</v>
      </c>
      <c r="K745" t="s">
        <v>185</v>
      </c>
      <c r="L745" t="s">
        <v>27</v>
      </c>
      <c r="M745" t="s">
        <v>47</v>
      </c>
      <c r="N745" t="s">
        <v>1730</v>
      </c>
      <c r="O745" t="s">
        <v>43</v>
      </c>
      <c r="P745">
        <v>8</v>
      </c>
      <c r="Q745">
        <v>3643.62</v>
      </c>
      <c r="R745">
        <v>0.25</v>
      </c>
      <c r="S745" t="str">
        <f t="shared" si="11"/>
        <v>OK</v>
      </c>
      <c r="T745">
        <v>21861.72</v>
      </c>
      <c r="U745">
        <v>18464.34</v>
      </c>
      <c r="V745">
        <v>3397.38</v>
      </c>
      <c r="W745" t="s">
        <v>31</v>
      </c>
      <c r="X745" t="s">
        <v>67</v>
      </c>
    </row>
    <row r="746" spans="1:24">
      <c r="A746" t="s">
        <v>1734</v>
      </c>
      <c r="B746" s="2">
        <v>45883</v>
      </c>
      <c r="C746" s="2">
        <v>45891</v>
      </c>
      <c r="D746" s="5">
        <f>C746-B746</f>
        <v>8</v>
      </c>
      <c r="E746" s="5" t="str">
        <f>IF(D746&lt;0,"INVALID","OK")</f>
        <v>OK</v>
      </c>
      <c r="F746" t="s">
        <v>1735</v>
      </c>
      <c r="G746" t="s">
        <v>52</v>
      </c>
      <c r="H746" t="s">
        <v>89</v>
      </c>
      <c r="I746" t="s">
        <v>62</v>
      </c>
      <c r="J746" t="s">
        <v>179</v>
      </c>
      <c r="K746" t="s">
        <v>180</v>
      </c>
      <c r="L746" t="s">
        <v>27</v>
      </c>
      <c r="M746" t="s">
        <v>28</v>
      </c>
      <c r="N746" t="s">
        <v>1736</v>
      </c>
      <c r="O746" t="s">
        <v>49</v>
      </c>
      <c r="P746">
        <v>5</v>
      </c>
      <c r="Q746">
        <v>2567.37</v>
      </c>
      <c r="R746">
        <v>0.15</v>
      </c>
      <c r="S746" t="str">
        <f t="shared" si="11"/>
        <v>OK</v>
      </c>
      <c r="T746">
        <v>10911.32</v>
      </c>
      <c r="U746">
        <v>6966.44</v>
      </c>
      <c r="V746">
        <v>4395.17</v>
      </c>
      <c r="W746" t="s">
        <v>31</v>
      </c>
      <c r="X746" t="s">
        <v>32</v>
      </c>
    </row>
    <row r="747" spans="1:24">
      <c r="A747" t="s">
        <v>1743</v>
      </c>
      <c r="B747" s="2">
        <v>45941</v>
      </c>
      <c r="C747" s="2">
        <v>45943</v>
      </c>
      <c r="D747" s="5">
        <f>C747-B747</f>
        <v>2</v>
      </c>
      <c r="E747" s="5" t="str">
        <f>IF(D747&lt;0,"INVALID","OK")</f>
        <v>OK</v>
      </c>
      <c r="F747" t="s">
        <v>1744</v>
      </c>
      <c r="G747" t="s">
        <v>35</v>
      </c>
      <c r="H747" t="s">
        <v>89</v>
      </c>
      <c r="I747" t="s">
        <v>53</v>
      </c>
      <c r="J747" t="s">
        <v>54</v>
      </c>
      <c r="K747" t="s">
        <v>55</v>
      </c>
      <c r="L747" t="s">
        <v>27</v>
      </c>
      <c r="M747" t="s">
        <v>47</v>
      </c>
      <c r="N747" t="s">
        <v>1745</v>
      </c>
      <c r="O747" t="s">
        <v>30</v>
      </c>
      <c r="P747">
        <v>3</v>
      </c>
      <c r="Q747">
        <v>3804.27</v>
      </c>
      <c r="R747">
        <v>0.1</v>
      </c>
      <c r="S747" t="str">
        <f t="shared" si="11"/>
        <v>OK</v>
      </c>
      <c r="T747">
        <v>10271.530000000001</v>
      </c>
      <c r="U747">
        <v>8272.24</v>
      </c>
      <c r="V747">
        <v>1999.29</v>
      </c>
      <c r="W747" t="s">
        <v>31</v>
      </c>
      <c r="X747" t="s">
        <v>32</v>
      </c>
    </row>
    <row r="748" spans="1:24">
      <c r="A748" t="s">
        <v>1752</v>
      </c>
      <c r="B748" s="2">
        <v>45681</v>
      </c>
      <c r="C748" s="2">
        <v>45687</v>
      </c>
      <c r="D748" s="5">
        <f>C748-B748</f>
        <v>6</v>
      </c>
      <c r="E748" s="5" t="str">
        <f>IF(D748&lt;0,"INVALID","OK")</f>
        <v>OK</v>
      </c>
      <c r="F748" t="s">
        <v>1753</v>
      </c>
      <c r="G748" t="s">
        <v>61</v>
      </c>
      <c r="H748" t="s">
        <v>89</v>
      </c>
      <c r="I748" t="s">
        <v>37</v>
      </c>
      <c r="J748" t="s">
        <v>98</v>
      </c>
      <c r="K748" t="s">
        <v>99</v>
      </c>
      <c r="L748" t="s">
        <v>73</v>
      </c>
      <c r="M748" t="s">
        <v>79</v>
      </c>
      <c r="N748" t="s">
        <v>1754</v>
      </c>
      <c r="O748" t="s">
        <v>58</v>
      </c>
      <c r="P748">
        <v>8</v>
      </c>
      <c r="Q748">
        <v>312.52999999999997</v>
      </c>
      <c r="R748" t="s">
        <v>462</v>
      </c>
      <c r="S748" t="str">
        <f t="shared" si="11"/>
        <v>INVALID</v>
      </c>
      <c r="T748">
        <v>1875.18</v>
      </c>
      <c r="U748">
        <v>1579.17</v>
      </c>
      <c r="V748">
        <v>296.01</v>
      </c>
      <c r="W748" t="s">
        <v>31</v>
      </c>
      <c r="X748" t="s">
        <v>32</v>
      </c>
    </row>
    <row r="749" spans="1:24">
      <c r="A749" t="s">
        <v>1755</v>
      </c>
      <c r="B749" s="2">
        <v>45772</v>
      </c>
      <c r="C749" s="2">
        <v>45775</v>
      </c>
      <c r="D749" s="5">
        <f>C749-B749</f>
        <v>3</v>
      </c>
      <c r="E749" s="5" t="str">
        <f>IF(D749&lt;0,"INVALID","OK")</f>
        <v>OK</v>
      </c>
      <c r="F749" t="s">
        <v>1756</v>
      </c>
      <c r="G749" t="s">
        <v>127</v>
      </c>
      <c r="H749" t="s">
        <v>36</v>
      </c>
      <c r="I749" t="s">
        <v>62</v>
      </c>
      <c r="J749" t="s">
        <v>179</v>
      </c>
      <c r="K749" t="s">
        <v>180</v>
      </c>
      <c r="L749" t="s">
        <v>27</v>
      </c>
      <c r="M749" t="s">
        <v>123</v>
      </c>
      <c r="N749" t="s">
        <v>1757</v>
      </c>
      <c r="O749" t="s">
        <v>49</v>
      </c>
      <c r="P749">
        <v>9</v>
      </c>
      <c r="Q749">
        <v>1294.1099999999999</v>
      </c>
      <c r="R749">
        <v>0.25</v>
      </c>
      <c r="S749" t="str">
        <f t="shared" si="11"/>
        <v>OK</v>
      </c>
      <c r="T749">
        <v>8735.24</v>
      </c>
      <c r="U749">
        <v>6620.07</v>
      </c>
      <c r="V749">
        <v>2115.17</v>
      </c>
      <c r="W749" t="s">
        <v>31</v>
      </c>
      <c r="X749" t="s">
        <v>32</v>
      </c>
    </row>
    <row r="750" spans="1:24">
      <c r="A750" t="s">
        <v>1761</v>
      </c>
      <c r="B750" s="2">
        <v>45749</v>
      </c>
      <c r="C750" s="2">
        <v>45698</v>
      </c>
      <c r="D750" s="5">
        <f>C750-B750</f>
        <v>-51</v>
      </c>
      <c r="E750" s="5" t="str">
        <f>IF(D750&lt;0,"INVALID","OK")</f>
        <v>INVALID</v>
      </c>
      <c r="F750" t="s">
        <v>1762</v>
      </c>
      <c r="G750" t="s">
        <v>61</v>
      </c>
      <c r="H750" t="s">
        <v>36</v>
      </c>
      <c r="I750" t="s">
        <v>53</v>
      </c>
      <c r="J750" t="s">
        <v>54</v>
      </c>
      <c r="K750" t="s">
        <v>55</v>
      </c>
      <c r="L750" t="s">
        <v>27</v>
      </c>
      <c r="M750" t="s">
        <v>123</v>
      </c>
      <c r="N750" t="s">
        <v>1763</v>
      </c>
      <c r="O750" t="s">
        <v>58</v>
      </c>
      <c r="P750">
        <v>6</v>
      </c>
      <c r="Q750">
        <v>1042.8</v>
      </c>
      <c r="R750">
        <v>0.05</v>
      </c>
      <c r="S750" t="str">
        <f t="shared" si="11"/>
        <v>OK</v>
      </c>
      <c r="T750">
        <v>5943.96</v>
      </c>
      <c r="U750">
        <v>3604.14</v>
      </c>
      <c r="V750">
        <v>2339.8200000000002</v>
      </c>
      <c r="W750" t="s">
        <v>31</v>
      </c>
      <c r="X750" t="s">
        <v>32</v>
      </c>
    </row>
    <row r="751" spans="1:24">
      <c r="A751" t="s">
        <v>1770</v>
      </c>
      <c r="B751" s="2">
        <v>45904</v>
      </c>
      <c r="C751" s="2">
        <v>45904</v>
      </c>
      <c r="D751" s="5">
        <f>C751-B751</f>
        <v>0</v>
      </c>
      <c r="E751" s="5" t="str">
        <f>IF(D751&lt;0,"INVALID","OK")</f>
        <v>OK</v>
      </c>
      <c r="F751" t="s">
        <v>1771</v>
      </c>
      <c r="G751" t="s">
        <v>88</v>
      </c>
      <c r="H751" t="s">
        <v>89</v>
      </c>
      <c r="I751" t="s">
        <v>24</v>
      </c>
      <c r="J751" t="s">
        <v>121</v>
      </c>
      <c r="K751" t="s">
        <v>122</v>
      </c>
      <c r="L751" t="s">
        <v>73</v>
      </c>
      <c r="M751" t="s">
        <v>273</v>
      </c>
      <c r="N751" t="s">
        <v>1772</v>
      </c>
      <c r="O751" t="s">
        <v>49</v>
      </c>
      <c r="P751">
        <v>8</v>
      </c>
      <c r="Q751">
        <v>3079.95</v>
      </c>
      <c r="R751">
        <v>0.2</v>
      </c>
      <c r="S751" t="str">
        <f t="shared" si="11"/>
        <v>OK</v>
      </c>
      <c r="T751">
        <v>19711.68</v>
      </c>
      <c r="U751">
        <v>14461.8</v>
      </c>
      <c r="V751">
        <v>5249.88</v>
      </c>
      <c r="W751" t="s">
        <v>31</v>
      </c>
      <c r="X751" t="s">
        <v>32</v>
      </c>
    </row>
    <row r="752" spans="1:24">
      <c r="A752" t="s">
        <v>1773</v>
      </c>
      <c r="B752" s="2">
        <v>45930</v>
      </c>
      <c r="C752" s="2">
        <v>45937</v>
      </c>
      <c r="D752" s="5">
        <f>C752-B752</f>
        <v>7</v>
      </c>
      <c r="E752" s="5" t="str">
        <f>IF(D752&lt;0,"INVALID","OK")</f>
        <v>OK</v>
      </c>
      <c r="F752" t="s">
        <v>1774</v>
      </c>
      <c r="G752" t="s">
        <v>161</v>
      </c>
      <c r="H752" t="s">
        <v>89</v>
      </c>
      <c r="I752" t="s">
        <v>37</v>
      </c>
      <c r="J752" t="s">
        <v>144</v>
      </c>
      <c r="K752" t="s">
        <v>145</v>
      </c>
      <c r="L752" t="s">
        <v>73</v>
      </c>
      <c r="M752" t="s">
        <v>79</v>
      </c>
      <c r="N752" t="s">
        <v>1775</v>
      </c>
      <c r="O752" t="s">
        <v>30</v>
      </c>
      <c r="P752">
        <v>5</v>
      </c>
      <c r="Q752">
        <v>3277.82</v>
      </c>
      <c r="R752">
        <v>0.1</v>
      </c>
      <c r="S752" t="str">
        <f t="shared" si="11"/>
        <v>OK</v>
      </c>
      <c r="T752">
        <v>14750.19</v>
      </c>
      <c r="U752">
        <v>9482.58</v>
      </c>
      <c r="V752">
        <v>5267.61</v>
      </c>
      <c r="W752" t="s">
        <v>31</v>
      </c>
      <c r="X752" t="s">
        <v>102</v>
      </c>
    </row>
    <row r="753" spans="1:24">
      <c r="A753" t="s">
        <v>1779</v>
      </c>
      <c r="B753" s="2">
        <v>45852</v>
      </c>
      <c r="C753" s="2">
        <v>45856</v>
      </c>
      <c r="D753" s="5">
        <f>C753-B753</f>
        <v>4</v>
      </c>
      <c r="E753" s="5" t="str">
        <f>IF(D753&lt;0,"INVALID","OK")</f>
        <v>OK</v>
      </c>
      <c r="F753" t="s">
        <v>1780</v>
      </c>
      <c r="G753" t="s">
        <v>88</v>
      </c>
      <c r="H753" t="s">
        <v>23</v>
      </c>
      <c r="I753" t="s">
        <v>24</v>
      </c>
      <c r="J753" t="s">
        <v>121</v>
      </c>
      <c r="K753" t="s">
        <v>122</v>
      </c>
      <c r="L753" t="s">
        <v>73</v>
      </c>
      <c r="M753" t="s">
        <v>79</v>
      </c>
      <c r="N753" t="s">
        <v>1781</v>
      </c>
      <c r="O753" t="s">
        <v>49</v>
      </c>
      <c r="P753">
        <v>4</v>
      </c>
      <c r="Q753">
        <v>725.22</v>
      </c>
      <c r="R753">
        <v>0</v>
      </c>
      <c r="S753" t="str">
        <f t="shared" si="11"/>
        <v>OK</v>
      </c>
      <c r="T753">
        <v>2900.88</v>
      </c>
      <c r="U753">
        <v>2391.85</v>
      </c>
      <c r="V753">
        <v>509.03</v>
      </c>
      <c r="W753" t="s">
        <v>110</v>
      </c>
      <c r="X753" t="s">
        <v>102</v>
      </c>
    </row>
    <row r="754" spans="1:24">
      <c r="A754" t="s">
        <v>1791</v>
      </c>
      <c r="B754" s="2">
        <v>45876</v>
      </c>
      <c r="C754" s="2">
        <v>45882</v>
      </c>
      <c r="D754" s="5">
        <f>C754-B754</f>
        <v>6</v>
      </c>
      <c r="E754" s="5" t="str">
        <f>IF(D754&lt;0,"INVALID","OK")</f>
        <v>OK</v>
      </c>
      <c r="F754" t="s">
        <v>1792</v>
      </c>
      <c r="G754" t="s">
        <v>35</v>
      </c>
      <c r="H754" t="s">
        <v>89</v>
      </c>
      <c r="I754" t="s">
        <v>24</v>
      </c>
      <c r="J754" t="s">
        <v>349</v>
      </c>
      <c r="K754" t="s">
        <v>350</v>
      </c>
      <c r="L754" t="s">
        <v>73</v>
      </c>
      <c r="M754" t="s">
        <v>170</v>
      </c>
      <c r="N754" t="s">
        <v>1793</v>
      </c>
      <c r="O754" t="s">
        <v>58</v>
      </c>
      <c r="P754">
        <v>6</v>
      </c>
      <c r="Q754">
        <v>1921.86</v>
      </c>
      <c r="R754">
        <v>0.2</v>
      </c>
      <c r="S754" t="str">
        <f t="shared" si="11"/>
        <v>OK</v>
      </c>
      <c r="T754">
        <v>9224.93</v>
      </c>
      <c r="U754">
        <v>7005.2</v>
      </c>
      <c r="V754">
        <v>2219.73</v>
      </c>
      <c r="W754" t="s">
        <v>101</v>
      </c>
      <c r="X754" t="s">
        <v>67</v>
      </c>
    </row>
    <row r="755" spans="1:24">
      <c r="A755" t="s">
        <v>1802</v>
      </c>
      <c r="B755" s="2">
        <v>45908</v>
      </c>
      <c r="C755" s="2">
        <v>45910</v>
      </c>
      <c r="D755" s="5">
        <f>C755-B755</f>
        <v>2</v>
      </c>
      <c r="E755" s="5" t="str">
        <f>IF(D755&lt;0,"INVALID","OK")</f>
        <v>OK</v>
      </c>
      <c r="F755" t="s">
        <v>1803</v>
      </c>
      <c r="G755" t="s">
        <v>117</v>
      </c>
      <c r="H755" t="s">
        <v>94</v>
      </c>
      <c r="I755" t="s">
        <v>62</v>
      </c>
      <c r="J755" t="s">
        <v>63</v>
      </c>
      <c r="K755" t="s">
        <v>64</v>
      </c>
      <c r="L755" t="s">
        <v>40</v>
      </c>
      <c r="M755" t="s">
        <v>56</v>
      </c>
      <c r="N755" t="s">
        <v>1804</v>
      </c>
      <c r="O755" t="s">
        <v>58</v>
      </c>
      <c r="P755">
        <v>6</v>
      </c>
      <c r="Q755">
        <v>3251.17</v>
      </c>
      <c r="R755">
        <v>0.25</v>
      </c>
      <c r="S755" t="str">
        <f t="shared" si="11"/>
        <v>OK</v>
      </c>
      <c r="T755">
        <v>14630.26</v>
      </c>
      <c r="U755">
        <v>11906.36</v>
      </c>
      <c r="V755">
        <v>2723.9</v>
      </c>
      <c r="W755" t="s">
        <v>101</v>
      </c>
      <c r="X755" t="s">
        <v>102</v>
      </c>
    </row>
    <row r="756" spans="1:24">
      <c r="A756" t="s">
        <v>1805</v>
      </c>
      <c r="B756" s="2">
        <v>45887</v>
      </c>
      <c r="C756" s="2">
        <v>45891</v>
      </c>
      <c r="D756" s="5">
        <f>C756-B756</f>
        <v>4</v>
      </c>
      <c r="E756" s="5" t="str">
        <f>IF(D756&lt;0,"INVALID","OK")</f>
        <v>OK</v>
      </c>
      <c r="F756" t="s">
        <v>1806</v>
      </c>
      <c r="G756" t="s">
        <v>52</v>
      </c>
      <c r="H756" t="s">
        <v>23</v>
      </c>
      <c r="I756" t="s">
        <v>37</v>
      </c>
      <c r="J756" t="s">
        <v>227</v>
      </c>
      <c r="K756" t="s">
        <v>228</v>
      </c>
      <c r="L756" t="s">
        <v>40</v>
      </c>
      <c r="M756" t="s">
        <v>56</v>
      </c>
      <c r="N756" t="s">
        <v>1807</v>
      </c>
      <c r="O756" t="s">
        <v>30</v>
      </c>
      <c r="P756">
        <v>3</v>
      </c>
      <c r="Q756">
        <v>3946.44</v>
      </c>
      <c r="R756">
        <v>0.25</v>
      </c>
      <c r="S756" t="str">
        <f t="shared" si="11"/>
        <v>OK</v>
      </c>
      <c r="T756">
        <v>8879.49</v>
      </c>
      <c r="U756">
        <v>6344.57</v>
      </c>
      <c r="V756">
        <v>2534.92</v>
      </c>
      <c r="W756" t="s">
        <v>154</v>
      </c>
      <c r="X756" t="s">
        <v>102</v>
      </c>
    </row>
    <row r="757" spans="1:24">
      <c r="A757" t="s">
        <v>1808</v>
      </c>
      <c r="B757" s="2">
        <v>45698</v>
      </c>
      <c r="C757" s="2">
        <v>45702</v>
      </c>
      <c r="D757" s="5">
        <f>C757-B757</f>
        <v>4</v>
      </c>
      <c r="E757" s="5" t="str">
        <f>IF(D757&lt;0,"INVALID","OK")</f>
        <v>OK</v>
      </c>
      <c r="F757" t="s">
        <v>1809</v>
      </c>
      <c r="G757" t="s">
        <v>113</v>
      </c>
      <c r="H757" t="s">
        <v>36</v>
      </c>
      <c r="I757" t="s">
        <v>24</v>
      </c>
      <c r="J757" t="s">
        <v>135</v>
      </c>
      <c r="K757" t="s">
        <v>136</v>
      </c>
      <c r="L757" t="s">
        <v>73</v>
      </c>
      <c r="M757" t="s">
        <v>170</v>
      </c>
      <c r="N757" t="s">
        <v>1810</v>
      </c>
      <c r="O757" t="s">
        <v>2762</v>
      </c>
      <c r="P757">
        <v>5</v>
      </c>
      <c r="Q757">
        <v>4276.29</v>
      </c>
      <c r="R757">
        <v>0</v>
      </c>
      <c r="S757" t="str">
        <f t="shared" si="11"/>
        <v>OK</v>
      </c>
      <c r="T757">
        <v>21381.45</v>
      </c>
      <c r="U757">
        <v>13240.21</v>
      </c>
      <c r="V757">
        <v>8141.24</v>
      </c>
      <c r="W757" t="s">
        <v>154</v>
      </c>
      <c r="X757" t="s">
        <v>102</v>
      </c>
    </row>
    <row r="758" spans="1:24">
      <c r="A758" t="s">
        <v>1808</v>
      </c>
      <c r="B758" s="2">
        <v>45698</v>
      </c>
      <c r="C758" s="2">
        <v>45702</v>
      </c>
      <c r="D758" s="5">
        <f>C758-B758</f>
        <v>4</v>
      </c>
      <c r="E758" s="5" t="str">
        <f>IF(D758&lt;0,"INVALID","OK")</f>
        <v>OK</v>
      </c>
      <c r="F758" t="s">
        <v>1809</v>
      </c>
      <c r="G758" t="s">
        <v>113</v>
      </c>
      <c r="H758" t="s">
        <v>36</v>
      </c>
      <c r="I758" t="s">
        <v>24</v>
      </c>
      <c r="J758" t="s">
        <v>135</v>
      </c>
      <c r="K758" t="s">
        <v>136</v>
      </c>
      <c r="L758" t="s">
        <v>73</v>
      </c>
      <c r="M758" t="s">
        <v>170</v>
      </c>
      <c r="N758" t="s">
        <v>1810</v>
      </c>
      <c r="O758" t="s">
        <v>2762</v>
      </c>
      <c r="P758">
        <v>5</v>
      </c>
      <c r="Q758">
        <v>4276.29</v>
      </c>
      <c r="R758">
        <v>0</v>
      </c>
      <c r="S758" t="str">
        <f t="shared" si="11"/>
        <v>OK</v>
      </c>
      <c r="T758">
        <v>21443.63</v>
      </c>
      <c r="U758">
        <v>13240.21</v>
      </c>
      <c r="V758">
        <v>8141.24</v>
      </c>
      <c r="W758" t="s">
        <v>154</v>
      </c>
      <c r="X758" t="s">
        <v>32</v>
      </c>
    </row>
    <row r="759" spans="1:24">
      <c r="A759" t="s">
        <v>1814</v>
      </c>
      <c r="B759" s="2">
        <v>45922</v>
      </c>
      <c r="C759" s="2">
        <v>45926</v>
      </c>
      <c r="D759" s="5">
        <f>C759-B759</f>
        <v>4</v>
      </c>
      <c r="E759" s="5" t="str">
        <f>IF(D759&lt;0,"INVALID","OK")</f>
        <v>OK</v>
      </c>
      <c r="F759" t="s">
        <v>1815</v>
      </c>
      <c r="G759" t="s">
        <v>46</v>
      </c>
      <c r="H759" t="s">
        <v>23</v>
      </c>
      <c r="I759" t="s">
        <v>53</v>
      </c>
      <c r="J759" t="s">
        <v>83</v>
      </c>
      <c r="K759" t="s">
        <v>84</v>
      </c>
      <c r="L759" t="s">
        <v>73</v>
      </c>
      <c r="M759" t="s">
        <v>170</v>
      </c>
      <c r="N759" t="s">
        <v>1816</v>
      </c>
      <c r="O759" t="s">
        <v>58</v>
      </c>
      <c r="P759">
        <v>1</v>
      </c>
      <c r="Q759">
        <v>573.65</v>
      </c>
      <c r="R759">
        <v>0</v>
      </c>
      <c r="S759" t="str">
        <f t="shared" si="11"/>
        <v>OK</v>
      </c>
      <c r="T759">
        <v>573.65</v>
      </c>
      <c r="U759">
        <v>322.67</v>
      </c>
      <c r="V759">
        <v>250.98</v>
      </c>
      <c r="W759" t="s">
        <v>31</v>
      </c>
      <c r="X759" t="s">
        <v>32</v>
      </c>
    </row>
    <row r="760" spans="1:24">
      <c r="A760" t="s">
        <v>1819</v>
      </c>
      <c r="B760" s="2">
        <v>45727</v>
      </c>
      <c r="C760" s="2">
        <v>45730</v>
      </c>
      <c r="D760" s="5">
        <f>C760-B760</f>
        <v>3</v>
      </c>
      <c r="E760" s="5" t="str">
        <f>IF(D760&lt;0,"INVALID","OK")</f>
        <v>OK</v>
      </c>
      <c r="F760" t="s">
        <v>1820</v>
      </c>
      <c r="G760" t="s">
        <v>131</v>
      </c>
      <c r="H760" t="s">
        <v>94</v>
      </c>
      <c r="I760" t="s">
        <v>53</v>
      </c>
      <c r="J760" t="s">
        <v>184</v>
      </c>
      <c r="K760" t="s">
        <v>185</v>
      </c>
      <c r="L760" t="s">
        <v>40</v>
      </c>
      <c r="M760" t="s">
        <v>56</v>
      </c>
      <c r="N760" t="s">
        <v>1821</v>
      </c>
      <c r="O760" t="s">
        <v>43</v>
      </c>
      <c r="P760">
        <v>4</v>
      </c>
      <c r="Q760">
        <v>1244.82</v>
      </c>
      <c r="R760">
        <v>0.2</v>
      </c>
      <c r="S760" t="str">
        <f t="shared" si="11"/>
        <v>OK</v>
      </c>
      <c r="T760">
        <v>3983.42</v>
      </c>
      <c r="U760">
        <v>3174.91</v>
      </c>
      <c r="V760">
        <v>808.51</v>
      </c>
      <c r="W760" t="s">
        <v>154</v>
      </c>
      <c r="X760" t="s">
        <v>102</v>
      </c>
    </row>
    <row r="761" spans="1:24">
      <c r="A761" t="s">
        <v>1825</v>
      </c>
      <c r="B761" s="2">
        <v>45897</v>
      </c>
      <c r="C761" s="2">
        <v>45903</v>
      </c>
      <c r="D761" s="5">
        <f>C761-B761</f>
        <v>6</v>
      </c>
      <c r="E761" s="5" t="str">
        <f>IF(D761&lt;0,"INVALID","OK")</f>
        <v>OK</v>
      </c>
      <c r="F761" t="s">
        <v>1826</v>
      </c>
      <c r="G761" t="s">
        <v>113</v>
      </c>
      <c r="H761" t="s">
        <v>89</v>
      </c>
      <c r="I761" t="s">
        <v>62</v>
      </c>
      <c r="J761" t="s">
        <v>71</v>
      </c>
      <c r="K761" t="s">
        <v>72</v>
      </c>
      <c r="L761" t="s">
        <v>40</v>
      </c>
      <c r="M761" t="s">
        <v>56</v>
      </c>
      <c r="N761" t="s">
        <v>1827</v>
      </c>
      <c r="O761" t="s">
        <v>58</v>
      </c>
      <c r="P761">
        <v>7</v>
      </c>
      <c r="Q761">
        <v>268.45</v>
      </c>
      <c r="R761">
        <v>0</v>
      </c>
      <c r="S761" t="str">
        <f t="shared" si="11"/>
        <v>OK</v>
      </c>
      <c r="T761">
        <v>1879.15</v>
      </c>
      <c r="U761">
        <v>1134.9000000000001</v>
      </c>
      <c r="V761">
        <v>744.25</v>
      </c>
      <c r="W761" t="s">
        <v>31</v>
      </c>
      <c r="X761" t="s">
        <v>32</v>
      </c>
    </row>
    <row r="762" spans="1:24">
      <c r="A762" t="s">
        <v>1833</v>
      </c>
      <c r="B762" s="2">
        <v>45811</v>
      </c>
      <c r="C762" s="2">
        <v>45729</v>
      </c>
      <c r="D762" s="5">
        <f>C762-B762</f>
        <v>-82</v>
      </c>
      <c r="E762" s="5" t="str">
        <f>IF(D762&lt;0,"INVALID","OK")</f>
        <v>INVALID</v>
      </c>
      <c r="F762" t="s">
        <v>1834</v>
      </c>
      <c r="G762" t="s">
        <v>263</v>
      </c>
      <c r="H762" t="s">
        <v>23</v>
      </c>
      <c r="I762" t="s">
        <v>53</v>
      </c>
      <c r="J762" t="s">
        <v>184</v>
      </c>
      <c r="K762" t="s">
        <v>185</v>
      </c>
      <c r="L762" t="s">
        <v>40</v>
      </c>
      <c r="M762" t="s">
        <v>65</v>
      </c>
      <c r="N762" t="s">
        <v>1835</v>
      </c>
      <c r="O762" t="s">
        <v>58</v>
      </c>
      <c r="P762">
        <v>3</v>
      </c>
      <c r="Q762">
        <v>163.72</v>
      </c>
      <c r="R762">
        <v>0.15</v>
      </c>
      <c r="S762" t="str">
        <f t="shared" si="11"/>
        <v>OK</v>
      </c>
      <c r="T762">
        <v>417.49</v>
      </c>
      <c r="U762">
        <v>261.67</v>
      </c>
      <c r="V762">
        <v>155.82</v>
      </c>
      <c r="W762" t="s">
        <v>154</v>
      </c>
      <c r="X762" t="s">
        <v>102</v>
      </c>
    </row>
    <row r="763" spans="1:24">
      <c r="A763" t="s">
        <v>1836</v>
      </c>
      <c r="B763" s="2">
        <v>45878</v>
      </c>
      <c r="C763" s="2">
        <v>45879</v>
      </c>
      <c r="D763" s="5">
        <f>C763-B763</f>
        <v>1</v>
      </c>
      <c r="E763" s="5" t="str">
        <f>IF(D763&lt;0,"INVALID","OK")</f>
        <v>OK</v>
      </c>
      <c r="F763" t="s">
        <v>1837</v>
      </c>
      <c r="G763" t="s">
        <v>78</v>
      </c>
      <c r="H763" t="s">
        <v>23</v>
      </c>
      <c r="I763" t="s">
        <v>24</v>
      </c>
      <c r="J763" t="s">
        <v>349</v>
      </c>
      <c r="K763" t="s">
        <v>350</v>
      </c>
      <c r="L763" t="s">
        <v>27</v>
      </c>
      <c r="M763" t="s">
        <v>47</v>
      </c>
      <c r="N763" t="s">
        <v>1838</v>
      </c>
      <c r="O763" t="s">
        <v>30</v>
      </c>
      <c r="P763">
        <v>4</v>
      </c>
      <c r="Q763">
        <v>4080.95</v>
      </c>
      <c r="R763">
        <v>0</v>
      </c>
      <c r="S763" t="str">
        <f t="shared" si="11"/>
        <v>OK</v>
      </c>
      <c r="T763">
        <v>16323.8</v>
      </c>
      <c r="U763">
        <v>9965.7900000000009</v>
      </c>
      <c r="V763">
        <v>6358.01</v>
      </c>
      <c r="W763" t="s">
        <v>101</v>
      </c>
      <c r="X763" t="s">
        <v>102</v>
      </c>
    </row>
    <row r="764" spans="1:24">
      <c r="A764" t="s">
        <v>1848</v>
      </c>
      <c r="B764" s="2">
        <v>45830</v>
      </c>
      <c r="C764" s="2">
        <v>45833</v>
      </c>
      <c r="D764" s="5">
        <f>C764-B764</f>
        <v>3</v>
      </c>
      <c r="E764" s="5" t="str">
        <f>IF(D764&lt;0,"INVALID","OK")</f>
        <v>OK</v>
      </c>
      <c r="F764" t="s">
        <v>1849</v>
      </c>
      <c r="G764" t="s">
        <v>161</v>
      </c>
      <c r="H764" t="s">
        <v>36</v>
      </c>
      <c r="I764" t="s">
        <v>62</v>
      </c>
      <c r="J764" t="s">
        <v>63</v>
      </c>
      <c r="K764" t="s">
        <v>64</v>
      </c>
      <c r="L764" t="s">
        <v>73</v>
      </c>
      <c r="M764" t="s">
        <v>170</v>
      </c>
      <c r="N764" t="s">
        <v>1850</v>
      </c>
      <c r="O764" t="s">
        <v>49</v>
      </c>
      <c r="P764">
        <v>8</v>
      </c>
      <c r="Q764">
        <v>3453.66</v>
      </c>
      <c r="R764">
        <v>0</v>
      </c>
      <c r="S764" t="str">
        <f t="shared" si="11"/>
        <v>OK</v>
      </c>
      <c r="T764">
        <v>27629.279999999999</v>
      </c>
      <c r="U764">
        <v>22026.48</v>
      </c>
      <c r="V764">
        <v>5602.8</v>
      </c>
      <c r="W764" t="s">
        <v>31</v>
      </c>
      <c r="X764" t="s">
        <v>32</v>
      </c>
    </row>
    <row r="765" spans="1:24">
      <c r="A765" t="s">
        <v>1851</v>
      </c>
      <c r="B765" s="2">
        <v>45995</v>
      </c>
      <c r="C765" s="2">
        <v>45759</v>
      </c>
      <c r="D765" s="5">
        <f>C765-B765</f>
        <v>-236</v>
      </c>
      <c r="E765" s="5" t="str">
        <f>IF(D765&lt;0,"INVALID","OK")</f>
        <v>INVALID</v>
      </c>
      <c r="F765" t="s">
        <v>1852</v>
      </c>
      <c r="G765" t="s">
        <v>35</v>
      </c>
      <c r="H765" t="s">
        <v>94</v>
      </c>
      <c r="I765" t="s">
        <v>24</v>
      </c>
      <c r="J765" t="s">
        <v>121</v>
      </c>
      <c r="K765" t="s">
        <v>122</v>
      </c>
      <c r="L765" t="s">
        <v>27</v>
      </c>
      <c r="M765" t="s">
        <v>152</v>
      </c>
      <c r="N765" t="s">
        <v>1853</v>
      </c>
      <c r="O765" t="s">
        <v>30</v>
      </c>
      <c r="P765">
        <v>7</v>
      </c>
      <c r="Q765">
        <v>1334.2</v>
      </c>
      <c r="R765">
        <v>0.2</v>
      </c>
      <c r="S765" t="str">
        <f t="shared" si="11"/>
        <v>OK</v>
      </c>
      <c r="T765">
        <v>7471.52</v>
      </c>
      <c r="U765">
        <v>6184.32</v>
      </c>
      <c r="V765">
        <v>1287.2</v>
      </c>
      <c r="W765" t="s">
        <v>31</v>
      </c>
      <c r="X765" t="s">
        <v>32</v>
      </c>
    </row>
    <row r="766" spans="1:24">
      <c r="A766" t="s">
        <v>1854</v>
      </c>
      <c r="B766" s="2">
        <v>45861</v>
      </c>
      <c r="C766" s="2">
        <v>45869</v>
      </c>
      <c r="D766" s="5">
        <f>C766-B766</f>
        <v>8</v>
      </c>
      <c r="E766" s="5" t="str">
        <f>IF(D766&lt;0,"INVALID","OK")</f>
        <v>OK</v>
      </c>
      <c r="F766" t="s">
        <v>1855</v>
      </c>
      <c r="G766" t="s">
        <v>263</v>
      </c>
      <c r="H766" t="s">
        <v>94</v>
      </c>
      <c r="I766" t="s">
        <v>62</v>
      </c>
      <c r="J766" t="s">
        <v>71</v>
      </c>
      <c r="K766" t="s">
        <v>72</v>
      </c>
      <c r="L766" t="s">
        <v>73</v>
      </c>
      <c r="M766" t="s">
        <v>74</v>
      </c>
      <c r="N766" t="s">
        <v>1856</v>
      </c>
      <c r="O766" t="s">
        <v>49</v>
      </c>
      <c r="P766">
        <v>1</v>
      </c>
      <c r="Q766">
        <v>4253.84</v>
      </c>
      <c r="R766">
        <v>0.15</v>
      </c>
      <c r="S766" t="str">
        <f t="shared" si="11"/>
        <v>OK</v>
      </c>
      <c r="T766">
        <v>3615.76</v>
      </c>
      <c r="U766">
        <v>2951.52</v>
      </c>
      <c r="V766">
        <v>664.24</v>
      </c>
      <c r="W766" t="s">
        <v>101</v>
      </c>
      <c r="X766" t="s">
        <v>67</v>
      </c>
    </row>
    <row r="767" spans="1:24">
      <c r="A767" t="s">
        <v>1857</v>
      </c>
      <c r="B767" s="2">
        <v>45727</v>
      </c>
      <c r="C767" s="2">
        <v>45731</v>
      </c>
      <c r="D767" s="5">
        <f>C767-B767</f>
        <v>4</v>
      </c>
      <c r="E767" s="5" t="str">
        <f>IF(D767&lt;0,"INVALID","OK")</f>
        <v>OK</v>
      </c>
      <c r="F767" t="s">
        <v>1858</v>
      </c>
      <c r="G767" t="s">
        <v>127</v>
      </c>
      <c r="H767" t="s">
        <v>94</v>
      </c>
      <c r="I767" t="s">
        <v>53</v>
      </c>
      <c r="J767" t="s">
        <v>174</v>
      </c>
      <c r="K767" t="s">
        <v>175</v>
      </c>
      <c r="L767" t="s">
        <v>73</v>
      </c>
      <c r="M767" t="s">
        <v>74</v>
      </c>
      <c r="N767" t="s">
        <v>1859</v>
      </c>
      <c r="O767" t="s">
        <v>30</v>
      </c>
      <c r="P767">
        <v>8</v>
      </c>
      <c r="Q767">
        <v>4446.3599999999997</v>
      </c>
      <c r="R767">
        <v>0.1</v>
      </c>
      <c r="S767" t="str">
        <f t="shared" si="11"/>
        <v>OK</v>
      </c>
      <c r="T767">
        <v>32013.79</v>
      </c>
      <c r="U767">
        <v>20896.88</v>
      </c>
      <c r="V767">
        <v>11116.91</v>
      </c>
      <c r="W767" t="s">
        <v>101</v>
      </c>
      <c r="X767" t="s">
        <v>67</v>
      </c>
    </row>
    <row r="768" spans="1:24">
      <c r="A768" t="s">
        <v>1872</v>
      </c>
      <c r="B768" s="2">
        <v>45927</v>
      </c>
      <c r="C768" s="2">
        <v>45929</v>
      </c>
      <c r="D768" s="5">
        <f>C768-B768</f>
        <v>2</v>
      </c>
      <c r="E768" s="5" t="str">
        <f>IF(D768&lt;0,"INVALID","OK")</f>
        <v>OK</v>
      </c>
      <c r="F768" t="s">
        <v>1664</v>
      </c>
      <c r="G768" t="s">
        <v>52</v>
      </c>
      <c r="H768" t="s">
        <v>94</v>
      </c>
      <c r="I768" t="s">
        <v>24</v>
      </c>
      <c r="J768" t="s">
        <v>135</v>
      </c>
      <c r="K768" t="s">
        <v>136</v>
      </c>
      <c r="L768" t="s">
        <v>40</v>
      </c>
      <c r="M768" t="s">
        <v>41</v>
      </c>
      <c r="N768" t="s">
        <v>1873</v>
      </c>
      <c r="O768" t="s">
        <v>30</v>
      </c>
      <c r="P768">
        <v>9</v>
      </c>
      <c r="Q768">
        <v>4100.1099999999997</v>
      </c>
      <c r="R768">
        <v>0.25</v>
      </c>
      <c r="S768" t="str">
        <f t="shared" si="11"/>
        <v>OK</v>
      </c>
      <c r="T768">
        <v>27675.74</v>
      </c>
      <c r="U768">
        <v>15571.08</v>
      </c>
      <c r="V768">
        <v>12104.66</v>
      </c>
      <c r="W768" t="s">
        <v>31</v>
      </c>
      <c r="X768" t="s">
        <v>32</v>
      </c>
    </row>
    <row r="769" spans="1:24">
      <c r="A769" t="s">
        <v>1877</v>
      </c>
      <c r="B769" s="2">
        <v>45699</v>
      </c>
      <c r="C769" s="2">
        <v>45704</v>
      </c>
      <c r="D769" s="5">
        <f>C769-B769</f>
        <v>5</v>
      </c>
      <c r="E769" s="5" t="str">
        <f>IF(D769&lt;0,"INVALID","OK")</f>
        <v>OK</v>
      </c>
      <c r="F769" t="s">
        <v>1878</v>
      </c>
      <c r="G769" t="s">
        <v>35</v>
      </c>
      <c r="H769" t="s">
        <v>89</v>
      </c>
      <c r="I769" t="s">
        <v>24</v>
      </c>
      <c r="J769" t="s">
        <v>135</v>
      </c>
      <c r="K769" t="s">
        <v>136</v>
      </c>
      <c r="L769" t="s">
        <v>73</v>
      </c>
      <c r="M769" t="s">
        <v>170</v>
      </c>
      <c r="N769" t="s">
        <v>1879</v>
      </c>
      <c r="O769" t="s">
        <v>49</v>
      </c>
      <c r="P769">
        <v>8</v>
      </c>
      <c r="Q769">
        <v>1825.56</v>
      </c>
      <c r="R769">
        <v>0.1</v>
      </c>
      <c r="S769" t="str">
        <f t="shared" si="11"/>
        <v>OK</v>
      </c>
      <c r="T769">
        <v>13144.03</v>
      </c>
      <c r="U769">
        <v>9764</v>
      </c>
      <c r="V769">
        <v>3380.03</v>
      </c>
      <c r="W769" t="s">
        <v>31</v>
      </c>
      <c r="X769" t="s">
        <v>32</v>
      </c>
    </row>
    <row r="770" spans="1:24">
      <c r="A770" t="s">
        <v>1883</v>
      </c>
      <c r="B770" s="2">
        <v>45846</v>
      </c>
      <c r="C770" s="2">
        <v>45846</v>
      </c>
      <c r="D770" s="5">
        <f>C770-B770</f>
        <v>0</v>
      </c>
      <c r="E770" s="5" t="str">
        <f>IF(D770&lt;0,"INVALID","OK")</f>
        <v>OK</v>
      </c>
      <c r="F770" t="s">
        <v>1884</v>
      </c>
      <c r="G770" t="s">
        <v>88</v>
      </c>
      <c r="H770" t="s">
        <v>23</v>
      </c>
      <c r="I770" t="s">
        <v>53</v>
      </c>
      <c r="J770" t="s">
        <v>54</v>
      </c>
      <c r="K770" t="s">
        <v>55</v>
      </c>
      <c r="L770" t="s">
        <v>73</v>
      </c>
      <c r="M770" t="s">
        <v>79</v>
      </c>
      <c r="N770" t="s">
        <v>1885</v>
      </c>
      <c r="O770" t="s">
        <v>43</v>
      </c>
      <c r="P770">
        <v>9</v>
      </c>
      <c r="Q770">
        <v>274.88</v>
      </c>
      <c r="R770">
        <v>0.25</v>
      </c>
      <c r="S770" t="str">
        <f t="shared" si="11"/>
        <v>OK</v>
      </c>
      <c r="T770">
        <v>1855.44</v>
      </c>
      <c r="U770">
        <v>1262.74</v>
      </c>
      <c r="V770">
        <v>592.70000000000005</v>
      </c>
      <c r="W770" t="s">
        <v>31</v>
      </c>
      <c r="X770" t="s">
        <v>32</v>
      </c>
    </row>
    <row r="771" spans="1:24">
      <c r="A771" t="s">
        <v>1892</v>
      </c>
      <c r="B771" s="2">
        <v>45780</v>
      </c>
      <c r="C771" s="2">
        <v>45728</v>
      </c>
      <c r="D771" s="5">
        <f>C771-B771</f>
        <v>-52</v>
      </c>
      <c r="E771" s="5" t="str">
        <f>IF(D771&lt;0,"INVALID","OK")</f>
        <v>INVALID</v>
      </c>
      <c r="F771" t="s">
        <v>1893</v>
      </c>
      <c r="G771" t="s">
        <v>61</v>
      </c>
      <c r="H771" t="s">
        <v>89</v>
      </c>
      <c r="I771" t="s">
        <v>62</v>
      </c>
      <c r="J771" t="s">
        <v>71</v>
      </c>
      <c r="K771" t="s">
        <v>72</v>
      </c>
      <c r="L771" t="s">
        <v>27</v>
      </c>
      <c r="M771" t="s">
        <v>123</v>
      </c>
      <c r="N771" t="s">
        <v>1894</v>
      </c>
      <c r="O771" t="s">
        <v>43</v>
      </c>
      <c r="P771">
        <v>3</v>
      </c>
      <c r="Q771">
        <v>3682.75</v>
      </c>
      <c r="R771">
        <v>0</v>
      </c>
      <c r="S771" t="str">
        <f t="shared" ref="S771:S834" si="12">IF(R771&lt;0,"INVALID",IF(R771&gt;0.5,"INVALID","OK"))</f>
        <v>OK</v>
      </c>
      <c r="T771">
        <v>11048.25</v>
      </c>
      <c r="U771">
        <v>9062.7199999999993</v>
      </c>
      <c r="V771">
        <v>1985.53</v>
      </c>
      <c r="W771" t="s">
        <v>31</v>
      </c>
      <c r="X771" t="s">
        <v>32</v>
      </c>
    </row>
    <row r="772" spans="1:24">
      <c r="A772" t="s">
        <v>1901</v>
      </c>
      <c r="B772" s="2">
        <v>45660</v>
      </c>
      <c r="C772" s="2">
        <v>45962</v>
      </c>
      <c r="D772" s="5">
        <f>C772-B772</f>
        <v>302</v>
      </c>
      <c r="E772" s="5" t="str">
        <f>IF(D772&lt;0,"INVALID","OK")</f>
        <v>OK</v>
      </c>
      <c r="F772" t="s">
        <v>333</v>
      </c>
      <c r="G772" t="s">
        <v>70</v>
      </c>
      <c r="H772" t="s">
        <v>89</v>
      </c>
      <c r="I772" t="s">
        <v>37</v>
      </c>
      <c r="J772" t="s">
        <v>144</v>
      </c>
      <c r="K772" t="s">
        <v>145</v>
      </c>
      <c r="L772" t="s">
        <v>73</v>
      </c>
      <c r="M772" t="s">
        <v>74</v>
      </c>
      <c r="N772" t="s">
        <v>1902</v>
      </c>
      <c r="O772" t="s">
        <v>49</v>
      </c>
      <c r="P772">
        <v>8</v>
      </c>
      <c r="Q772">
        <v>2574.29</v>
      </c>
      <c r="R772">
        <v>0.05</v>
      </c>
      <c r="S772" t="str">
        <f t="shared" si="12"/>
        <v>OK</v>
      </c>
      <c r="T772">
        <v>19564.599999999999</v>
      </c>
      <c r="U772">
        <v>11154.59</v>
      </c>
      <c r="V772">
        <v>8410.01</v>
      </c>
      <c r="W772" t="s">
        <v>110</v>
      </c>
      <c r="X772" t="s">
        <v>67</v>
      </c>
    </row>
    <row r="773" spans="1:24">
      <c r="A773" t="s">
        <v>1903</v>
      </c>
      <c r="B773" s="2">
        <v>45779</v>
      </c>
      <c r="C773" s="2">
        <v>45694</v>
      </c>
      <c r="D773" s="5">
        <f>C773-B773</f>
        <v>-85</v>
      </c>
      <c r="E773" s="5" t="str">
        <f>IF(D773&lt;0,"INVALID","OK")</f>
        <v>INVALID</v>
      </c>
      <c r="F773" t="s">
        <v>1904</v>
      </c>
      <c r="G773" t="s">
        <v>61</v>
      </c>
      <c r="H773" t="s">
        <v>23</v>
      </c>
      <c r="I773" t="s">
        <v>62</v>
      </c>
      <c r="J773" t="s">
        <v>71</v>
      </c>
      <c r="K773" t="s">
        <v>72</v>
      </c>
      <c r="L773" t="s">
        <v>27</v>
      </c>
      <c r="M773" t="s">
        <v>152</v>
      </c>
      <c r="N773" t="s">
        <v>1905</v>
      </c>
      <c r="O773" t="s">
        <v>43</v>
      </c>
      <c r="P773">
        <v>3</v>
      </c>
      <c r="Q773">
        <v>1076.3</v>
      </c>
      <c r="R773">
        <v>0</v>
      </c>
      <c r="S773" t="str">
        <f t="shared" si="12"/>
        <v>OK</v>
      </c>
      <c r="T773">
        <v>3228.9</v>
      </c>
      <c r="U773">
        <v>1853.23</v>
      </c>
      <c r="V773">
        <v>1375.67</v>
      </c>
      <c r="W773" t="s">
        <v>31</v>
      </c>
      <c r="X773" t="s">
        <v>32</v>
      </c>
    </row>
    <row r="774" spans="1:24">
      <c r="A774" t="s">
        <v>1906</v>
      </c>
      <c r="B774" s="2">
        <v>45847</v>
      </c>
      <c r="C774" s="2">
        <v>45851</v>
      </c>
      <c r="D774" s="5">
        <f>C774-B774</f>
        <v>4</v>
      </c>
      <c r="E774" s="5" t="str">
        <f>IF(D774&lt;0,"INVALID","OK")</f>
        <v>OK</v>
      </c>
      <c r="F774" t="s">
        <v>1907</v>
      </c>
      <c r="G774" t="s">
        <v>263</v>
      </c>
      <c r="H774" t="s">
        <v>89</v>
      </c>
      <c r="I774" t="s">
        <v>62</v>
      </c>
      <c r="J774" t="s">
        <v>189</v>
      </c>
      <c r="K774" t="s">
        <v>190</v>
      </c>
      <c r="L774" t="s">
        <v>40</v>
      </c>
      <c r="M774" t="s">
        <v>56</v>
      </c>
      <c r="N774" t="s">
        <v>1908</v>
      </c>
      <c r="O774" t="s">
        <v>30</v>
      </c>
      <c r="P774">
        <v>5</v>
      </c>
      <c r="Q774">
        <v>1680.01</v>
      </c>
      <c r="R774" t="s">
        <v>766</v>
      </c>
      <c r="S774" t="str">
        <f t="shared" si="12"/>
        <v>INVALID</v>
      </c>
      <c r="T774">
        <v>7560.04</v>
      </c>
      <c r="U774">
        <v>6448.05</v>
      </c>
      <c r="V774">
        <v>1111.99</v>
      </c>
      <c r="W774" t="s">
        <v>31</v>
      </c>
      <c r="X774" t="s">
        <v>67</v>
      </c>
    </row>
    <row r="775" spans="1:24">
      <c r="A775" t="s">
        <v>1909</v>
      </c>
      <c r="B775" s="2">
        <v>45710</v>
      </c>
      <c r="C775" s="2">
        <v>45716</v>
      </c>
      <c r="D775" s="5">
        <f>C775-B775</f>
        <v>6</v>
      </c>
      <c r="E775" s="5" t="str">
        <f>IF(D775&lt;0,"INVALID","OK")</f>
        <v>OK</v>
      </c>
      <c r="F775" t="s">
        <v>1910</v>
      </c>
      <c r="G775" t="s">
        <v>117</v>
      </c>
      <c r="H775" t="s">
        <v>94</v>
      </c>
      <c r="I775" t="s">
        <v>62</v>
      </c>
      <c r="J775" t="s">
        <v>71</v>
      </c>
      <c r="K775" t="s">
        <v>72</v>
      </c>
      <c r="L775" t="s">
        <v>73</v>
      </c>
      <c r="M775" t="s">
        <v>79</v>
      </c>
      <c r="N775" t="s">
        <v>1911</v>
      </c>
      <c r="O775" t="s">
        <v>43</v>
      </c>
      <c r="P775">
        <v>3</v>
      </c>
      <c r="Q775">
        <v>3890.81</v>
      </c>
      <c r="R775">
        <v>0.25</v>
      </c>
      <c r="S775" t="str">
        <f t="shared" si="12"/>
        <v>OK</v>
      </c>
      <c r="T775">
        <v>8754.32</v>
      </c>
      <c r="U775">
        <v>6238.9</v>
      </c>
      <c r="V775">
        <v>2515.42</v>
      </c>
      <c r="W775" t="s">
        <v>31</v>
      </c>
      <c r="X775" t="s">
        <v>32</v>
      </c>
    </row>
    <row r="776" spans="1:24">
      <c r="A776" t="s">
        <v>1912</v>
      </c>
      <c r="B776" s="2">
        <v>45704</v>
      </c>
      <c r="C776" s="2">
        <v>45710</v>
      </c>
      <c r="D776" s="5">
        <f>C776-B776</f>
        <v>6</v>
      </c>
      <c r="E776" s="5" t="str">
        <f>IF(D776&lt;0,"INVALID","OK")</f>
        <v>OK</v>
      </c>
      <c r="F776" t="s">
        <v>1913</v>
      </c>
      <c r="G776" t="s">
        <v>131</v>
      </c>
      <c r="H776" t="s">
        <v>94</v>
      </c>
      <c r="I776" t="s">
        <v>37</v>
      </c>
      <c r="J776" t="s">
        <v>144</v>
      </c>
      <c r="K776" t="s">
        <v>145</v>
      </c>
      <c r="L776" t="s">
        <v>27</v>
      </c>
      <c r="M776" t="s">
        <v>123</v>
      </c>
      <c r="N776" t="s">
        <v>1914</v>
      </c>
      <c r="O776" t="s">
        <v>43</v>
      </c>
      <c r="P776">
        <v>5</v>
      </c>
      <c r="Q776">
        <v>954.67</v>
      </c>
      <c r="R776">
        <v>0.15</v>
      </c>
      <c r="S776" t="str">
        <f t="shared" si="12"/>
        <v>OK</v>
      </c>
      <c r="T776">
        <v>4057.35</v>
      </c>
      <c r="U776">
        <v>2862.03</v>
      </c>
      <c r="V776">
        <v>1195.32</v>
      </c>
      <c r="W776" t="s">
        <v>31</v>
      </c>
      <c r="X776" t="s">
        <v>32</v>
      </c>
    </row>
    <row r="777" spans="1:24">
      <c r="A777" t="s">
        <v>1917</v>
      </c>
      <c r="B777" s="2">
        <v>45665</v>
      </c>
      <c r="C777" s="2">
        <v>45992</v>
      </c>
      <c r="D777" s="5">
        <f>C777-B777</f>
        <v>327</v>
      </c>
      <c r="E777" s="5" t="str">
        <f>IF(D777&lt;0,"INVALID","OK")</f>
        <v>OK</v>
      </c>
      <c r="F777" t="s">
        <v>1918</v>
      </c>
      <c r="G777" t="s">
        <v>131</v>
      </c>
      <c r="H777" t="s">
        <v>94</v>
      </c>
      <c r="I777" t="s">
        <v>53</v>
      </c>
      <c r="J777" t="s">
        <v>174</v>
      </c>
      <c r="K777" t="s">
        <v>175</v>
      </c>
      <c r="L777" t="s">
        <v>40</v>
      </c>
      <c r="M777" t="s">
        <v>65</v>
      </c>
      <c r="N777" t="s">
        <v>1919</v>
      </c>
      <c r="O777" t="s">
        <v>58</v>
      </c>
      <c r="P777">
        <v>7</v>
      </c>
      <c r="Q777">
        <v>4337.4799999999996</v>
      </c>
      <c r="R777">
        <v>0</v>
      </c>
      <c r="S777" t="str">
        <f t="shared" si="12"/>
        <v>OK</v>
      </c>
      <c r="T777">
        <v>30362.36</v>
      </c>
      <c r="U777">
        <v>25065.4</v>
      </c>
      <c r="V777">
        <v>5296.96</v>
      </c>
      <c r="W777" t="s">
        <v>31</v>
      </c>
      <c r="X777" t="s">
        <v>32</v>
      </c>
    </row>
    <row r="778" spans="1:24">
      <c r="A778" t="s">
        <v>1922</v>
      </c>
      <c r="B778" s="2">
        <v>45876</v>
      </c>
      <c r="C778" s="2">
        <v>45853</v>
      </c>
      <c r="D778" s="5">
        <f>C778-B778</f>
        <v>-23</v>
      </c>
      <c r="E778" s="5" t="str">
        <f>IF(D778&lt;0,"INVALID","OK")</f>
        <v>INVALID</v>
      </c>
      <c r="F778" t="s">
        <v>1923</v>
      </c>
      <c r="G778" t="s">
        <v>61</v>
      </c>
      <c r="H778" t="s">
        <v>36</v>
      </c>
      <c r="I778" t="s">
        <v>24</v>
      </c>
      <c r="J778" t="s">
        <v>25</v>
      </c>
      <c r="K778" t="s">
        <v>26</v>
      </c>
      <c r="L778" t="s">
        <v>27</v>
      </c>
      <c r="M778" t="s">
        <v>152</v>
      </c>
      <c r="N778" t="s">
        <v>1924</v>
      </c>
      <c r="O778" t="s">
        <v>43</v>
      </c>
      <c r="P778">
        <v>8</v>
      </c>
      <c r="Q778">
        <v>655.28</v>
      </c>
      <c r="R778">
        <v>0.1</v>
      </c>
      <c r="S778" t="str">
        <f t="shared" si="12"/>
        <v>OK</v>
      </c>
      <c r="T778">
        <v>4718.0200000000004</v>
      </c>
      <c r="U778">
        <v>3908.23</v>
      </c>
      <c r="V778">
        <v>809.79</v>
      </c>
      <c r="W778" t="s">
        <v>31</v>
      </c>
      <c r="X778" t="s">
        <v>32</v>
      </c>
    </row>
    <row r="779" spans="1:24">
      <c r="A779" t="s">
        <v>1925</v>
      </c>
      <c r="B779" s="2">
        <v>45753</v>
      </c>
      <c r="C779" s="2">
        <v>45760</v>
      </c>
      <c r="D779" s="5">
        <f>C779-B779</f>
        <v>7</v>
      </c>
      <c r="E779" s="5" t="str">
        <f>IF(D779&lt;0,"INVALID","OK")</f>
        <v>OK</v>
      </c>
      <c r="F779" t="s">
        <v>1926</v>
      </c>
      <c r="G779" t="s">
        <v>88</v>
      </c>
      <c r="H779" t="s">
        <v>23</v>
      </c>
      <c r="I779" t="s">
        <v>2762</v>
      </c>
      <c r="J779" t="s">
        <v>38</v>
      </c>
      <c r="K779" t="s">
        <v>39</v>
      </c>
      <c r="L779" t="s">
        <v>73</v>
      </c>
      <c r="M779" t="s">
        <v>170</v>
      </c>
      <c r="N779" t="s">
        <v>1927</v>
      </c>
      <c r="O779" t="s">
        <v>58</v>
      </c>
      <c r="P779">
        <v>1</v>
      </c>
      <c r="Q779">
        <v>3844.01</v>
      </c>
      <c r="R779">
        <v>0</v>
      </c>
      <c r="S779" t="str">
        <f t="shared" si="12"/>
        <v>OK</v>
      </c>
      <c r="T779">
        <v>3844.01</v>
      </c>
      <c r="U779">
        <v>2195.79</v>
      </c>
      <c r="V779">
        <v>1648.22</v>
      </c>
      <c r="W779" t="s">
        <v>31</v>
      </c>
      <c r="X779" t="s">
        <v>32</v>
      </c>
    </row>
    <row r="780" spans="1:24">
      <c r="A780" t="s">
        <v>1955</v>
      </c>
      <c r="B780" s="2">
        <v>45686</v>
      </c>
      <c r="C780" s="2">
        <v>45694</v>
      </c>
      <c r="D780" s="5">
        <f>C780-B780</f>
        <v>8</v>
      </c>
      <c r="E780" s="5" t="str">
        <f>IF(D780&lt;0,"INVALID","OK")</f>
        <v>OK</v>
      </c>
      <c r="F780" t="s">
        <v>1956</v>
      </c>
      <c r="G780" t="s">
        <v>70</v>
      </c>
      <c r="H780" t="s">
        <v>23</v>
      </c>
      <c r="I780" t="s">
        <v>37</v>
      </c>
      <c r="J780" t="s">
        <v>144</v>
      </c>
      <c r="K780" t="s">
        <v>145</v>
      </c>
      <c r="L780" t="s">
        <v>27</v>
      </c>
      <c r="M780" t="s">
        <v>123</v>
      </c>
      <c r="N780" t="s">
        <v>1957</v>
      </c>
      <c r="O780" t="s">
        <v>58</v>
      </c>
      <c r="P780">
        <v>4</v>
      </c>
      <c r="Q780">
        <v>2759.01</v>
      </c>
      <c r="R780">
        <v>0.05</v>
      </c>
      <c r="S780" t="str">
        <f t="shared" si="12"/>
        <v>OK</v>
      </c>
      <c r="T780">
        <v>10484.24</v>
      </c>
      <c r="U780">
        <v>6680.15</v>
      </c>
      <c r="V780">
        <v>3804.09</v>
      </c>
      <c r="W780" t="s">
        <v>31</v>
      </c>
      <c r="X780" t="s">
        <v>32</v>
      </c>
    </row>
    <row r="781" spans="1:24">
      <c r="A781" t="s">
        <v>1967</v>
      </c>
      <c r="B781" s="2">
        <v>45753</v>
      </c>
      <c r="C781" s="2">
        <v>45815</v>
      </c>
      <c r="D781" s="5">
        <f>C781-B781</f>
        <v>62</v>
      </c>
      <c r="E781" s="5" t="str">
        <f>IF(D781&lt;0,"INVALID","OK")</f>
        <v>OK</v>
      </c>
      <c r="F781" t="s">
        <v>1968</v>
      </c>
      <c r="G781" t="s">
        <v>131</v>
      </c>
      <c r="H781" t="s">
        <v>94</v>
      </c>
      <c r="I781" t="s">
        <v>37</v>
      </c>
      <c r="J781" t="s">
        <v>165</v>
      </c>
      <c r="K781" t="s">
        <v>166</v>
      </c>
      <c r="L781" t="s">
        <v>73</v>
      </c>
      <c r="M781" t="s">
        <v>273</v>
      </c>
      <c r="N781" t="s">
        <v>1969</v>
      </c>
      <c r="O781" t="s">
        <v>58</v>
      </c>
      <c r="P781">
        <v>8</v>
      </c>
      <c r="Q781">
        <v>1434.13</v>
      </c>
      <c r="R781">
        <v>0</v>
      </c>
      <c r="S781" t="str">
        <f t="shared" si="12"/>
        <v>OK</v>
      </c>
      <c r="T781">
        <v>11473.04</v>
      </c>
      <c r="U781">
        <v>8931.33</v>
      </c>
      <c r="V781">
        <v>2541.71</v>
      </c>
      <c r="W781" t="s">
        <v>110</v>
      </c>
      <c r="X781" t="s">
        <v>102</v>
      </c>
    </row>
    <row r="782" spans="1:24">
      <c r="A782" t="s">
        <v>1970</v>
      </c>
      <c r="B782" s="2">
        <v>45701</v>
      </c>
      <c r="C782" s="2">
        <v>45709</v>
      </c>
      <c r="D782" s="5">
        <f>C782-B782</f>
        <v>8</v>
      </c>
      <c r="E782" s="5" t="str">
        <f>IF(D782&lt;0,"INVALID","OK")</f>
        <v>OK</v>
      </c>
      <c r="F782" t="s">
        <v>1971</v>
      </c>
      <c r="G782" t="s">
        <v>22</v>
      </c>
      <c r="H782" t="s">
        <v>36</v>
      </c>
      <c r="I782" t="s">
        <v>53</v>
      </c>
      <c r="J782" t="s">
        <v>184</v>
      </c>
      <c r="K782" t="s">
        <v>185</v>
      </c>
      <c r="L782" t="s">
        <v>73</v>
      </c>
      <c r="M782" t="s">
        <v>170</v>
      </c>
      <c r="N782" t="s">
        <v>1972</v>
      </c>
      <c r="O782" t="s">
        <v>30</v>
      </c>
      <c r="P782">
        <v>2</v>
      </c>
      <c r="Q782">
        <v>2360.02</v>
      </c>
      <c r="R782">
        <v>0.15</v>
      </c>
      <c r="S782" t="str">
        <f t="shared" si="12"/>
        <v>OK</v>
      </c>
      <c r="T782">
        <v>4012.03</v>
      </c>
      <c r="U782">
        <v>3142.92</v>
      </c>
      <c r="V782">
        <v>869.11</v>
      </c>
      <c r="W782" t="s">
        <v>110</v>
      </c>
      <c r="X782" t="s">
        <v>67</v>
      </c>
    </row>
    <row r="783" spans="1:24">
      <c r="A783" t="s">
        <v>1973</v>
      </c>
      <c r="B783" s="2">
        <v>45935</v>
      </c>
      <c r="C783" s="2">
        <v>45942</v>
      </c>
      <c r="D783" s="5">
        <f>C783-B783</f>
        <v>7</v>
      </c>
      <c r="E783" s="5" t="str">
        <f>IF(D783&lt;0,"INVALID","OK")</f>
        <v>OK</v>
      </c>
      <c r="F783" t="s">
        <v>1974</v>
      </c>
      <c r="G783" t="s">
        <v>61</v>
      </c>
      <c r="H783" t="s">
        <v>94</v>
      </c>
      <c r="I783" t="s">
        <v>37</v>
      </c>
      <c r="J783" t="s">
        <v>227</v>
      </c>
      <c r="K783" t="s">
        <v>228</v>
      </c>
      <c r="L783" t="s">
        <v>73</v>
      </c>
      <c r="M783" t="s">
        <v>74</v>
      </c>
      <c r="N783" t="s">
        <v>1975</v>
      </c>
      <c r="O783" t="s">
        <v>43</v>
      </c>
      <c r="P783">
        <v>7</v>
      </c>
      <c r="Q783">
        <v>806.67</v>
      </c>
      <c r="R783">
        <v>0.05</v>
      </c>
      <c r="S783" t="str">
        <f t="shared" si="12"/>
        <v>OK</v>
      </c>
      <c r="T783">
        <v>5364.36</v>
      </c>
      <c r="U783">
        <v>4391.29</v>
      </c>
      <c r="V783">
        <v>973.07</v>
      </c>
      <c r="W783" t="s">
        <v>31</v>
      </c>
      <c r="X783" t="s">
        <v>32</v>
      </c>
    </row>
    <row r="784" spans="1:24">
      <c r="A784" t="s">
        <v>1976</v>
      </c>
      <c r="B784" s="2">
        <v>45910</v>
      </c>
      <c r="C784" s="2">
        <v>45914</v>
      </c>
      <c r="D784" s="5">
        <f>C784-B784</f>
        <v>4</v>
      </c>
      <c r="E784" s="5" t="str">
        <f>IF(D784&lt;0,"INVALID","OK")</f>
        <v>OK</v>
      </c>
      <c r="F784" t="s">
        <v>1977</v>
      </c>
      <c r="G784" t="s">
        <v>52</v>
      </c>
      <c r="H784" t="s">
        <v>94</v>
      </c>
      <c r="I784" t="s">
        <v>62</v>
      </c>
      <c r="J784" t="s">
        <v>179</v>
      </c>
      <c r="K784" t="s">
        <v>180</v>
      </c>
      <c r="L784" t="s">
        <v>40</v>
      </c>
      <c r="M784" t="s">
        <v>41</v>
      </c>
      <c r="N784" t="s">
        <v>1978</v>
      </c>
      <c r="O784" t="s">
        <v>43</v>
      </c>
      <c r="P784">
        <v>3</v>
      </c>
      <c r="Q784">
        <v>4198.46</v>
      </c>
      <c r="R784">
        <v>0.15</v>
      </c>
      <c r="S784" t="str">
        <f t="shared" si="12"/>
        <v>OK</v>
      </c>
      <c r="T784">
        <v>10706.07</v>
      </c>
      <c r="U784">
        <v>5927.1</v>
      </c>
      <c r="V784">
        <v>4778.97</v>
      </c>
      <c r="W784" t="s">
        <v>31</v>
      </c>
      <c r="X784" t="s">
        <v>32</v>
      </c>
    </row>
    <row r="785" spans="1:24">
      <c r="A785" t="s">
        <v>1985</v>
      </c>
      <c r="B785" s="2">
        <v>45762</v>
      </c>
      <c r="C785" s="2">
        <v>45763</v>
      </c>
      <c r="D785" s="5">
        <f>C785-B785</f>
        <v>1</v>
      </c>
      <c r="E785" s="5" t="str">
        <f>IF(D785&lt;0,"INVALID","OK")</f>
        <v>OK</v>
      </c>
      <c r="F785" t="s">
        <v>1986</v>
      </c>
      <c r="G785" t="s">
        <v>131</v>
      </c>
      <c r="H785" t="s">
        <v>36</v>
      </c>
      <c r="I785" t="s">
        <v>53</v>
      </c>
      <c r="J785" t="s">
        <v>174</v>
      </c>
      <c r="K785" t="s">
        <v>175</v>
      </c>
      <c r="L785" t="s">
        <v>40</v>
      </c>
      <c r="M785" t="s">
        <v>56</v>
      </c>
      <c r="N785" t="s">
        <v>1987</v>
      </c>
      <c r="O785" t="s">
        <v>49</v>
      </c>
      <c r="P785">
        <v>5</v>
      </c>
      <c r="Q785">
        <v>2850.53</v>
      </c>
      <c r="R785">
        <v>0</v>
      </c>
      <c r="S785" t="str">
        <f t="shared" si="12"/>
        <v>OK</v>
      </c>
      <c r="T785">
        <v>14252.65</v>
      </c>
      <c r="U785">
        <v>11558.31</v>
      </c>
      <c r="V785">
        <v>2694.34</v>
      </c>
      <c r="W785" t="s">
        <v>31</v>
      </c>
      <c r="X785" t="s">
        <v>32</v>
      </c>
    </row>
    <row r="786" spans="1:24">
      <c r="A786" t="s">
        <v>1988</v>
      </c>
      <c r="B786" s="2">
        <v>45765</v>
      </c>
      <c r="C786" s="2">
        <v>45767</v>
      </c>
      <c r="D786" s="5">
        <f>C786-B786</f>
        <v>2</v>
      </c>
      <c r="E786" s="5" t="str">
        <f>IF(D786&lt;0,"INVALID","OK")</f>
        <v>OK</v>
      </c>
      <c r="F786" t="s">
        <v>1989</v>
      </c>
      <c r="G786" t="s">
        <v>127</v>
      </c>
      <c r="H786" t="s">
        <v>36</v>
      </c>
      <c r="I786" t="s">
        <v>53</v>
      </c>
      <c r="J786" t="s">
        <v>246</v>
      </c>
      <c r="K786" t="s">
        <v>247</v>
      </c>
      <c r="L786" t="s">
        <v>73</v>
      </c>
      <c r="M786" t="s">
        <v>74</v>
      </c>
      <c r="N786" t="s">
        <v>1990</v>
      </c>
      <c r="O786" t="s">
        <v>30</v>
      </c>
      <c r="P786">
        <v>1</v>
      </c>
      <c r="Q786">
        <v>1626.08</v>
      </c>
      <c r="R786">
        <v>0.15</v>
      </c>
      <c r="S786" t="str">
        <f t="shared" si="12"/>
        <v>OK</v>
      </c>
      <c r="T786">
        <v>1382.17</v>
      </c>
      <c r="U786">
        <v>810.03</v>
      </c>
      <c r="V786">
        <v>572.14</v>
      </c>
      <c r="W786" t="s">
        <v>31</v>
      </c>
      <c r="X786" t="s">
        <v>32</v>
      </c>
    </row>
    <row r="787" spans="1:24">
      <c r="A787" t="s">
        <v>1991</v>
      </c>
      <c r="B787" s="2">
        <v>45668</v>
      </c>
      <c r="C787" s="2">
        <v>45669</v>
      </c>
      <c r="D787" s="5">
        <f>C787-B787</f>
        <v>1</v>
      </c>
      <c r="E787" s="5" t="str">
        <f>IF(D787&lt;0,"INVALID","OK")</f>
        <v>OK</v>
      </c>
      <c r="F787" t="s">
        <v>1992</v>
      </c>
      <c r="G787" t="s">
        <v>88</v>
      </c>
      <c r="H787" t="s">
        <v>23</v>
      </c>
      <c r="I787" t="s">
        <v>53</v>
      </c>
      <c r="J787" t="s">
        <v>54</v>
      </c>
      <c r="K787" t="s">
        <v>55</v>
      </c>
      <c r="L787" t="s">
        <v>40</v>
      </c>
      <c r="M787" t="s">
        <v>65</v>
      </c>
      <c r="N787" t="s">
        <v>1993</v>
      </c>
      <c r="O787" t="s">
        <v>30</v>
      </c>
      <c r="P787">
        <v>4</v>
      </c>
      <c r="Q787">
        <v>2427.15</v>
      </c>
      <c r="R787">
        <v>0.05</v>
      </c>
      <c r="S787" t="str">
        <f t="shared" si="12"/>
        <v>OK</v>
      </c>
      <c r="T787">
        <v>9223.17</v>
      </c>
      <c r="U787">
        <v>5103.7</v>
      </c>
      <c r="V787">
        <v>4119.47</v>
      </c>
      <c r="W787" t="s">
        <v>31</v>
      </c>
      <c r="X787" t="s">
        <v>32</v>
      </c>
    </row>
    <row r="788" spans="1:24">
      <c r="A788" t="s">
        <v>2009</v>
      </c>
      <c r="B788" s="2">
        <v>45671</v>
      </c>
      <c r="C788" s="2">
        <v>45674</v>
      </c>
      <c r="D788" s="5">
        <f>C788-B788</f>
        <v>3</v>
      </c>
      <c r="E788" s="5" t="str">
        <f>IF(D788&lt;0,"INVALID","OK")</f>
        <v>OK</v>
      </c>
      <c r="F788" t="s">
        <v>2010</v>
      </c>
      <c r="G788" t="s">
        <v>70</v>
      </c>
      <c r="H788" t="s">
        <v>23</v>
      </c>
      <c r="I788" t="s">
        <v>62</v>
      </c>
      <c r="J788" t="s">
        <v>189</v>
      </c>
      <c r="K788" t="s">
        <v>190</v>
      </c>
      <c r="L788" t="s">
        <v>27</v>
      </c>
      <c r="M788" t="s">
        <v>123</v>
      </c>
      <c r="N788" t="s">
        <v>2011</v>
      </c>
      <c r="O788" t="s">
        <v>49</v>
      </c>
      <c r="P788">
        <v>1</v>
      </c>
      <c r="Q788">
        <v>1584.12</v>
      </c>
      <c r="R788">
        <v>0.2</v>
      </c>
      <c r="S788" t="str">
        <f t="shared" si="12"/>
        <v>OK</v>
      </c>
      <c r="T788">
        <v>1267.3</v>
      </c>
      <c r="U788">
        <v>923.53</v>
      </c>
      <c r="V788">
        <v>343.77</v>
      </c>
      <c r="W788" t="s">
        <v>31</v>
      </c>
      <c r="X788" t="s">
        <v>32</v>
      </c>
    </row>
    <row r="789" spans="1:24">
      <c r="A789" t="s">
        <v>2012</v>
      </c>
      <c r="B789" s="2">
        <v>45756</v>
      </c>
      <c r="C789" s="2">
        <v>45761</v>
      </c>
      <c r="D789" s="5">
        <f>C789-B789</f>
        <v>5</v>
      </c>
      <c r="E789" s="5" t="str">
        <f>IF(D789&lt;0,"INVALID","OK")</f>
        <v>OK</v>
      </c>
      <c r="F789" t="s">
        <v>2013</v>
      </c>
      <c r="G789" t="s">
        <v>22</v>
      </c>
      <c r="H789" t="s">
        <v>23</v>
      </c>
      <c r="I789" t="s">
        <v>24</v>
      </c>
      <c r="J789" t="s">
        <v>349</v>
      </c>
      <c r="K789" t="s">
        <v>350</v>
      </c>
      <c r="L789" t="s">
        <v>40</v>
      </c>
      <c r="M789" t="s">
        <v>56</v>
      </c>
      <c r="N789" t="s">
        <v>2014</v>
      </c>
      <c r="O789" t="s">
        <v>43</v>
      </c>
      <c r="P789">
        <v>2</v>
      </c>
      <c r="Q789">
        <v>3202.87</v>
      </c>
      <c r="R789">
        <v>0</v>
      </c>
      <c r="S789" t="str">
        <f t="shared" si="12"/>
        <v>OK</v>
      </c>
      <c r="T789">
        <v>6405.74</v>
      </c>
      <c r="U789">
        <v>3561.87</v>
      </c>
      <c r="V789">
        <v>2843.87</v>
      </c>
      <c r="W789" t="s">
        <v>31</v>
      </c>
      <c r="X789" t="s">
        <v>32</v>
      </c>
    </row>
    <row r="790" spans="1:24">
      <c r="A790" t="s">
        <v>2020</v>
      </c>
      <c r="B790" s="2">
        <v>45757</v>
      </c>
      <c r="C790" s="2">
        <v>45764</v>
      </c>
      <c r="D790" s="5">
        <f>C790-B790</f>
        <v>7</v>
      </c>
      <c r="E790" s="5" t="str">
        <f>IF(D790&lt;0,"INVALID","OK")</f>
        <v>OK</v>
      </c>
      <c r="F790" t="s">
        <v>2021</v>
      </c>
      <c r="G790" t="s">
        <v>70</v>
      </c>
      <c r="H790" t="s">
        <v>23</v>
      </c>
      <c r="I790" t="s">
        <v>37</v>
      </c>
      <c r="J790" t="s">
        <v>98</v>
      </c>
      <c r="K790" t="s">
        <v>99</v>
      </c>
      <c r="L790" t="s">
        <v>40</v>
      </c>
      <c r="M790" t="s">
        <v>65</v>
      </c>
      <c r="N790" t="s">
        <v>2022</v>
      </c>
      <c r="O790" t="s">
        <v>58</v>
      </c>
      <c r="P790">
        <v>4</v>
      </c>
      <c r="Q790">
        <v>3750.02</v>
      </c>
      <c r="R790">
        <v>0.05</v>
      </c>
      <c r="S790" t="str">
        <f t="shared" si="12"/>
        <v>OK</v>
      </c>
      <c r="T790">
        <v>14250.08</v>
      </c>
      <c r="U790">
        <v>10914.92</v>
      </c>
      <c r="V790">
        <v>3335.16</v>
      </c>
      <c r="W790" t="s">
        <v>31</v>
      </c>
      <c r="X790" t="s">
        <v>32</v>
      </c>
    </row>
    <row r="791" spans="1:24">
      <c r="A791" t="s">
        <v>2029</v>
      </c>
      <c r="B791" s="2">
        <v>45658</v>
      </c>
      <c r="C791" s="2">
        <v>45901</v>
      </c>
      <c r="D791" s="5">
        <f>C791-B791</f>
        <v>243</v>
      </c>
      <c r="E791" s="5" t="str">
        <f>IF(D791&lt;0,"INVALID","OK")</f>
        <v>OK</v>
      </c>
      <c r="F791" t="s">
        <v>2030</v>
      </c>
      <c r="G791" t="s">
        <v>140</v>
      </c>
      <c r="H791" t="s">
        <v>36</v>
      </c>
      <c r="I791" t="s">
        <v>24</v>
      </c>
      <c r="J791" t="s">
        <v>121</v>
      </c>
      <c r="K791" t="s">
        <v>122</v>
      </c>
      <c r="L791" t="s">
        <v>27</v>
      </c>
      <c r="M791" t="s">
        <v>47</v>
      </c>
      <c r="N791" t="s">
        <v>2031</v>
      </c>
      <c r="O791" t="s">
        <v>49</v>
      </c>
      <c r="P791">
        <v>8</v>
      </c>
      <c r="Q791">
        <v>2123.81</v>
      </c>
      <c r="R791">
        <v>0.15</v>
      </c>
      <c r="S791" t="str">
        <f t="shared" si="12"/>
        <v>OK</v>
      </c>
      <c r="T791">
        <v>14441.91</v>
      </c>
      <c r="U791">
        <v>10872.89</v>
      </c>
      <c r="V791">
        <v>3569.02</v>
      </c>
      <c r="W791" t="s">
        <v>31</v>
      </c>
      <c r="X791" t="s">
        <v>32</v>
      </c>
    </row>
    <row r="792" spans="1:24">
      <c r="A792" t="s">
        <v>2035</v>
      </c>
      <c r="B792" s="2">
        <v>45880</v>
      </c>
      <c r="C792" s="2">
        <v>45888</v>
      </c>
      <c r="D792" s="5">
        <f>C792-B792</f>
        <v>8</v>
      </c>
      <c r="E792" s="5" t="str">
        <f>IF(D792&lt;0,"INVALID","OK")</f>
        <v>OK</v>
      </c>
      <c r="F792" t="s">
        <v>2036</v>
      </c>
      <c r="G792" t="s">
        <v>263</v>
      </c>
      <c r="H792" t="s">
        <v>36</v>
      </c>
      <c r="I792" t="s">
        <v>53</v>
      </c>
      <c r="J792" t="s">
        <v>184</v>
      </c>
      <c r="K792" t="s">
        <v>185</v>
      </c>
      <c r="L792" t="s">
        <v>73</v>
      </c>
      <c r="M792" t="s">
        <v>74</v>
      </c>
      <c r="N792" t="s">
        <v>2037</v>
      </c>
      <c r="O792" t="s">
        <v>58</v>
      </c>
      <c r="P792">
        <v>4</v>
      </c>
      <c r="Q792">
        <v>2258.96</v>
      </c>
      <c r="R792">
        <v>0.25</v>
      </c>
      <c r="S792" t="str">
        <f t="shared" si="12"/>
        <v>OK</v>
      </c>
      <c r="T792">
        <v>6776.88</v>
      </c>
      <c r="U792">
        <v>3836.24</v>
      </c>
      <c r="V792">
        <v>2940.64</v>
      </c>
      <c r="W792" t="s">
        <v>31</v>
      </c>
      <c r="X792" t="s">
        <v>32</v>
      </c>
    </row>
    <row r="793" spans="1:24">
      <c r="A793" t="s">
        <v>2040</v>
      </c>
      <c r="B793" s="2">
        <v>45875</v>
      </c>
      <c r="C793" s="2">
        <v>45908</v>
      </c>
      <c r="D793" s="5">
        <f>C793-B793</f>
        <v>33</v>
      </c>
      <c r="E793" s="5" t="str">
        <f>IF(D793&lt;0,"INVALID","OK")</f>
        <v>OK</v>
      </c>
      <c r="F793" t="s">
        <v>2041</v>
      </c>
      <c r="G793" t="s">
        <v>35</v>
      </c>
      <c r="H793" t="s">
        <v>36</v>
      </c>
      <c r="I793" t="s">
        <v>53</v>
      </c>
      <c r="J793" t="s">
        <v>83</v>
      </c>
      <c r="K793" t="s">
        <v>84</v>
      </c>
      <c r="L793" t="s">
        <v>27</v>
      </c>
      <c r="M793" t="s">
        <v>28</v>
      </c>
      <c r="N793" t="s">
        <v>2042</v>
      </c>
      <c r="O793" t="s">
        <v>30</v>
      </c>
      <c r="P793">
        <v>3</v>
      </c>
      <c r="Q793">
        <v>598.54999999999995</v>
      </c>
      <c r="R793">
        <v>0</v>
      </c>
      <c r="S793" t="str">
        <f t="shared" si="12"/>
        <v>OK</v>
      </c>
      <c r="T793">
        <v>1795.65</v>
      </c>
      <c r="U793">
        <v>996.72</v>
      </c>
      <c r="V793">
        <v>798.93</v>
      </c>
      <c r="W793" t="s">
        <v>31</v>
      </c>
      <c r="X793" t="s">
        <v>32</v>
      </c>
    </row>
    <row r="794" spans="1:24">
      <c r="A794" t="s">
        <v>2043</v>
      </c>
      <c r="B794" s="2">
        <v>45733</v>
      </c>
      <c r="C794" s="2">
        <v>45737</v>
      </c>
      <c r="D794" s="5">
        <f>C794-B794</f>
        <v>4</v>
      </c>
      <c r="E794" s="5" t="str">
        <f>IF(D794&lt;0,"INVALID","OK")</f>
        <v>OK</v>
      </c>
      <c r="F794" t="s">
        <v>1687</v>
      </c>
      <c r="G794" t="s">
        <v>131</v>
      </c>
      <c r="H794" t="s">
        <v>23</v>
      </c>
      <c r="I794" t="s">
        <v>24</v>
      </c>
      <c r="J794" t="s">
        <v>135</v>
      </c>
      <c r="K794" t="s">
        <v>136</v>
      </c>
      <c r="L794" t="s">
        <v>27</v>
      </c>
      <c r="M794" t="s">
        <v>152</v>
      </c>
      <c r="N794" t="s">
        <v>2044</v>
      </c>
      <c r="O794" t="s">
        <v>58</v>
      </c>
      <c r="P794">
        <v>5</v>
      </c>
      <c r="Q794">
        <v>4320.59</v>
      </c>
      <c r="R794">
        <v>0.15</v>
      </c>
      <c r="S794" t="str">
        <f t="shared" si="12"/>
        <v>OK</v>
      </c>
      <c r="T794">
        <v>18362.509999999998</v>
      </c>
      <c r="U794">
        <v>11133.97</v>
      </c>
      <c r="V794">
        <v>7228.54</v>
      </c>
      <c r="W794" t="s">
        <v>31</v>
      </c>
      <c r="X794" t="s">
        <v>32</v>
      </c>
    </row>
    <row r="795" spans="1:24">
      <c r="A795" t="s">
        <v>2045</v>
      </c>
      <c r="B795" s="2">
        <v>45751</v>
      </c>
      <c r="C795" s="2">
        <v>45754</v>
      </c>
      <c r="D795" s="5">
        <f>C795-B795</f>
        <v>3</v>
      </c>
      <c r="E795" s="5" t="str">
        <f>IF(D795&lt;0,"INVALID","OK")</f>
        <v>OK</v>
      </c>
      <c r="F795" t="s">
        <v>2046</v>
      </c>
      <c r="G795" t="s">
        <v>113</v>
      </c>
      <c r="H795" t="s">
        <v>36</v>
      </c>
      <c r="I795" t="s">
        <v>53</v>
      </c>
      <c r="J795" t="s">
        <v>246</v>
      </c>
      <c r="K795" t="s">
        <v>247</v>
      </c>
      <c r="L795" t="s">
        <v>73</v>
      </c>
      <c r="M795" t="s">
        <v>79</v>
      </c>
      <c r="N795" t="s">
        <v>2047</v>
      </c>
      <c r="O795" t="s">
        <v>30</v>
      </c>
      <c r="P795">
        <v>7</v>
      </c>
      <c r="Q795">
        <v>4457.93</v>
      </c>
      <c r="R795">
        <v>0.15</v>
      </c>
      <c r="S795" t="str">
        <f t="shared" si="12"/>
        <v>OK</v>
      </c>
      <c r="T795">
        <v>26524.68</v>
      </c>
      <c r="U795">
        <v>20574.3</v>
      </c>
      <c r="V795">
        <v>5950.38</v>
      </c>
      <c r="W795" t="s">
        <v>31</v>
      </c>
      <c r="X795" t="s">
        <v>32</v>
      </c>
    </row>
    <row r="796" spans="1:24">
      <c r="A796" t="s">
        <v>2048</v>
      </c>
      <c r="B796" s="2">
        <v>45942</v>
      </c>
      <c r="C796" s="2">
        <v>45946</v>
      </c>
      <c r="D796" s="5">
        <f>C796-B796</f>
        <v>4</v>
      </c>
      <c r="E796" s="5" t="str">
        <f>IF(D796&lt;0,"INVALID","OK")</f>
        <v>OK</v>
      </c>
      <c r="F796" t="s">
        <v>926</v>
      </c>
      <c r="G796" t="s">
        <v>161</v>
      </c>
      <c r="H796" t="s">
        <v>89</v>
      </c>
      <c r="I796" t="s">
        <v>37</v>
      </c>
      <c r="J796" t="s">
        <v>144</v>
      </c>
      <c r="K796" t="s">
        <v>145</v>
      </c>
      <c r="L796" t="s">
        <v>73</v>
      </c>
      <c r="M796" t="s">
        <v>273</v>
      </c>
      <c r="N796" t="s">
        <v>2049</v>
      </c>
      <c r="O796" t="s">
        <v>43</v>
      </c>
      <c r="P796">
        <v>1</v>
      </c>
      <c r="Q796">
        <v>2570.06</v>
      </c>
      <c r="R796">
        <v>0.2</v>
      </c>
      <c r="S796" t="str">
        <f t="shared" si="12"/>
        <v>OK</v>
      </c>
      <c r="T796">
        <v>2056.0500000000002</v>
      </c>
      <c r="U796">
        <v>1662.39</v>
      </c>
      <c r="V796">
        <v>393.66</v>
      </c>
      <c r="W796" t="s">
        <v>31</v>
      </c>
      <c r="X796" t="s">
        <v>32</v>
      </c>
    </row>
    <row r="797" spans="1:24">
      <c r="A797" t="s">
        <v>2050</v>
      </c>
      <c r="B797" s="2">
        <v>45895</v>
      </c>
      <c r="C797" s="2">
        <v>45895</v>
      </c>
      <c r="D797" s="5">
        <f>C797-B797</f>
        <v>0</v>
      </c>
      <c r="E797" s="5" t="str">
        <f>IF(D797&lt;0,"INVALID","OK")</f>
        <v>OK</v>
      </c>
      <c r="F797" t="s">
        <v>2051</v>
      </c>
      <c r="G797" t="s">
        <v>78</v>
      </c>
      <c r="H797" t="s">
        <v>94</v>
      </c>
      <c r="I797" t="s">
        <v>37</v>
      </c>
      <c r="J797" t="s">
        <v>98</v>
      </c>
      <c r="K797" t="s">
        <v>99</v>
      </c>
      <c r="L797" t="s">
        <v>40</v>
      </c>
      <c r="M797" t="s">
        <v>56</v>
      </c>
      <c r="N797" t="s">
        <v>2052</v>
      </c>
      <c r="O797" t="s">
        <v>58</v>
      </c>
      <c r="P797">
        <v>4</v>
      </c>
      <c r="Q797">
        <v>2151.8200000000002</v>
      </c>
      <c r="R797">
        <v>0</v>
      </c>
      <c r="S797" t="str">
        <f t="shared" si="12"/>
        <v>OK</v>
      </c>
      <c r="T797">
        <v>8607.2800000000007</v>
      </c>
      <c r="U797">
        <v>5124.01</v>
      </c>
      <c r="V797">
        <v>3483.27</v>
      </c>
      <c r="W797" t="s">
        <v>31</v>
      </c>
      <c r="X797" t="s">
        <v>32</v>
      </c>
    </row>
    <row r="798" spans="1:24">
      <c r="A798" t="s">
        <v>2056</v>
      </c>
      <c r="B798" s="2">
        <v>45876</v>
      </c>
      <c r="C798" s="2">
        <v>45879</v>
      </c>
      <c r="D798" s="5">
        <f>C798-B798</f>
        <v>3</v>
      </c>
      <c r="E798" s="5" t="str">
        <f>IF(D798&lt;0,"INVALID","OK")</f>
        <v>OK</v>
      </c>
      <c r="F798" t="s">
        <v>2057</v>
      </c>
      <c r="G798" t="s">
        <v>88</v>
      </c>
      <c r="H798" t="s">
        <v>94</v>
      </c>
      <c r="I798" t="s">
        <v>37</v>
      </c>
      <c r="J798" t="s">
        <v>144</v>
      </c>
      <c r="K798" t="s">
        <v>145</v>
      </c>
      <c r="L798" t="s">
        <v>27</v>
      </c>
      <c r="M798" t="s">
        <v>123</v>
      </c>
      <c r="N798" t="s">
        <v>2058</v>
      </c>
      <c r="O798" t="s">
        <v>30</v>
      </c>
      <c r="P798">
        <v>1</v>
      </c>
      <c r="Q798">
        <v>2541.25</v>
      </c>
      <c r="R798">
        <v>0.2</v>
      </c>
      <c r="S798" t="str">
        <f t="shared" si="12"/>
        <v>OK</v>
      </c>
      <c r="T798">
        <v>2033</v>
      </c>
      <c r="U798">
        <v>1291.4100000000001</v>
      </c>
      <c r="V798">
        <v>741.59</v>
      </c>
      <c r="W798" t="s">
        <v>31</v>
      </c>
      <c r="X798" t="s">
        <v>32</v>
      </c>
    </row>
    <row r="799" spans="1:24">
      <c r="A799" t="s">
        <v>2059</v>
      </c>
      <c r="B799" s="2">
        <v>45817</v>
      </c>
      <c r="C799" s="2">
        <v>45820</v>
      </c>
      <c r="D799" s="5">
        <f>C799-B799</f>
        <v>3</v>
      </c>
      <c r="E799" s="5" t="str">
        <f>IF(D799&lt;0,"INVALID","OK")</f>
        <v>OK</v>
      </c>
      <c r="F799" t="s">
        <v>2060</v>
      </c>
      <c r="G799" t="s">
        <v>131</v>
      </c>
      <c r="H799" t="s">
        <v>23</v>
      </c>
      <c r="I799" t="s">
        <v>2762</v>
      </c>
      <c r="J799" t="s">
        <v>144</v>
      </c>
      <c r="K799" t="s">
        <v>145</v>
      </c>
      <c r="L799" t="s">
        <v>27</v>
      </c>
      <c r="M799" t="s">
        <v>47</v>
      </c>
      <c r="N799" t="s">
        <v>2061</v>
      </c>
      <c r="O799" t="s">
        <v>49</v>
      </c>
      <c r="P799">
        <v>7</v>
      </c>
      <c r="Q799">
        <v>2852.42</v>
      </c>
      <c r="R799">
        <v>0</v>
      </c>
      <c r="S799" t="str">
        <f t="shared" si="12"/>
        <v>OK</v>
      </c>
      <c r="T799">
        <v>19966.939999999999</v>
      </c>
      <c r="U799">
        <v>12690.83</v>
      </c>
      <c r="V799">
        <v>7276.11</v>
      </c>
      <c r="W799" t="s">
        <v>101</v>
      </c>
      <c r="X799" t="s">
        <v>67</v>
      </c>
    </row>
    <row r="800" spans="1:24">
      <c r="A800" t="s">
        <v>2062</v>
      </c>
      <c r="B800" s="2">
        <v>45678</v>
      </c>
      <c r="C800" s="2">
        <v>45679</v>
      </c>
      <c r="D800" s="5">
        <f>C800-B800</f>
        <v>1</v>
      </c>
      <c r="E800" s="5" t="str">
        <f>IF(D800&lt;0,"INVALID","OK")</f>
        <v>OK</v>
      </c>
      <c r="F800" t="s">
        <v>2063</v>
      </c>
      <c r="G800" t="s">
        <v>161</v>
      </c>
      <c r="H800" t="s">
        <v>89</v>
      </c>
      <c r="I800" t="s">
        <v>53</v>
      </c>
      <c r="J800" t="s">
        <v>174</v>
      </c>
      <c r="K800" t="s">
        <v>175</v>
      </c>
      <c r="L800" t="s">
        <v>73</v>
      </c>
      <c r="M800" t="s">
        <v>170</v>
      </c>
      <c r="N800" t="s">
        <v>2064</v>
      </c>
      <c r="O800" t="s">
        <v>30</v>
      </c>
      <c r="P800">
        <v>2</v>
      </c>
      <c r="Q800">
        <v>444.31</v>
      </c>
      <c r="R800">
        <v>0.2</v>
      </c>
      <c r="S800" t="str">
        <f t="shared" si="12"/>
        <v>OK</v>
      </c>
      <c r="T800">
        <v>710.9</v>
      </c>
      <c r="U800">
        <v>513.88</v>
      </c>
      <c r="V800">
        <v>197.02</v>
      </c>
      <c r="W800" t="s">
        <v>101</v>
      </c>
      <c r="X800" t="s">
        <v>67</v>
      </c>
    </row>
    <row r="801" spans="1:24">
      <c r="A801" t="s">
        <v>2065</v>
      </c>
      <c r="B801" s="2">
        <v>45853</v>
      </c>
      <c r="C801" s="2">
        <v>45853</v>
      </c>
      <c r="D801" s="5">
        <f>C801-B801</f>
        <v>0</v>
      </c>
      <c r="E801" s="5" t="str">
        <f>IF(D801&lt;0,"INVALID","OK")</f>
        <v>OK</v>
      </c>
      <c r="F801" t="s">
        <v>2066</v>
      </c>
      <c r="G801" t="s">
        <v>52</v>
      </c>
      <c r="H801" t="s">
        <v>36</v>
      </c>
      <c r="I801" t="s">
        <v>37</v>
      </c>
      <c r="J801" t="s">
        <v>227</v>
      </c>
      <c r="K801" t="s">
        <v>228</v>
      </c>
      <c r="L801" t="s">
        <v>73</v>
      </c>
      <c r="M801" t="s">
        <v>170</v>
      </c>
      <c r="N801" t="s">
        <v>2067</v>
      </c>
      <c r="O801" t="s">
        <v>43</v>
      </c>
      <c r="P801">
        <v>4</v>
      </c>
      <c r="Q801">
        <v>4442.91</v>
      </c>
      <c r="R801">
        <v>0.1</v>
      </c>
      <c r="S801" t="str">
        <f t="shared" si="12"/>
        <v>OK</v>
      </c>
      <c r="T801">
        <v>15994.48</v>
      </c>
      <c r="U801">
        <v>9224.2800000000007</v>
      </c>
      <c r="V801">
        <v>6770.2</v>
      </c>
      <c r="W801" t="s">
        <v>31</v>
      </c>
      <c r="X801" t="s">
        <v>32</v>
      </c>
    </row>
    <row r="802" spans="1:24">
      <c r="A802" t="s">
        <v>2080</v>
      </c>
      <c r="B802" s="2">
        <v>45670</v>
      </c>
      <c r="C802" s="2">
        <v>45670</v>
      </c>
      <c r="D802" s="5">
        <f>C802-B802</f>
        <v>0</v>
      </c>
      <c r="E802" s="5" t="str">
        <f>IF(D802&lt;0,"INVALID","OK")</f>
        <v>OK</v>
      </c>
      <c r="F802" t="s">
        <v>2081</v>
      </c>
      <c r="G802" t="s">
        <v>117</v>
      </c>
      <c r="H802" t="s">
        <v>94</v>
      </c>
      <c r="I802" t="s">
        <v>62</v>
      </c>
      <c r="J802" t="s">
        <v>179</v>
      </c>
      <c r="K802" t="s">
        <v>180</v>
      </c>
      <c r="L802" t="s">
        <v>27</v>
      </c>
      <c r="M802" t="s">
        <v>47</v>
      </c>
      <c r="N802" t="s">
        <v>2082</v>
      </c>
      <c r="O802" t="s">
        <v>58</v>
      </c>
      <c r="P802">
        <v>3</v>
      </c>
      <c r="Q802">
        <v>2110.52</v>
      </c>
      <c r="R802">
        <v>0.1</v>
      </c>
      <c r="S802" t="str">
        <f t="shared" si="12"/>
        <v>OK</v>
      </c>
      <c r="T802">
        <v>5698.4</v>
      </c>
      <c r="U802">
        <v>3640.89</v>
      </c>
      <c r="V802">
        <v>2057.5100000000002</v>
      </c>
      <c r="W802" t="s">
        <v>154</v>
      </c>
      <c r="X802" t="s">
        <v>67</v>
      </c>
    </row>
    <row r="803" spans="1:24">
      <c r="A803" t="s">
        <v>2086</v>
      </c>
      <c r="B803" s="2">
        <v>45797</v>
      </c>
      <c r="C803" s="2">
        <v>45804</v>
      </c>
      <c r="D803" s="5">
        <f>C803-B803</f>
        <v>7</v>
      </c>
      <c r="E803" s="5" t="str">
        <f>IF(D803&lt;0,"INVALID","OK")</f>
        <v>OK</v>
      </c>
      <c r="F803" t="s">
        <v>2087</v>
      </c>
      <c r="G803" t="s">
        <v>161</v>
      </c>
      <c r="H803" t="s">
        <v>36</v>
      </c>
      <c r="I803" t="s">
        <v>37</v>
      </c>
      <c r="J803" t="s">
        <v>144</v>
      </c>
      <c r="K803" t="s">
        <v>145</v>
      </c>
      <c r="L803" t="s">
        <v>73</v>
      </c>
      <c r="M803" t="s">
        <v>273</v>
      </c>
      <c r="N803" t="s">
        <v>2088</v>
      </c>
      <c r="O803" t="s">
        <v>58</v>
      </c>
      <c r="P803">
        <v>1</v>
      </c>
      <c r="Q803">
        <v>3959.14</v>
      </c>
      <c r="R803">
        <v>0</v>
      </c>
      <c r="S803" t="str">
        <f t="shared" si="12"/>
        <v>OK</v>
      </c>
      <c r="T803">
        <v>3959.14</v>
      </c>
      <c r="U803">
        <v>3239.53</v>
      </c>
      <c r="V803">
        <v>719.61</v>
      </c>
      <c r="W803" t="s">
        <v>110</v>
      </c>
      <c r="X803" t="s">
        <v>102</v>
      </c>
    </row>
    <row r="804" spans="1:24">
      <c r="A804" t="s">
        <v>2095</v>
      </c>
      <c r="B804" s="2">
        <v>45690</v>
      </c>
      <c r="C804" s="2">
        <v>45694</v>
      </c>
      <c r="D804" s="5">
        <f>C804-B804</f>
        <v>4</v>
      </c>
      <c r="E804" s="5" t="str">
        <f>IF(D804&lt;0,"INVALID","OK")</f>
        <v>OK</v>
      </c>
      <c r="F804" t="s">
        <v>1597</v>
      </c>
      <c r="G804" t="s">
        <v>131</v>
      </c>
      <c r="H804" t="s">
        <v>89</v>
      </c>
      <c r="I804" t="s">
        <v>24</v>
      </c>
      <c r="J804" t="s">
        <v>135</v>
      </c>
      <c r="K804" t="s">
        <v>136</v>
      </c>
      <c r="L804" t="s">
        <v>40</v>
      </c>
      <c r="M804" t="s">
        <v>41</v>
      </c>
      <c r="N804" t="s">
        <v>2096</v>
      </c>
      <c r="O804" t="s">
        <v>58</v>
      </c>
      <c r="P804">
        <v>8</v>
      </c>
      <c r="Q804">
        <v>857.86</v>
      </c>
      <c r="R804">
        <v>0.1</v>
      </c>
      <c r="S804" t="str">
        <f t="shared" si="12"/>
        <v>OK</v>
      </c>
      <c r="T804">
        <v>6176.59</v>
      </c>
      <c r="U804">
        <v>3560.96</v>
      </c>
      <c r="V804">
        <v>2615.63</v>
      </c>
      <c r="W804" t="s">
        <v>31</v>
      </c>
      <c r="X804" t="s">
        <v>32</v>
      </c>
    </row>
    <row r="805" spans="1:24">
      <c r="A805" t="s">
        <v>2103</v>
      </c>
      <c r="B805" s="2">
        <v>45701</v>
      </c>
      <c r="C805" s="2">
        <v>45704</v>
      </c>
      <c r="D805" s="5">
        <f>C805-B805</f>
        <v>3</v>
      </c>
      <c r="E805" s="5" t="str">
        <f>IF(D805&lt;0,"INVALID","OK")</f>
        <v>OK</v>
      </c>
      <c r="F805" t="s">
        <v>2104</v>
      </c>
      <c r="G805" t="s">
        <v>52</v>
      </c>
      <c r="H805" t="s">
        <v>36</v>
      </c>
      <c r="I805" t="s">
        <v>62</v>
      </c>
      <c r="J805" t="s">
        <v>25</v>
      </c>
      <c r="K805" t="s">
        <v>108</v>
      </c>
      <c r="L805" t="s">
        <v>40</v>
      </c>
      <c r="M805" t="s">
        <v>157</v>
      </c>
      <c r="N805" t="s">
        <v>2105</v>
      </c>
      <c r="O805" t="s">
        <v>30</v>
      </c>
      <c r="P805">
        <v>4</v>
      </c>
      <c r="Q805">
        <v>4072.9</v>
      </c>
      <c r="R805">
        <v>0.15</v>
      </c>
      <c r="S805" t="str">
        <f t="shared" si="12"/>
        <v>OK</v>
      </c>
      <c r="T805">
        <v>13847.86</v>
      </c>
      <c r="U805">
        <v>8471.7800000000007</v>
      </c>
      <c r="V805">
        <v>5376.08</v>
      </c>
      <c r="W805" t="s">
        <v>31</v>
      </c>
      <c r="X805" t="s">
        <v>32</v>
      </c>
    </row>
    <row r="806" spans="1:24">
      <c r="A806" t="s">
        <v>2109</v>
      </c>
      <c r="B806" s="2">
        <v>45844</v>
      </c>
      <c r="C806" s="2">
        <v>45818</v>
      </c>
      <c r="D806" s="5">
        <f>C806-B806</f>
        <v>-26</v>
      </c>
      <c r="E806" s="5" t="str">
        <f>IF(D806&lt;0,"INVALID","OK")</f>
        <v>INVALID</v>
      </c>
      <c r="F806" t="s">
        <v>2010</v>
      </c>
      <c r="G806" t="s">
        <v>127</v>
      </c>
      <c r="H806" t="s">
        <v>23</v>
      </c>
      <c r="I806" t="s">
        <v>24</v>
      </c>
      <c r="J806" t="s">
        <v>25</v>
      </c>
      <c r="K806" t="s">
        <v>26</v>
      </c>
      <c r="L806" t="s">
        <v>40</v>
      </c>
      <c r="M806" t="s">
        <v>56</v>
      </c>
      <c r="N806" t="s">
        <v>2110</v>
      </c>
      <c r="O806" t="s">
        <v>43</v>
      </c>
      <c r="P806">
        <v>3</v>
      </c>
      <c r="Q806">
        <v>963.26</v>
      </c>
      <c r="R806">
        <v>0</v>
      </c>
      <c r="S806" t="str">
        <f t="shared" si="12"/>
        <v>OK</v>
      </c>
      <c r="T806">
        <v>2889.78</v>
      </c>
      <c r="U806">
        <v>1811.23</v>
      </c>
      <c r="V806">
        <v>1078.55</v>
      </c>
      <c r="W806" t="s">
        <v>31</v>
      </c>
      <c r="X806" t="s">
        <v>32</v>
      </c>
    </row>
    <row r="807" spans="1:24">
      <c r="A807" t="s">
        <v>2111</v>
      </c>
      <c r="B807" s="2">
        <v>45911</v>
      </c>
      <c r="C807" s="2">
        <v>45918</v>
      </c>
      <c r="D807" s="5">
        <f>C807-B807</f>
        <v>7</v>
      </c>
      <c r="E807" s="5" t="str">
        <f>IF(D807&lt;0,"INVALID","OK")</f>
        <v>OK</v>
      </c>
      <c r="F807" t="s">
        <v>2112</v>
      </c>
      <c r="G807" t="s">
        <v>117</v>
      </c>
      <c r="H807" t="s">
        <v>36</v>
      </c>
      <c r="I807" t="s">
        <v>24</v>
      </c>
      <c r="J807" t="s">
        <v>349</v>
      </c>
      <c r="K807" t="s">
        <v>350</v>
      </c>
      <c r="L807" t="s">
        <v>73</v>
      </c>
      <c r="M807" t="s">
        <v>170</v>
      </c>
      <c r="N807" t="s">
        <v>2113</v>
      </c>
      <c r="O807" t="s">
        <v>43</v>
      </c>
      <c r="P807">
        <v>7</v>
      </c>
      <c r="Q807">
        <v>3411.21</v>
      </c>
      <c r="R807">
        <v>0.15</v>
      </c>
      <c r="S807" t="str">
        <f t="shared" si="12"/>
        <v>OK</v>
      </c>
      <c r="T807">
        <v>20296.7</v>
      </c>
      <c r="U807">
        <v>14920.87</v>
      </c>
      <c r="V807">
        <v>5375.83</v>
      </c>
      <c r="W807" t="s">
        <v>31</v>
      </c>
      <c r="X807" t="s">
        <v>32</v>
      </c>
    </row>
    <row r="808" spans="1:24">
      <c r="A808" t="s">
        <v>2119</v>
      </c>
      <c r="B808" s="2">
        <v>45885</v>
      </c>
      <c r="C808" s="2">
        <v>45892</v>
      </c>
      <c r="D808" s="5">
        <f>C808-B808</f>
        <v>7</v>
      </c>
      <c r="E808" s="5" t="str">
        <f>IF(D808&lt;0,"INVALID","OK")</f>
        <v>OK</v>
      </c>
      <c r="F808" t="s">
        <v>2120</v>
      </c>
      <c r="G808" t="s">
        <v>140</v>
      </c>
      <c r="H808" t="s">
        <v>89</v>
      </c>
      <c r="I808" t="s">
        <v>24</v>
      </c>
      <c r="J808" t="s">
        <v>121</v>
      </c>
      <c r="K808" t="s">
        <v>122</v>
      </c>
      <c r="L808" t="s">
        <v>73</v>
      </c>
      <c r="M808" t="s">
        <v>79</v>
      </c>
      <c r="N808" t="s">
        <v>2121</v>
      </c>
      <c r="O808" t="s">
        <v>43</v>
      </c>
      <c r="P808">
        <v>4</v>
      </c>
      <c r="Q808">
        <v>1410.57</v>
      </c>
      <c r="R808" t="s">
        <v>462</v>
      </c>
      <c r="S808" t="str">
        <f t="shared" si="12"/>
        <v>INVALID</v>
      </c>
      <c r="T808">
        <v>5360.17</v>
      </c>
      <c r="U808">
        <v>3881.51</v>
      </c>
      <c r="V808">
        <v>1478.66</v>
      </c>
      <c r="W808" t="s">
        <v>101</v>
      </c>
      <c r="X808" t="s">
        <v>67</v>
      </c>
    </row>
    <row r="809" spans="1:24">
      <c r="A809" t="s">
        <v>2128</v>
      </c>
      <c r="B809" s="2">
        <v>45693</v>
      </c>
      <c r="C809" s="2">
        <v>45779</v>
      </c>
      <c r="D809" s="5">
        <f>C809-B809</f>
        <v>86</v>
      </c>
      <c r="E809" s="5" t="str">
        <f>IF(D809&lt;0,"INVALID","OK")</f>
        <v>OK</v>
      </c>
      <c r="F809" t="s">
        <v>2129</v>
      </c>
      <c r="G809" t="s">
        <v>61</v>
      </c>
      <c r="H809" t="s">
        <v>89</v>
      </c>
      <c r="I809" t="s">
        <v>24</v>
      </c>
      <c r="J809" t="s">
        <v>235</v>
      </c>
      <c r="K809" t="s">
        <v>236</v>
      </c>
      <c r="L809" t="s">
        <v>27</v>
      </c>
      <c r="M809" t="s">
        <v>123</v>
      </c>
      <c r="N809" t="s">
        <v>2130</v>
      </c>
      <c r="O809" t="s">
        <v>43</v>
      </c>
      <c r="P809">
        <v>3</v>
      </c>
      <c r="Q809">
        <v>2590.7800000000002</v>
      </c>
      <c r="R809">
        <v>0</v>
      </c>
      <c r="S809" t="str">
        <f t="shared" si="12"/>
        <v>OK</v>
      </c>
      <c r="T809">
        <v>7383.72</v>
      </c>
      <c r="U809">
        <v>4113.66</v>
      </c>
      <c r="V809">
        <v>3270.06</v>
      </c>
      <c r="W809" t="s">
        <v>31</v>
      </c>
      <c r="X809" t="s">
        <v>32</v>
      </c>
    </row>
    <row r="810" spans="1:24">
      <c r="A810" t="s">
        <v>2131</v>
      </c>
      <c r="B810" s="2">
        <v>45858</v>
      </c>
      <c r="C810" s="2">
        <v>45862</v>
      </c>
      <c r="D810" s="5">
        <f>C810-B810</f>
        <v>4</v>
      </c>
      <c r="E810" s="5" t="str">
        <f>IF(D810&lt;0,"INVALID","OK")</f>
        <v>OK</v>
      </c>
      <c r="F810" t="s">
        <v>2132</v>
      </c>
      <c r="G810" t="s">
        <v>52</v>
      </c>
      <c r="H810" t="s">
        <v>36</v>
      </c>
      <c r="I810" t="s">
        <v>53</v>
      </c>
      <c r="J810" t="s">
        <v>54</v>
      </c>
      <c r="K810" t="s">
        <v>55</v>
      </c>
      <c r="L810" t="s">
        <v>40</v>
      </c>
      <c r="M810" t="s">
        <v>56</v>
      </c>
      <c r="N810" t="s">
        <v>2133</v>
      </c>
      <c r="O810" t="s">
        <v>30</v>
      </c>
      <c r="P810">
        <v>6</v>
      </c>
      <c r="Q810">
        <v>1646.45</v>
      </c>
      <c r="R810">
        <v>0.2</v>
      </c>
      <c r="S810" t="str">
        <f t="shared" si="12"/>
        <v>OK</v>
      </c>
      <c r="T810">
        <v>7902.96</v>
      </c>
      <c r="U810">
        <v>5512.03</v>
      </c>
      <c r="V810">
        <v>2390.9299999999998</v>
      </c>
      <c r="W810" t="s">
        <v>101</v>
      </c>
      <c r="X810" t="s">
        <v>67</v>
      </c>
    </row>
    <row r="811" spans="1:24">
      <c r="A811" t="s">
        <v>2134</v>
      </c>
      <c r="B811" s="2">
        <v>45859</v>
      </c>
      <c r="C811" s="2">
        <v>45859</v>
      </c>
      <c r="D811" s="5">
        <f>C811-B811</f>
        <v>0</v>
      </c>
      <c r="E811" s="5" t="str">
        <f>IF(D811&lt;0,"INVALID","OK")</f>
        <v>OK</v>
      </c>
      <c r="F811" t="s">
        <v>2135</v>
      </c>
      <c r="G811" t="s">
        <v>46</v>
      </c>
      <c r="H811" t="s">
        <v>94</v>
      </c>
      <c r="I811" t="s">
        <v>53</v>
      </c>
      <c r="J811" t="s">
        <v>246</v>
      </c>
      <c r="K811" t="s">
        <v>247</v>
      </c>
      <c r="L811" t="s">
        <v>40</v>
      </c>
      <c r="M811" t="s">
        <v>157</v>
      </c>
      <c r="N811" t="s">
        <v>2136</v>
      </c>
      <c r="O811" t="s">
        <v>49</v>
      </c>
      <c r="P811">
        <v>7</v>
      </c>
      <c r="Q811">
        <v>4396.6499999999996</v>
      </c>
      <c r="R811">
        <v>0.2</v>
      </c>
      <c r="S811" t="str">
        <f t="shared" si="12"/>
        <v>OK</v>
      </c>
      <c r="T811">
        <v>24621.24</v>
      </c>
      <c r="U811">
        <v>17155.48</v>
      </c>
      <c r="V811">
        <v>7465.76</v>
      </c>
      <c r="W811" t="s">
        <v>101</v>
      </c>
      <c r="X811" t="s">
        <v>67</v>
      </c>
    </row>
    <row r="812" spans="1:24">
      <c r="A812" t="s">
        <v>2137</v>
      </c>
      <c r="B812" s="2">
        <v>45931</v>
      </c>
      <c r="C812" s="2">
        <v>45933</v>
      </c>
      <c r="D812" s="5">
        <f>C812-B812</f>
        <v>2</v>
      </c>
      <c r="E812" s="5" t="str">
        <f>IF(D812&lt;0,"INVALID","OK")</f>
        <v>OK</v>
      </c>
      <c r="F812" t="s">
        <v>1803</v>
      </c>
      <c r="G812" t="s">
        <v>78</v>
      </c>
      <c r="H812" t="s">
        <v>89</v>
      </c>
      <c r="I812" t="s">
        <v>62</v>
      </c>
      <c r="J812" t="s">
        <v>189</v>
      </c>
      <c r="K812" t="s">
        <v>190</v>
      </c>
      <c r="L812" t="s">
        <v>27</v>
      </c>
      <c r="M812" t="s">
        <v>47</v>
      </c>
      <c r="N812" t="s">
        <v>2138</v>
      </c>
      <c r="O812" t="s">
        <v>58</v>
      </c>
      <c r="P812">
        <v>9</v>
      </c>
      <c r="Q812">
        <v>818.15</v>
      </c>
      <c r="R812">
        <v>0.55000000000000004</v>
      </c>
      <c r="S812" t="str">
        <f t="shared" si="12"/>
        <v>INVALID</v>
      </c>
      <c r="T812">
        <v>6627.01</v>
      </c>
      <c r="U812">
        <v>5606.79</v>
      </c>
      <c r="V812">
        <v>1020.22</v>
      </c>
      <c r="W812" t="s">
        <v>154</v>
      </c>
      <c r="X812" t="s">
        <v>67</v>
      </c>
    </row>
    <row r="813" spans="1:24">
      <c r="A813" t="s">
        <v>2142</v>
      </c>
      <c r="B813" s="2">
        <v>45938</v>
      </c>
      <c r="C813" s="2">
        <v>45943</v>
      </c>
      <c r="D813" s="5">
        <f>C813-B813</f>
        <v>5</v>
      </c>
      <c r="E813" s="5" t="str">
        <f>IF(D813&lt;0,"INVALID","OK")</f>
        <v>OK</v>
      </c>
      <c r="F813" t="s">
        <v>2143</v>
      </c>
      <c r="G813" t="s">
        <v>35</v>
      </c>
      <c r="H813" t="s">
        <v>94</v>
      </c>
      <c r="I813" t="s">
        <v>24</v>
      </c>
      <c r="J813" t="s">
        <v>121</v>
      </c>
      <c r="K813" t="s">
        <v>122</v>
      </c>
      <c r="L813" t="s">
        <v>40</v>
      </c>
      <c r="M813" t="s">
        <v>41</v>
      </c>
      <c r="N813" t="s">
        <v>2144</v>
      </c>
      <c r="O813" t="s">
        <v>49</v>
      </c>
      <c r="P813">
        <v>4</v>
      </c>
      <c r="Q813">
        <v>172.05</v>
      </c>
      <c r="R813">
        <v>0</v>
      </c>
      <c r="S813" t="str">
        <f t="shared" si="12"/>
        <v>OK</v>
      </c>
      <c r="T813">
        <v>688.2</v>
      </c>
      <c r="U813">
        <v>497.68</v>
      </c>
      <c r="V813">
        <v>190.52</v>
      </c>
      <c r="W813" t="s">
        <v>154</v>
      </c>
      <c r="X813" t="s">
        <v>67</v>
      </c>
    </row>
    <row r="814" spans="1:24">
      <c r="A814" t="s">
        <v>2145</v>
      </c>
      <c r="B814" s="2">
        <v>45714</v>
      </c>
      <c r="C814" s="2">
        <v>45715</v>
      </c>
      <c r="D814" s="5">
        <f>C814-B814</f>
        <v>1</v>
      </c>
      <c r="E814" s="5" t="str">
        <f>IF(D814&lt;0,"INVALID","OK")</f>
        <v>OK</v>
      </c>
      <c r="F814" t="s">
        <v>2146</v>
      </c>
      <c r="G814" t="s">
        <v>78</v>
      </c>
      <c r="H814" t="s">
        <v>94</v>
      </c>
      <c r="I814" t="s">
        <v>24</v>
      </c>
      <c r="J814" t="s">
        <v>235</v>
      </c>
      <c r="K814" t="s">
        <v>236</v>
      </c>
      <c r="L814" t="s">
        <v>27</v>
      </c>
      <c r="M814" t="s">
        <v>47</v>
      </c>
      <c r="N814" t="s">
        <v>2147</v>
      </c>
      <c r="O814" t="s">
        <v>30</v>
      </c>
      <c r="P814">
        <v>6</v>
      </c>
      <c r="Q814">
        <v>3037.66</v>
      </c>
      <c r="R814">
        <v>0.15</v>
      </c>
      <c r="S814" t="str">
        <f t="shared" si="12"/>
        <v>OK</v>
      </c>
      <c r="T814">
        <v>15492.07</v>
      </c>
      <c r="U814">
        <v>12581.23</v>
      </c>
      <c r="V814">
        <v>2910.84</v>
      </c>
      <c r="W814" t="s">
        <v>31</v>
      </c>
      <c r="X814" t="s">
        <v>32</v>
      </c>
    </row>
    <row r="815" spans="1:24">
      <c r="A815" t="s">
        <v>2157</v>
      </c>
      <c r="B815" s="2">
        <v>45787</v>
      </c>
      <c r="C815" s="2">
        <v>45940</v>
      </c>
      <c r="D815" s="5">
        <f>C815-B815</f>
        <v>153</v>
      </c>
      <c r="E815" s="5" t="str">
        <f>IF(D815&lt;0,"INVALID","OK")</f>
        <v>OK</v>
      </c>
      <c r="F815" t="s">
        <v>2158</v>
      </c>
      <c r="G815" t="s">
        <v>46</v>
      </c>
      <c r="H815" t="s">
        <v>89</v>
      </c>
      <c r="I815" t="s">
        <v>53</v>
      </c>
      <c r="J815" t="s">
        <v>174</v>
      </c>
      <c r="K815" t="s">
        <v>175</v>
      </c>
      <c r="L815" t="s">
        <v>40</v>
      </c>
      <c r="M815" t="s">
        <v>56</v>
      </c>
      <c r="N815" t="s">
        <v>2159</v>
      </c>
      <c r="O815" t="s">
        <v>30</v>
      </c>
      <c r="P815">
        <v>4</v>
      </c>
      <c r="Q815">
        <v>2365.6799999999998</v>
      </c>
      <c r="R815">
        <v>0.1</v>
      </c>
      <c r="S815" t="str">
        <f t="shared" si="12"/>
        <v>OK</v>
      </c>
      <c r="T815">
        <v>8516.4500000000007</v>
      </c>
      <c r="U815">
        <v>5903.81</v>
      </c>
      <c r="V815">
        <v>2612.64</v>
      </c>
      <c r="W815" t="s">
        <v>31</v>
      </c>
      <c r="X815" t="s">
        <v>32</v>
      </c>
    </row>
    <row r="816" spans="1:24">
      <c r="A816" t="s">
        <v>2160</v>
      </c>
      <c r="B816" s="2">
        <v>45720</v>
      </c>
      <c r="C816" s="2">
        <v>45758</v>
      </c>
      <c r="D816" s="5">
        <f>C816-B816</f>
        <v>38</v>
      </c>
      <c r="E816" s="5" t="str">
        <f>IF(D816&lt;0,"INVALID","OK")</f>
        <v>OK</v>
      </c>
      <c r="F816" t="s">
        <v>2161</v>
      </c>
      <c r="G816" t="s">
        <v>52</v>
      </c>
      <c r="H816" t="s">
        <v>23</v>
      </c>
      <c r="I816" t="s">
        <v>53</v>
      </c>
      <c r="J816" t="s">
        <v>246</v>
      </c>
      <c r="K816" t="s">
        <v>247</v>
      </c>
      <c r="L816" t="s">
        <v>40</v>
      </c>
      <c r="M816" t="s">
        <v>157</v>
      </c>
      <c r="N816" t="s">
        <v>2162</v>
      </c>
      <c r="O816" t="s">
        <v>30</v>
      </c>
      <c r="P816">
        <v>3</v>
      </c>
      <c r="Q816">
        <v>4149.7700000000004</v>
      </c>
      <c r="R816">
        <v>0.05</v>
      </c>
      <c r="S816" t="str">
        <f t="shared" si="12"/>
        <v>OK</v>
      </c>
      <c r="T816">
        <v>11826.84</v>
      </c>
      <c r="U816">
        <v>8035.96</v>
      </c>
      <c r="V816">
        <v>3790.88</v>
      </c>
      <c r="W816" t="s">
        <v>31</v>
      </c>
      <c r="X816" t="s">
        <v>32</v>
      </c>
    </row>
    <row r="817" spans="1:24">
      <c r="A817" t="s">
        <v>2163</v>
      </c>
      <c r="B817" s="2">
        <v>45665</v>
      </c>
      <c r="C817" s="2">
        <v>45908</v>
      </c>
      <c r="D817" s="5">
        <f>C817-B817</f>
        <v>243</v>
      </c>
      <c r="E817" s="5" t="str">
        <f>IF(D817&lt;0,"INVALID","OK")</f>
        <v>OK</v>
      </c>
      <c r="F817" t="s">
        <v>1136</v>
      </c>
      <c r="G817" t="s">
        <v>46</v>
      </c>
      <c r="H817" t="s">
        <v>23</v>
      </c>
      <c r="I817" t="s">
        <v>53</v>
      </c>
      <c r="J817" t="s">
        <v>83</v>
      </c>
      <c r="K817" t="s">
        <v>84</v>
      </c>
      <c r="L817" t="s">
        <v>27</v>
      </c>
      <c r="M817" t="s">
        <v>123</v>
      </c>
      <c r="N817" t="s">
        <v>2164</v>
      </c>
      <c r="O817" t="s">
        <v>49</v>
      </c>
      <c r="P817">
        <v>5</v>
      </c>
      <c r="Q817">
        <v>2736.24</v>
      </c>
      <c r="R817">
        <v>0.15</v>
      </c>
      <c r="S817" t="str">
        <f t="shared" si="12"/>
        <v>OK</v>
      </c>
      <c r="T817">
        <v>11629.02</v>
      </c>
      <c r="U817">
        <v>9627.2099999999991</v>
      </c>
      <c r="V817">
        <v>2001.81</v>
      </c>
      <c r="W817" t="s">
        <v>31</v>
      </c>
      <c r="X817" t="s">
        <v>32</v>
      </c>
    </row>
    <row r="818" spans="1:24">
      <c r="A818" t="s">
        <v>2168</v>
      </c>
      <c r="B818" s="2">
        <v>45922</v>
      </c>
      <c r="C818" s="2">
        <v>45925</v>
      </c>
      <c r="D818" s="5">
        <f>C818-B818</f>
        <v>3</v>
      </c>
      <c r="E818" s="5" t="str">
        <f>IF(D818&lt;0,"INVALID","OK")</f>
        <v>OK</v>
      </c>
      <c r="F818" t="s">
        <v>2169</v>
      </c>
      <c r="G818" t="s">
        <v>46</v>
      </c>
      <c r="H818" t="s">
        <v>36</v>
      </c>
      <c r="I818" t="s">
        <v>53</v>
      </c>
      <c r="J818" t="s">
        <v>184</v>
      </c>
      <c r="K818" t="s">
        <v>185</v>
      </c>
      <c r="L818" t="s">
        <v>73</v>
      </c>
      <c r="M818" t="s">
        <v>170</v>
      </c>
      <c r="N818" t="s">
        <v>2170</v>
      </c>
      <c r="O818" t="s">
        <v>2762</v>
      </c>
      <c r="P818">
        <v>4</v>
      </c>
      <c r="Q818">
        <v>1178.8399999999999</v>
      </c>
      <c r="R818">
        <v>0.25</v>
      </c>
      <c r="S818" t="str">
        <f t="shared" si="12"/>
        <v>OK</v>
      </c>
      <c r="T818">
        <v>3536.52</v>
      </c>
      <c r="U818">
        <v>2102.41</v>
      </c>
      <c r="V818">
        <v>1363.28</v>
      </c>
      <c r="W818" t="s">
        <v>31</v>
      </c>
      <c r="X818" t="s">
        <v>32</v>
      </c>
    </row>
    <row r="819" spans="1:24">
      <c r="A819" t="s">
        <v>2171</v>
      </c>
      <c r="B819" s="2">
        <v>45717</v>
      </c>
      <c r="C819" s="2">
        <v>45841</v>
      </c>
      <c r="D819" s="5">
        <f>C819-B819</f>
        <v>124</v>
      </c>
      <c r="E819" s="5" t="str">
        <f>IF(D819&lt;0,"INVALID","OK")</f>
        <v>OK</v>
      </c>
      <c r="F819" t="s">
        <v>2172</v>
      </c>
      <c r="G819" t="s">
        <v>52</v>
      </c>
      <c r="H819" t="s">
        <v>89</v>
      </c>
      <c r="I819" t="s">
        <v>53</v>
      </c>
      <c r="J819" t="s">
        <v>83</v>
      </c>
      <c r="K819" t="s">
        <v>84</v>
      </c>
      <c r="L819" t="s">
        <v>27</v>
      </c>
      <c r="M819" t="s">
        <v>90</v>
      </c>
      <c r="N819" t="s">
        <v>2173</v>
      </c>
      <c r="O819" t="s">
        <v>49</v>
      </c>
      <c r="P819">
        <v>7</v>
      </c>
      <c r="Q819">
        <v>567.15</v>
      </c>
      <c r="R819">
        <v>0</v>
      </c>
      <c r="S819" t="str">
        <f t="shared" si="12"/>
        <v>OK</v>
      </c>
      <c r="T819">
        <v>2977.54</v>
      </c>
      <c r="U819">
        <v>1849.3</v>
      </c>
      <c r="V819">
        <v>1128.24</v>
      </c>
      <c r="W819" t="s">
        <v>101</v>
      </c>
      <c r="X819" t="s">
        <v>102</v>
      </c>
    </row>
    <row r="820" spans="1:24">
      <c r="A820" t="s">
        <v>2186</v>
      </c>
      <c r="B820" s="2">
        <v>45690</v>
      </c>
      <c r="C820" s="2">
        <v>45694</v>
      </c>
      <c r="D820" s="5">
        <f>C820-B820</f>
        <v>4</v>
      </c>
      <c r="E820" s="5" t="str">
        <f>IF(D820&lt;0,"INVALID","OK")</f>
        <v>OK</v>
      </c>
      <c r="F820" t="s">
        <v>2187</v>
      </c>
      <c r="G820" t="s">
        <v>22</v>
      </c>
      <c r="H820" t="s">
        <v>36</v>
      </c>
      <c r="I820" t="s">
        <v>62</v>
      </c>
      <c r="J820" t="s">
        <v>25</v>
      </c>
      <c r="K820" t="s">
        <v>108</v>
      </c>
      <c r="L820" t="s">
        <v>40</v>
      </c>
      <c r="M820" t="s">
        <v>41</v>
      </c>
      <c r="N820" t="s">
        <v>2188</v>
      </c>
      <c r="O820" t="s">
        <v>30</v>
      </c>
      <c r="P820">
        <v>3</v>
      </c>
      <c r="Q820">
        <v>997.34</v>
      </c>
      <c r="R820">
        <v>0.1</v>
      </c>
      <c r="S820" t="str">
        <f t="shared" si="12"/>
        <v>OK</v>
      </c>
      <c r="T820">
        <v>2692.82</v>
      </c>
      <c r="U820">
        <v>1820.08</v>
      </c>
      <c r="V820">
        <v>872.74</v>
      </c>
      <c r="W820" t="s">
        <v>31</v>
      </c>
      <c r="X820" t="s">
        <v>32</v>
      </c>
    </row>
    <row r="821" spans="1:24">
      <c r="A821" t="s">
        <v>2201</v>
      </c>
      <c r="B821" s="2">
        <v>45832</v>
      </c>
      <c r="C821" s="2">
        <v>45834</v>
      </c>
      <c r="D821" s="5">
        <f>C821-B821</f>
        <v>2</v>
      </c>
      <c r="E821" s="5" t="str">
        <f>IF(D821&lt;0,"INVALID","OK")</f>
        <v>OK</v>
      </c>
      <c r="F821" t="s">
        <v>2202</v>
      </c>
      <c r="G821" t="s">
        <v>70</v>
      </c>
      <c r="H821" t="s">
        <v>23</v>
      </c>
      <c r="I821" t="s">
        <v>24</v>
      </c>
      <c r="J821" t="s">
        <v>25</v>
      </c>
      <c r="K821" t="s">
        <v>26</v>
      </c>
      <c r="L821" t="s">
        <v>73</v>
      </c>
      <c r="M821" t="s">
        <v>74</v>
      </c>
      <c r="N821" t="s">
        <v>2203</v>
      </c>
      <c r="O821" t="s">
        <v>43</v>
      </c>
      <c r="P821">
        <v>5</v>
      </c>
      <c r="Q821">
        <v>3722.66</v>
      </c>
      <c r="R821">
        <v>0.55000000000000004</v>
      </c>
      <c r="S821" t="str">
        <f t="shared" si="12"/>
        <v>INVALID</v>
      </c>
      <c r="T821">
        <v>16751.97</v>
      </c>
      <c r="U821">
        <v>11678.32</v>
      </c>
      <c r="V821">
        <v>5073.6499999999996</v>
      </c>
      <c r="W821" t="s">
        <v>31</v>
      </c>
      <c r="X821" t="s">
        <v>32</v>
      </c>
    </row>
    <row r="822" spans="1:24">
      <c r="A822" t="s">
        <v>2204</v>
      </c>
      <c r="B822" s="2">
        <v>45736</v>
      </c>
      <c r="C822" s="2">
        <v>45742</v>
      </c>
      <c r="D822" s="5">
        <f>C822-B822</f>
        <v>6</v>
      </c>
      <c r="E822" s="5" t="str">
        <f>IF(D822&lt;0,"INVALID","OK")</f>
        <v>OK</v>
      </c>
      <c r="F822" t="s">
        <v>2205</v>
      </c>
      <c r="G822" t="s">
        <v>131</v>
      </c>
      <c r="H822" t="s">
        <v>23</v>
      </c>
      <c r="I822" t="s">
        <v>37</v>
      </c>
      <c r="J822" t="s">
        <v>165</v>
      </c>
      <c r="K822" t="s">
        <v>166</v>
      </c>
      <c r="L822" t="s">
        <v>40</v>
      </c>
      <c r="M822" t="s">
        <v>157</v>
      </c>
      <c r="N822" t="s">
        <v>2206</v>
      </c>
      <c r="O822" t="s">
        <v>49</v>
      </c>
      <c r="P822">
        <v>4</v>
      </c>
      <c r="Q822">
        <v>4357.66</v>
      </c>
      <c r="R822">
        <v>0.05</v>
      </c>
      <c r="S822" t="str">
        <f t="shared" si="12"/>
        <v>OK</v>
      </c>
      <c r="T822">
        <v>16559.11</v>
      </c>
      <c r="U822">
        <v>13233.79</v>
      </c>
      <c r="V822">
        <v>3325.32</v>
      </c>
      <c r="W822" t="s">
        <v>31</v>
      </c>
      <c r="X822" t="s">
        <v>32</v>
      </c>
    </row>
    <row r="823" spans="1:24">
      <c r="A823" t="s">
        <v>2207</v>
      </c>
      <c r="B823" s="2">
        <v>45676</v>
      </c>
      <c r="C823" s="2">
        <v>45680</v>
      </c>
      <c r="D823" s="5">
        <f>C823-B823</f>
        <v>4</v>
      </c>
      <c r="E823" s="5" t="str">
        <f>IF(D823&lt;0,"INVALID","OK")</f>
        <v>OK</v>
      </c>
      <c r="F823" t="s">
        <v>2208</v>
      </c>
      <c r="G823" t="s">
        <v>263</v>
      </c>
      <c r="H823" t="s">
        <v>94</v>
      </c>
      <c r="I823" t="s">
        <v>24</v>
      </c>
      <c r="J823" t="s">
        <v>121</v>
      </c>
      <c r="K823" t="s">
        <v>122</v>
      </c>
      <c r="L823" t="s">
        <v>73</v>
      </c>
      <c r="M823" t="s">
        <v>170</v>
      </c>
      <c r="N823" t="s">
        <v>2209</v>
      </c>
      <c r="O823" t="s">
        <v>43</v>
      </c>
      <c r="P823">
        <v>7</v>
      </c>
      <c r="Q823">
        <v>1363.04</v>
      </c>
      <c r="R823">
        <v>0.15</v>
      </c>
      <c r="S823" t="str">
        <f t="shared" si="12"/>
        <v>OK</v>
      </c>
      <c r="T823">
        <v>8110.09</v>
      </c>
      <c r="U823">
        <v>6417.32</v>
      </c>
      <c r="V823">
        <v>1692.77</v>
      </c>
      <c r="W823" t="s">
        <v>31</v>
      </c>
      <c r="X823" t="s">
        <v>67</v>
      </c>
    </row>
    <row r="824" spans="1:24">
      <c r="A824" t="s">
        <v>2213</v>
      </c>
      <c r="B824" s="2">
        <v>45690</v>
      </c>
      <c r="C824" s="2">
        <v>45690</v>
      </c>
      <c r="D824" s="5">
        <f>C824-B824</f>
        <v>0</v>
      </c>
      <c r="E824" s="5" t="str">
        <f>IF(D824&lt;0,"INVALID","OK")</f>
        <v>OK</v>
      </c>
      <c r="F824" t="s">
        <v>2214</v>
      </c>
      <c r="G824" t="s">
        <v>263</v>
      </c>
      <c r="H824" t="s">
        <v>89</v>
      </c>
      <c r="I824" t="s">
        <v>37</v>
      </c>
      <c r="J824" t="s">
        <v>98</v>
      </c>
      <c r="K824" t="s">
        <v>99</v>
      </c>
      <c r="L824" t="s">
        <v>73</v>
      </c>
      <c r="M824" t="s">
        <v>273</v>
      </c>
      <c r="N824" t="s">
        <v>2215</v>
      </c>
      <c r="O824" t="s">
        <v>49</v>
      </c>
      <c r="P824">
        <v>1</v>
      </c>
      <c r="Q824">
        <v>4326.75</v>
      </c>
      <c r="R824">
        <v>0.05</v>
      </c>
      <c r="S824" t="str">
        <f t="shared" si="12"/>
        <v>OK</v>
      </c>
      <c r="T824">
        <v>4110.41</v>
      </c>
      <c r="U824">
        <v>2394.14</v>
      </c>
      <c r="V824">
        <v>1716.27</v>
      </c>
      <c r="W824" t="s">
        <v>110</v>
      </c>
      <c r="X824" t="s">
        <v>102</v>
      </c>
    </row>
    <row r="825" spans="1:24">
      <c r="A825" t="s">
        <v>2219</v>
      </c>
      <c r="B825" s="2">
        <v>45814</v>
      </c>
      <c r="C825" s="2">
        <v>45818</v>
      </c>
      <c r="D825" s="5">
        <f>C825-B825</f>
        <v>4</v>
      </c>
      <c r="E825" s="5" t="str">
        <f>IF(D825&lt;0,"INVALID","OK")</f>
        <v>OK</v>
      </c>
      <c r="F825" t="s">
        <v>598</v>
      </c>
      <c r="G825" t="s">
        <v>35</v>
      </c>
      <c r="H825" t="s">
        <v>23</v>
      </c>
      <c r="I825" t="s">
        <v>62</v>
      </c>
      <c r="J825" t="s">
        <v>25</v>
      </c>
      <c r="K825" t="s">
        <v>108</v>
      </c>
      <c r="L825" t="s">
        <v>73</v>
      </c>
      <c r="M825" t="s">
        <v>273</v>
      </c>
      <c r="N825" t="s">
        <v>2220</v>
      </c>
      <c r="O825" t="s">
        <v>30</v>
      </c>
      <c r="P825">
        <v>1</v>
      </c>
      <c r="Q825">
        <v>289.97000000000003</v>
      </c>
      <c r="R825">
        <v>0.25</v>
      </c>
      <c r="S825" t="str">
        <f t="shared" si="12"/>
        <v>OK</v>
      </c>
      <c r="T825">
        <v>217.48</v>
      </c>
      <c r="U825">
        <v>132.13</v>
      </c>
      <c r="V825">
        <v>85.35</v>
      </c>
      <c r="W825" t="s">
        <v>31</v>
      </c>
      <c r="X825" t="s">
        <v>32</v>
      </c>
    </row>
    <row r="826" spans="1:24">
      <c r="A826" t="s">
        <v>2221</v>
      </c>
      <c r="B826" s="2">
        <v>45738</v>
      </c>
      <c r="C826" s="2">
        <v>45739</v>
      </c>
      <c r="D826" s="5">
        <f>C826-B826</f>
        <v>1</v>
      </c>
      <c r="E826" s="5" t="str">
        <f>IF(D826&lt;0,"INVALID","OK")</f>
        <v>OK</v>
      </c>
      <c r="F826" t="s">
        <v>2222</v>
      </c>
      <c r="G826" t="s">
        <v>22</v>
      </c>
      <c r="H826" t="s">
        <v>94</v>
      </c>
      <c r="I826" t="s">
        <v>24</v>
      </c>
      <c r="J826" t="s">
        <v>349</v>
      </c>
      <c r="K826" t="s">
        <v>350</v>
      </c>
      <c r="L826" t="s">
        <v>73</v>
      </c>
      <c r="M826" t="s">
        <v>79</v>
      </c>
      <c r="N826" t="s">
        <v>2223</v>
      </c>
      <c r="O826" t="s">
        <v>58</v>
      </c>
      <c r="P826">
        <v>9</v>
      </c>
      <c r="Q826">
        <v>2075.02</v>
      </c>
      <c r="R826">
        <v>0</v>
      </c>
      <c r="S826" t="str">
        <f t="shared" si="12"/>
        <v>OK</v>
      </c>
      <c r="T826">
        <v>18675.18</v>
      </c>
      <c r="U826">
        <v>13974.7</v>
      </c>
      <c r="V826">
        <v>4700.4799999999996</v>
      </c>
      <c r="W826" t="s">
        <v>31</v>
      </c>
      <c r="X826" t="s">
        <v>32</v>
      </c>
    </row>
    <row r="827" spans="1:24">
      <c r="A827" t="s">
        <v>2224</v>
      </c>
      <c r="B827" s="2">
        <v>45891</v>
      </c>
      <c r="C827" s="2">
        <v>45896</v>
      </c>
      <c r="D827" s="5">
        <f>C827-B827</f>
        <v>5</v>
      </c>
      <c r="E827" s="5" t="str">
        <f>IF(D827&lt;0,"INVALID","OK")</f>
        <v>OK</v>
      </c>
      <c r="F827" t="s">
        <v>2225</v>
      </c>
      <c r="G827" t="s">
        <v>113</v>
      </c>
      <c r="H827" t="s">
        <v>23</v>
      </c>
      <c r="I827" t="s">
        <v>24</v>
      </c>
      <c r="J827" t="s">
        <v>235</v>
      </c>
      <c r="K827" t="s">
        <v>236</v>
      </c>
      <c r="L827" t="s">
        <v>40</v>
      </c>
      <c r="M827" t="s">
        <v>65</v>
      </c>
      <c r="N827" t="s">
        <v>2226</v>
      </c>
      <c r="O827" t="s">
        <v>30</v>
      </c>
      <c r="P827">
        <v>7</v>
      </c>
      <c r="Q827">
        <v>2843.09</v>
      </c>
      <c r="R827">
        <v>0</v>
      </c>
      <c r="S827" t="str">
        <f t="shared" si="12"/>
        <v>OK</v>
      </c>
      <c r="T827">
        <v>19901.63</v>
      </c>
      <c r="U827">
        <v>15492.03</v>
      </c>
      <c r="V827">
        <v>4409.6000000000004</v>
      </c>
      <c r="W827" t="s">
        <v>101</v>
      </c>
      <c r="X827" t="s">
        <v>67</v>
      </c>
    </row>
    <row r="828" spans="1:24">
      <c r="A828" t="s">
        <v>2227</v>
      </c>
      <c r="B828" s="2">
        <v>45895</v>
      </c>
      <c r="C828" s="2">
        <v>45900</v>
      </c>
      <c r="D828" s="5">
        <f>C828-B828</f>
        <v>5</v>
      </c>
      <c r="E828" s="5" t="str">
        <f>IF(D828&lt;0,"INVALID","OK")</f>
        <v>OK</v>
      </c>
      <c r="F828" t="s">
        <v>2228</v>
      </c>
      <c r="G828" t="s">
        <v>161</v>
      </c>
      <c r="H828" t="s">
        <v>36</v>
      </c>
      <c r="I828" t="s">
        <v>24</v>
      </c>
      <c r="J828" t="s">
        <v>235</v>
      </c>
      <c r="K828" t="s">
        <v>236</v>
      </c>
      <c r="L828" t="s">
        <v>73</v>
      </c>
      <c r="M828" t="s">
        <v>170</v>
      </c>
      <c r="N828" t="s">
        <v>2229</v>
      </c>
      <c r="O828" t="s">
        <v>49</v>
      </c>
      <c r="P828">
        <v>1</v>
      </c>
      <c r="Q828">
        <v>3388.02</v>
      </c>
      <c r="R828">
        <v>0.15</v>
      </c>
      <c r="S828" t="str">
        <f t="shared" si="12"/>
        <v>OK</v>
      </c>
      <c r="T828">
        <v>2879.82</v>
      </c>
      <c r="U828">
        <v>1824.88</v>
      </c>
      <c r="V828">
        <v>1054.94</v>
      </c>
      <c r="W828" t="s">
        <v>31</v>
      </c>
      <c r="X828" t="s">
        <v>32</v>
      </c>
    </row>
    <row r="829" spans="1:24">
      <c r="A829" t="s">
        <v>2230</v>
      </c>
      <c r="B829" s="2">
        <v>46001</v>
      </c>
      <c r="C829" s="2">
        <v>45945</v>
      </c>
      <c r="D829" s="5">
        <f>C829-B829</f>
        <v>-56</v>
      </c>
      <c r="E829" s="5" t="str">
        <f>IF(D829&lt;0,"INVALID","OK")</f>
        <v>INVALID</v>
      </c>
      <c r="F829" t="s">
        <v>2231</v>
      </c>
      <c r="G829" t="s">
        <v>263</v>
      </c>
      <c r="H829" t="s">
        <v>36</v>
      </c>
      <c r="I829" t="s">
        <v>24</v>
      </c>
      <c r="J829" t="s">
        <v>235</v>
      </c>
      <c r="K829" t="s">
        <v>236</v>
      </c>
      <c r="L829" t="s">
        <v>73</v>
      </c>
      <c r="M829" t="s">
        <v>273</v>
      </c>
      <c r="N829" t="s">
        <v>2232</v>
      </c>
      <c r="O829" t="s">
        <v>58</v>
      </c>
      <c r="P829">
        <v>9</v>
      </c>
      <c r="Q829">
        <v>2598.92</v>
      </c>
      <c r="R829">
        <v>0.2</v>
      </c>
      <c r="S829" t="str">
        <f t="shared" si="12"/>
        <v>OK</v>
      </c>
      <c r="T829">
        <v>18712.22</v>
      </c>
      <c r="U829">
        <v>11852.22</v>
      </c>
      <c r="V829">
        <v>6860</v>
      </c>
      <c r="W829" t="s">
        <v>110</v>
      </c>
      <c r="X829" t="s">
        <v>67</v>
      </c>
    </row>
    <row r="830" spans="1:24">
      <c r="A830" t="s">
        <v>2236</v>
      </c>
      <c r="B830" s="2">
        <v>45908</v>
      </c>
      <c r="C830" s="2">
        <v>45909</v>
      </c>
      <c r="D830" s="5">
        <f>C830-B830</f>
        <v>1</v>
      </c>
      <c r="E830" s="5" t="str">
        <f>IF(D830&lt;0,"INVALID","OK")</f>
        <v>OK</v>
      </c>
      <c r="F830" t="s">
        <v>143</v>
      </c>
      <c r="G830" t="s">
        <v>263</v>
      </c>
      <c r="H830" t="s">
        <v>89</v>
      </c>
      <c r="I830" t="s">
        <v>62</v>
      </c>
      <c r="J830" t="s">
        <v>179</v>
      </c>
      <c r="K830" t="s">
        <v>180</v>
      </c>
      <c r="L830" t="s">
        <v>27</v>
      </c>
      <c r="M830" t="s">
        <v>47</v>
      </c>
      <c r="N830" t="s">
        <v>2237</v>
      </c>
      <c r="O830" t="s">
        <v>43</v>
      </c>
      <c r="P830">
        <v>2</v>
      </c>
      <c r="Q830">
        <v>2372.41</v>
      </c>
      <c r="R830">
        <v>0.2</v>
      </c>
      <c r="S830" t="str">
        <f t="shared" si="12"/>
        <v>OK</v>
      </c>
      <c r="T830">
        <v>3795.86</v>
      </c>
      <c r="U830">
        <v>2264.92</v>
      </c>
      <c r="V830">
        <v>1530.94</v>
      </c>
      <c r="W830" t="s">
        <v>31</v>
      </c>
      <c r="X830" t="s">
        <v>32</v>
      </c>
    </row>
    <row r="831" spans="1:24">
      <c r="A831" t="s">
        <v>2241</v>
      </c>
      <c r="B831" s="2">
        <v>45827</v>
      </c>
      <c r="C831" s="2">
        <v>45831</v>
      </c>
      <c r="D831" s="5">
        <f>C831-B831</f>
        <v>4</v>
      </c>
      <c r="E831" s="5" t="str">
        <f>IF(D831&lt;0,"INVALID","OK")</f>
        <v>OK</v>
      </c>
      <c r="F831" t="s">
        <v>2242</v>
      </c>
      <c r="G831" t="s">
        <v>131</v>
      </c>
      <c r="H831" t="s">
        <v>23</v>
      </c>
      <c r="I831" t="s">
        <v>53</v>
      </c>
      <c r="J831" t="s">
        <v>174</v>
      </c>
      <c r="K831" t="s">
        <v>175</v>
      </c>
      <c r="L831" t="s">
        <v>73</v>
      </c>
      <c r="M831" t="s">
        <v>79</v>
      </c>
      <c r="N831" t="s">
        <v>2243</v>
      </c>
      <c r="O831" t="s">
        <v>49</v>
      </c>
      <c r="P831">
        <v>5</v>
      </c>
      <c r="Q831">
        <v>2729.95</v>
      </c>
      <c r="R831">
        <v>0</v>
      </c>
      <c r="S831" t="str">
        <f t="shared" si="12"/>
        <v>OK</v>
      </c>
      <c r="T831">
        <v>13649.75</v>
      </c>
      <c r="U831">
        <v>10288.030000000001</v>
      </c>
      <c r="V831">
        <v>3361.72</v>
      </c>
      <c r="W831" t="s">
        <v>31</v>
      </c>
      <c r="X831" t="s">
        <v>32</v>
      </c>
    </row>
    <row r="832" spans="1:24">
      <c r="A832" t="s">
        <v>2247</v>
      </c>
      <c r="B832" s="2">
        <v>45936</v>
      </c>
      <c r="C832" s="2">
        <v>45943</v>
      </c>
      <c r="D832" s="5">
        <f>C832-B832</f>
        <v>7</v>
      </c>
      <c r="E832" s="5" t="str">
        <f>IF(D832&lt;0,"INVALID","OK")</f>
        <v>OK</v>
      </c>
      <c r="F832" t="s">
        <v>2248</v>
      </c>
      <c r="G832" t="s">
        <v>263</v>
      </c>
      <c r="H832" t="s">
        <v>94</v>
      </c>
      <c r="I832" t="s">
        <v>37</v>
      </c>
      <c r="J832" t="s">
        <v>227</v>
      </c>
      <c r="K832" t="s">
        <v>228</v>
      </c>
      <c r="L832" t="s">
        <v>73</v>
      </c>
      <c r="M832" t="s">
        <v>74</v>
      </c>
      <c r="N832" t="s">
        <v>2249</v>
      </c>
      <c r="O832" t="s">
        <v>58</v>
      </c>
      <c r="P832">
        <v>6</v>
      </c>
      <c r="Q832">
        <v>2391.9299999999998</v>
      </c>
      <c r="R832">
        <v>0.05</v>
      </c>
      <c r="S832" t="str">
        <f t="shared" si="12"/>
        <v>OK</v>
      </c>
      <c r="T832">
        <v>13634</v>
      </c>
      <c r="U832">
        <v>9589.81</v>
      </c>
      <c r="V832">
        <v>4044.19</v>
      </c>
      <c r="W832" t="s">
        <v>154</v>
      </c>
      <c r="X832" t="s">
        <v>102</v>
      </c>
    </row>
    <row r="833" spans="1:24">
      <c r="A833" t="s">
        <v>2253</v>
      </c>
      <c r="B833" s="2">
        <v>45935</v>
      </c>
      <c r="C833" s="2">
        <v>45942</v>
      </c>
      <c r="D833" s="5">
        <f>C833-B833</f>
        <v>7</v>
      </c>
      <c r="E833" s="5" t="str">
        <f>IF(D833&lt;0,"INVALID","OK")</f>
        <v>OK</v>
      </c>
      <c r="F833" t="s">
        <v>2254</v>
      </c>
      <c r="G833" t="s">
        <v>113</v>
      </c>
      <c r="H833" t="s">
        <v>89</v>
      </c>
      <c r="I833" t="s">
        <v>53</v>
      </c>
      <c r="J833" t="s">
        <v>174</v>
      </c>
      <c r="K833" t="s">
        <v>175</v>
      </c>
      <c r="L833" t="s">
        <v>40</v>
      </c>
      <c r="M833" t="s">
        <v>41</v>
      </c>
      <c r="N833" t="s">
        <v>2255</v>
      </c>
      <c r="O833" t="s">
        <v>30</v>
      </c>
      <c r="P833">
        <v>7</v>
      </c>
      <c r="Q833">
        <v>2134.73</v>
      </c>
      <c r="R833">
        <v>0</v>
      </c>
      <c r="S833" t="str">
        <f t="shared" si="12"/>
        <v>OK</v>
      </c>
      <c r="T833">
        <v>14943.11</v>
      </c>
      <c r="U833">
        <v>8521.5</v>
      </c>
      <c r="V833">
        <v>6421.61</v>
      </c>
      <c r="W833" t="s">
        <v>31</v>
      </c>
      <c r="X833" t="s">
        <v>32</v>
      </c>
    </row>
    <row r="834" spans="1:24">
      <c r="A834" t="s">
        <v>2265</v>
      </c>
      <c r="B834" s="2">
        <v>45794</v>
      </c>
      <c r="C834" s="2">
        <v>45802</v>
      </c>
      <c r="D834" s="5">
        <f>C834-B834</f>
        <v>8</v>
      </c>
      <c r="E834" s="5" t="str">
        <f>IF(D834&lt;0,"INVALID","OK")</f>
        <v>OK</v>
      </c>
      <c r="F834" t="s">
        <v>2266</v>
      </c>
      <c r="G834" t="s">
        <v>61</v>
      </c>
      <c r="H834" t="s">
        <v>89</v>
      </c>
      <c r="I834" t="s">
        <v>53</v>
      </c>
      <c r="J834" t="s">
        <v>246</v>
      </c>
      <c r="K834" t="s">
        <v>247</v>
      </c>
      <c r="L834" t="s">
        <v>73</v>
      </c>
      <c r="M834" t="s">
        <v>273</v>
      </c>
      <c r="N834" t="s">
        <v>2267</v>
      </c>
      <c r="O834" t="s">
        <v>43</v>
      </c>
      <c r="P834">
        <v>6</v>
      </c>
      <c r="Q834">
        <v>1810.63</v>
      </c>
      <c r="R834">
        <v>0.15</v>
      </c>
      <c r="S834" t="str">
        <f t="shared" si="12"/>
        <v>OK</v>
      </c>
      <c r="T834">
        <v>9234.2099999999991</v>
      </c>
      <c r="U834">
        <v>5516.52</v>
      </c>
      <c r="V834">
        <v>3717.69</v>
      </c>
      <c r="W834" t="s">
        <v>31</v>
      </c>
      <c r="X834" t="s">
        <v>32</v>
      </c>
    </row>
    <row r="835" spans="1:24">
      <c r="A835" t="s">
        <v>2268</v>
      </c>
      <c r="B835" s="2">
        <v>45827</v>
      </c>
      <c r="C835" s="2">
        <v>45832</v>
      </c>
      <c r="D835" s="5">
        <f>C835-B835</f>
        <v>5</v>
      </c>
      <c r="E835" s="5" t="str">
        <f>IF(D835&lt;0,"INVALID","OK")</f>
        <v>OK</v>
      </c>
      <c r="F835" t="s">
        <v>2269</v>
      </c>
      <c r="G835" t="s">
        <v>52</v>
      </c>
      <c r="H835" t="s">
        <v>23</v>
      </c>
      <c r="I835" t="s">
        <v>37</v>
      </c>
      <c r="J835" t="s">
        <v>98</v>
      </c>
      <c r="K835" t="s">
        <v>99</v>
      </c>
      <c r="L835" t="s">
        <v>27</v>
      </c>
      <c r="M835" t="s">
        <v>47</v>
      </c>
      <c r="N835" t="s">
        <v>2270</v>
      </c>
      <c r="O835" t="s">
        <v>30</v>
      </c>
      <c r="P835">
        <v>4</v>
      </c>
      <c r="Q835">
        <v>782.01</v>
      </c>
      <c r="R835">
        <v>0.15</v>
      </c>
      <c r="S835" t="str">
        <f t="shared" ref="S835:S898" si="13">IF(R835&lt;0,"INVALID",IF(R835&gt;0.5,"INVALID","OK"))</f>
        <v>OK</v>
      </c>
      <c r="T835">
        <v>2658.83</v>
      </c>
      <c r="U835">
        <v>2226.9699999999998</v>
      </c>
      <c r="V835">
        <v>431.86</v>
      </c>
      <c r="W835" t="s">
        <v>101</v>
      </c>
      <c r="X835" t="s">
        <v>102</v>
      </c>
    </row>
    <row r="836" spans="1:24">
      <c r="A836" t="s">
        <v>2292</v>
      </c>
      <c r="B836" s="2">
        <v>45708</v>
      </c>
      <c r="C836" s="2">
        <v>45710</v>
      </c>
      <c r="D836" s="5">
        <f>C836-B836</f>
        <v>2</v>
      </c>
      <c r="E836" s="5" t="str">
        <f>IF(D836&lt;0,"INVALID","OK")</f>
        <v>OK</v>
      </c>
      <c r="F836" t="s">
        <v>2293</v>
      </c>
      <c r="G836" t="s">
        <v>113</v>
      </c>
      <c r="H836" t="s">
        <v>89</v>
      </c>
      <c r="I836" t="s">
        <v>53</v>
      </c>
      <c r="J836" t="s">
        <v>184</v>
      </c>
      <c r="K836" t="s">
        <v>185</v>
      </c>
      <c r="L836" t="s">
        <v>27</v>
      </c>
      <c r="M836" t="s">
        <v>28</v>
      </c>
      <c r="N836" t="s">
        <v>2294</v>
      </c>
      <c r="O836" t="s">
        <v>49</v>
      </c>
      <c r="P836">
        <v>1</v>
      </c>
      <c r="Q836">
        <v>2188.19</v>
      </c>
      <c r="R836">
        <v>0</v>
      </c>
      <c r="S836" t="str">
        <f t="shared" si="13"/>
        <v>OK</v>
      </c>
      <c r="T836">
        <v>2188.19</v>
      </c>
      <c r="U836">
        <v>1298.8399999999999</v>
      </c>
      <c r="V836">
        <v>889.35</v>
      </c>
      <c r="W836" t="s">
        <v>31</v>
      </c>
      <c r="X836" t="s">
        <v>32</v>
      </c>
    </row>
    <row r="837" spans="1:24">
      <c r="A837" t="s">
        <v>2300</v>
      </c>
      <c r="B837" s="2">
        <v>45770</v>
      </c>
      <c r="C837" s="2">
        <v>45772</v>
      </c>
      <c r="D837" s="5">
        <f>C837-B837</f>
        <v>2</v>
      </c>
      <c r="E837" s="5" t="str">
        <f>IF(D837&lt;0,"INVALID","OK")</f>
        <v>OK</v>
      </c>
      <c r="F837" t="s">
        <v>2301</v>
      </c>
      <c r="G837" t="s">
        <v>46</v>
      </c>
      <c r="H837" t="s">
        <v>94</v>
      </c>
      <c r="I837" t="s">
        <v>53</v>
      </c>
      <c r="J837" t="s">
        <v>246</v>
      </c>
      <c r="K837" t="s">
        <v>247</v>
      </c>
      <c r="L837" t="s">
        <v>40</v>
      </c>
      <c r="M837" t="s">
        <v>65</v>
      </c>
      <c r="N837" t="s">
        <v>2302</v>
      </c>
      <c r="O837" t="s">
        <v>30</v>
      </c>
      <c r="P837">
        <v>3</v>
      </c>
      <c r="Q837">
        <v>2951.12</v>
      </c>
      <c r="R837">
        <v>0</v>
      </c>
      <c r="S837" t="str">
        <f t="shared" si="13"/>
        <v>OK</v>
      </c>
      <c r="T837">
        <v>7082.69</v>
      </c>
      <c r="U837">
        <v>5596.34</v>
      </c>
      <c r="V837">
        <v>1486.35</v>
      </c>
      <c r="W837" t="s">
        <v>31</v>
      </c>
      <c r="X837" t="s">
        <v>67</v>
      </c>
    </row>
    <row r="838" spans="1:24">
      <c r="A838" t="s">
        <v>2306</v>
      </c>
      <c r="B838" s="2">
        <v>45700</v>
      </c>
      <c r="C838" s="2">
        <v>45702</v>
      </c>
      <c r="D838" s="5">
        <f>C838-B838</f>
        <v>2</v>
      </c>
      <c r="E838" s="5" t="str">
        <f>IF(D838&lt;0,"INVALID","OK")</f>
        <v>OK</v>
      </c>
      <c r="F838" t="s">
        <v>2307</v>
      </c>
      <c r="G838" t="s">
        <v>131</v>
      </c>
      <c r="H838" t="s">
        <v>23</v>
      </c>
      <c r="I838" t="s">
        <v>24</v>
      </c>
      <c r="J838" t="s">
        <v>135</v>
      </c>
      <c r="K838" t="s">
        <v>136</v>
      </c>
      <c r="L838" t="s">
        <v>27</v>
      </c>
      <c r="M838" t="s">
        <v>47</v>
      </c>
      <c r="N838" t="s">
        <v>2308</v>
      </c>
      <c r="O838" t="s">
        <v>58</v>
      </c>
      <c r="P838">
        <v>6</v>
      </c>
      <c r="Q838">
        <v>491.4</v>
      </c>
      <c r="R838">
        <v>0.25</v>
      </c>
      <c r="S838" t="str">
        <f t="shared" si="13"/>
        <v>OK</v>
      </c>
      <c r="T838">
        <v>2211.3000000000002</v>
      </c>
      <c r="U838">
        <v>1735.64</v>
      </c>
      <c r="V838">
        <v>475.66</v>
      </c>
      <c r="W838" t="s">
        <v>31</v>
      </c>
      <c r="X838" t="s">
        <v>32</v>
      </c>
    </row>
    <row r="839" spans="1:24">
      <c r="A839" t="s">
        <v>2309</v>
      </c>
      <c r="B839" s="2">
        <v>45886</v>
      </c>
      <c r="C839" s="2">
        <v>45889</v>
      </c>
      <c r="D839" s="5">
        <f>C839-B839</f>
        <v>3</v>
      </c>
      <c r="E839" s="5" t="str">
        <f>IF(D839&lt;0,"INVALID","OK")</f>
        <v>OK</v>
      </c>
      <c r="F839" t="s">
        <v>2310</v>
      </c>
      <c r="G839" t="s">
        <v>35</v>
      </c>
      <c r="H839" t="s">
        <v>94</v>
      </c>
      <c r="I839" t="s">
        <v>24</v>
      </c>
      <c r="J839" t="s">
        <v>121</v>
      </c>
      <c r="K839" t="s">
        <v>122</v>
      </c>
      <c r="L839" t="s">
        <v>27</v>
      </c>
      <c r="M839" t="s">
        <v>152</v>
      </c>
      <c r="N839" t="s">
        <v>2311</v>
      </c>
      <c r="O839" t="s">
        <v>49</v>
      </c>
      <c r="P839">
        <v>5</v>
      </c>
      <c r="Q839">
        <v>2701.89</v>
      </c>
      <c r="R839">
        <v>0.1</v>
      </c>
      <c r="S839" t="str">
        <f t="shared" si="13"/>
        <v>OK</v>
      </c>
      <c r="T839">
        <v>12158.5</v>
      </c>
      <c r="U839">
        <v>10260.07</v>
      </c>
      <c r="V839">
        <v>1898.43</v>
      </c>
      <c r="W839" t="s">
        <v>31</v>
      </c>
      <c r="X839" t="s">
        <v>67</v>
      </c>
    </row>
    <row r="840" spans="1:24">
      <c r="A840" t="s">
        <v>2315</v>
      </c>
      <c r="B840" s="2">
        <v>45661</v>
      </c>
      <c r="C840" s="2">
        <v>45931</v>
      </c>
      <c r="D840" s="5">
        <f>C840-B840</f>
        <v>270</v>
      </c>
      <c r="E840" s="5" t="str">
        <f>IF(D840&lt;0,"INVALID","OK")</f>
        <v>OK</v>
      </c>
      <c r="F840" t="s">
        <v>2024</v>
      </c>
      <c r="G840" t="s">
        <v>127</v>
      </c>
      <c r="H840" t="s">
        <v>94</v>
      </c>
      <c r="I840" t="s">
        <v>37</v>
      </c>
      <c r="J840" t="s">
        <v>98</v>
      </c>
      <c r="K840" t="s">
        <v>99</v>
      </c>
      <c r="L840" t="s">
        <v>27</v>
      </c>
      <c r="M840" t="s">
        <v>28</v>
      </c>
      <c r="N840" t="s">
        <v>2316</v>
      </c>
      <c r="O840" t="s">
        <v>58</v>
      </c>
      <c r="P840">
        <v>4</v>
      </c>
      <c r="Q840">
        <v>2583.19</v>
      </c>
      <c r="R840">
        <v>0.2</v>
      </c>
      <c r="S840" t="str">
        <f t="shared" si="13"/>
        <v>OK</v>
      </c>
      <c r="T840">
        <v>8266.2099999999991</v>
      </c>
      <c r="U840">
        <v>6236.32</v>
      </c>
      <c r="V840">
        <v>2029.89</v>
      </c>
      <c r="W840" t="s">
        <v>31</v>
      </c>
      <c r="X840" t="s">
        <v>32</v>
      </c>
    </row>
    <row r="841" spans="1:24">
      <c r="A841" t="s">
        <v>2326</v>
      </c>
      <c r="B841" s="2">
        <v>45810</v>
      </c>
      <c r="C841" s="2">
        <v>45810</v>
      </c>
      <c r="D841" s="5">
        <f>C841-B841</f>
        <v>0</v>
      </c>
      <c r="E841" s="5" t="str">
        <f>IF(D841&lt;0,"INVALID","OK")</f>
        <v>OK</v>
      </c>
      <c r="F841" t="s">
        <v>2327</v>
      </c>
      <c r="G841" t="s">
        <v>127</v>
      </c>
      <c r="H841" t="s">
        <v>94</v>
      </c>
      <c r="I841" t="s">
        <v>53</v>
      </c>
      <c r="J841" t="s">
        <v>54</v>
      </c>
      <c r="K841" t="s">
        <v>55</v>
      </c>
      <c r="L841" t="s">
        <v>73</v>
      </c>
      <c r="M841" t="s">
        <v>74</v>
      </c>
      <c r="N841" t="s">
        <v>2328</v>
      </c>
      <c r="O841" t="s">
        <v>49</v>
      </c>
      <c r="P841">
        <v>8</v>
      </c>
      <c r="Q841">
        <v>3925.93</v>
      </c>
      <c r="R841">
        <v>0.15</v>
      </c>
      <c r="S841" t="str">
        <f t="shared" si="13"/>
        <v>OK</v>
      </c>
      <c r="T841">
        <v>26696.32</v>
      </c>
      <c r="U841">
        <v>22724.52</v>
      </c>
      <c r="V841">
        <v>3971.8</v>
      </c>
      <c r="W841" t="s">
        <v>31</v>
      </c>
      <c r="X841" t="s">
        <v>32</v>
      </c>
    </row>
    <row r="842" spans="1:24">
      <c r="A842" t="s">
        <v>2329</v>
      </c>
      <c r="B842" s="2">
        <v>45856</v>
      </c>
      <c r="C842" s="2">
        <v>45857</v>
      </c>
      <c r="D842" s="5">
        <f>C842-B842</f>
        <v>1</v>
      </c>
      <c r="E842" s="5" t="str">
        <f>IF(D842&lt;0,"INVALID","OK")</f>
        <v>OK</v>
      </c>
      <c r="F842" t="s">
        <v>2330</v>
      </c>
      <c r="G842" t="s">
        <v>113</v>
      </c>
      <c r="H842" t="s">
        <v>94</v>
      </c>
      <c r="I842" t="s">
        <v>2762</v>
      </c>
      <c r="J842" t="s">
        <v>135</v>
      </c>
      <c r="K842" t="s">
        <v>136</v>
      </c>
      <c r="L842" t="s">
        <v>73</v>
      </c>
      <c r="M842" t="s">
        <v>273</v>
      </c>
      <c r="N842" t="s">
        <v>2331</v>
      </c>
      <c r="O842" t="s">
        <v>2762</v>
      </c>
      <c r="P842">
        <v>3</v>
      </c>
      <c r="Q842">
        <v>2963.25</v>
      </c>
      <c r="R842">
        <v>0.05</v>
      </c>
      <c r="S842" t="str">
        <f t="shared" si="13"/>
        <v>OK</v>
      </c>
      <c r="T842">
        <v>8445.26</v>
      </c>
      <c r="U842">
        <v>6937.6</v>
      </c>
      <c r="V842">
        <v>1507.66</v>
      </c>
      <c r="W842" t="s">
        <v>31</v>
      </c>
      <c r="X842" t="s">
        <v>32</v>
      </c>
    </row>
    <row r="843" spans="1:24">
      <c r="A843" t="s">
        <v>2338</v>
      </c>
      <c r="B843" s="2">
        <v>45812</v>
      </c>
      <c r="C843" s="2">
        <v>45812</v>
      </c>
      <c r="D843" s="5">
        <f>C843-B843</f>
        <v>0</v>
      </c>
      <c r="E843" s="5" t="str">
        <f>IF(D843&lt;0,"INVALID","OK")</f>
        <v>OK</v>
      </c>
      <c r="F843" t="s">
        <v>2339</v>
      </c>
      <c r="G843" t="s">
        <v>78</v>
      </c>
      <c r="H843" t="s">
        <v>89</v>
      </c>
      <c r="I843" t="s">
        <v>53</v>
      </c>
      <c r="J843" t="s">
        <v>184</v>
      </c>
      <c r="K843" t="s">
        <v>185</v>
      </c>
      <c r="L843" t="s">
        <v>27</v>
      </c>
      <c r="M843" t="s">
        <v>123</v>
      </c>
      <c r="N843" t="s">
        <v>2340</v>
      </c>
      <c r="O843" t="s">
        <v>58</v>
      </c>
      <c r="P843">
        <v>4</v>
      </c>
      <c r="Q843">
        <v>891.34</v>
      </c>
      <c r="R843">
        <v>0.25</v>
      </c>
      <c r="S843" t="str">
        <f t="shared" si="13"/>
        <v>OK</v>
      </c>
      <c r="T843">
        <v>2674.02</v>
      </c>
      <c r="U843">
        <v>2207.5700000000002</v>
      </c>
      <c r="V843">
        <v>466.45</v>
      </c>
      <c r="W843" t="s">
        <v>31</v>
      </c>
      <c r="X843" t="s">
        <v>32</v>
      </c>
    </row>
    <row r="844" spans="1:24">
      <c r="A844" t="s">
        <v>2341</v>
      </c>
      <c r="B844" s="2">
        <v>45858</v>
      </c>
      <c r="C844" s="2">
        <v>45862</v>
      </c>
      <c r="D844" s="5">
        <f>C844-B844</f>
        <v>4</v>
      </c>
      <c r="E844" s="5" t="str">
        <f>IF(D844&lt;0,"INVALID","OK")</f>
        <v>OK</v>
      </c>
      <c r="F844" t="s">
        <v>2342</v>
      </c>
      <c r="G844" t="s">
        <v>113</v>
      </c>
      <c r="H844" t="s">
        <v>94</v>
      </c>
      <c r="I844" t="s">
        <v>62</v>
      </c>
      <c r="J844" t="s">
        <v>71</v>
      </c>
      <c r="K844" t="s">
        <v>72</v>
      </c>
      <c r="L844" t="s">
        <v>27</v>
      </c>
      <c r="M844" t="s">
        <v>123</v>
      </c>
      <c r="N844" t="s">
        <v>2343</v>
      </c>
      <c r="O844" t="s">
        <v>30</v>
      </c>
      <c r="P844">
        <v>5</v>
      </c>
      <c r="Q844">
        <v>2481.7399999999998</v>
      </c>
      <c r="R844">
        <v>0.2</v>
      </c>
      <c r="S844" t="str">
        <f t="shared" si="13"/>
        <v>OK</v>
      </c>
      <c r="T844">
        <v>9926.9599999999991</v>
      </c>
      <c r="U844">
        <v>7994.98</v>
      </c>
      <c r="V844">
        <v>1931.98</v>
      </c>
      <c r="W844" t="s">
        <v>31</v>
      </c>
      <c r="X844" t="s">
        <v>32</v>
      </c>
    </row>
    <row r="845" spans="1:24">
      <c r="A845" t="s">
        <v>2347</v>
      </c>
      <c r="B845" s="2">
        <v>45870</v>
      </c>
      <c r="C845" s="2">
        <v>45872</v>
      </c>
      <c r="D845" s="5">
        <f>C845-B845</f>
        <v>2</v>
      </c>
      <c r="E845" s="5" t="str">
        <f>IF(D845&lt;0,"INVALID","OK")</f>
        <v>OK</v>
      </c>
      <c r="F845" t="s">
        <v>2348</v>
      </c>
      <c r="G845" t="s">
        <v>88</v>
      </c>
      <c r="H845" t="s">
        <v>36</v>
      </c>
      <c r="I845" t="s">
        <v>53</v>
      </c>
      <c r="J845" t="s">
        <v>184</v>
      </c>
      <c r="K845" t="s">
        <v>185</v>
      </c>
      <c r="L845" t="s">
        <v>40</v>
      </c>
      <c r="M845" t="s">
        <v>157</v>
      </c>
      <c r="N845" t="s">
        <v>2349</v>
      </c>
      <c r="O845" t="s">
        <v>58</v>
      </c>
      <c r="P845">
        <v>3</v>
      </c>
      <c r="Q845">
        <v>1904.78</v>
      </c>
      <c r="R845">
        <v>0.25</v>
      </c>
      <c r="S845" t="str">
        <f t="shared" si="13"/>
        <v>OK</v>
      </c>
      <c r="T845">
        <v>4285.76</v>
      </c>
      <c r="U845">
        <v>2386.33</v>
      </c>
      <c r="V845">
        <v>1899.43</v>
      </c>
      <c r="W845" t="s">
        <v>154</v>
      </c>
      <c r="X845" t="s">
        <v>67</v>
      </c>
    </row>
    <row r="846" spans="1:24">
      <c r="A846" t="s">
        <v>2359</v>
      </c>
      <c r="B846" s="2">
        <v>45896</v>
      </c>
      <c r="C846" s="2">
        <v>45900</v>
      </c>
      <c r="D846" s="5">
        <f>C846-B846</f>
        <v>4</v>
      </c>
      <c r="E846" s="5" t="str">
        <f>IF(D846&lt;0,"INVALID","OK")</f>
        <v>OK</v>
      </c>
      <c r="F846" t="s">
        <v>2360</v>
      </c>
      <c r="G846" t="s">
        <v>46</v>
      </c>
      <c r="H846" t="s">
        <v>23</v>
      </c>
      <c r="I846" t="s">
        <v>53</v>
      </c>
      <c r="J846" t="s">
        <v>174</v>
      </c>
      <c r="K846" t="s">
        <v>175</v>
      </c>
      <c r="L846" t="s">
        <v>73</v>
      </c>
      <c r="M846" t="s">
        <v>273</v>
      </c>
      <c r="N846" t="s">
        <v>2361</v>
      </c>
      <c r="O846" t="s">
        <v>49</v>
      </c>
      <c r="P846">
        <v>3</v>
      </c>
      <c r="Q846">
        <v>2489.12</v>
      </c>
      <c r="R846">
        <v>0</v>
      </c>
      <c r="S846" t="str">
        <f t="shared" si="13"/>
        <v>OK</v>
      </c>
      <c r="T846">
        <v>7467.36</v>
      </c>
      <c r="U846">
        <v>5010.6099999999997</v>
      </c>
      <c r="V846">
        <v>2456.75</v>
      </c>
      <c r="W846" t="s">
        <v>31</v>
      </c>
      <c r="X846" t="s">
        <v>32</v>
      </c>
    </row>
    <row r="847" spans="1:24">
      <c r="A847" t="s">
        <v>2365</v>
      </c>
      <c r="B847" s="2">
        <v>45892</v>
      </c>
      <c r="C847" s="2">
        <v>45894</v>
      </c>
      <c r="D847" s="5">
        <f>C847-B847</f>
        <v>2</v>
      </c>
      <c r="E847" s="5" t="str">
        <f>IF(D847&lt;0,"INVALID","OK")</f>
        <v>OK</v>
      </c>
      <c r="F847" t="s">
        <v>2366</v>
      </c>
      <c r="G847" t="s">
        <v>161</v>
      </c>
      <c r="H847" t="s">
        <v>23</v>
      </c>
      <c r="I847" t="s">
        <v>24</v>
      </c>
      <c r="J847" t="s">
        <v>25</v>
      </c>
      <c r="K847" t="s">
        <v>26</v>
      </c>
      <c r="L847" t="s">
        <v>40</v>
      </c>
      <c r="M847" t="s">
        <v>56</v>
      </c>
      <c r="N847" t="s">
        <v>2367</v>
      </c>
      <c r="O847" t="s">
        <v>43</v>
      </c>
      <c r="P847">
        <v>6</v>
      </c>
      <c r="Q847">
        <v>2742.48</v>
      </c>
      <c r="R847">
        <v>0</v>
      </c>
      <c r="S847" t="str">
        <f t="shared" si="13"/>
        <v>OK</v>
      </c>
      <c r="T847">
        <v>16454.88</v>
      </c>
      <c r="U847">
        <v>12081.54</v>
      </c>
      <c r="V847">
        <v>4373.34</v>
      </c>
      <c r="W847" t="s">
        <v>31</v>
      </c>
      <c r="X847" t="s">
        <v>32</v>
      </c>
    </row>
    <row r="848" spans="1:24">
      <c r="A848" t="s">
        <v>2368</v>
      </c>
      <c r="B848" s="2">
        <v>45760</v>
      </c>
      <c r="C848" s="2">
        <v>45760</v>
      </c>
      <c r="D848" s="5">
        <f>C848-B848</f>
        <v>0</v>
      </c>
      <c r="E848" s="5" t="str">
        <f>IF(D848&lt;0,"INVALID","OK")</f>
        <v>OK</v>
      </c>
      <c r="F848" t="s">
        <v>885</v>
      </c>
      <c r="G848" t="s">
        <v>113</v>
      </c>
      <c r="H848" t="s">
        <v>89</v>
      </c>
      <c r="I848" t="s">
        <v>53</v>
      </c>
      <c r="J848" t="s">
        <v>184</v>
      </c>
      <c r="K848" t="s">
        <v>185</v>
      </c>
      <c r="L848" t="s">
        <v>40</v>
      </c>
      <c r="M848" t="s">
        <v>157</v>
      </c>
      <c r="N848" t="s">
        <v>2369</v>
      </c>
      <c r="O848" t="s">
        <v>49</v>
      </c>
      <c r="P848">
        <v>6</v>
      </c>
      <c r="Q848">
        <v>4414</v>
      </c>
      <c r="R848">
        <v>0.05</v>
      </c>
      <c r="S848" t="str">
        <f t="shared" si="13"/>
        <v>OK</v>
      </c>
      <c r="T848">
        <v>25159.8</v>
      </c>
      <c r="U848">
        <v>21606.83</v>
      </c>
      <c r="V848">
        <v>3552.97</v>
      </c>
      <c r="W848" t="s">
        <v>31</v>
      </c>
      <c r="X848" t="s">
        <v>32</v>
      </c>
    </row>
    <row r="849" spans="1:24">
      <c r="A849" t="s">
        <v>2370</v>
      </c>
      <c r="B849" s="2">
        <v>45837</v>
      </c>
      <c r="C849" s="2">
        <v>45841</v>
      </c>
      <c r="D849" s="5">
        <f>C849-B849</f>
        <v>4</v>
      </c>
      <c r="E849" s="5" t="str">
        <f>IF(D849&lt;0,"INVALID","OK")</f>
        <v>OK</v>
      </c>
      <c r="F849" t="s">
        <v>2371</v>
      </c>
      <c r="G849" t="s">
        <v>70</v>
      </c>
      <c r="H849" t="s">
        <v>89</v>
      </c>
      <c r="I849" t="s">
        <v>37</v>
      </c>
      <c r="J849" t="s">
        <v>227</v>
      </c>
      <c r="K849" t="s">
        <v>228</v>
      </c>
      <c r="L849" t="s">
        <v>27</v>
      </c>
      <c r="M849" t="s">
        <v>90</v>
      </c>
      <c r="N849" t="s">
        <v>2372</v>
      </c>
      <c r="O849" t="s">
        <v>49</v>
      </c>
      <c r="P849">
        <v>3</v>
      </c>
      <c r="Q849">
        <v>608.14</v>
      </c>
      <c r="R849">
        <v>0</v>
      </c>
      <c r="S849" t="str">
        <f t="shared" si="13"/>
        <v>OK</v>
      </c>
      <c r="T849">
        <v>1824.42</v>
      </c>
      <c r="U849">
        <v>1214.8699999999999</v>
      </c>
      <c r="V849">
        <v>609.54999999999995</v>
      </c>
      <c r="W849" t="s">
        <v>31</v>
      </c>
      <c r="X849" t="s">
        <v>32</v>
      </c>
    </row>
    <row r="850" spans="1:24">
      <c r="A850" t="s">
        <v>2379</v>
      </c>
      <c r="B850" s="2">
        <v>45749</v>
      </c>
      <c r="C850" s="2">
        <v>45751</v>
      </c>
      <c r="D850" s="5">
        <f>C850-B850</f>
        <v>2</v>
      </c>
      <c r="E850" s="5" t="str">
        <f>IF(D850&lt;0,"INVALID","OK")</f>
        <v>OK</v>
      </c>
      <c r="F850" t="s">
        <v>2380</v>
      </c>
      <c r="G850" t="s">
        <v>131</v>
      </c>
      <c r="H850" t="s">
        <v>94</v>
      </c>
      <c r="I850" t="s">
        <v>37</v>
      </c>
      <c r="J850" t="s">
        <v>227</v>
      </c>
      <c r="K850" t="s">
        <v>228</v>
      </c>
      <c r="L850" t="s">
        <v>27</v>
      </c>
      <c r="M850" t="s">
        <v>28</v>
      </c>
      <c r="N850" t="s">
        <v>2381</v>
      </c>
      <c r="O850" t="s">
        <v>43</v>
      </c>
      <c r="P850">
        <v>5</v>
      </c>
      <c r="Q850">
        <v>3234.24</v>
      </c>
      <c r="R850">
        <v>0.1</v>
      </c>
      <c r="S850" t="str">
        <f t="shared" si="13"/>
        <v>OK</v>
      </c>
      <c r="T850">
        <v>14554.08</v>
      </c>
      <c r="U850">
        <v>11166.84</v>
      </c>
      <c r="V850">
        <v>3387.24</v>
      </c>
      <c r="W850" t="s">
        <v>31</v>
      </c>
      <c r="X850" t="s">
        <v>32</v>
      </c>
    </row>
    <row r="851" spans="1:24">
      <c r="A851" t="s">
        <v>2390</v>
      </c>
      <c r="B851" s="2">
        <v>45853</v>
      </c>
      <c r="C851" s="2">
        <v>45857</v>
      </c>
      <c r="D851" s="5">
        <f>C851-B851</f>
        <v>4</v>
      </c>
      <c r="E851" s="5" t="str">
        <f>IF(D851&lt;0,"INVALID","OK")</f>
        <v>OK</v>
      </c>
      <c r="F851" t="s">
        <v>2391</v>
      </c>
      <c r="G851" t="s">
        <v>161</v>
      </c>
      <c r="H851" t="s">
        <v>23</v>
      </c>
      <c r="I851" t="s">
        <v>53</v>
      </c>
      <c r="J851" t="s">
        <v>246</v>
      </c>
      <c r="K851" t="s">
        <v>247</v>
      </c>
      <c r="L851" t="s">
        <v>40</v>
      </c>
      <c r="M851" t="s">
        <v>65</v>
      </c>
      <c r="N851" t="s">
        <v>2392</v>
      </c>
      <c r="O851" t="s">
        <v>43</v>
      </c>
      <c r="P851">
        <v>1</v>
      </c>
      <c r="Q851">
        <v>3903.22</v>
      </c>
      <c r="R851">
        <v>0.05</v>
      </c>
      <c r="S851" t="str">
        <f t="shared" si="13"/>
        <v>OK</v>
      </c>
      <c r="T851">
        <v>3708.06</v>
      </c>
      <c r="U851">
        <v>2760.29</v>
      </c>
      <c r="V851">
        <v>947.77</v>
      </c>
      <c r="W851" t="s">
        <v>110</v>
      </c>
      <c r="X851" t="s">
        <v>67</v>
      </c>
    </row>
    <row r="852" spans="1:24">
      <c r="A852" t="s">
        <v>2393</v>
      </c>
      <c r="B852" s="2">
        <v>45709</v>
      </c>
      <c r="C852" s="2">
        <v>45709</v>
      </c>
      <c r="D852" s="5">
        <f>C852-B852</f>
        <v>0</v>
      </c>
      <c r="E852" s="5" t="str">
        <f>IF(D852&lt;0,"INVALID","OK")</f>
        <v>OK</v>
      </c>
      <c r="F852" t="s">
        <v>2394</v>
      </c>
      <c r="G852" t="s">
        <v>22</v>
      </c>
      <c r="H852" t="s">
        <v>94</v>
      </c>
      <c r="I852" t="s">
        <v>62</v>
      </c>
      <c r="J852" t="s">
        <v>179</v>
      </c>
      <c r="K852" t="s">
        <v>180</v>
      </c>
      <c r="L852" t="s">
        <v>73</v>
      </c>
      <c r="M852" t="s">
        <v>170</v>
      </c>
      <c r="N852" t="s">
        <v>2395</v>
      </c>
      <c r="O852" t="s">
        <v>2762</v>
      </c>
      <c r="P852">
        <v>4</v>
      </c>
      <c r="Q852">
        <v>2945.07</v>
      </c>
      <c r="R852">
        <v>0.2</v>
      </c>
      <c r="S852" t="str">
        <f t="shared" si="13"/>
        <v>OK</v>
      </c>
      <c r="T852">
        <v>9424.2199999999993</v>
      </c>
      <c r="U852">
        <v>6178.92</v>
      </c>
      <c r="V852">
        <v>3245.3</v>
      </c>
      <c r="W852" t="s">
        <v>31</v>
      </c>
      <c r="X852" t="s">
        <v>32</v>
      </c>
    </row>
    <row r="853" spans="1:24">
      <c r="A853" t="s">
        <v>2396</v>
      </c>
      <c r="B853" s="2">
        <v>45846</v>
      </c>
      <c r="C853" s="2">
        <v>45876</v>
      </c>
      <c r="D853" s="5">
        <f>C853-B853</f>
        <v>30</v>
      </c>
      <c r="E853" s="5" t="str">
        <f>IF(D853&lt;0,"INVALID","OK")</f>
        <v>OK</v>
      </c>
      <c r="F853" t="s">
        <v>2397</v>
      </c>
      <c r="G853" t="s">
        <v>263</v>
      </c>
      <c r="H853" t="s">
        <v>23</v>
      </c>
      <c r="I853" t="s">
        <v>62</v>
      </c>
      <c r="J853" t="s">
        <v>25</v>
      </c>
      <c r="K853" t="s">
        <v>108</v>
      </c>
      <c r="L853" t="s">
        <v>73</v>
      </c>
      <c r="M853" t="s">
        <v>273</v>
      </c>
      <c r="N853" t="s">
        <v>2398</v>
      </c>
      <c r="O853" t="s">
        <v>2762</v>
      </c>
      <c r="P853">
        <v>9</v>
      </c>
      <c r="Q853">
        <v>1076.75</v>
      </c>
      <c r="R853">
        <v>0.2</v>
      </c>
      <c r="S853" t="str">
        <f t="shared" si="13"/>
        <v>OK</v>
      </c>
      <c r="T853">
        <v>7752.6</v>
      </c>
      <c r="U853">
        <v>4689.3</v>
      </c>
      <c r="V853">
        <v>3063.3</v>
      </c>
      <c r="W853" t="s">
        <v>31</v>
      </c>
      <c r="X853" t="s">
        <v>32</v>
      </c>
    </row>
    <row r="854" spans="1:24">
      <c r="A854" t="s">
        <v>2402</v>
      </c>
      <c r="B854" s="2">
        <v>45875</v>
      </c>
      <c r="C854" s="2">
        <v>45821</v>
      </c>
      <c r="D854" s="5">
        <f>C854-B854</f>
        <v>-54</v>
      </c>
      <c r="E854" s="5" t="str">
        <f>IF(D854&lt;0,"INVALID","OK")</f>
        <v>INVALID</v>
      </c>
      <c r="F854" t="s">
        <v>2403</v>
      </c>
      <c r="G854" t="s">
        <v>88</v>
      </c>
      <c r="H854" t="s">
        <v>36</v>
      </c>
      <c r="I854" t="s">
        <v>24</v>
      </c>
      <c r="J854" t="s">
        <v>25</v>
      </c>
      <c r="K854" t="s">
        <v>26</v>
      </c>
      <c r="L854" t="s">
        <v>73</v>
      </c>
      <c r="M854" t="s">
        <v>79</v>
      </c>
      <c r="N854" t="s">
        <v>2404</v>
      </c>
      <c r="O854" t="s">
        <v>30</v>
      </c>
      <c r="P854">
        <v>7</v>
      </c>
      <c r="Q854">
        <v>3857.13</v>
      </c>
      <c r="R854">
        <v>0</v>
      </c>
      <c r="S854" t="str">
        <f t="shared" si="13"/>
        <v>OK</v>
      </c>
      <c r="T854">
        <v>26999.91</v>
      </c>
      <c r="U854">
        <v>17815.98</v>
      </c>
      <c r="V854">
        <v>9183.93</v>
      </c>
      <c r="W854" t="s">
        <v>31</v>
      </c>
      <c r="X854" t="s">
        <v>32</v>
      </c>
    </row>
    <row r="855" spans="1:24">
      <c r="A855" t="s">
        <v>2420</v>
      </c>
      <c r="B855" s="2">
        <v>45730</v>
      </c>
      <c r="C855" s="2">
        <v>45738</v>
      </c>
      <c r="D855" s="5">
        <f>C855-B855</f>
        <v>8</v>
      </c>
      <c r="E855" s="5" t="str">
        <f>IF(D855&lt;0,"INVALID","OK")</f>
        <v>OK</v>
      </c>
      <c r="F855" t="s">
        <v>2421</v>
      </c>
      <c r="G855" t="s">
        <v>35</v>
      </c>
      <c r="H855" t="s">
        <v>89</v>
      </c>
      <c r="I855" t="s">
        <v>37</v>
      </c>
      <c r="J855" t="s">
        <v>98</v>
      </c>
      <c r="K855" t="s">
        <v>99</v>
      </c>
      <c r="L855" t="s">
        <v>73</v>
      </c>
      <c r="M855" t="s">
        <v>79</v>
      </c>
      <c r="N855" t="s">
        <v>2422</v>
      </c>
      <c r="O855" t="s">
        <v>58</v>
      </c>
      <c r="P855">
        <v>2</v>
      </c>
      <c r="Q855">
        <v>669.63</v>
      </c>
      <c r="R855">
        <v>0.15</v>
      </c>
      <c r="S855" t="str">
        <f t="shared" si="13"/>
        <v>OK</v>
      </c>
      <c r="T855">
        <v>1138.3699999999999</v>
      </c>
      <c r="U855">
        <v>797.34</v>
      </c>
      <c r="V855">
        <v>341.03</v>
      </c>
      <c r="W855" t="s">
        <v>31</v>
      </c>
      <c r="X855" t="s">
        <v>32</v>
      </c>
    </row>
    <row r="856" spans="1:24">
      <c r="A856" t="s">
        <v>2426</v>
      </c>
      <c r="B856" s="2">
        <v>45934</v>
      </c>
      <c r="C856" s="2">
        <v>45935</v>
      </c>
      <c r="D856" s="5">
        <f>C856-B856</f>
        <v>1</v>
      </c>
      <c r="E856" s="5" t="str">
        <f>IF(D856&lt;0,"INVALID","OK")</f>
        <v>OK</v>
      </c>
      <c r="F856" t="s">
        <v>2427</v>
      </c>
      <c r="G856" t="s">
        <v>113</v>
      </c>
      <c r="H856" t="s">
        <v>89</v>
      </c>
      <c r="I856" t="s">
        <v>24</v>
      </c>
      <c r="J856" t="s">
        <v>121</v>
      </c>
      <c r="K856" t="s">
        <v>122</v>
      </c>
      <c r="L856" t="s">
        <v>73</v>
      </c>
      <c r="M856" t="s">
        <v>79</v>
      </c>
      <c r="N856" t="s">
        <v>2428</v>
      </c>
      <c r="O856" t="s">
        <v>49</v>
      </c>
      <c r="P856">
        <v>4</v>
      </c>
      <c r="Q856">
        <v>418.18</v>
      </c>
      <c r="R856">
        <v>0.05</v>
      </c>
      <c r="S856" t="str">
        <f t="shared" si="13"/>
        <v>OK</v>
      </c>
      <c r="T856">
        <v>1589.08</v>
      </c>
      <c r="U856">
        <v>1084.6600000000001</v>
      </c>
      <c r="V856">
        <v>504.42</v>
      </c>
      <c r="W856" t="s">
        <v>31</v>
      </c>
      <c r="X856" t="s">
        <v>32</v>
      </c>
    </row>
    <row r="857" spans="1:24">
      <c r="A857" t="s">
        <v>2432</v>
      </c>
      <c r="B857" s="2">
        <v>45844</v>
      </c>
      <c r="C857" s="2">
        <v>45846</v>
      </c>
      <c r="D857" s="5">
        <f>C857-B857</f>
        <v>2</v>
      </c>
      <c r="E857" s="5" t="str">
        <f>IF(D857&lt;0,"INVALID","OK")</f>
        <v>OK</v>
      </c>
      <c r="F857" t="s">
        <v>2433</v>
      </c>
      <c r="G857" t="s">
        <v>61</v>
      </c>
      <c r="H857" t="s">
        <v>89</v>
      </c>
      <c r="I857" t="s">
        <v>24</v>
      </c>
      <c r="J857" t="s">
        <v>25</v>
      </c>
      <c r="K857" t="s">
        <v>26</v>
      </c>
      <c r="L857" t="s">
        <v>40</v>
      </c>
      <c r="M857" t="s">
        <v>56</v>
      </c>
      <c r="N857" t="s">
        <v>2434</v>
      </c>
      <c r="O857" t="s">
        <v>2762</v>
      </c>
      <c r="P857">
        <v>4</v>
      </c>
      <c r="Q857">
        <v>715.45</v>
      </c>
      <c r="R857">
        <v>0.05</v>
      </c>
      <c r="S857" t="str">
        <f t="shared" si="13"/>
        <v>OK</v>
      </c>
      <c r="T857">
        <v>2718.71</v>
      </c>
      <c r="U857">
        <v>2065.0500000000002</v>
      </c>
      <c r="V857">
        <v>653.66</v>
      </c>
      <c r="W857" t="s">
        <v>101</v>
      </c>
      <c r="X857" t="s">
        <v>102</v>
      </c>
    </row>
    <row r="858" spans="1:24">
      <c r="A858" t="s">
        <v>2441</v>
      </c>
      <c r="B858" s="2">
        <v>45723</v>
      </c>
      <c r="C858" s="2">
        <v>45724</v>
      </c>
      <c r="D858" s="5">
        <f>C858-B858</f>
        <v>1</v>
      </c>
      <c r="E858" s="5" t="str">
        <f>IF(D858&lt;0,"INVALID","OK")</f>
        <v>OK</v>
      </c>
      <c r="F858" t="s">
        <v>2442</v>
      </c>
      <c r="G858" t="s">
        <v>113</v>
      </c>
      <c r="H858" t="s">
        <v>94</v>
      </c>
      <c r="I858" t="s">
        <v>2762</v>
      </c>
      <c r="J858" t="s">
        <v>25</v>
      </c>
      <c r="K858" t="s">
        <v>108</v>
      </c>
      <c r="L858" t="s">
        <v>73</v>
      </c>
      <c r="M858" t="s">
        <v>79</v>
      </c>
      <c r="N858" t="s">
        <v>2443</v>
      </c>
      <c r="O858" t="s">
        <v>43</v>
      </c>
      <c r="P858">
        <v>4</v>
      </c>
      <c r="Q858">
        <v>3537.48</v>
      </c>
      <c r="R858">
        <v>0</v>
      </c>
      <c r="S858" t="str">
        <f t="shared" si="13"/>
        <v>OK</v>
      </c>
      <c r="T858">
        <v>14149.92</v>
      </c>
      <c r="U858">
        <v>9466.51</v>
      </c>
      <c r="V858">
        <v>4683.41</v>
      </c>
      <c r="W858" t="s">
        <v>31</v>
      </c>
      <c r="X858" t="s">
        <v>32</v>
      </c>
    </row>
    <row r="859" spans="1:24">
      <c r="A859" t="s">
        <v>2450</v>
      </c>
      <c r="B859" s="2">
        <v>45812</v>
      </c>
      <c r="C859" s="2">
        <v>45816</v>
      </c>
      <c r="D859" s="5">
        <f>C859-B859</f>
        <v>4</v>
      </c>
      <c r="E859" s="5" t="str">
        <f>IF(D859&lt;0,"INVALID","OK")</f>
        <v>OK</v>
      </c>
      <c r="F859" t="s">
        <v>2451</v>
      </c>
      <c r="G859" t="s">
        <v>52</v>
      </c>
      <c r="H859" t="s">
        <v>36</v>
      </c>
      <c r="I859" t="s">
        <v>37</v>
      </c>
      <c r="J859" t="s">
        <v>165</v>
      </c>
      <c r="K859" t="s">
        <v>166</v>
      </c>
      <c r="L859" t="s">
        <v>40</v>
      </c>
      <c r="M859" t="s">
        <v>56</v>
      </c>
      <c r="N859" t="s">
        <v>2452</v>
      </c>
      <c r="O859" t="s">
        <v>30</v>
      </c>
      <c r="P859">
        <v>1</v>
      </c>
      <c r="Q859">
        <v>3501.12</v>
      </c>
      <c r="R859">
        <v>0.2</v>
      </c>
      <c r="S859" t="str">
        <f t="shared" si="13"/>
        <v>OK</v>
      </c>
      <c r="T859">
        <v>2800.9</v>
      </c>
      <c r="U859">
        <v>1735.98</v>
      </c>
      <c r="V859">
        <v>1064.92</v>
      </c>
      <c r="W859" t="s">
        <v>31</v>
      </c>
      <c r="X859" t="s">
        <v>102</v>
      </c>
    </row>
    <row r="860" spans="1:24">
      <c r="A860" t="s">
        <v>2456</v>
      </c>
      <c r="B860" s="2">
        <v>45830</v>
      </c>
      <c r="C860" s="2">
        <v>45832</v>
      </c>
      <c r="D860" s="5">
        <f>C860-B860</f>
        <v>2</v>
      </c>
      <c r="E860" s="5" t="str">
        <f>IF(D860&lt;0,"INVALID","OK")</f>
        <v>OK</v>
      </c>
      <c r="F860" t="s">
        <v>2457</v>
      </c>
      <c r="G860" t="s">
        <v>131</v>
      </c>
      <c r="H860" t="s">
        <v>89</v>
      </c>
      <c r="I860" t="s">
        <v>37</v>
      </c>
      <c r="J860" t="s">
        <v>165</v>
      </c>
      <c r="K860" t="s">
        <v>166</v>
      </c>
      <c r="L860" t="s">
        <v>27</v>
      </c>
      <c r="M860" t="s">
        <v>28</v>
      </c>
      <c r="N860" t="s">
        <v>2458</v>
      </c>
      <c r="O860" t="s">
        <v>58</v>
      </c>
      <c r="P860">
        <v>9</v>
      </c>
      <c r="Q860">
        <v>951.55</v>
      </c>
      <c r="R860">
        <v>0.15</v>
      </c>
      <c r="S860" t="str">
        <f t="shared" si="13"/>
        <v>OK</v>
      </c>
      <c r="T860">
        <v>7279.36</v>
      </c>
      <c r="U860">
        <v>4870.3900000000003</v>
      </c>
      <c r="V860">
        <v>2408.9699999999998</v>
      </c>
      <c r="W860" t="s">
        <v>31</v>
      </c>
      <c r="X860" t="s">
        <v>32</v>
      </c>
    </row>
    <row r="861" spans="1:24">
      <c r="A861" t="s">
        <v>2468</v>
      </c>
      <c r="B861" s="2">
        <v>45849</v>
      </c>
      <c r="C861" s="2">
        <v>45907</v>
      </c>
      <c r="D861" s="5">
        <f>C861-B861</f>
        <v>58</v>
      </c>
      <c r="E861" s="5" t="str">
        <f>IF(D861&lt;0,"INVALID","OK")</f>
        <v>OK</v>
      </c>
      <c r="F861" t="s">
        <v>2469</v>
      </c>
      <c r="G861" t="s">
        <v>88</v>
      </c>
      <c r="H861" t="s">
        <v>89</v>
      </c>
      <c r="I861" t="s">
        <v>24</v>
      </c>
      <c r="J861" t="s">
        <v>349</v>
      </c>
      <c r="K861" t="s">
        <v>350</v>
      </c>
      <c r="L861" t="s">
        <v>40</v>
      </c>
      <c r="M861" t="s">
        <v>56</v>
      </c>
      <c r="N861" t="s">
        <v>2470</v>
      </c>
      <c r="O861" t="s">
        <v>58</v>
      </c>
      <c r="P861">
        <v>9</v>
      </c>
      <c r="Q861">
        <v>1706.05</v>
      </c>
      <c r="R861">
        <v>0</v>
      </c>
      <c r="S861" t="str">
        <f t="shared" si="13"/>
        <v>OK</v>
      </c>
      <c r="T861">
        <v>15354.45</v>
      </c>
      <c r="U861">
        <v>9656.5</v>
      </c>
      <c r="V861">
        <v>5697.95</v>
      </c>
      <c r="W861" t="s">
        <v>31</v>
      </c>
      <c r="X861" t="s">
        <v>32</v>
      </c>
    </row>
    <row r="862" spans="1:24">
      <c r="A862" t="s">
        <v>2477</v>
      </c>
      <c r="B862" s="2">
        <v>45938</v>
      </c>
      <c r="C862" s="2">
        <v>45945</v>
      </c>
      <c r="D862" s="5">
        <f>C862-B862</f>
        <v>7</v>
      </c>
      <c r="E862" s="5" t="str">
        <f>IF(D862&lt;0,"INVALID","OK")</f>
        <v>OK</v>
      </c>
      <c r="F862" t="s">
        <v>2478</v>
      </c>
      <c r="G862" t="s">
        <v>127</v>
      </c>
      <c r="H862" t="s">
        <v>94</v>
      </c>
      <c r="I862" t="s">
        <v>37</v>
      </c>
      <c r="J862" t="s">
        <v>38</v>
      </c>
      <c r="K862" t="s">
        <v>39</v>
      </c>
      <c r="L862" t="s">
        <v>73</v>
      </c>
      <c r="M862" t="s">
        <v>74</v>
      </c>
      <c r="N862" t="s">
        <v>2479</v>
      </c>
      <c r="O862" t="s">
        <v>30</v>
      </c>
      <c r="P862">
        <v>3</v>
      </c>
      <c r="Q862">
        <v>3372.21</v>
      </c>
      <c r="R862">
        <v>0.2</v>
      </c>
      <c r="S862" t="str">
        <f t="shared" si="13"/>
        <v>OK</v>
      </c>
      <c r="T862">
        <v>8093.3</v>
      </c>
      <c r="U862">
        <v>6052.43</v>
      </c>
      <c r="V862">
        <v>2040.87</v>
      </c>
      <c r="W862" t="s">
        <v>110</v>
      </c>
      <c r="X862" t="s">
        <v>67</v>
      </c>
    </row>
    <row r="863" spans="1:24">
      <c r="A863" t="s">
        <v>2480</v>
      </c>
      <c r="B863" s="2">
        <v>45704</v>
      </c>
      <c r="C863" s="2">
        <v>45704</v>
      </c>
      <c r="D863" s="5">
        <f>C863-B863</f>
        <v>0</v>
      </c>
      <c r="E863" s="5" t="str">
        <f>IF(D863&lt;0,"INVALID","OK")</f>
        <v>OK</v>
      </c>
      <c r="F863" t="s">
        <v>2481</v>
      </c>
      <c r="G863" t="s">
        <v>140</v>
      </c>
      <c r="H863" t="s">
        <v>36</v>
      </c>
      <c r="I863" t="s">
        <v>37</v>
      </c>
      <c r="J863" t="s">
        <v>165</v>
      </c>
      <c r="K863" t="s">
        <v>166</v>
      </c>
      <c r="L863" t="s">
        <v>40</v>
      </c>
      <c r="M863" t="s">
        <v>56</v>
      </c>
      <c r="N863" t="s">
        <v>2482</v>
      </c>
      <c r="O863" t="s">
        <v>30</v>
      </c>
      <c r="P863">
        <v>6</v>
      </c>
      <c r="Q863">
        <v>1441.91</v>
      </c>
      <c r="R863">
        <v>0</v>
      </c>
      <c r="S863" t="str">
        <f t="shared" si="13"/>
        <v>OK</v>
      </c>
      <c r="T863">
        <v>8651.4599999999991</v>
      </c>
      <c r="U863">
        <v>5254.62</v>
      </c>
      <c r="V863">
        <v>3396.84</v>
      </c>
      <c r="W863" t="s">
        <v>154</v>
      </c>
      <c r="X863" t="s">
        <v>102</v>
      </c>
    </row>
    <row r="864" spans="1:24">
      <c r="A864" t="s">
        <v>2486</v>
      </c>
      <c r="B864" s="2">
        <v>45939</v>
      </c>
      <c r="C864" s="2">
        <v>45918</v>
      </c>
      <c r="D864" s="5">
        <f>C864-B864</f>
        <v>-21</v>
      </c>
      <c r="E864" s="5" t="str">
        <f>IF(D864&lt;0,"INVALID","OK")</f>
        <v>INVALID</v>
      </c>
      <c r="F864" t="s">
        <v>2487</v>
      </c>
      <c r="G864" t="s">
        <v>117</v>
      </c>
      <c r="H864" t="s">
        <v>94</v>
      </c>
      <c r="I864" t="s">
        <v>53</v>
      </c>
      <c r="J864" t="s">
        <v>54</v>
      </c>
      <c r="K864" t="s">
        <v>55</v>
      </c>
      <c r="L864" t="s">
        <v>40</v>
      </c>
      <c r="M864" t="s">
        <v>56</v>
      </c>
      <c r="N864" t="s">
        <v>2488</v>
      </c>
      <c r="O864" t="s">
        <v>58</v>
      </c>
      <c r="P864">
        <v>1</v>
      </c>
      <c r="Q864">
        <v>2050.62</v>
      </c>
      <c r="R864">
        <v>0.05</v>
      </c>
      <c r="S864" t="str">
        <f t="shared" si="13"/>
        <v>OK</v>
      </c>
      <c r="T864">
        <v>1948.09</v>
      </c>
      <c r="U864">
        <v>1507.08</v>
      </c>
      <c r="V864">
        <v>441.01</v>
      </c>
      <c r="W864" t="s">
        <v>31</v>
      </c>
      <c r="X864" t="s">
        <v>32</v>
      </c>
    </row>
    <row r="865" spans="1:24">
      <c r="A865" t="s">
        <v>2489</v>
      </c>
      <c r="B865" s="2">
        <v>45753</v>
      </c>
      <c r="C865" s="2">
        <v>45842</v>
      </c>
      <c r="D865" s="5">
        <f>C865-B865</f>
        <v>89</v>
      </c>
      <c r="E865" s="5" t="str">
        <f>IF(D865&lt;0,"INVALID","OK")</f>
        <v>OK</v>
      </c>
      <c r="F865" t="s">
        <v>2354</v>
      </c>
      <c r="G865" t="s">
        <v>113</v>
      </c>
      <c r="H865" t="s">
        <v>94</v>
      </c>
      <c r="I865" t="s">
        <v>37</v>
      </c>
      <c r="J865" t="s">
        <v>165</v>
      </c>
      <c r="K865" t="s">
        <v>166</v>
      </c>
      <c r="L865" t="s">
        <v>27</v>
      </c>
      <c r="M865" t="s">
        <v>152</v>
      </c>
      <c r="N865" t="s">
        <v>2490</v>
      </c>
      <c r="O865" t="s">
        <v>30</v>
      </c>
      <c r="P865">
        <v>2</v>
      </c>
      <c r="Q865">
        <v>2030.06</v>
      </c>
      <c r="R865">
        <v>0.25</v>
      </c>
      <c r="S865" t="str">
        <f t="shared" si="13"/>
        <v>OK</v>
      </c>
      <c r="T865">
        <v>3045.09</v>
      </c>
      <c r="U865">
        <v>2601.09</v>
      </c>
      <c r="V865">
        <v>444</v>
      </c>
      <c r="W865" t="s">
        <v>31</v>
      </c>
      <c r="X865" t="s">
        <v>32</v>
      </c>
    </row>
    <row r="866" spans="1:24">
      <c r="A866" t="s">
        <v>2494</v>
      </c>
      <c r="B866" s="2">
        <v>45695</v>
      </c>
      <c r="C866" s="2">
        <v>45696</v>
      </c>
      <c r="D866" s="5">
        <f>C866-B866</f>
        <v>1</v>
      </c>
      <c r="E866" s="5" t="str">
        <f>IF(D866&lt;0,"INVALID","OK")</f>
        <v>OK</v>
      </c>
      <c r="F866" t="s">
        <v>2495</v>
      </c>
      <c r="G866" t="s">
        <v>22</v>
      </c>
      <c r="H866" t="s">
        <v>36</v>
      </c>
      <c r="I866" t="s">
        <v>53</v>
      </c>
      <c r="J866" t="s">
        <v>54</v>
      </c>
      <c r="K866" t="s">
        <v>55</v>
      </c>
      <c r="L866" t="s">
        <v>27</v>
      </c>
      <c r="M866" t="s">
        <v>90</v>
      </c>
      <c r="N866" t="s">
        <v>2496</v>
      </c>
      <c r="O866" t="s">
        <v>58</v>
      </c>
      <c r="P866">
        <v>2</v>
      </c>
      <c r="Q866">
        <v>2432.98</v>
      </c>
      <c r="R866">
        <v>0.1</v>
      </c>
      <c r="S866" t="str">
        <f t="shared" si="13"/>
        <v>OK</v>
      </c>
      <c r="T866">
        <v>4379.3599999999997</v>
      </c>
      <c r="U866">
        <v>3723.93</v>
      </c>
      <c r="V866">
        <v>655.43</v>
      </c>
      <c r="W866" t="s">
        <v>31</v>
      </c>
      <c r="X866" t="s">
        <v>32</v>
      </c>
    </row>
    <row r="867" spans="1:24">
      <c r="A867" t="s">
        <v>2497</v>
      </c>
      <c r="B867" s="2">
        <v>45900</v>
      </c>
      <c r="C867" s="2">
        <v>45897</v>
      </c>
      <c r="D867" s="5">
        <f>C867-B867</f>
        <v>-3</v>
      </c>
      <c r="E867" s="5" t="str">
        <f>IF(D867&lt;0,"INVALID","OK")</f>
        <v>INVALID</v>
      </c>
      <c r="F867" t="s">
        <v>2498</v>
      </c>
      <c r="G867" t="s">
        <v>127</v>
      </c>
      <c r="H867" t="s">
        <v>36</v>
      </c>
      <c r="I867" t="s">
        <v>53</v>
      </c>
      <c r="J867" t="s">
        <v>246</v>
      </c>
      <c r="K867" t="s">
        <v>247</v>
      </c>
      <c r="L867" t="s">
        <v>40</v>
      </c>
      <c r="M867" t="s">
        <v>56</v>
      </c>
      <c r="N867" t="s">
        <v>2499</v>
      </c>
      <c r="O867" t="s">
        <v>49</v>
      </c>
      <c r="P867">
        <v>7</v>
      </c>
      <c r="Q867">
        <v>977.28</v>
      </c>
      <c r="R867">
        <v>0.2</v>
      </c>
      <c r="S867" t="str">
        <f t="shared" si="13"/>
        <v>OK</v>
      </c>
      <c r="T867">
        <v>5472.77</v>
      </c>
      <c r="U867">
        <v>4477.33</v>
      </c>
      <c r="V867">
        <v>995.44</v>
      </c>
      <c r="W867" t="s">
        <v>31</v>
      </c>
      <c r="X867" t="s">
        <v>32</v>
      </c>
    </row>
    <row r="868" spans="1:24">
      <c r="A868" t="s">
        <v>2500</v>
      </c>
      <c r="B868" s="2">
        <v>45833</v>
      </c>
      <c r="C868" s="2">
        <v>45833</v>
      </c>
      <c r="D868" s="5">
        <f>C868-B868</f>
        <v>0</v>
      </c>
      <c r="E868" s="5" t="str">
        <f>IF(D868&lt;0,"INVALID","OK")</f>
        <v>OK</v>
      </c>
      <c r="F868" t="s">
        <v>2501</v>
      </c>
      <c r="G868" t="s">
        <v>52</v>
      </c>
      <c r="H868" t="s">
        <v>36</v>
      </c>
      <c r="I868" t="s">
        <v>2762</v>
      </c>
      <c r="J868" t="s">
        <v>121</v>
      </c>
      <c r="K868" t="s">
        <v>122</v>
      </c>
      <c r="L868" t="s">
        <v>27</v>
      </c>
      <c r="M868" t="s">
        <v>152</v>
      </c>
      <c r="N868" t="s">
        <v>2502</v>
      </c>
      <c r="O868" t="s">
        <v>30</v>
      </c>
      <c r="P868">
        <v>6</v>
      </c>
      <c r="Q868">
        <v>1366.13</v>
      </c>
      <c r="R868">
        <v>0.1</v>
      </c>
      <c r="S868" t="str">
        <f t="shared" si="13"/>
        <v>OK</v>
      </c>
      <c r="T868">
        <v>7377.1</v>
      </c>
      <c r="U868">
        <v>5085.21</v>
      </c>
      <c r="V868">
        <v>2291.89</v>
      </c>
      <c r="W868" t="s">
        <v>31</v>
      </c>
      <c r="X868" t="s">
        <v>32</v>
      </c>
    </row>
    <row r="869" spans="1:24">
      <c r="A869" t="s">
        <v>2511</v>
      </c>
      <c r="B869" s="2">
        <v>45753</v>
      </c>
      <c r="C869" s="2">
        <v>45757</v>
      </c>
      <c r="D869" s="5">
        <f>C869-B869</f>
        <v>4</v>
      </c>
      <c r="E869" s="5" t="str">
        <f>IF(D869&lt;0,"INVALID","OK")</f>
        <v>OK</v>
      </c>
      <c r="F869" t="s">
        <v>2512</v>
      </c>
      <c r="G869" t="s">
        <v>140</v>
      </c>
      <c r="H869" t="s">
        <v>23</v>
      </c>
      <c r="I869" t="s">
        <v>37</v>
      </c>
      <c r="J869" t="s">
        <v>38</v>
      </c>
      <c r="K869" t="s">
        <v>39</v>
      </c>
      <c r="L869" t="s">
        <v>40</v>
      </c>
      <c r="M869" t="s">
        <v>157</v>
      </c>
      <c r="N869" t="s">
        <v>1122</v>
      </c>
      <c r="O869" t="s">
        <v>58</v>
      </c>
      <c r="P869">
        <v>2</v>
      </c>
      <c r="Q869">
        <v>1337.67</v>
      </c>
      <c r="R869">
        <v>0</v>
      </c>
      <c r="S869" t="str">
        <f t="shared" si="13"/>
        <v>OK</v>
      </c>
      <c r="T869">
        <v>2675.34</v>
      </c>
      <c r="U869">
        <v>1595.87</v>
      </c>
      <c r="V869">
        <v>1079.47</v>
      </c>
      <c r="W869" t="s">
        <v>31</v>
      </c>
      <c r="X869" t="s">
        <v>32</v>
      </c>
    </row>
    <row r="870" spans="1:24">
      <c r="A870" t="s">
        <v>2513</v>
      </c>
      <c r="B870" s="2">
        <v>45875</v>
      </c>
      <c r="C870" s="2">
        <v>45880</v>
      </c>
      <c r="D870" s="5">
        <f>C870-B870</f>
        <v>5</v>
      </c>
      <c r="E870" s="5" t="str">
        <f>IF(D870&lt;0,"INVALID","OK")</f>
        <v>OK</v>
      </c>
      <c r="F870" t="s">
        <v>2514</v>
      </c>
      <c r="G870" t="s">
        <v>52</v>
      </c>
      <c r="H870" t="s">
        <v>23</v>
      </c>
      <c r="I870" t="s">
        <v>62</v>
      </c>
      <c r="J870" t="s">
        <v>71</v>
      </c>
      <c r="K870" t="s">
        <v>72</v>
      </c>
      <c r="L870" t="s">
        <v>27</v>
      </c>
      <c r="M870" t="s">
        <v>90</v>
      </c>
      <c r="N870" t="s">
        <v>2515</v>
      </c>
      <c r="O870" t="s">
        <v>49</v>
      </c>
      <c r="P870">
        <v>2</v>
      </c>
      <c r="Q870">
        <v>2375.94</v>
      </c>
      <c r="R870">
        <v>0.25</v>
      </c>
      <c r="S870" t="str">
        <f t="shared" si="13"/>
        <v>OK</v>
      </c>
      <c r="T870">
        <v>3563.91</v>
      </c>
      <c r="U870">
        <v>2639.7</v>
      </c>
      <c r="V870">
        <v>924.21</v>
      </c>
      <c r="W870" t="s">
        <v>31</v>
      </c>
      <c r="X870" t="s">
        <v>32</v>
      </c>
    </row>
    <row r="871" spans="1:24">
      <c r="A871" t="s">
        <v>2522</v>
      </c>
      <c r="B871" s="2">
        <v>45752</v>
      </c>
      <c r="C871" s="2">
        <v>45752</v>
      </c>
      <c r="D871" s="5">
        <f>C871-B871</f>
        <v>0</v>
      </c>
      <c r="E871" s="5" t="str">
        <f>IF(D871&lt;0,"INVALID","OK")</f>
        <v>OK</v>
      </c>
      <c r="F871" t="s">
        <v>2523</v>
      </c>
      <c r="G871" t="s">
        <v>131</v>
      </c>
      <c r="H871" t="s">
        <v>23</v>
      </c>
      <c r="I871" t="s">
        <v>37</v>
      </c>
      <c r="J871" t="s">
        <v>144</v>
      </c>
      <c r="K871" t="s">
        <v>145</v>
      </c>
      <c r="L871" t="s">
        <v>27</v>
      </c>
      <c r="M871" t="s">
        <v>152</v>
      </c>
      <c r="N871" t="s">
        <v>2524</v>
      </c>
      <c r="O871" t="s">
        <v>58</v>
      </c>
      <c r="P871">
        <v>6</v>
      </c>
      <c r="Q871">
        <v>1829.69</v>
      </c>
      <c r="R871">
        <v>0.25</v>
      </c>
      <c r="S871" t="str">
        <f t="shared" si="13"/>
        <v>OK</v>
      </c>
      <c r="T871">
        <v>8233.6</v>
      </c>
      <c r="U871">
        <v>4713.79</v>
      </c>
      <c r="V871">
        <v>3519.81</v>
      </c>
      <c r="W871" t="s">
        <v>31</v>
      </c>
      <c r="X871" t="s">
        <v>32</v>
      </c>
    </row>
    <row r="872" spans="1:24">
      <c r="A872" t="s">
        <v>2531</v>
      </c>
      <c r="B872" s="2">
        <v>45810</v>
      </c>
      <c r="C872" s="2">
        <v>45932</v>
      </c>
      <c r="D872" s="5">
        <f>C872-B872</f>
        <v>122</v>
      </c>
      <c r="E872" s="5" t="str">
        <f>IF(D872&lt;0,"INVALID","OK")</f>
        <v>OK</v>
      </c>
      <c r="F872" t="s">
        <v>2532</v>
      </c>
      <c r="G872" t="s">
        <v>61</v>
      </c>
      <c r="H872" t="s">
        <v>94</v>
      </c>
      <c r="I872" t="s">
        <v>24</v>
      </c>
      <c r="J872" t="s">
        <v>135</v>
      </c>
      <c r="K872" t="s">
        <v>136</v>
      </c>
      <c r="L872" t="s">
        <v>40</v>
      </c>
      <c r="M872" t="s">
        <v>157</v>
      </c>
      <c r="N872" t="s">
        <v>2533</v>
      </c>
      <c r="O872" t="s">
        <v>58</v>
      </c>
      <c r="P872">
        <v>2</v>
      </c>
      <c r="Q872">
        <v>319.57</v>
      </c>
      <c r="R872">
        <v>0.2</v>
      </c>
      <c r="S872" t="str">
        <f t="shared" si="13"/>
        <v>OK</v>
      </c>
      <c r="T872">
        <v>511.31</v>
      </c>
      <c r="U872">
        <v>436.43</v>
      </c>
      <c r="V872">
        <v>74.88</v>
      </c>
      <c r="W872" t="s">
        <v>31</v>
      </c>
      <c r="X872" t="s">
        <v>32</v>
      </c>
    </row>
    <row r="873" spans="1:24">
      <c r="A873" t="s">
        <v>2540</v>
      </c>
      <c r="B873" s="2">
        <v>45663</v>
      </c>
      <c r="C873" s="2">
        <v>45669</v>
      </c>
      <c r="D873" s="5">
        <f>C873-B873</f>
        <v>6</v>
      </c>
      <c r="E873" s="5" t="str">
        <f>IF(D873&lt;0,"INVALID","OK")</f>
        <v>OK</v>
      </c>
      <c r="F873" t="s">
        <v>2541</v>
      </c>
      <c r="G873" t="s">
        <v>35</v>
      </c>
      <c r="H873" t="s">
        <v>94</v>
      </c>
      <c r="I873" t="s">
        <v>62</v>
      </c>
      <c r="J873" t="s">
        <v>189</v>
      </c>
      <c r="K873" t="s">
        <v>190</v>
      </c>
      <c r="L873" t="s">
        <v>27</v>
      </c>
      <c r="M873" t="s">
        <v>28</v>
      </c>
      <c r="N873" t="s">
        <v>2542</v>
      </c>
      <c r="O873" t="s">
        <v>43</v>
      </c>
      <c r="P873">
        <v>3</v>
      </c>
      <c r="Q873">
        <v>668.33</v>
      </c>
      <c r="R873">
        <v>0.15</v>
      </c>
      <c r="S873" t="str">
        <f t="shared" si="13"/>
        <v>OK</v>
      </c>
      <c r="T873">
        <v>1704.24</v>
      </c>
      <c r="U873">
        <v>957.55</v>
      </c>
      <c r="V873">
        <v>746.69</v>
      </c>
      <c r="W873" t="s">
        <v>31</v>
      </c>
      <c r="X873" t="s">
        <v>32</v>
      </c>
    </row>
    <row r="874" spans="1:24">
      <c r="A874" t="s">
        <v>2543</v>
      </c>
      <c r="B874" s="2">
        <v>45737</v>
      </c>
      <c r="C874" s="2">
        <v>45738</v>
      </c>
      <c r="D874" s="5">
        <f>C874-B874</f>
        <v>1</v>
      </c>
      <c r="E874" s="5" t="str">
        <f>IF(D874&lt;0,"INVALID","OK")</f>
        <v>OK</v>
      </c>
      <c r="F874" t="s">
        <v>2544</v>
      </c>
      <c r="G874" t="s">
        <v>113</v>
      </c>
      <c r="H874" t="s">
        <v>23</v>
      </c>
      <c r="I874" t="s">
        <v>62</v>
      </c>
      <c r="J874" t="s">
        <v>189</v>
      </c>
      <c r="K874" t="s">
        <v>190</v>
      </c>
      <c r="L874" t="s">
        <v>27</v>
      </c>
      <c r="M874" t="s">
        <v>28</v>
      </c>
      <c r="N874" t="s">
        <v>2545</v>
      </c>
      <c r="O874" t="s">
        <v>49</v>
      </c>
      <c r="P874">
        <v>8</v>
      </c>
      <c r="Q874">
        <v>4436.74</v>
      </c>
      <c r="R874">
        <v>0.05</v>
      </c>
      <c r="S874" t="str">
        <f t="shared" si="13"/>
        <v>OK</v>
      </c>
      <c r="T874">
        <v>33719.22</v>
      </c>
      <c r="U874">
        <v>28924.43</v>
      </c>
      <c r="V874">
        <v>4794.79</v>
      </c>
      <c r="W874" t="s">
        <v>31</v>
      </c>
      <c r="X874" t="s">
        <v>32</v>
      </c>
    </row>
    <row r="875" spans="1:24">
      <c r="A875" t="s">
        <v>2546</v>
      </c>
      <c r="B875" s="2">
        <v>45763</v>
      </c>
      <c r="C875" s="2">
        <v>45764</v>
      </c>
      <c r="D875" s="5">
        <f>C875-B875</f>
        <v>1</v>
      </c>
      <c r="E875" s="5" t="str">
        <f>IF(D875&lt;0,"INVALID","OK")</f>
        <v>OK</v>
      </c>
      <c r="F875" t="s">
        <v>2547</v>
      </c>
      <c r="G875" t="s">
        <v>70</v>
      </c>
      <c r="H875" t="s">
        <v>36</v>
      </c>
      <c r="I875" t="s">
        <v>24</v>
      </c>
      <c r="J875" t="s">
        <v>135</v>
      </c>
      <c r="K875" t="s">
        <v>136</v>
      </c>
      <c r="L875" t="s">
        <v>73</v>
      </c>
      <c r="M875" t="s">
        <v>273</v>
      </c>
      <c r="N875" t="s">
        <v>2548</v>
      </c>
      <c r="O875" t="s">
        <v>49</v>
      </c>
      <c r="P875">
        <v>1</v>
      </c>
      <c r="Q875">
        <v>2720.17</v>
      </c>
      <c r="R875">
        <v>0</v>
      </c>
      <c r="S875" t="str">
        <f t="shared" si="13"/>
        <v>OK</v>
      </c>
      <c r="T875">
        <v>2720.17</v>
      </c>
      <c r="U875">
        <v>1834.23</v>
      </c>
      <c r="V875">
        <v>885.94</v>
      </c>
      <c r="W875" t="s">
        <v>31</v>
      </c>
      <c r="X875" t="s">
        <v>32</v>
      </c>
    </row>
    <row r="876" spans="1:24">
      <c r="A876" t="s">
        <v>2549</v>
      </c>
      <c r="B876" s="2">
        <v>45879</v>
      </c>
      <c r="C876" s="2">
        <v>45883</v>
      </c>
      <c r="D876" s="5">
        <f>C876-B876</f>
        <v>4</v>
      </c>
      <c r="E876" s="5" t="str">
        <f>IF(D876&lt;0,"INVALID","OK")</f>
        <v>OK</v>
      </c>
      <c r="F876" t="s">
        <v>2550</v>
      </c>
      <c r="G876" t="s">
        <v>88</v>
      </c>
      <c r="H876" t="s">
        <v>23</v>
      </c>
      <c r="I876" t="s">
        <v>62</v>
      </c>
      <c r="J876" t="s">
        <v>25</v>
      </c>
      <c r="K876" t="s">
        <v>108</v>
      </c>
      <c r="L876" t="s">
        <v>73</v>
      </c>
      <c r="M876" t="s">
        <v>74</v>
      </c>
      <c r="N876" t="s">
        <v>2551</v>
      </c>
      <c r="O876" t="s">
        <v>58</v>
      </c>
      <c r="P876">
        <v>5</v>
      </c>
      <c r="Q876">
        <v>2190.14</v>
      </c>
      <c r="R876">
        <v>0.25</v>
      </c>
      <c r="S876" t="str">
        <f t="shared" si="13"/>
        <v>OK</v>
      </c>
      <c r="T876">
        <v>8213.02</v>
      </c>
      <c r="U876">
        <v>5569.3</v>
      </c>
      <c r="V876">
        <v>2643.72</v>
      </c>
      <c r="W876" t="s">
        <v>31</v>
      </c>
      <c r="X876" t="s">
        <v>32</v>
      </c>
    </row>
    <row r="877" spans="1:24">
      <c r="A877" t="s">
        <v>2555</v>
      </c>
      <c r="B877" s="2">
        <v>45940</v>
      </c>
      <c r="C877" s="2">
        <v>45971</v>
      </c>
      <c r="D877" s="5">
        <f>C877-B877</f>
        <v>31</v>
      </c>
      <c r="E877" s="5" t="str">
        <f>IF(D877&lt;0,"INVALID","OK")</f>
        <v>OK</v>
      </c>
      <c r="F877" t="s">
        <v>2556</v>
      </c>
      <c r="G877" t="s">
        <v>22</v>
      </c>
      <c r="H877" t="s">
        <v>89</v>
      </c>
      <c r="I877" t="s">
        <v>37</v>
      </c>
      <c r="J877" t="s">
        <v>38</v>
      </c>
      <c r="K877" t="s">
        <v>39</v>
      </c>
      <c r="L877" t="s">
        <v>40</v>
      </c>
      <c r="M877" t="s">
        <v>65</v>
      </c>
      <c r="N877" t="s">
        <v>2557</v>
      </c>
      <c r="O877" t="s">
        <v>30</v>
      </c>
      <c r="P877">
        <v>7</v>
      </c>
      <c r="Q877">
        <v>3791.96</v>
      </c>
      <c r="R877">
        <v>0.05</v>
      </c>
      <c r="S877" t="str">
        <f t="shared" si="13"/>
        <v>OK</v>
      </c>
      <c r="T877">
        <v>25216.53</v>
      </c>
      <c r="U877">
        <v>14216.94</v>
      </c>
      <c r="V877">
        <v>10999.59</v>
      </c>
      <c r="W877" t="s">
        <v>154</v>
      </c>
      <c r="X877" t="s">
        <v>67</v>
      </c>
    </row>
    <row r="878" spans="1:24">
      <c r="A878" t="s">
        <v>2561</v>
      </c>
      <c r="B878" s="2">
        <v>45853</v>
      </c>
      <c r="C878" s="2">
        <v>45856</v>
      </c>
      <c r="D878" s="5">
        <f>C878-B878</f>
        <v>3</v>
      </c>
      <c r="E878" s="5" t="str">
        <f>IF(D878&lt;0,"INVALID","OK")</f>
        <v>OK</v>
      </c>
      <c r="F878" t="s">
        <v>2562</v>
      </c>
      <c r="G878" t="s">
        <v>88</v>
      </c>
      <c r="H878" t="s">
        <v>36</v>
      </c>
      <c r="I878" t="s">
        <v>2762</v>
      </c>
      <c r="J878" t="s">
        <v>246</v>
      </c>
      <c r="K878" t="s">
        <v>247</v>
      </c>
      <c r="L878" t="s">
        <v>73</v>
      </c>
      <c r="M878" t="s">
        <v>273</v>
      </c>
      <c r="N878" t="s">
        <v>2563</v>
      </c>
      <c r="O878" t="s">
        <v>49</v>
      </c>
      <c r="P878">
        <v>6</v>
      </c>
      <c r="Q878">
        <v>2382.88</v>
      </c>
      <c r="R878">
        <v>0.1</v>
      </c>
      <c r="S878" t="str">
        <f t="shared" si="13"/>
        <v>OK</v>
      </c>
      <c r="T878">
        <v>12867.55</v>
      </c>
      <c r="U878">
        <v>10068.94</v>
      </c>
      <c r="V878">
        <v>2798.61</v>
      </c>
      <c r="W878" t="s">
        <v>31</v>
      </c>
      <c r="X878" t="s">
        <v>32</v>
      </c>
    </row>
    <row r="879" spans="1:24">
      <c r="A879" t="s">
        <v>2564</v>
      </c>
      <c r="B879" s="2">
        <v>45750</v>
      </c>
      <c r="C879" s="2">
        <v>45720</v>
      </c>
      <c r="D879" s="5">
        <f>C879-B879</f>
        <v>-30</v>
      </c>
      <c r="E879" s="5" t="str">
        <f>IF(D879&lt;0,"INVALID","OK")</f>
        <v>INVALID</v>
      </c>
      <c r="F879" t="s">
        <v>2565</v>
      </c>
      <c r="G879" t="s">
        <v>161</v>
      </c>
      <c r="H879" t="s">
        <v>94</v>
      </c>
      <c r="I879" t="s">
        <v>2762</v>
      </c>
      <c r="J879" t="s">
        <v>235</v>
      </c>
      <c r="K879" t="s">
        <v>236</v>
      </c>
      <c r="L879" t="s">
        <v>40</v>
      </c>
      <c r="M879" t="s">
        <v>65</v>
      </c>
      <c r="N879" t="s">
        <v>2566</v>
      </c>
      <c r="O879" t="s">
        <v>49</v>
      </c>
      <c r="P879">
        <v>9</v>
      </c>
      <c r="Q879">
        <v>3462.7</v>
      </c>
      <c r="R879">
        <v>0.15</v>
      </c>
      <c r="S879" t="str">
        <f t="shared" si="13"/>
        <v>OK</v>
      </c>
      <c r="T879">
        <v>26489.65</v>
      </c>
      <c r="U879">
        <v>15818.46</v>
      </c>
      <c r="V879">
        <v>10671.19</v>
      </c>
      <c r="W879" t="s">
        <v>154</v>
      </c>
      <c r="X879" t="s">
        <v>102</v>
      </c>
    </row>
    <row r="880" spans="1:24">
      <c r="A880" t="s">
        <v>2567</v>
      </c>
      <c r="B880" s="2">
        <v>45803</v>
      </c>
      <c r="C880" s="2">
        <v>45805</v>
      </c>
      <c r="D880" s="5">
        <f>C880-B880</f>
        <v>2</v>
      </c>
      <c r="E880" s="5" t="str">
        <f>IF(D880&lt;0,"INVALID","OK")</f>
        <v>OK</v>
      </c>
      <c r="F880" t="s">
        <v>2568</v>
      </c>
      <c r="G880" t="s">
        <v>263</v>
      </c>
      <c r="H880" t="s">
        <v>36</v>
      </c>
      <c r="I880" t="s">
        <v>53</v>
      </c>
      <c r="J880" t="s">
        <v>83</v>
      </c>
      <c r="K880" t="s">
        <v>84</v>
      </c>
      <c r="L880" t="s">
        <v>73</v>
      </c>
      <c r="M880" t="s">
        <v>170</v>
      </c>
      <c r="N880" t="s">
        <v>2569</v>
      </c>
      <c r="O880" t="s">
        <v>30</v>
      </c>
      <c r="P880">
        <v>9</v>
      </c>
      <c r="Q880">
        <v>4302.0200000000004</v>
      </c>
      <c r="R880">
        <v>0.05</v>
      </c>
      <c r="S880" t="str">
        <f t="shared" si="13"/>
        <v>OK</v>
      </c>
      <c r="T880">
        <v>36782.269999999997</v>
      </c>
      <c r="U880">
        <v>25902.81</v>
      </c>
      <c r="V880">
        <v>10879.46</v>
      </c>
      <c r="W880" t="s">
        <v>31</v>
      </c>
      <c r="X880" t="s">
        <v>32</v>
      </c>
    </row>
    <row r="881" spans="1:24">
      <c r="A881" t="s">
        <v>2576</v>
      </c>
      <c r="B881" s="2">
        <v>45926</v>
      </c>
      <c r="C881" s="2">
        <v>45757</v>
      </c>
      <c r="D881" s="5">
        <f>C881-B881</f>
        <v>-169</v>
      </c>
      <c r="E881" s="5" t="str">
        <f>IF(D881&lt;0,"INVALID","OK")</f>
        <v>INVALID</v>
      </c>
      <c r="F881" t="s">
        <v>2577</v>
      </c>
      <c r="G881" t="s">
        <v>113</v>
      </c>
      <c r="H881" t="s">
        <v>36</v>
      </c>
      <c r="I881" t="s">
        <v>37</v>
      </c>
      <c r="J881" t="s">
        <v>165</v>
      </c>
      <c r="K881" t="s">
        <v>166</v>
      </c>
      <c r="L881" t="s">
        <v>73</v>
      </c>
      <c r="M881" t="s">
        <v>170</v>
      </c>
      <c r="N881" t="s">
        <v>2578</v>
      </c>
      <c r="O881" t="s">
        <v>30</v>
      </c>
      <c r="P881">
        <v>7</v>
      </c>
      <c r="Q881">
        <v>1509.59</v>
      </c>
      <c r="R881">
        <v>0.05</v>
      </c>
      <c r="S881" t="str">
        <f t="shared" si="13"/>
        <v>OK</v>
      </c>
      <c r="T881">
        <v>10038.77</v>
      </c>
      <c r="U881">
        <v>5673.1</v>
      </c>
      <c r="V881">
        <v>4365.67</v>
      </c>
      <c r="W881" t="s">
        <v>31</v>
      </c>
      <c r="X881" t="s">
        <v>32</v>
      </c>
    </row>
    <row r="882" spans="1:24">
      <c r="A882" t="s">
        <v>2582</v>
      </c>
      <c r="B882" s="2">
        <v>45927</v>
      </c>
      <c r="C882" s="2">
        <v>45928</v>
      </c>
      <c r="D882" s="5">
        <f>C882-B882</f>
        <v>1</v>
      </c>
      <c r="E882" s="5" t="str">
        <f>IF(D882&lt;0,"INVALID","OK")</f>
        <v>OK</v>
      </c>
      <c r="F882" t="s">
        <v>2583</v>
      </c>
      <c r="G882" t="s">
        <v>22</v>
      </c>
      <c r="H882" t="s">
        <v>94</v>
      </c>
      <c r="I882" t="s">
        <v>62</v>
      </c>
      <c r="J882" t="s">
        <v>63</v>
      </c>
      <c r="K882" t="s">
        <v>64</v>
      </c>
      <c r="L882" t="s">
        <v>27</v>
      </c>
      <c r="M882" t="s">
        <v>28</v>
      </c>
      <c r="N882" t="s">
        <v>2584</v>
      </c>
      <c r="O882" t="s">
        <v>49</v>
      </c>
      <c r="P882">
        <v>3</v>
      </c>
      <c r="Q882">
        <v>4177.63</v>
      </c>
      <c r="R882">
        <v>0.25</v>
      </c>
      <c r="S882" t="str">
        <f t="shared" si="13"/>
        <v>OK</v>
      </c>
      <c r="T882">
        <v>9399.67</v>
      </c>
      <c r="U882">
        <v>6540.37</v>
      </c>
      <c r="V882">
        <v>2859.3</v>
      </c>
      <c r="W882" t="s">
        <v>31</v>
      </c>
      <c r="X882" t="s">
        <v>32</v>
      </c>
    </row>
    <row r="883" spans="1:24">
      <c r="A883" t="s">
        <v>2585</v>
      </c>
      <c r="B883" s="2">
        <v>45750</v>
      </c>
      <c r="C883" s="2">
        <v>45754</v>
      </c>
      <c r="D883" s="5">
        <f>C883-B883</f>
        <v>4</v>
      </c>
      <c r="E883" s="5" t="str">
        <f>IF(D883&lt;0,"INVALID","OK")</f>
        <v>OK</v>
      </c>
      <c r="F883" t="s">
        <v>2586</v>
      </c>
      <c r="G883" t="s">
        <v>61</v>
      </c>
      <c r="H883" t="s">
        <v>36</v>
      </c>
      <c r="I883" t="s">
        <v>62</v>
      </c>
      <c r="J883" t="s">
        <v>189</v>
      </c>
      <c r="K883" t="s">
        <v>190</v>
      </c>
      <c r="L883" t="s">
        <v>27</v>
      </c>
      <c r="M883" t="s">
        <v>28</v>
      </c>
      <c r="N883" t="s">
        <v>2587</v>
      </c>
      <c r="O883" t="s">
        <v>43</v>
      </c>
      <c r="P883">
        <v>1</v>
      </c>
      <c r="Q883">
        <v>1470.57</v>
      </c>
      <c r="R883">
        <v>0</v>
      </c>
      <c r="S883" t="str">
        <f t="shared" si="13"/>
        <v>OK</v>
      </c>
      <c r="T883">
        <v>1470.57</v>
      </c>
      <c r="U883">
        <v>834.02</v>
      </c>
      <c r="V883">
        <v>636.54999999999995</v>
      </c>
      <c r="W883" t="s">
        <v>31</v>
      </c>
      <c r="X883" t="s">
        <v>102</v>
      </c>
    </row>
    <row r="884" spans="1:24">
      <c r="A884" t="s">
        <v>2591</v>
      </c>
      <c r="B884" s="2">
        <v>45919</v>
      </c>
      <c r="C884" s="2">
        <v>45919</v>
      </c>
      <c r="D884" s="5">
        <f>C884-B884</f>
        <v>0</v>
      </c>
      <c r="E884" s="5" t="str">
        <f>IF(D884&lt;0,"INVALID","OK")</f>
        <v>OK</v>
      </c>
      <c r="F884" t="s">
        <v>2592</v>
      </c>
      <c r="G884" t="s">
        <v>78</v>
      </c>
      <c r="H884" t="s">
        <v>94</v>
      </c>
      <c r="I884" t="s">
        <v>24</v>
      </c>
      <c r="J884" t="s">
        <v>349</v>
      </c>
      <c r="K884" t="s">
        <v>350</v>
      </c>
      <c r="L884" t="s">
        <v>40</v>
      </c>
      <c r="M884" t="s">
        <v>65</v>
      </c>
      <c r="N884" t="s">
        <v>2593</v>
      </c>
      <c r="O884" t="s">
        <v>43</v>
      </c>
      <c r="P884">
        <v>4</v>
      </c>
      <c r="Q884">
        <v>1584.11</v>
      </c>
      <c r="R884">
        <v>0</v>
      </c>
      <c r="S884" t="str">
        <f t="shared" si="13"/>
        <v>OK</v>
      </c>
      <c r="T884">
        <v>6336.44</v>
      </c>
      <c r="U884">
        <v>4680.68</v>
      </c>
      <c r="V884">
        <v>1655.76</v>
      </c>
      <c r="W884" t="s">
        <v>31</v>
      </c>
      <c r="X884" t="s">
        <v>32</v>
      </c>
    </row>
    <row r="885" spans="1:24">
      <c r="A885" t="s">
        <v>2594</v>
      </c>
      <c r="B885" s="2">
        <v>45694</v>
      </c>
      <c r="C885" s="2">
        <v>45700</v>
      </c>
      <c r="D885" s="5">
        <f>C885-B885</f>
        <v>6</v>
      </c>
      <c r="E885" s="5" t="str">
        <f>IF(D885&lt;0,"INVALID","OK")</f>
        <v>OK</v>
      </c>
      <c r="F885" t="s">
        <v>2595</v>
      </c>
      <c r="G885" t="s">
        <v>61</v>
      </c>
      <c r="H885" t="s">
        <v>36</v>
      </c>
      <c r="I885" t="s">
        <v>37</v>
      </c>
      <c r="J885" t="s">
        <v>144</v>
      </c>
      <c r="K885" t="s">
        <v>145</v>
      </c>
      <c r="L885" t="s">
        <v>27</v>
      </c>
      <c r="M885" t="s">
        <v>47</v>
      </c>
      <c r="N885" t="s">
        <v>2596</v>
      </c>
      <c r="O885" t="s">
        <v>58</v>
      </c>
      <c r="P885">
        <v>9</v>
      </c>
      <c r="Q885">
        <v>3237.16</v>
      </c>
      <c r="R885">
        <v>0.25</v>
      </c>
      <c r="S885" t="str">
        <f t="shared" si="13"/>
        <v>OK</v>
      </c>
      <c r="T885">
        <v>21850.83</v>
      </c>
      <c r="U885">
        <v>16600.13</v>
      </c>
      <c r="V885">
        <v>5250.7</v>
      </c>
      <c r="W885" t="s">
        <v>31</v>
      </c>
      <c r="X885" t="s">
        <v>32</v>
      </c>
    </row>
    <row r="886" spans="1:24">
      <c r="A886" t="s">
        <v>2600</v>
      </c>
      <c r="B886" s="2">
        <v>45856</v>
      </c>
      <c r="C886" s="2">
        <v>45863</v>
      </c>
      <c r="D886" s="5">
        <f>C886-B886</f>
        <v>7</v>
      </c>
      <c r="E886" s="5" t="str">
        <f>IF(D886&lt;0,"INVALID","OK")</f>
        <v>OK</v>
      </c>
      <c r="F886" t="s">
        <v>2601</v>
      </c>
      <c r="G886" t="s">
        <v>113</v>
      </c>
      <c r="H886" t="s">
        <v>36</v>
      </c>
      <c r="I886" t="s">
        <v>24</v>
      </c>
      <c r="J886" t="s">
        <v>135</v>
      </c>
      <c r="K886" t="s">
        <v>136</v>
      </c>
      <c r="L886" t="s">
        <v>73</v>
      </c>
      <c r="M886" t="s">
        <v>170</v>
      </c>
      <c r="N886" t="s">
        <v>2602</v>
      </c>
      <c r="O886" t="s">
        <v>49</v>
      </c>
      <c r="P886">
        <v>9</v>
      </c>
      <c r="Q886">
        <v>3989.52</v>
      </c>
      <c r="R886">
        <v>-0.02</v>
      </c>
      <c r="S886" t="str">
        <f t="shared" si="13"/>
        <v>INVALID</v>
      </c>
      <c r="T886">
        <v>35905.68</v>
      </c>
      <c r="U886">
        <v>23916.1</v>
      </c>
      <c r="V886">
        <v>11989.58</v>
      </c>
      <c r="W886" t="s">
        <v>31</v>
      </c>
      <c r="X886" t="s">
        <v>32</v>
      </c>
    </row>
    <row r="887" spans="1:24">
      <c r="A887" t="s">
        <v>2603</v>
      </c>
      <c r="B887" s="2">
        <v>45677</v>
      </c>
      <c r="C887" s="2">
        <v>45682</v>
      </c>
      <c r="D887" s="5">
        <f>C887-B887</f>
        <v>5</v>
      </c>
      <c r="E887" s="5" t="str">
        <f>IF(D887&lt;0,"INVALID","OK")</f>
        <v>OK</v>
      </c>
      <c r="F887" t="s">
        <v>2604</v>
      </c>
      <c r="G887" t="s">
        <v>88</v>
      </c>
      <c r="H887" t="s">
        <v>94</v>
      </c>
      <c r="I887" t="s">
        <v>62</v>
      </c>
      <c r="J887" t="s">
        <v>189</v>
      </c>
      <c r="K887" t="s">
        <v>190</v>
      </c>
      <c r="L887" t="s">
        <v>27</v>
      </c>
      <c r="M887" t="s">
        <v>47</v>
      </c>
      <c r="N887" t="s">
        <v>2605</v>
      </c>
      <c r="O887" t="s">
        <v>49</v>
      </c>
      <c r="P887">
        <v>1</v>
      </c>
      <c r="Q887">
        <v>3515.15</v>
      </c>
      <c r="R887">
        <v>0</v>
      </c>
      <c r="S887" t="str">
        <f t="shared" si="13"/>
        <v>OK</v>
      </c>
      <c r="T887">
        <v>3515.15</v>
      </c>
      <c r="U887">
        <v>2216.34</v>
      </c>
      <c r="V887">
        <v>1298.81</v>
      </c>
      <c r="W887" t="s">
        <v>31</v>
      </c>
      <c r="X887" t="s">
        <v>32</v>
      </c>
    </row>
    <row r="888" spans="1:24">
      <c r="A888" t="s">
        <v>2611</v>
      </c>
      <c r="B888" s="2">
        <v>45797</v>
      </c>
      <c r="C888" s="2">
        <v>45799</v>
      </c>
      <c r="D888" s="5">
        <f>C888-B888</f>
        <v>2</v>
      </c>
      <c r="E888" s="5" t="str">
        <f>IF(D888&lt;0,"INVALID","OK")</f>
        <v>OK</v>
      </c>
      <c r="F888" t="s">
        <v>2612</v>
      </c>
      <c r="G888" t="s">
        <v>161</v>
      </c>
      <c r="H888" t="s">
        <v>94</v>
      </c>
      <c r="I888" t="s">
        <v>37</v>
      </c>
      <c r="J888" t="s">
        <v>38</v>
      </c>
      <c r="K888" t="s">
        <v>39</v>
      </c>
      <c r="L888" t="s">
        <v>40</v>
      </c>
      <c r="M888" t="s">
        <v>41</v>
      </c>
      <c r="N888" t="s">
        <v>2613</v>
      </c>
      <c r="O888" t="s">
        <v>30</v>
      </c>
      <c r="P888">
        <v>2</v>
      </c>
      <c r="Q888">
        <v>210.08</v>
      </c>
      <c r="R888">
        <v>0.2</v>
      </c>
      <c r="S888" t="str">
        <f t="shared" si="13"/>
        <v>OK</v>
      </c>
      <c r="T888">
        <v>336.13</v>
      </c>
      <c r="U888">
        <v>242.19</v>
      </c>
      <c r="V888">
        <v>93.94</v>
      </c>
      <c r="W888" t="s">
        <v>31</v>
      </c>
      <c r="X888" t="s">
        <v>32</v>
      </c>
    </row>
    <row r="889" spans="1:24">
      <c r="A889" t="s">
        <v>2614</v>
      </c>
      <c r="B889" s="2">
        <v>45804</v>
      </c>
      <c r="C889" s="2">
        <v>45806</v>
      </c>
      <c r="D889" s="5">
        <f>C889-B889</f>
        <v>2</v>
      </c>
      <c r="E889" s="5" t="str">
        <f>IF(D889&lt;0,"INVALID","OK")</f>
        <v>OK</v>
      </c>
      <c r="F889" t="s">
        <v>2615</v>
      </c>
      <c r="G889" t="s">
        <v>117</v>
      </c>
      <c r="H889" t="s">
        <v>94</v>
      </c>
      <c r="I889" t="s">
        <v>53</v>
      </c>
      <c r="J889" t="s">
        <v>246</v>
      </c>
      <c r="K889" t="s">
        <v>247</v>
      </c>
      <c r="L889" t="s">
        <v>40</v>
      </c>
      <c r="M889" t="s">
        <v>56</v>
      </c>
      <c r="N889" t="s">
        <v>2616</v>
      </c>
      <c r="O889" t="s">
        <v>30</v>
      </c>
      <c r="P889">
        <v>1</v>
      </c>
      <c r="Q889">
        <v>1744.35</v>
      </c>
      <c r="R889">
        <v>0.25</v>
      </c>
      <c r="S889" t="str">
        <f t="shared" si="13"/>
        <v>OK</v>
      </c>
      <c r="T889">
        <v>1308.26</v>
      </c>
      <c r="U889">
        <v>1083.56</v>
      </c>
      <c r="V889">
        <v>224.7</v>
      </c>
      <c r="W889" t="s">
        <v>31</v>
      </c>
      <c r="X889" t="s">
        <v>32</v>
      </c>
    </row>
    <row r="890" spans="1:24">
      <c r="A890" t="s">
        <v>2629</v>
      </c>
      <c r="B890" s="2">
        <v>45793</v>
      </c>
      <c r="C890" s="2">
        <v>45799</v>
      </c>
      <c r="D890" s="5">
        <f>C890-B890</f>
        <v>6</v>
      </c>
      <c r="E890" s="5" t="str">
        <f>IF(D890&lt;0,"INVALID","OK")</f>
        <v>OK</v>
      </c>
      <c r="F890" t="s">
        <v>2630</v>
      </c>
      <c r="G890" t="s">
        <v>52</v>
      </c>
      <c r="H890" t="s">
        <v>89</v>
      </c>
      <c r="I890" t="s">
        <v>53</v>
      </c>
      <c r="J890" t="s">
        <v>246</v>
      </c>
      <c r="K890" t="s">
        <v>247</v>
      </c>
      <c r="L890" t="s">
        <v>73</v>
      </c>
      <c r="M890" t="s">
        <v>74</v>
      </c>
      <c r="N890" t="s">
        <v>2631</v>
      </c>
      <c r="O890" t="s">
        <v>43</v>
      </c>
      <c r="P890">
        <v>8</v>
      </c>
      <c r="Q890">
        <v>579.79999999999995</v>
      </c>
      <c r="R890">
        <v>0.2</v>
      </c>
      <c r="S890" t="str">
        <f t="shared" si="13"/>
        <v>OK</v>
      </c>
      <c r="T890">
        <v>3710.72</v>
      </c>
      <c r="U890">
        <v>3115.29</v>
      </c>
      <c r="V890">
        <v>595.42999999999995</v>
      </c>
      <c r="W890" t="s">
        <v>31</v>
      </c>
      <c r="X890" t="s">
        <v>32</v>
      </c>
    </row>
    <row r="891" spans="1:24">
      <c r="A891" t="s">
        <v>2632</v>
      </c>
      <c r="B891" s="2">
        <v>45741</v>
      </c>
      <c r="C891" s="2">
        <v>45749</v>
      </c>
      <c r="D891" s="5">
        <f>C891-B891</f>
        <v>8</v>
      </c>
      <c r="E891" s="5" t="str">
        <f>IF(D891&lt;0,"INVALID","OK")</f>
        <v>OK</v>
      </c>
      <c r="F891" t="s">
        <v>2633</v>
      </c>
      <c r="G891" t="s">
        <v>113</v>
      </c>
      <c r="H891" t="s">
        <v>23</v>
      </c>
      <c r="I891" t="s">
        <v>53</v>
      </c>
      <c r="J891" t="s">
        <v>174</v>
      </c>
      <c r="K891" t="s">
        <v>175</v>
      </c>
      <c r="L891" t="s">
        <v>40</v>
      </c>
      <c r="M891" t="s">
        <v>157</v>
      </c>
      <c r="N891" t="s">
        <v>2634</v>
      </c>
      <c r="O891" t="s">
        <v>30</v>
      </c>
      <c r="P891">
        <v>4</v>
      </c>
      <c r="Q891">
        <v>2233.64</v>
      </c>
      <c r="R891">
        <v>0.05</v>
      </c>
      <c r="S891" t="str">
        <f t="shared" si="13"/>
        <v>OK</v>
      </c>
      <c r="T891">
        <v>8487.83</v>
      </c>
      <c r="U891">
        <v>5245.72</v>
      </c>
      <c r="V891">
        <v>3242.11</v>
      </c>
      <c r="W891" t="s">
        <v>31</v>
      </c>
      <c r="X891" t="s">
        <v>32</v>
      </c>
    </row>
    <row r="892" spans="1:24">
      <c r="A892" t="s">
        <v>2650</v>
      </c>
      <c r="B892" s="2">
        <v>45724</v>
      </c>
      <c r="C892" s="2">
        <v>45725</v>
      </c>
      <c r="D892" s="5">
        <f>C892-B892</f>
        <v>1</v>
      </c>
      <c r="E892" s="5" t="str">
        <f>IF(D892&lt;0,"INVALID","OK")</f>
        <v>OK</v>
      </c>
      <c r="F892" t="s">
        <v>2651</v>
      </c>
      <c r="G892" t="s">
        <v>113</v>
      </c>
      <c r="H892" t="s">
        <v>94</v>
      </c>
      <c r="I892" t="s">
        <v>24</v>
      </c>
      <c r="J892" t="s">
        <v>349</v>
      </c>
      <c r="K892" t="s">
        <v>350</v>
      </c>
      <c r="L892" t="s">
        <v>40</v>
      </c>
      <c r="M892" t="s">
        <v>56</v>
      </c>
      <c r="N892" t="s">
        <v>2652</v>
      </c>
      <c r="O892" t="s">
        <v>43</v>
      </c>
      <c r="P892">
        <v>4</v>
      </c>
      <c r="Q892">
        <v>3405.68</v>
      </c>
      <c r="R892">
        <v>0.2</v>
      </c>
      <c r="S892" t="str">
        <f t="shared" si="13"/>
        <v>OK</v>
      </c>
      <c r="T892">
        <v>10898.18</v>
      </c>
      <c r="U892">
        <v>6231.41</v>
      </c>
      <c r="V892">
        <v>4666.7700000000004</v>
      </c>
      <c r="W892" t="s">
        <v>31</v>
      </c>
      <c r="X892" t="s">
        <v>32</v>
      </c>
    </row>
    <row r="893" spans="1:24">
      <c r="A893" t="s">
        <v>2653</v>
      </c>
      <c r="B893" s="2">
        <v>45742</v>
      </c>
      <c r="C893" s="2">
        <v>45747</v>
      </c>
      <c r="D893" s="5">
        <f>C893-B893</f>
        <v>5</v>
      </c>
      <c r="E893" s="5" t="str">
        <f>IF(D893&lt;0,"INVALID","OK")</f>
        <v>OK</v>
      </c>
      <c r="F893" t="s">
        <v>2654</v>
      </c>
      <c r="G893" t="s">
        <v>113</v>
      </c>
      <c r="H893" t="s">
        <v>36</v>
      </c>
      <c r="I893" t="s">
        <v>37</v>
      </c>
      <c r="J893" t="s">
        <v>227</v>
      </c>
      <c r="K893" t="s">
        <v>228</v>
      </c>
      <c r="L893" t="s">
        <v>27</v>
      </c>
      <c r="M893" t="s">
        <v>152</v>
      </c>
      <c r="N893" t="s">
        <v>2655</v>
      </c>
      <c r="O893" t="s">
        <v>49</v>
      </c>
      <c r="P893">
        <v>5</v>
      </c>
      <c r="Q893">
        <v>1395.14</v>
      </c>
      <c r="R893">
        <v>0</v>
      </c>
      <c r="S893" t="str">
        <f t="shared" si="13"/>
        <v>OK</v>
      </c>
      <c r="T893">
        <v>6975.7</v>
      </c>
      <c r="U893">
        <v>4797.88</v>
      </c>
      <c r="V893">
        <v>2177.8200000000002</v>
      </c>
      <c r="W893" t="s">
        <v>31</v>
      </c>
      <c r="X893" t="s">
        <v>67</v>
      </c>
    </row>
    <row r="894" spans="1:24">
      <c r="A894" t="s">
        <v>2656</v>
      </c>
      <c r="B894" s="2">
        <v>45906</v>
      </c>
      <c r="C894" s="2">
        <v>45908</v>
      </c>
      <c r="D894" s="5">
        <f>C894-B894</f>
        <v>2</v>
      </c>
      <c r="E894" s="5" t="str">
        <f>IF(D894&lt;0,"INVALID","OK")</f>
        <v>OK</v>
      </c>
      <c r="F894" t="s">
        <v>2657</v>
      </c>
      <c r="G894" t="s">
        <v>127</v>
      </c>
      <c r="H894" t="s">
        <v>94</v>
      </c>
      <c r="I894" t="s">
        <v>62</v>
      </c>
      <c r="J894" t="s">
        <v>71</v>
      </c>
      <c r="K894" t="s">
        <v>72</v>
      </c>
      <c r="L894" t="s">
        <v>40</v>
      </c>
      <c r="M894" t="s">
        <v>56</v>
      </c>
      <c r="N894" t="s">
        <v>2658</v>
      </c>
      <c r="O894" t="s">
        <v>43</v>
      </c>
      <c r="P894">
        <v>3</v>
      </c>
      <c r="Q894">
        <v>2937.23</v>
      </c>
      <c r="R894">
        <v>0</v>
      </c>
      <c r="S894" t="str">
        <f t="shared" si="13"/>
        <v>OK</v>
      </c>
      <c r="T894">
        <v>8811.69</v>
      </c>
      <c r="U894">
        <v>6765.91</v>
      </c>
      <c r="V894">
        <v>2045.78</v>
      </c>
      <c r="W894" t="s">
        <v>31</v>
      </c>
      <c r="X894" t="s">
        <v>32</v>
      </c>
    </row>
    <row r="895" spans="1:24">
      <c r="A895" t="s">
        <v>2659</v>
      </c>
      <c r="B895" s="2">
        <v>45902</v>
      </c>
      <c r="C895" s="2">
        <v>45786</v>
      </c>
      <c r="D895" s="5">
        <f>C895-B895</f>
        <v>-116</v>
      </c>
      <c r="E895" s="5" t="str">
        <f>IF(D895&lt;0,"INVALID","OK")</f>
        <v>INVALID</v>
      </c>
      <c r="F895" t="s">
        <v>2660</v>
      </c>
      <c r="G895" t="s">
        <v>70</v>
      </c>
      <c r="H895" t="s">
        <v>23</v>
      </c>
      <c r="I895" t="s">
        <v>53</v>
      </c>
      <c r="J895" t="s">
        <v>246</v>
      </c>
      <c r="K895" t="s">
        <v>247</v>
      </c>
      <c r="L895" t="s">
        <v>73</v>
      </c>
      <c r="M895" t="s">
        <v>170</v>
      </c>
      <c r="N895" t="s">
        <v>2661</v>
      </c>
      <c r="O895" t="s">
        <v>49</v>
      </c>
      <c r="P895">
        <v>5</v>
      </c>
      <c r="Q895">
        <v>3406.87</v>
      </c>
      <c r="R895">
        <v>0</v>
      </c>
      <c r="S895" t="str">
        <f t="shared" si="13"/>
        <v>OK</v>
      </c>
      <c r="T895">
        <v>17034.349999999999</v>
      </c>
      <c r="U895">
        <v>14631.36</v>
      </c>
      <c r="V895">
        <v>2402.9899999999998</v>
      </c>
      <c r="W895" t="s">
        <v>31</v>
      </c>
      <c r="X895" t="s">
        <v>32</v>
      </c>
    </row>
    <row r="896" spans="1:24">
      <c r="A896" t="s">
        <v>2662</v>
      </c>
      <c r="B896" s="2">
        <v>45810</v>
      </c>
      <c r="C896" s="2">
        <v>45702</v>
      </c>
      <c r="D896" s="5">
        <f>C896-B896</f>
        <v>-108</v>
      </c>
      <c r="E896" s="5" t="str">
        <f>IF(D896&lt;0,"INVALID","OK")</f>
        <v>INVALID</v>
      </c>
      <c r="F896" t="s">
        <v>2663</v>
      </c>
      <c r="G896" t="s">
        <v>263</v>
      </c>
      <c r="H896" t="s">
        <v>23</v>
      </c>
      <c r="I896" t="s">
        <v>62</v>
      </c>
      <c r="J896" t="s">
        <v>63</v>
      </c>
      <c r="K896" t="s">
        <v>64</v>
      </c>
      <c r="L896" t="s">
        <v>27</v>
      </c>
      <c r="M896" t="s">
        <v>90</v>
      </c>
      <c r="N896" t="s">
        <v>2664</v>
      </c>
      <c r="O896" t="s">
        <v>30</v>
      </c>
      <c r="P896">
        <v>2</v>
      </c>
      <c r="Q896">
        <v>3992.04</v>
      </c>
      <c r="R896">
        <v>0</v>
      </c>
      <c r="S896" t="str">
        <f t="shared" si="13"/>
        <v>OK</v>
      </c>
      <c r="T896">
        <v>7984.08</v>
      </c>
      <c r="U896">
        <v>5658.05</v>
      </c>
      <c r="V896">
        <v>2326.0300000000002</v>
      </c>
      <c r="W896" t="s">
        <v>31</v>
      </c>
      <c r="X896" t="s">
        <v>32</v>
      </c>
    </row>
    <row r="897" spans="1:24">
      <c r="A897" t="s">
        <v>2665</v>
      </c>
      <c r="B897" s="2">
        <v>45714</v>
      </c>
      <c r="C897" s="2">
        <v>45722</v>
      </c>
      <c r="D897" s="5">
        <f>C897-B897</f>
        <v>8</v>
      </c>
      <c r="E897" s="5" t="str">
        <f>IF(D897&lt;0,"INVALID","OK")</f>
        <v>OK</v>
      </c>
      <c r="F897" t="s">
        <v>2666</v>
      </c>
      <c r="G897" t="s">
        <v>113</v>
      </c>
      <c r="H897" t="s">
        <v>23</v>
      </c>
      <c r="I897" t="s">
        <v>37</v>
      </c>
      <c r="J897" t="s">
        <v>144</v>
      </c>
      <c r="K897" t="s">
        <v>145</v>
      </c>
      <c r="L897" t="s">
        <v>40</v>
      </c>
      <c r="M897" t="s">
        <v>157</v>
      </c>
      <c r="N897" t="s">
        <v>2667</v>
      </c>
      <c r="O897" t="s">
        <v>49</v>
      </c>
      <c r="P897">
        <v>9</v>
      </c>
      <c r="Q897">
        <v>3043.37</v>
      </c>
      <c r="R897">
        <v>0.2</v>
      </c>
      <c r="S897" t="str">
        <f t="shared" si="13"/>
        <v>OK</v>
      </c>
      <c r="T897">
        <v>21912.26</v>
      </c>
      <c r="U897">
        <v>16367.78</v>
      </c>
      <c r="V897">
        <v>5544.48</v>
      </c>
      <c r="W897" t="s">
        <v>110</v>
      </c>
      <c r="X897" t="s">
        <v>67</v>
      </c>
    </row>
    <row r="898" spans="1:24">
      <c r="A898" t="s">
        <v>2671</v>
      </c>
      <c r="B898" s="2">
        <v>45965</v>
      </c>
      <c r="C898" s="2">
        <v>45762</v>
      </c>
      <c r="D898" s="5">
        <f>C898-B898</f>
        <v>-203</v>
      </c>
      <c r="E898" s="5" t="str">
        <f>IF(D898&lt;0,"INVALID","OK")</f>
        <v>INVALID</v>
      </c>
      <c r="F898" t="s">
        <v>2672</v>
      </c>
      <c r="G898" t="s">
        <v>70</v>
      </c>
      <c r="H898" t="s">
        <v>94</v>
      </c>
      <c r="I898" t="s">
        <v>53</v>
      </c>
      <c r="J898" t="s">
        <v>174</v>
      </c>
      <c r="K898" t="s">
        <v>175</v>
      </c>
      <c r="L898" t="s">
        <v>27</v>
      </c>
      <c r="M898" t="s">
        <v>123</v>
      </c>
      <c r="N898" t="s">
        <v>2673</v>
      </c>
      <c r="O898" t="s">
        <v>43</v>
      </c>
      <c r="P898">
        <v>9</v>
      </c>
      <c r="Q898">
        <v>224.94</v>
      </c>
      <c r="R898">
        <v>0.05</v>
      </c>
      <c r="S898" t="str">
        <f t="shared" si="13"/>
        <v>OK</v>
      </c>
      <c r="T898">
        <v>1923.24</v>
      </c>
      <c r="U898">
        <v>1093.6600000000001</v>
      </c>
      <c r="V898">
        <v>829.58</v>
      </c>
      <c r="W898" t="s">
        <v>31</v>
      </c>
      <c r="X898" t="s">
        <v>32</v>
      </c>
    </row>
    <row r="899" spans="1:24">
      <c r="A899" t="s">
        <v>2674</v>
      </c>
      <c r="B899" s="2">
        <v>45722</v>
      </c>
      <c r="C899" s="2">
        <v>45841</v>
      </c>
      <c r="D899" s="5">
        <f>C899-B899</f>
        <v>119</v>
      </c>
      <c r="E899" s="5" t="str">
        <f>IF(D899&lt;0,"INVALID","OK")</f>
        <v>OK</v>
      </c>
      <c r="F899" t="s">
        <v>2675</v>
      </c>
      <c r="G899" t="s">
        <v>140</v>
      </c>
      <c r="H899" t="s">
        <v>94</v>
      </c>
      <c r="I899" t="s">
        <v>2762</v>
      </c>
      <c r="J899" t="s">
        <v>349</v>
      </c>
      <c r="K899" t="s">
        <v>350</v>
      </c>
      <c r="L899" t="s">
        <v>40</v>
      </c>
      <c r="M899" t="s">
        <v>65</v>
      </c>
      <c r="N899" t="s">
        <v>1146</v>
      </c>
      <c r="O899" t="s">
        <v>43</v>
      </c>
      <c r="P899">
        <v>6</v>
      </c>
      <c r="Q899">
        <v>796.65</v>
      </c>
      <c r="R899">
        <v>0.1</v>
      </c>
      <c r="S899" t="str">
        <f t="shared" ref="S899:S913" si="14">IF(R899&lt;0,"INVALID",IF(R899&gt;0.5,"INVALID","OK"))</f>
        <v>OK</v>
      </c>
      <c r="T899">
        <v>4301.91</v>
      </c>
      <c r="U899">
        <v>2374.4</v>
      </c>
      <c r="V899">
        <v>1927.51</v>
      </c>
      <c r="W899" t="s">
        <v>31</v>
      </c>
      <c r="X899" t="s">
        <v>32</v>
      </c>
    </row>
    <row r="900" spans="1:24">
      <c r="A900" t="s">
        <v>2676</v>
      </c>
      <c r="B900" s="2">
        <v>45814</v>
      </c>
      <c r="C900" s="2">
        <v>45815</v>
      </c>
      <c r="D900" s="5">
        <f>C900-B900</f>
        <v>1</v>
      </c>
      <c r="E900" s="5" t="str">
        <f>IF(D900&lt;0,"INVALID","OK")</f>
        <v>OK</v>
      </c>
      <c r="F900" t="s">
        <v>2677</v>
      </c>
      <c r="G900" t="s">
        <v>70</v>
      </c>
      <c r="H900" t="s">
        <v>89</v>
      </c>
      <c r="I900" t="s">
        <v>62</v>
      </c>
      <c r="J900" t="s">
        <v>189</v>
      </c>
      <c r="K900" t="s">
        <v>190</v>
      </c>
      <c r="L900" t="s">
        <v>40</v>
      </c>
      <c r="M900" t="s">
        <v>41</v>
      </c>
      <c r="N900" t="s">
        <v>2678</v>
      </c>
      <c r="O900" t="s">
        <v>58</v>
      </c>
      <c r="P900">
        <v>9</v>
      </c>
      <c r="Q900">
        <v>2932.92</v>
      </c>
      <c r="R900">
        <v>0.15</v>
      </c>
      <c r="S900" t="str">
        <f t="shared" si="14"/>
        <v>OK</v>
      </c>
      <c r="T900">
        <v>22436.84</v>
      </c>
      <c r="U900">
        <v>17454.669999999998</v>
      </c>
      <c r="V900">
        <v>4982.17</v>
      </c>
      <c r="W900" t="s">
        <v>31</v>
      </c>
      <c r="X900" t="s">
        <v>67</v>
      </c>
    </row>
    <row r="901" spans="1:24">
      <c r="A901" t="s">
        <v>2683</v>
      </c>
      <c r="B901" s="2">
        <v>45689</v>
      </c>
      <c r="C901" s="2">
        <v>45871</v>
      </c>
      <c r="D901" s="5">
        <f>C901-B901</f>
        <v>182</v>
      </c>
      <c r="E901" s="5" t="str">
        <f>IF(D901&lt;0,"INVALID","OK")</f>
        <v>OK</v>
      </c>
      <c r="F901" t="s">
        <v>2684</v>
      </c>
      <c r="G901" t="s">
        <v>88</v>
      </c>
      <c r="H901" t="s">
        <v>94</v>
      </c>
      <c r="I901" t="s">
        <v>62</v>
      </c>
      <c r="J901" t="s">
        <v>179</v>
      </c>
      <c r="K901" t="s">
        <v>180</v>
      </c>
      <c r="L901" t="s">
        <v>27</v>
      </c>
      <c r="M901" t="s">
        <v>123</v>
      </c>
      <c r="N901" t="s">
        <v>2685</v>
      </c>
      <c r="O901" t="s">
        <v>30</v>
      </c>
      <c r="P901">
        <v>8</v>
      </c>
      <c r="Q901">
        <v>623.30999999999995</v>
      </c>
      <c r="R901">
        <v>0.1</v>
      </c>
      <c r="S901" t="str">
        <f t="shared" si="14"/>
        <v>OK</v>
      </c>
      <c r="T901">
        <v>4487.83</v>
      </c>
      <c r="U901">
        <v>2633.78</v>
      </c>
      <c r="V901">
        <v>1854.05</v>
      </c>
      <c r="W901" t="s">
        <v>31</v>
      </c>
      <c r="X901" t="s">
        <v>32</v>
      </c>
    </row>
    <row r="902" spans="1:24">
      <c r="A902" t="s">
        <v>2686</v>
      </c>
      <c r="B902" s="2">
        <v>45853</v>
      </c>
      <c r="C902" s="2">
        <v>45854</v>
      </c>
      <c r="D902" s="5">
        <f>C902-B902</f>
        <v>1</v>
      </c>
      <c r="E902" s="5" t="str">
        <f>IF(D902&lt;0,"INVALID","OK")</f>
        <v>OK</v>
      </c>
      <c r="F902" t="s">
        <v>2687</v>
      </c>
      <c r="G902" t="s">
        <v>70</v>
      </c>
      <c r="H902" t="s">
        <v>36</v>
      </c>
      <c r="I902" t="s">
        <v>62</v>
      </c>
      <c r="J902" t="s">
        <v>63</v>
      </c>
      <c r="K902" t="s">
        <v>64</v>
      </c>
      <c r="L902" t="s">
        <v>27</v>
      </c>
      <c r="M902" t="s">
        <v>28</v>
      </c>
      <c r="N902" t="s">
        <v>2688</v>
      </c>
      <c r="O902" t="s">
        <v>58</v>
      </c>
      <c r="P902">
        <v>8</v>
      </c>
      <c r="Q902">
        <v>3924.88</v>
      </c>
      <c r="R902">
        <v>0.05</v>
      </c>
      <c r="S902" t="str">
        <f t="shared" si="14"/>
        <v>OK</v>
      </c>
      <c r="T902">
        <v>29829.09</v>
      </c>
      <c r="U902">
        <v>20710.18</v>
      </c>
      <c r="V902">
        <v>9118.91</v>
      </c>
      <c r="W902" t="s">
        <v>31</v>
      </c>
      <c r="X902" t="s">
        <v>32</v>
      </c>
    </row>
    <row r="903" spans="1:24">
      <c r="A903" t="s">
        <v>2694</v>
      </c>
      <c r="B903" s="2">
        <v>45895</v>
      </c>
      <c r="C903" s="2">
        <v>45903</v>
      </c>
      <c r="D903" s="5">
        <f>C903-B903</f>
        <v>8</v>
      </c>
      <c r="E903" s="5" t="str">
        <f>IF(D903&lt;0,"INVALID","OK")</f>
        <v>OK</v>
      </c>
      <c r="F903" t="s">
        <v>2695</v>
      </c>
      <c r="G903" t="s">
        <v>127</v>
      </c>
      <c r="H903" t="s">
        <v>23</v>
      </c>
      <c r="I903" t="s">
        <v>62</v>
      </c>
      <c r="J903" t="s">
        <v>25</v>
      </c>
      <c r="K903" t="s">
        <v>108</v>
      </c>
      <c r="L903" t="s">
        <v>27</v>
      </c>
      <c r="M903" t="s">
        <v>123</v>
      </c>
      <c r="N903" t="s">
        <v>2696</v>
      </c>
      <c r="O903" t="s">
        <v>30</v>
      </c>
      <c r="P903">
        <v>6</v>
      </c>
      <c r="Q903">
        <v>674.36</v>
      </c>
      <c r="R903">
        <v>0.1</v>
      </c>
      <c r="S903" t="str">
        <f t="shared" si="14"/>
        <v>OK</v>
      </c>
      <c r="T903">
        <v>3641.54</v>
      </c>
      <c r="U903">
        <v>2690.37</v>
      </c>
      <c r="V903">
        <v>951.17</v>
      </c>
      <c r="W903" t="s">
        <v>31</v>
      </c>
      <c r="X903" t="s">
        <v>32</v>
      </c>
    </row>
    <row r="904" spans="1:24">
      <c r="A904" t="s">
        <v>2700</v>
      </c>
      <c r="B904" s="2">
        <v>45896</v>
      </c>
      <c r="C904" s="2">
        <v>45897</v>
      </c>
      <c r="D904" s="5">
        <f>C904-B904</f>
        <v>1</v>
      </c>
      <c r="E904" s="5" t="str">
        <f>IF(D904&lt;0,"INVALID","OK")</f>
        <v>OK</v>
      </c>
      <c r="F904" t="s">
        <v>2701</v>
      </c>
      <c r="G904" t="s">
        <v>61</v>
      </c>
      <c r="H904" t="s">
        <v>94</v>
      </c>
      <c r="I904" t="s">
        <v>24</v>
      </c>
      <c r="J904" t="s">
        <v>135</v>
      </c>
      <c r="K904" t="s">
        <v>136</v>
      </c>
      <c r="L904" t="s">
        <v>27</v>
      </c>
      <c r="M904" t="s">
        <v>47</v>
      </c>
      <c r="N904" t="s">
        <v>2702</v>
      </c>
      <c r="O904" t="s">
        <v>58</v>
      </c>
      <c r="P904">
        <v>6</v>
      </c>
      <c r="Q904">
        <v>1182.03</v>
      </c>
      <c r="R904">
        <v>0.15</v>
      </c>
      <c r="S904" t="str">
        <f t="shared" si="14"/>
        <v>OK</v>
      </c>
      <c r="T904">
        <v>6028.35</v>
      </c>
      <c r="U904">
        <v>4433.63</v>
      </c>
      <c r="V904">
        <v>1594.72</v>
      </c>
      <c r="W904" t="s">
        <v>31</v>
      </c>
      <c r="X904" t="s">
        <v>32</v>
      </c>
    </row>
    <row r="905" spans="1:24">
      <c r="A905" t="s">
        <v>2709</v>
      </c>
      <c r="B905" s="2">
        <v>45690</v>
      </c>
      <c r="C905" s="2">
        <v>45698</v>
      </c>
      <c r="D905" s="5">
        <f>C905-B905</f>
        <v>8</v>
      </c>
      <c r="E905" s="5" t="str">
        <f>IF(D905&lt;0,"INVALID","OK")</f>
        <v>OK</v>
      </c>
      <c r="F905" t="s">
        <v>2710</v>
      </c>
      <c r="G905" t="s">
        <v>131</v>
      </c>
      <c r="H905" t="s">
        <v>89</v>
      </c>
      <c r="I905" t="s">
        <v>37</v>
      </c>
      <c r="J905" t="s">
        <v>144</v>
      </c>
      <c r="K905" t="s">
        <v>145</v>
      </c>
      <c r="L905" t="s">
        <v>73</v>
      </c>
      <c r="M905" t="s">
        <v>74</v>
      </c>
      <c r="N905" t="s">
        <v>2711</v>
      </c>
      <c r="O905" t="s">
        <v>58</v>
      </c>
      <c r="P905">
        <v>4</v>
      </c>
      <c r="Q905">
        <v>1912.45</v>
      </c>
      <c r="R905">
        <v>0</v>
      </c>
      <c r="S905" t="str">
        <f t="shared" si="14"/>
        <v>OK</v>
      </c>
      <c r="T905">
        <v>7649.8</v>
      </c>
      <c r="U905">
        <v>4894.53</v>
      </c>
      <c r="V905">
        <v>2755.27</v>
      </c>
      <c r="W905" t="s">
        <v>110</v>
      </c>
      <c r="X905" t="s">
        <v>102</v>
      </c>
    </row>
    <row r="906" spans="1:24">
      <c r="A906" t="s">
        <v>2712</v>
      </c>
      <c r="B906" s="2">
        <v>45775</v>
      </c>
      <c r="C906" s="2">
        <v>45778</v>
      </c>
      <c r="D906" s="5">
        <f>C906-B906</f>
        <v>3</v>
      </c>
      <c r="E906" s="5" t="str">
        <f>IF(D906&lt;0,"INVALID","OK")</f>
        <v>OK</v>
      </c>
      <c r="F906" t="s">
        <v>2713</v>
      </c>
      <c r="G906" t="s">
        <v>127</v>
      </c>
      <c r="H906" t="s">
        <v>36</v>
      </c>
      <c r="I906" t="s">
        <v>62</v>
      </c>
      <c r="J906" t="s">
        <v>189</v>
      </c>
      <c r="K906" t="s">
        <v>190</v>
      </c>
      <c r="L906" t="s">
        <v>27</v>
      </c>
      <c r="M906" t="s">
        <v>123</v>
      </c>
      <c r="N906" t="s">
        <v>2714</v>
      </c>
      <c r="O906" t="s">
        <v>43</v>
      </c>
      <c r="P906">
        <v>1</v>
      </c>
      <c r="Q906">
        <v>1620.87</v>
      </c>
      <c r="R906">
        <v>0</v>
      </c>
      <c r="S906" t="str">
        <f t="shared" si="14"/>
        <v>OK</v>
      </c>
      <c r="T906">
        <v>1620.87</v>
      </c>
      <c r="U906">
        <v>1103.6099999999999</v>
      </c>
      <c r="V906">
        <v>517.26</v>
      </c>
      <c r="W906" t="s">
        <v>31</v>
      </c>
      <c r="X906" t="s">
        <v>32</v>
      </c>
    </row>
    <row r="907" spans="1:24">
      <c r="A907" t="s">
        <v>2715</v>
      </c>
      <c r="B907" s="2">
        <v>45675</v>
      </c>
      <c r="C907" s="2">
        <v>45682</v>
      </c>
      <c r="D907" s="5">
        <f>C907-B907</f>
        <v>7</v>
      </c>
      <c r="E907" s="5" t="str">
        <f>IF(D907&lt;0,"INVALID","OK")</f>
        <v>OK</v>
      </c>
      <c r="F907" t="s">
        <v>2716</v>
      </c>
      <c r="G907" t="s">
        <v>78</v>
      </c>
      <c r="H907" t="s">
        <v>94</v>
      </c>
      <c r="I907" t="s">
        <v>53</v>
      </c>
      <c r="J907" t="s">
        <v>174</v>
      </c>
      <c r="K907" t="s">
        <v>175</v>
      </c>
      <c r="L907" t="s">
        <v>27</v>
      </c>
      <c r="M907" t="s">
        <v>123</v>
      </c>
      <c r="N907" t="s">
        <v>2717</v>
      </c>
      <c r="O907" t="s">
        <v>43</v>
      </c>
      <c r="P907">
        <v>2</v>
      </c>
      <c r="Q907">
        <v>2098.54</v>
      </c>
      <c r="R907">
        <v>0.15</v>
      </c>
      <c r="S907" t="str">
        <f t="shared" si="14"/>
        <v>OK</v>
      </c>
      <c r="T907">
        <v>3567.52</v>
      </c>
      <c r="U907">
        <v>2411.8000000000002</v>
      </c>
      <c r="V907">
        <v>1155.72</v>
      </c>
      <c r="W907" t="s">
        <v>31</v>
      </c>
      <c r="X907" t="s">
        <v>32</v>
      </c>
    </row>
    <row r="908" spans="1:24">
      <c r="A908" t="s">
        <v>2721</v>
      </c>
      <c r="B908" s="2">
        <v>45773</v>
      </c>
      <c r="C908" s="2">
        <v>45721</v>
      </c>
      <c r="D908" s="5">
        <f>C908-B908</f>
        <v>-52</v>
      </c>
      <c r="E908" s="5" t="str">
        <f>IF(D908&lt;0,"INVALID","OK")</f>
        <v>INVALID</v>
      </c>
      <c r="F908" t="s">
        <v>2722</v>
      </c>
      <c r="G908" t="s">
        <v>52</v>
      </c>
      <c r="H908" t="s">
        <v>94</v>
      </c>
      <c r="I908" t="s">
        <v>53</v>
      </c>
      <c r="J908" t="s">
        <v>246</v>
      </c>
      <c r="K908" t="s">
        <v>247</v>
      </c>
      <c r="L908" t="s">
        <v>73</v>
      </c>
      <c r="M908" t="s">
        <v>74</v>
      </c>
      <c r="N908" t="s">
        <v>2723</v>
      </c>
      <c r="O908" t="s">
        <v>49</v>
      </c>
      <c r="P908">
        <v>7</v>
      </c>
      <c r="Q908">
        <v>3989.9</v>
      </c>
      <c r="R908">
        <v>0.15</v>
      </c>
      <c r="S908" t="str">
        <f t="shared" si="14"/>
        <v>OK</v>
      </c>
      <c r="T908">
        <v>23739.9</v>
      </c>
      <c r="U908">
        <v>17716.52</v>
      </c>
      <c r="V908">
        <v>6023.38</v>
      </c>
      <c r="W908" t="s">
        <v>31</v>
      </c>
      <c r="X908" t="s">
        <v>67</v>
      </c>
    </row>
    <row r="909" spans="1:24">
      <c r="A909" t="s">
        <v>2727</v>
      </c>
      <c r="B909" s="2">
        <v>45816</v>
      </c>
      <c r="C909" s="2">
        <v>45846</v>
      </c>
      <c r="D909" s="5">
        <f>C909-B909</f>
        <v>30</v>
      </c>
      <c r="E909" s="5" t="str">
        <f>IF(D909&lt;0,"INVALID","OK")</f>
        <v>OK</v>
      </c>
      <c r="F909" t="s">
        <v>2728</v>
      </c>
      <c r="G909" t="s">
        <v>117</v>
      </c>
      <c r="H909" t="s">
        <v>36</v>
      </c>
      <c r="I909" t="s">
        <v>62</v>
      </c>
      <c r="J909" t="s">
        <v>63</v>
      </c>
      <c r="K909" t="s">
        <v>64</v>
      </c>
      <c r="L909" t="s">
        <v>27</v>
      </c>
      <c r="M909" t="s">
        <v>47</v>
      </c>
      <c r="N909" t="s">
        <v>2729</v>
      </c>
      <c r="O909" t="s">
        <v>58</v>
      </c>
      <c r="P909">
        <v>4</v>
      </c>
      <c r="Q909">
        <v>3523.64</v>
      </c>
      <c r="R909">
        <v>0.1</v>
      </c>
      <c r="S909" t="str">
        <f t="shared" si="14"/>
        <v>OK</v>
      </c>
      <c r="T909">
        <v>12685.1</v>
      </c>
      <c r="U909">
        <v>10779.56</v>
      </c>
      <c r="V909">
        <v>1905.54</v>
      </c>
      <c r="W909" t="s">
        <v>101</v>
      </c>
      <c r="X909" t="s">
        <v>67</v>
      </c>
    </row>
    <row r="910" spans="1:24">
      <c r="A910" t="s">
        <v>2730</v>
      </c>
      <c r="B910" s="2">
        <v>45726</v>
      </c>
      <c r="C910" s="2">
        <v>45727</v>
      </c>
      <c r="D910" s="5">
        <f>C910-B910</f>
        <v>1</v>
      </c>
      <c r="E910" s="5" t="str">
        <f>IF(D910&lt;0,"INVALID","OK")</f>
        <v>OK</v>
      </c>
      <c r="F910" t="s">
        <v>882</v>
      </c>
      <c r="G910" t="s">
        <v>88</v>
      </c>
      <c r="H910" t="s">
        <v>94</v>
      </c>
      <c r="I910" t="s">
        <v>62</v>
      </c>
      <c r="J910" t="s">
        <v>71</v>
      </c>
      <c r="K910" t="s">
        <v>72</v>
      </c>
      <c r="L910" t="s">
        <v>27</v>
      </c>
      <c r="M910" t="s">
        <v>123</v>
      </c>
      <c r="N910" t="s">
        <v>2731</v>
      </c>
      <c r="O910" t="s">
        <v>49</v>
      </c>
      <c r="P910">
        <v>2</v>
      </c>
      <c r="Q910">
        <v>3922.08</v>
      </c>
      <c r="R910">
        <v>0.25</v>
      </c>
      <c r="S910" t="str">
        <f t="shared" si="14"/>
        <v>OK</v>
      </c>
      <c r="T910">
        <v>5883.12</v>
      </c>
      <c r="U910">
        <v>4647.91</v>
      </c>
      <c r="V910">
        <v>1235.21</v>
      </c>
      <c r="W910" t="s">
        <v>31</v>
      </c>
      <c r="X910" t="s">
        <v>102</v>
      </c>
    </row>
    <row r="911" spans="1:24">
      <c r="A911" t="s">
        <v>2738</v>
      </c>
      <c r="B911" s="2">
        <v>45759</v>
      </c>
      <c r="C911" s="2">
        <v>45765</v>
      </c>
      <c r="D911" s="5">
        <f>C911-B911</f>
        <v>6</v>
      </c>
      <c r="E911" s="5" t="str">
        <f>IF(D911&lt;0,"INVALID","OK")</f>
        <v>OK</v>
      </c>
      <c r="F911" t="s">
        <v>2739</v>
      </c>
      <c r="G911" t="s">
        <v>46</v>
      </c>
      <c r="H911" t="s">
        <v>36</v>
      </c>
      <c r="I911" t="s">
        <v>37</v>
      </c>
      <c r="J911" t="s">
        <v>227</v>
      </c>
      <c r="K911" t="s">
        <v>228</v>
      </c>
      <c r="L911" t="s">
        <v>73</v>
      </c>
      <c r="M911" t="s">
        <v>79</v>
      </c>
      <c r="N911" t="s">
        <v>2740</v>
      </c>
      <c r="O911" t="s">
        <v>43</v>
      </c>
      <c r="P911">
        <v>1</v>
      </c>
      <c r="Q911">
        <v>726.89</v>
      </c>
      <c r="R911">
        <v>0.2</v>
      </c>
      <c r="S911" t="str">
        <f t="shared" si="14"/>
        <v>OK</v>
      </c>
      <c r="T911">
        <v>581.51</v>
      </c>
      <c r="U911">
        <v>423.86</v>
      </c>
      <c r="V911">
        <v>157.65</v>
      </c>
      <c r="W911" t="s">
        <v>31</v>
      </c>
      <c r="X911" t="s">
        <v>32</v>
      </c>
    </row>
    <row r="912" spans="1:24">
      <c r="A912" t="s">
        <v>2753</v>
      </c>
      <c r="B912" s="2">
        <v>45776</v>
      </c>
      <c r="C912" s="2">
        <v>45780</v>
      </c>
      <c r="D912" s="5">
        <f>C912-B912</f>
        <v>4</v>
      </c>
      <c r="E912" s="5" t="str">
        <f>IF(D912&lt;0,"INVALID","OK")</f>
        <v>OK</v>
      </c>
      <c r="F912" t="s">
        <v>2120</v>
      </c>
      <c r="G912" t="s">
        <v>140</v>
      </c>
      <c r="H912" t="s">
        <v>89</v>
      </c>
      <c r="I912" t="s">
        <v>24</v>
      </c>
      <c r="J912" t="s">
        <v>235</v>
      </c>
      <c r="K912" t="s">
        <v>236</v>
      </c>
      <c r="L912" t="s">
        <v>27</v>
      </c>
      <c r="M912" t="s">
        <v>28</v>
      </c>
      <c r="N912" t="s">
        <v>2754</v>
      </c>
      <c r="O912" t="s">
        <v>49</v>
      </c>
      <c r="P912">
        <v>4</v>
      </c>
      <c r="Q912">
        <v>1786.65</v>
      </c>
      <c r="R912">
        <v>0.05</v>
      </c>
      <c r="S912" t="str">
        <f t="shared" si="14"/>
        <v>OK</v>
      </c>
      <c r="T912">
        <v>6789.27</v>
      </c>
      <c r="U912">
        <v>5626.43</v>
      </c>
      <c r="V912">
        <v>1162.8399999999999</v>
      </c>
      <c r="W912" t="s">
        <v>31</v>
      </c>
      <c r="X912" t="s">
        <v>32</v>
      </c>
    </row>
    <row r="913" spans="1:24">
      <c r="A913" t="s">
        <v>2758</v>
      </c>
      <c r="B913" s="2">
        <v>45804</v>
      </c>
      <c r="C913" s="2">
        <v>45811</v>
      </c>
      <c r="D913" s="5">
        <f>C913-B913</f>
        <v>7</v>
      </c>
      <c r="E913" s="5" t="str">
        <f>IF(D913&lt;0,"INVALID","OK")</f>
        <v>OK</v>
      </c>
      <c r="F913" t="s">
        <v>2759</v>
      </c>
      <c r="G913" t="s">
        <v>22</v>
      </c>
      <c r="H913" t="s">
        <v>23</v>
      </c>
      <c r="I913" t="s">
        <v>24</v>
      </c>
      <c r="J913" t="s">
        <v>121</v>
      </c>
      <c r="K913" t="s">
        <v>122</v>
      </c>
      <c r="L913" t="s">
        <v>40</v>
      </c>
      <c r="M913" t="s">
        <v>65</v>
      </c>
      <c r="N913" t="s">
        <v>2760</v>
      </c>
      <c r="O913" t="s">
        <v>49</v>
      </c>
      <c r="P913">
        <v>5</v>
      </c>
      <c r="Q913">
        <v>881.08</v>
      </c>
      <c r="R913">
        <v>0.25</v>
      </c>
      <c r="S913" t="str">
        <f t="shared" si="14"/>
        <v>OK</v>
      </c>
      <c r="T913">
        <v>3304.05</v>
      </c>
      <c r="U913">
        <v>2279.41</v>
      </c>
      <c r="V913">
        <v>1024.6400000000001</v>
      </c>
      <c r="W913" t="s">
        <v>154</v>
      </c>
      <c r="X913" t="s">
        <v>67</v>
      </c>
    </row>
    <row r="914" spans="1:24">
      <c r="B914"/>
      <c r="C914"/>
      <c r="D914"/>
    </row>
    <row r="915" spans="1:24">
      <c r="B915"/>
      <c r="C915"/>
      <c r="D915"/>
    </row>
    <row r="916" spans="1:24">
      <c r="B916"/>
      <c r="C916"/>
      <c r="D916"/>
    </row>
    <row r="917" spans="1:24">
      <c r="B917"/>
      <c r="C917"/>
      <c r="D917"/>
    </row>
    <row r="918" spans="1:24">
      <c r="B918"/>
      <c r="C918"/>
      <c r="D918"/>
    </row>
    <row r="919" spans="1:24">
      <c r="B919"/>
      <c r="C919"/>
      <c r="D919"/>
    </row>
    <row r="920" spans="1:24">
      <c r="B920"/>
      <c r="C920"/>
      <c r="D920"/>
    </row>
    <row r="921" spans="1:24">
      <c r="B921"/>
      <c r="C921"/>
      <c r="D921"/>
    </row>
    <row r="922" spans="1:24">
      <c r="B922"/>
      <c r="C922"/>
      <c r="D922"/>
    </row>
    <row r="923" spans="1:24">
      <c r="B923"/>
      <c r="C923"/>
      <c r="D923"/>
    </row>
    <row r="924" spans="1:24">
      <c r="B924"/>
      <c r="C924"/>
      <c r="D924"/>
    </row>
    <row r="925" spans="1:24">
      <c r="B925"/>
      <c r="C925"/>
      <c r="D925"/>
    </row>
    <row r="926" spans="1:24">
      <c r="B926"/>
      <c r="C926"/>
      <c r="D926"/>
    </row>
    <row r="927" spans="1:24">
      <c r="B927"/>
      <c r="C927"/>
      <c r="D927"/>
    </row>
    <row r="928" spans="1:24">
      <c r="B928"/>
      <c r="C928"/>
      <c r="D928"/>
    </row>
    <row r="929" spans="2:4">
      <c r="B929"/>
      <c r="C929"/>
      <c r="D929"/>
    </row>
    <row r="930" spans="2:4">
      <c r="B930"/>
      <c r="C930"/>
      <c r="D930"/>
    </row>
    <row r="931" spans="2:4">
      <c r="B931"/>
      <c r="C931"/>
      <c r="D931"/>
    </row>
    <row r="932" spans="2:4">
      <c r="B932"/>
      <c r="C932"/>
      <c r="D932"/>
    </row>
    <row r="933" spans="2:4">
      <c r="B933"/>
      <c r="C933"/>
      <c r="D933"/>
    </row>
  </sheetData>
  <autoFilter ref="A1:X913" xr:uid="{B364E662-AA96-414F-B0F0-3EB21B88580A}">
    <sortState xmlns:xlrd2="http://schemas.microsoft.com/office/spreadsheetml/2017/richdata2" ref="A2:X913">
      <sortCondition ref="A1:A913"/>
    </sortState>
  </autoFilter>
  <conditionalFormatting sqref="A1:A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4EC29-2E6B-4DB3-A299-3126FFB0B682}">
  <dimension ref="A3:C10"/>
  <sheetViews>
    <sheetView topLeftCell="D1" workbookViewId="0">
      <selection activeCell="A3" sqref="A3"/>
    </sheetView>
  </sheetViews>
  <sheetFormatPr defaultRowHeight="14.4"/>
  <cols>
    <col min="1" max="1" width="12.5546875" bestFit="1" customWidth="1"/>
    <col min="2" max="2" width="22.21875" bestFit="1" customWidth="1"/>
    <col min="3" max="3" width="21.5546875" bestFit="1" customWidth="1"/>
  </cols>
  <sheetData>
    <row r="3" spans="1:3">
      <c r="A3" s="16" t="s">
        <v>2832</v>
      </c>
      <c r="B3" t="s">
        <v>2831</v>
      </c>
      <c r="C3" t="s">
        <v>2830</v>
      </c>
    </row>
    <row r="4" spans="1:3">
      <c r="A4" s="17" t="s">
        <v>53</v>
      </c>
      <c r="B4" s="5">
        <v>522707.13299999991</v>
      </c>
      <c r="C4" s="5">
        <v>1815177.5529999996</v>
      </c>
    </row>
    <row r="5" spans="1:3">
      <c r="A5" s="17" t="s">
        <v>37</v>
      </c>
      <c r="B5" s="5">
        <v>521231.68800000055</v>
      </c>
      <c r="C5" s="5">
        <v>1701688.7479999994</v>
      </c>
    </row>
    <row r="6" spans="1:3">
      <c r="A6" s="17" t="s">
        <v>62</v>
      </c>
      <c r="B6" s="5">
        <v>498316.58600000007</v>
      </c>
      <c r="C6" s="5">
        <v>1721696.3760000004</v>
      </c>
    </row>
    <row r="7" spans="1:3">
      <c r="A7" s="17" t="s">
        <v>24</v>
      </c>
      <c r="B7" s="5">
        <v>464251.97399999999</v>
      </c>
      <c r="C7" s="5">
        <v>1532434.3039999993</v>
      </c>
    </row>
    <row r="8" spans="1:3">
      <c r="A8" s="17" t="s">
        <v>2762</v>
      </c>
      <c r="B8" s="5">
        <v>66305.481499999994</v>
      </c>
      <c r="C8" s="5">
        <v>195616.68150000004</v>
      </c>
    </row>
    <row r="9" spans="1:3">
      <c r="A9" s="17" t="s">
        <v>2833</v>
      </c>
      <c r="B9" s="5"/>
      <c r="C9" s="5"/>
    </row>
    <row r="10" spans="1:3">
      <c r="A10" s="17" t="s">
        <v>2834</v>
      </c>
      <c r="B10" s="5">
        <v>2072812.8625000005</v>
      </c>
      <c r="C10" s="5">
        <v>6966613.6624999987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3CF7-EC45-4196-A50F-81A1512029B8}">
  <dimension ref="A3:C20"/>
  <sheetViews>
    <sheetView workbookViewId="0">
      <selection activeCell="B10" sqref="B10"/>
    </sheetView>
  </sheetViews>
  <sheetFormatPr defaultRowHeight="14.4"/>
  <cols>
    <col min="1" max="1" width="15.5546875" bestFit="1" customWidth="1"/>
    <col min="2" max="2" width="22.21875" bestFit="1" customWidth="1"/>
    <col min="3" max="3" width="21.5546875" bestFit="1" customWidth="1"/>
  </cols>
  <sheetData>
    <row r="3" spans="1:3">
      <c r="A3" s="16" t="s">
        <v>2832</v>
      </c>
      <c r="B3" t="s">
        <v>2831</v>
      </c>
      <c r="C3" t="s">
        <v>2830</v>
      </c>
    </row>
    <row r="4" spans="1:3">
      <c r="A4" s="17" t="s">
        <v>40</v>
      </c>
      <c r="B4" s="5">
        <v>683464.02500000026</v>
      </c>
      <c r="C4" s="5">
        <v>2298541.7050000005</v>
      </c>
    </row>
    <row r="5" spans="1:3">
      <c r="A5" s="18" t="s">
        <v>65</v>
      </c>
      <c r="B5" s="5">
        <v>205061.79100000008</v>
      </c>
      <c r="C5" s="5">
        <v>671363.90100000019</v>
      </c>
    </row>
    <row r="6" spans="1:3">
      <c r="A6" s="18" t="s">
        <v>56</v>
      </c>
      <c r="B6" s="5">
        <v>176337.46700000003</v>
      </c>
      <c r="C6" s="5">
        <v>607827.94700000004</v>
      </c>
    </row>
    <row r="7" spans="1:3">
      <c r="A7" s="18" t="s">
        <v>157</v>
      </c>
      <c r="B7" s="5">
        <v>159598.71100000001</v>
      </c>
      <c r="C7" s="5">
        <v>542915.6610000002</v>
      </c>
    </row>
    <row r="8" spans="1:3">
      <c r="A8" s="18" t="s">
        <v>41</v>
      </c>
      <c r="B8" s="5">
        <v>142466.05600000007</v>
      </c>
      <c r="C8" s="5">
        <v>476434.19599999988</v>
      </c>
    </row>
    <row r="9" spans="1:3">
      <c r="A9" s="17" t="s">
        <v>27</v>
      </c>
      <c r="B9" s="5">
        <v>635968.54200000002</v>
      </c>
      <c r="C9" s="5">
        <v>2176772.2520000003</v>
      </c>
    </row>
    <row r="10" spans="1:3">
      <c r="A10" s="18" t="s">
        <v>123</v>
      </c>
      <c r="B10" s="5">
        <v>173646.54650000003</v>
      </c>
      <c r="C10" s="5">
        <v>640185.69650000008</v>
      </c>
    </row>
    <row r="11" spans="1:3">
      <c r="A11" s="18" t="s">
        <v>28</v>
      </c>
      <c r="B11" s="5">
        <v>156591.90749999994</v>
      </c>
      <c r="C11" s="5">
        <v>539285.66749999998</v>
      </c>
    </row>
    <row r="12" spans="1:3">
      <c r="A12" s="18" t="s">
        <v>152</v>
      </c>
      <c r="B12" s="5">
        <v>132817.60599999997</v>
      </c>
      <c r="C12" s="5">
        <v>418388.04600000003</v>
      </c>
    </row>
    <row r="13" spans="1:3">
      <c r="A13" s="18" t="s">
        <v>47</v>
      </c>
      <c r="B13" s="5">
        <v>107186.046</v>
      </c>
      <c r="C13" s="5">
        <v>367223.96600000001</v>
      </c>
    </row>
    <row r="14" spans="1:3">
      <c r="A14" s="18" t="s">
        <v>90</v>
      </c>
      <c r="B14" s="5">
        <v>65726.436000000002</v>
      </c>
      <c r="C14" s="5">
        <v>211688.87599999999</v>
      </c>
    </row>
    <row r="15" spans="1:3">
      <c r="A15" s="17" t="s">
        <v>73</v>
      </c>
      <c r="B15" s="5">
        <v>753380.29550000012</v>
      </c>
      <c r="C15" s="5">
        <v>2491299.7055000006</v>
      </c>
    </row>
    <row r="16" spans="1:3">
      <c r="A16" s="18" t="s">
        <v>79</v>
      </c>
      <c r="B16" s="5">
        <v>217541.66900000005</v>
      </c>
      <c r="C16" s="5">
        <v>739427.96900000039</v>
      </c>
    </row>
    <row r="17" spans="1:3">
      <c r="A17" s="18" t="s">
        <v>170</v>
      </c>
      <c r="B17" s="5">
        <v>187020.26049999997</v>
      </c>
      <c r="C17" s="5">
        <v>633944.94050000014</v>
      </c>
    </row>
    <row r="18" spans="1:3">
      <c r="A18" s="18" t="s">
        <v>74</v>
      </c>
      <c r="B18" s="5">
        <v>184227.65850000005</v>
      </c>
      <c r="C18" s="5">
        <v>617739.06850000005</v>
      </c>
    </row>
    <row r="19" spans="1:3">
      <c r="A19" s="18" t="s">
        <v>273</v>
      </c>
      <c r="B19" s="5">
        <v>164590.70749999996</v>
      </c>
      <c r="C19" s="5">
        <v>500187.72749999986</v>
      </c>
    </row>
    <row r="20" spans="1:3">
      <c r="A20" s="17" t="s">
        <v>2834</v>
      </c>
      <c r="B20" s="5">
        <v>2072812.8625000003</v>
      </c>
      <c r="C20" s="5">
        <v>6966613.6625000015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2954-17DD-42A6-9F80-DEB81B2DE033}">
  <dimension ref="A3:B9"/>
  <sheetViews>
    <sheetView workbookViewId="0">
      <selection activeCell="A9" sqref="A9"/>
    </sheetView>
  </sheetViews>
  <sheetFormatPr defaultRowHeight="14.4"/>
  <cols>
    <col min="1" max="1" width="12.77734375" bestFit="1" customWidth="1"/>
    <col min="2" max="2" width="16" bestFit="1" customWidth="1"/>
  </cols>
  <sheetData>
    <row r="3" spans="1:2">
      <c r="A3" s="16" t="s">
        <v>2832</v>
      </c>
      <c r="B3" t="s">
        <v>2835</v>
      </c>
    </row>
    <row r="4" spans="1:2">
      <c r="A4" s="17" t="s">
        <v>49</v>
      </c>
      <c r="B4" s="5">
        <v>176</v>
      </c>
    </row>
    <row r="5" spans="1:2">
      <c r="A5" s="17" t="s">
        <v>43</v>
      </c>
      <c r="B5" s="5">
        <v>155</v>
      </c>
    </row>
    <row r="6" spans="1:2">
      <c r="A6" s="17" t="s">
        <v>30</v>
      </c>
      <c r="B6" s="5">
        <v>168</v>
      </c>
    </row>
    <row r="7" spans="1:2">
      <c r="A7" s="17" t="s">
        <v>58</v>
      </c>
      <c r="B7" s="5">
        <v>180</v>
      </c>
    </row>
    <row r="8" spans="1:2">
      <c r="A8" s="17" t="s">
        <v>2762</v>
      </c>
      <c r="B8" s="5">
        <v>17</v>
      </c>
    </row>
    <row r="9" spans="1:2">
      <c r="A9" s="17" t="s">
        <v>2834</v>
      </c>
      <c r="B9" s="5">
        <v>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59B69-7591-4DB7-8936-8371E4E431FA}">
  <dimension ref="A3:B8"/>
  <sheetViews>
    <sheetView workbookViewId="0">
      <selection activeCell="A3" sqref="A3"/>
    </sheetView>
  </sheetViews>
  <sheetFormatPr defaultRowHeight="14.4"/>
  <cols>
    <col min="1" max="1" width="12.6640625" bestFit="1" customWidth="1"/>
    <col min="2" max="2" width="19.21875" bestFit="1" customWidth="1"/>
    <col min="3" max="3" width="21.5546875" bestFit="1" customWidth="1"/>
  </cols>
  <sheetData>
    <row r="3" spans="1:2">
      <c r="A3" s="16" t="s">
        <v>2832</v>
      </c>
      <c r="B3" t="s">
        <v>2836</v>
      </c>
    </row>
    <row r="4" spans="1:2">
      <c r="A4" s="17" t="s">
        <v>23</v>
      </c>
      <c r="B4" s="5">
        <v>5470.1403106987173</v>
      </c>
    </row>
    <row r="5" spans="1:2">
      <c r="A5" s="17" t="s">
        <v>89</v>
      </c>
      <c r="B5" s="5">
        <v>4625.2084196053856</v>
      </c>
    </row>
    <row r="6" spans="1:2">
      <c r="A6" s="17" t="s">
        <v>94</v>
      </c>
      <c r="B6" s="5">
        <v>5704.8133288187209</v>
      </c>
    </row>
    <row r="7" spans="1:2">
      <c r="A7" s="17" t="s">
        <v>36</v>
      </c>
      <c r="B7" s="5">
        <v>5559.9576452292795</v>
      </c>
    </row>
    <row r="8" spans="1:2">
      <c r="A8" s="17" t="s">
        <v>2834</v>
      </c>
      <c r="B8" s="5">
        <v>21360.119704352102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1DF91-A98E-4B8D-8D34-E6ECA182C772}">
  <dimension ref="A4:G12"/>
  <sheetViews>
    <sheetView workbookViewId="0">
      <selection activeCell="K12" sqref="K12"/>
    </sheetView>
  </sheetViews>
  <sheetFormatPr defaultRowHeight="14.4"/>
  <cols>
    <col min="1" max="1" width="16" bestFit="1" customWidth="1"/>
    <col min="2" max="2" width="15.5546875" bestFit="1" customWidth="1"/>
    <col min="3" max="3" width="8.77734375" bestFit="1" customWidth="1"/>
    <col min="4" max="4" width="9.33203125" bestFit="1" customWidth="1"/>
    <col min="5" max="5" width="9.88671875" bestFit="1" customWidth="1"/>
    <col min="6" max="6" width="12.5546875" bestFit="1" customWidth="1"/>
    <col min="7" max="7" width="10.77734375" bestFit="1" customWidth="1"/>
  </cols>
  <sheetData>
    <row r="4" spans="1:7">
      <c r="A4" s="16" t="s">
        <v>2835</v>
      </c>
      <c r="B4" s="16" t="s">
        <v>2837</v>
      </c>
    </row>
    <row r="5" spans="1:7">
      <c r="B5" t="s">
        <v>31</v>
      </c>
      <c r="D5" t="s">
        <v>2838</v>
      </c>
      <c r="E5" t="s">
        <v>110</v>
      </c>
      <c r="F5" t="s">
        <v>2839</v>
      </c>
      <c r="G5" t="s">
        <v>2834</v>
      </c>
    </row>
    <row r="6" spans="1:7">
      <c r="A6" s="16" t="s">
        <v>2832</v>
      </c>
      <c r="B6" t="s">
        <v>32</v>
      </c>
      <c r="C6" t="s">
        <v>102</v>
      </c>
      <c r="E6" t="s">
        <v>102</v>
      </c>
    </row>
    <row r="7" spans="1:7">
      <c r="A7" s="17" t="s">
        <v>37</v>
      </c>
      <c r="B7" s="5">
        <v>149</v>
      </c>
      <c r="C7" s="5">
        <v>12</v>
      </c>
      <c r="D7" s="5">
        <v>161</v>
      </c>
      <c r="E7" s="5">
        <v>17</v>
      </c>
      <c r="F7" s="5">
        <v>17</v>
      </c>
      <c r="G7" s="5">
        <v>178</v>
      </c>
    </row>
    <row r="8" spans="1:7">
      <c r="A8" s="17" t="s">
        <v>24</v>
      </c>
      <c r="B8" s="5">
        <v>128</v>
      </c>
      <c r="C8" s="5">
        <v>12</v>
      </c>
      <c r="D8" s="5">
        <v>140</v>
      </c>
      <c r="E8" s="5">
        <v>11</v>
      </c>
      <c r="F8" s="5">
        <v>11</v>
      </c>
      <c r="G8" s="5">
        <v>151</v>
      </c>
    </row>
    <row r="9" spans="1:7">
      <c r="A9" s="17" t="s">
        <v>53</v>
      </c>
      <c r="B9" s="5">
        <v>153</v>
      </c>
      <c r="C9" s="5">
        <v>9</v>
      </c>
      <c r="D9" s="5">
        <v>162</v>
      </c>
      <c r="E9" s="5">
        <v>6</v>
      </c>
      <c r="F9" s="5">
        <v>6</v>
      </c>
      <c r="G9" s="5">
        <v>168</v>
      </c>
    </row>
    <row r="10" spans="1:7">
      <c r="A10" s="17" t="s">
        <v>2762</v>
      </c>
      <c r="B10" s="5">
        <v>19</v>
      </c>
      <c r="C10" s="5"/>
      <c r="D10" s="5">
        <v>19</v>
      </c>
      <c r="E10" s="5">
        <v>1</v>
      </c>
      <c r="F10" s="5">
        <v>1</v>
      </c>
      <c r="G10" s="5">
        <v>20</v>
      </c>
    </row>
    <row r="11" spans="1:7">
      <c r="A11" s="17" t="s">
        <v>62</v>
      </c>
      <c r="B11" s="5">
        <v>153</v>
      </c>
      <c r="C11" s="5">
        <v>12</v>
      </c>
      <c r="D11" s="5">
        <v>165</v>
      </c>
      <c r="E11" s="5">
        <v>14</v>
      </c>
      <c r="F11" s="5">
        <v>14</v>
      </c>
      <c r="G11" s="5">
        <v>179</v>
      </c>
    </row>
    <row r="12" spans="1:7">
      <c r="A12" s="17" t="s">
        <v>2834</v>
      </c>
      <c r="B12" s="5">
        <v>602</v>
      </c>
      <c r="C12" s="5">
        <v>45</v>
      </c>
      <c r="D12" s="5">
        <v>647</v>
      </c>
      <c r="E12" s="5">
        <v>49</v>
      </c>
      <c r="F12" s="5">
        <v>49</v>
      </c>
      <c r="G12" s="5">
        <v>696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3E0E0-BB8B-432E-AE02-D63A1FA2B3C8}">
  <dimension ref="A3:D17"/>
  <sheetViews>
    <sheetView workbookViewId="0">
      <selection activeCell="A5" sqref="A5"/>
    </sheetView>
  </sheetViews>
  <sheetFormatPr defaultRowHeight="14.4"/>
  <cols>
    <col min="1" max="1" width="21.5546875" bestFit="1" customWidth="1"/>
    <col min="2" max="2" width="15.5546875" bestFit="1" customWidth="1"/>
    <col min="3" max="4" width="12" bestFit="1" customWidth="1"/>
  </cols>
  <sheetData>
    <row r="3" spans="1:4">
      <c r="A3" s="16" t="s">
        <v>2830</v>
      </c>
      <c r="B3" s="16" t="s">
        <v>2837</v>
      </c>
    </row>
    <row r="4" spans="1:4">
      <c r="A4" s="16" t="s">
        <v>2832</v>
      </c>
      <c r="B4">
        <v>2024</v>
      </c>
      <c r="C4">
        <v>2025</v>
      </c>
      <c r="D4" t="s">
        <v>2834</v>
      </c>
    </row>
    <row r="5" spans="1:4">
      <c r="A5" s="17">
        <v>1</v>
      </c>
      <c r="B5" s="5">
        <v>360180.13099999988</v>
      </c>
      <c r="C5" s="5">
        <v>338870.39249999996</v>
      </c>
      <c r="D5" s="5">
        <v>699050.52349999989</v>
      </c>
    </row>
    <row r="6" spans="1:4">
      <c r="A6" s="17">
        <v>2</v>
      </c>
      <c r="B6" s="5">
        <v>389077.7795</v>
      </c>
      <c r="C6" s="5">
        <v>387247.71299999993</v>
      </c>
      <c r="D6" s="5">
        <v>776325.49249999993</v>
      </c>
    </row>
    <row r="7" spans="1:4">
      <c r="A7" s="17">
        <v>3</v>
      </c>
      <c r="B7" s="5">
        <v>269930.92800000007</v>
      </c>
      <c r="C7" s="5">
        <v>347121.80099999992</v>
      </c>
      <c r="D7" s="5">
        <v>617052.72900000005</v>
      </c>
    </row>
    <row r="8" spans="1:4">
      <c r="A8" s="17">
        <v>4</v>
      </c>
      <c r="B8" s="5">
        <v>319388.78049999999</v>
      </c>
      <c r="C8" s="5">
        <v>302121.43</v>
      </c>
      <c r="D8" s="5">
        <v>621510.21050000004</v>
      </c>
    </row>
    <row r="9" spans="1:4">
      <c r="A9" s="17">
        <v>5</v>
      </c>
      <c r="B9" s="5">
        <v>356723.93</v>
      </c>
      <c r="C9" s="5">
        <v>305572.02450000006</v>
      </c>
      <c r="D9" s="5">
        <v>662295.95449999999</v>
      </c>
    </row>
    <row r="10" spans="1:4">
      <c r="A10" s="17">
        <v>6</v>
      </c>
      <c r="B10" s="5">
        <v>398525.56700000004</v>
      </c>
      <c r="C10" s="5">
        <v>238061.99450000003</v>
      </c>
      <c r="D10" s="5">
        <v>636587.56150000007</v>
      </c>
    </row>
    <row r="11" spans="1:4">
      <c r="A11" s="17">
        <v>7</v>
      </c>
      <c r="B11" s="5">
        <v>259951.62449999995</v>
      </c>
      <c r="C11" s="5">
        <v>308792.989</v>
      </c>
      <c r="D11" s="5">
        <v>568744.61349999998</v>
      </c>
    </row>
    <row r="12" spans="1:4">
      <c r="A12" s="17">
        <v>8</v>
      </c>
      <c r="B12" s="5">
        <v>256312.01299999998</v>
      </c>
      <c r="C12" s="5">
        <v>369054.38799999998</v>
      </c>
      <c r="D12" s="5">
        <v>625366.40099999995</v>
      </c>
    </row>
    <row r="13" spans="1:4">
      <c r="A13" s="17">
        <v>9</v>
      </c>
      <c r="B13" s="5">
        <v>293938.04599999997</v>
      </c>
      <c r="C13" s="5">
        <v>369398.22199999995</v>
      </c>
      <c r="D13" s="5">
        <v>663336.26799999992</v>
      </c>
    </row>
    <row r="14" spans="1:4">
      <c r="A14" s="17">
        <v>10</v>
      </c>
      <c r="B14" s="5">
        <v>422939.679</v>
      </c>
      <c r="C14" s="5">
        <v>136758.04849999998</v>
      </c>
      <c r="D14" s="5">
        <v>559697.72750000004</v>
      </c>
    </row>
    <row r="15" spans="1:4">
      <c r="A15" s="17">
        <v>11</v>
      </c>
      <c r="B15" s="5">
        <v>299464.04300000001</v>
      </c>
      <c r="C15" s="5">
        <v>23474.847000000002</v>
      </c>
      <c r="D15" s="5">
        <v>322938.89</v>
      </c>
    </row>
    <row r="16" spans="1:4">
      <c r="A16" s="17">
        <v>12</v>
      </c>
      <c r="B16" s="5">
        <v>201334.87499999997</v>
      </c>
      <c r="C16" s="5">
        <v>12372.416000000001</v>
      </c>
      <c r="D16" s="5">
        <v>213707.29099999997</v>
      </c>
    </row>
    <row r="17" spans="1:4">
      <c r="A17" s="17" t="s">
        <v>2834</v>
      </c>
      <c r="B17" s="5">
        <v>3827767.3964999998</v>
      </c>
      <c r="C17" s="5">
        <v>3138846.2659999998</v>
      </c>
      <c r="D17" s="5">
        <v>6966613.6624999996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F2373-7442-40D0-8FE3-0050E42ECD05}">
  <dimension ref="A1:AE697"/>
  <sheetViews>
    <sheetView tabSelected="1" topLeftCell="P1" workbookViewId="0">
      <selection activeCell="Y2" sqref="Y2"/>
    </sheetView>
  </sheetViews>
  <sheetFormatPr defaultRowHeight="14.4"/>
  <cols>
    <col min="1" max="1" width="15.109375" bestFit="1" customWidth="1"/>
    <col min="2" max="3" width="10.33203125" bestFit="1" customWidth="1"/>
    <col min="4" max="5" width="8.6640625" bestFit="1" customWidth="1"/>
    <col min="6" max="6" width="10" bestFit="1" customWidth="1"/>
    <col min="7" max="7" width="13.77734375" bestFit="1" customWidth="1"/>
    <col min="8" max="8" width="12.6640625" bestFit="1" customWidth="1"/>
    <col min="9" max="9" width="8.77734375" bestFit="1" customWidth="1"/>
    <col min="10" max="10" width="14.5546875" bestFit="1" customWidth="1"/>
    <col min="11" max="11" width="12" bestFit="1" customWidth="1"/>
    <col min="12" max="12" width="13.109375" bestFit="1" customWidth="1"/>
    <col min="13" max="13" width="10.44140625" bestFit="1" customWidth="1"/>
    <col min="14" max="14" width="20" bestFit="1" customWidth="1"/>
    <col min="15" max="15" width="12.77734375" bestFit="1" customWidth="1"/>
    <col min="17" max="17" width="8.33203125" bestFit="1" customWidth="1"/>
    <col min="18" max="18" width="8.6640625" bestFit="1" customWidth="1"/>
    <col min="19" max="19" width="8.77734375" bestFit="1" customWidth="1"/>
    <col min="20" max="22" width="9" bestFit="1" customWidth="1"/>
    <col min="24" max="24" width="13.33203125" customWidth="1"/>
    <col min="25" max="25" width="16.5546875" customWidth="1"/>
    <col min="26" max="26" width="15.109375" customWidth="1"/>
    <col min="27" max="27" width="14" customWidth="1"/>
    <col min="28" max="28" width="11.5546875" customWidth="1"/>
    <col min="31" max="31" width="13" customWidth="1"/>
  </cols>
  <sheetData>
    <row r="1" spans="1:31" ht="41.4">
      <c r="A1" s="1" t="s">
        <v>0</v>
      </c>
      <c r="B1" s="3" t="s">
        <v>1</v>
      </c>
      <c r="C1" s="3" t="s">
        <v>2</v>
      </c>
      <c r="D1" s="6" t="s">
        <v>2763</v>
      </c>
      <c r="E1" s="4" t="s">
        <v>2764</v>
      </c>
      <c r="F1" s="1" t="s">
        <v>3</v>
      </c>
      <c r="G1" s="1" t="s">
        <v>2761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2765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2766</v>
      </c>
      <c r="Z1" s="1" t="s">
        <v>2767</v>
      </c>
      <c r="AA1" s="1" t="s">
        <v>2768</v>
      </c>
      <c r="AB1" s="1" t="s">
        <v>2769</v>
      </c>
      <c r="AC1" s="1" t="s">
        <v>2770</v>
      </c>
      <c r="AD1" s="1" t="s">
        <v>2771</v>
      </c>
      <c r="AE1" s="1" t="s">
        <v>2772</v>
      </c>
    </row>
    <row r="2" spans="1:31">
      <c r="A2" t="s">
        <v>20</v>
      </c>
      <c r="B2" s="2">
        <v>45494</v>
      </c>
      <c r="C2" s="2">
        <v>45500</v>
      </c>
      <c r="D2" s="5">
        <f>C2-B2</f>
        <v>6</v>
      </c>
      <c r="E2" s="5" t="str">
        <f>IF(D2&lt;0,"INVALID","OK")</f>
        <v>OK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>
        <v>8</v>
      </c>
      <c r="Q2">
        <v>2976.45</v>
      </c>
      <c r="R2">
        <v>0.2</v>
      </c>
      <c r="S2" t="str">
        <f>IF(R2&lt;0,"INVALID",IF(R2&gt;0.5,"INVALID","OK"))</f>
        <v>OK</v>
      </c>
      <c r="T2">
        <v>19049.28</v>
      </c>
      <c r="U2">
        <v>15841.89</v>
      </c>
      <c r="V2">
        <v>3207.39</v>
      </c>
      <c r="W2" t="s">
        <v>31</v>
      </c>
      <c r="X2" t="s">
        <v>32</v>
      </c>
      <c r="Y2">
        <f>IF(R2&lt;0,0,R2)</f>
        <v>0.2</v>
      </c>
      <c r="Z2">
        <f>P2*Q2*(1-Y2)</f>
        <v>19049.28</v>
      </c>
      <c r="AA2">
        <f>Z2-U2</f>
        <v>3207.3899999999994</v>
      </c>
      <c r="AB2">
        <f>AA2/Z2*100</f>
        <v>16.837329284886358</v>
      </c>
      <c r="AC2">
        <f>MONTH(B2)</f>
        <v>7</v>
      </c>
      <c r="AD2">
        <f>YEAR(B2)</f>
        <v>2024</v>
      </c>
      <c r="AE2" t="str">
        <f>IF(OR(R2&lt;0,NOT(ISNUMBER(R2)),D2&lt;0,W2="Failed"),"INVALID",IF(OR(I2="",O2="",R2="",R2&gt;0.5,AA2&lt;0),"WARNING","CLEAN"))</f>
        <v>CLEAN</v>
      </c>
    </row>
    <row r="3" spans="1:31">
      <c r="A3" t="s">
        <v>33</v>
      </c>
      <c r="B3" s="2">
        <v>45535</v>
      </c>
      <c r="C3" s="2">
        <v>45540</v>
      </c>
      <c r="D3" s="5">
        <f>C3-B3</f>
        <v>5</v>
      </c>
      <c r="E3" s="5" t="str">
        <f>IF(D3&lt;0,"INVALID","OK")</f>
        <v>OK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>
        <v>3</v>
      </c>
      <c r="Q3">
        <v>2437.5</v>
      </c>
      <c r="R3">
        <v>0</v>
      </c>
      <c r="S3" t="str">
        <f t="shared" ref="S3:S50" si="0">IF(R3&lt;0,"INVALID",IF(R3&gt;0.5,"INVALID","OK"))</f>
        <v>OK</v>
      </c>
      <c r="T3">
        <v>7312.5</v>
      </c>
      <c r="U3">
        <v>4904.7299999999996</v>
      </c>
      <c r="V3">
        <v>2407.77</v>
      </c>
      <c r="W3" t="s">
        <v>31</v>
      </c>
      <c r="X3" t="s">
        <v>32</v>
      </c>
      <c r="Y3">
        <f t="shared" ref="Y3:Y66" si="1">IF(R3&lt;0,0,IF(R3&gt;0.5,0,R3))</f>
        <v>0</v>
      </c>
      <c r="Z3">
        <f t="shared" ref="Z3:Z66" si="2">P3*Q3*(1-Y3)</f>
        <v>7312.5</v>
      </c>
      <c r="AA3">
        <f t="shared" ref="AA3:AA66" si="3">Z3-U3</f>
        <v>2407.7700000000004</v>
      </c>
      <c r="AB3">
        <f t="shared" ref="AB3:AB66" si="4">AA3/Z3*100</f>
        <v>32.926769230769239</v>
      </c>
      <c r="AC3">
        <f t="shared" ref="AC3:AC66" si="5">MONTH(B3)</f>
        <v>8</v>
      </c>
      <c r="AD3">
        <f t="shared" ref="AD3:AD66" si="6">YEAR(B3)</f>
        <v>2024</v>
      </c>
      <c r="AE3" t="str">
        <f t="shared" ref="AE3:AE66" si="7">IF(OR(R3&lt;0,NOT(ISNUMBER(R3)),D3&lt;0,W3="Failed"),"INVALID",IF(OR(I3="",O3="",R3="",R3&gt;0.5,AA3&lt;0),"WARNING","CLEAN"))</f>
        <v>CLEAN</v>
      </c>
    </row>
    <row r="4" spans="1:31">
      <c r="A4" t="s">
        <v>44</v>
      </c>
      <c r="B4" s="2">
        <v>45451</v>
      </c>
      <c r="C4" s="2">
        <v>45458</v>
      </c>
      <c r="D4" s="5">
        <f>C4-B4</f>
        <v>7</v>
      </c>
      <c r="E4" s="5" t="str">
        <f>IF(D4&lt;0,"INVALID","OK")</f>
        <v>OK</v>
      </c>
      <c r="F4" t="s">
        <v>45</v>
      </c>
      <c r="G4" t="s">
        <v>46</v>
      </c>
      <c r="H4" t="s">
        <v>23</v>
      </c>
      <c r="I4" t="s">
        <v>37</v>
      </c>
      <c r="J4" t="s">
        <v>38</v>
      </c>
      <c r="K4" t="s">
        <v>39</v>
      </c>
      <c r="L4" t="s">
        <v>27</v>
      </c>
      <c r="M4" t="s">
        <v>47</v>
      </c>
      <c r="N4" t="s">
        <v>48</v>
      </c>
      <c r="O4" t="s">
        <v>49</v>
      </c>
      <c r="P4">
        <v>4</v>
      </c>
      <c r="Q4">
        <v>1065.43</v>
      </c>
      <c r="R4">
        <v>0.55000000000000004</v>
      </c>
      <c r="S4" t="str">
        <f t="shared" si="0"/>
        <v>INVALID</v>
      </c>
      <c r="T4">
        <v>4261.72</v>
      </c>
      <c r="U4">
        <v>2465.69</v>
      </c>
      <c r="V4">
        <v>1796.03</v>
      </c>
      <c r="W4" t="s">
        <v>31</v>
      </c>
      <c r="X4" t="s">
        <v>32</v>
      </c>
      <c r="Y4">
        <f t="shared" si="1"/>
        <v>0</v>
      </c>
      <c r="Z4">
        <f t="shared" si="2"/>
        <v>4261.72</v>
      </c>
      <c r="AA4">
        <f t="shared" si="3"/>
        <v>1796.0300000000002</v>
      </c>
      <c r="AB4">
        <f t="shared" si="4"/>
        <v>42.143313028542465</v>
      </c>
      <c r="AC4">
        <f t="shared" si="5"/>
        <v>6</v>
      </c>
      <c r="AD4">
        <f t="shared" si="6"/>
        <v>2024</v>
      </c>
      <c r="AE4" t="str">
        <f t="shared" si="7"/>
        <v>WARNING</v>
      </c>
    </row>
    <row r="5" spans="1:31">
      <c r="A5" t="s">
        <v>50</v>
      </c>
      <c r="B5" s="2">
        <v>45624</v>
      </c>
      <c r="C5" s="2">
        <v>45625</v>
      </c>
      <c r="D5" s="5">
        <f>C5-B5</f>
        <v>1</v>
      </c>
      <c r="E5" s="5" t="str">
        <f>IF(D5&lt;0,"INVALID","OK")</f>
        <v>OK</v>
      </c>
      <c r="F5" t="s">
        <v>51</v>
      </c>
      <c r="G5" t="s">
        <v>52</v>
      </c>
      <c r="H5" t="s">
        <v>36</v>
      </c>
      <c r="I5" t="s">
        <v>53</v>
      </c>
      <c r="J5" t="s">
        <v>54</v>
      </c>
      <c r="K5" t="s">
        <v>55</v>
      </c>
      <c r="L5" t="s">
        <v>40</v>
      </c>
      <c r="M5" t="s">
        <v>56</v>
      </c>
      <c r="N5" t="s">
        <v>57</v>
      </c>
      <c r="O5" t="s">
        <v>58</v>
      </c>
      <c r="P5">
        <v>6</v>
      </c>
      <c r="Q5">
        <v>1848.43</v>
      </c>
      <c r="R5">
        <v>0.25</v>
      </c>
      <c r="S5" t="str">
        <f t="shared" si="0"/>
        <v>OK</v>
      </c>
      <c r="T5">
        <v>8317.93</v>
      </c>
      <c r="U5">
        <v>6796.77</v>
      </c>
      <c r="V5">
        <v>1521.16</v>
      </c>
      <c r="W5" t="s">
        <v>31</v>
      </c>
      <c r="X5" t="s">
        <v>32</v>
      </c>
      <c r="Y5">
        <f t="shared" si="1"/>
        <v>0.25</v>
      </c>
      <c r="Z5">
        <f t="shared" si="2"/>
        <v>8317.9349999999995</v>
      </c>
      <c r="AA5">
        <f t="shared" si="3"/>
        <v>1521.1649999999991</v>
      </c>
      <c r="AB5">
        <f t="shared" si="4"/>
        <v>18.287772145370205</v>
      </c>
      <c r="AC5">
        <f t="shared" si="5"/>
        <v>11</v>
      </c>
      <c r="AD5">
        <f t="shared" si="6"/>
        <v>2024</v>
      </c>
      <c r="AE5" t="str">
        <f t="shared" si="7"/>
        <v>CLEAN</v>
      </c>
    </row>
    <row r="6" spans="1:31">
      <c r="A6" t="s">
        <v>68</v>
      </c>
      <c r="B6" s="2">
        <v>45436</v>
      </c>
      <c r="C6" s="2">
        <v>45440</v>
      </c>
      <c r="D6" s="5">
        <f>C6-B6</f>
        <v>4</v>
      </c>
      <c r="E6" s="5" t="str">
        <f>IF(D6&lt;0,"INVALID","OK")</f>
        <v>OK</v>
      </c>
      <c r="F6" t="s">
        <v>69</v>
      </c>
      <c r="G6" t="s">
        <v>70</v>
      </c>
      <c r="H6" t="s">
        <v>36</v>
      </c>
      <c r="I6" t="s">
        <v>62</v>
      </c>
      <c r="J6" t="s">
        <v>71</v>
      </c>
      <c r="K6" t="s">
        <v>72</v>
      </c>
      <c r="L6" t="s">
        <v>73</v>
      </c>
      <c r="M6" t="s">
        <v>74</v>
      </c>
      <c r="N6" t="s">
        <v>75</v>
      </c>
      <c r="O6" t="s">
        <v>43</v>
      </c>
      <c r="P6">
        <v>3</v>
      </c>
      <c r="Q6">
        <v>1053.1099999999999</v>
      </c>
      <c r="R6">
        <v>0.2</v>
      </c>
      <c r="S6" t="str">
        <f t="shared" si="0"/>
        <v>OK</v>
      </c>
      <c r="T6">
        <v>2527.46</v>
      </c>
      <c r="U6">
        <v>1533.58</v>
      </c>
      <c r="V6">
        <v>993.88</v>
      </c>
      <c r="W6" t="s">
        <v>31</v>
      </c>
      <c r="X6" t="s">
        <v>32</v>
      </c>
      <c r="Y6">
        <f t="shared" si="1"/>
        <v>0.2</v>
      </c>
      <c r="Z6">
        <f t="shared" si="2"/>
        <v>2527.4639999999999</v>
      </c>
      <c r="AA6">
        <f t="shared" si="3"/>
        <v>993.88400000000001</v>
      </c>
      <c r="AB6">
        <f t="shared" si="4"/>
        <v>39.323369195367377</v>
      </c>
      <c r="AC6">
        <f t="shared" si="5"/>
        <v>5</v>
      </c>
      <c r="AD6">
        <f t="shared" si="6"/>
        <v>2024</v>
      </c>
      <c r="AE6" t="str">
        <f t="shared" si="7"/>
        <v>CLEAN</v>
      </c>
    </row>
    <row r="7" spans="1:31">
      <c r="A7" t="s">
        <v>86</v>
      </c>
      <c r="B7" s="2">
        <v>45601</v>
      </c>
      <c r="C7" s="2">
        <v>45606</v>
      </c>
      <c r="D7" s="5">
        <f>C7-B7</f>
        <v>5</v>
      </c>
      <c r="E7" s="5" t="str">
        <f>IF(D7&lt;0,"INVALID","OK")</f>
        <v>OK</v>
      </c>
      <c r="F7" t="s">
        <v>87</v>
      </c>
      <c r="G7" t="s">
        <v>88</v>
      </c>
      <c r="H7" t="s">
        <v>89</v>
      </c>
      <c r="I7" t="s">
        <v>53</v>
      </c>
      <c r="J7" t="s">
        <v>54</v>
      </c>
      <c r="K7" t="s">
        <v>55</v>
      </c>
      <c r="L7" t="s">
        <v>27</v>
      </c>
      <c r="M7" t="s">
        <v>90</v>
      </c>
      <c r="N7" t="s">
        <v>91</v>
      </c>
      <c r="O7" t="s">
        <v>49</v>
      </c>
      <c r="P7">
        <v>8</v>
      </c>
      <c r="Q7">
        <v>3134.2</v>
      </c>
      <c r="R7">
        <v>0</v>
      </c>
      <c r="S7" t="str">
        <f t="shared" si="0"/>
        <v>OK</v>
      </c>
      <c r="T7">
        <v>25073.599999999999</v>
      </c>
      <c r="U7">
        <v>17347.23</v>
      </c>
      <c r="V7">
        <v>7726.37</v>
      </c>
      <c r="W7" t="s">
        <v>31</v>
      </c>
      <c r="X7" t="s">
        <v>32</v>
      </c>
      <c r="Y7">
        <f t="shared" si="1"/>
        <v>0</v>
      </c>
      <c r="Z7">
        <f t="shared" si="2"/>
        <v>25073.599999999999</v>
      </c>
      <c r="AA7">
        <f t="shared" si="3"/>
        <v>7726.369999999999</v>
      </c>
      <c r="AB7">
        <f t="shared" si="4"/>
        <v>30.814761342607362</v>
      </c>
      <c r="AC7">
        <f t="shared" si="5"/>
        <v>11</v>
      </c>
      <c r="AD7">
        <f t="shared" si="6"/>
        <v>2024</v>
      </c>
      <c r="AE7" t="str">
        <f t="shared" si="7"/>
        <v>CLEAN</v>
      </c>
    </row>
    <row r="8" spans="1:31">
      <c r="A8" t="s">
        <v>103</v>
      </c>
      <c r="B8" s="2">
        <v>45495</v>
      </c>
      <c r="C8" s="2">
        <v>45496</v>
      </c>
      <c r="D8" s="5">
        <f>C8-B8</f>
        <v>1</v>
      </c>
      <c r="E8" s="5" t="str">
        <f>IF(D8&lt;0,"INVALID","OK")</f>
        <v>OK</v>
      </c>
      <c r="F8" t="s">
        <v>104</v>
      </c>
      <c r="G8" t="s">
        <v>70</v>
      </c>
      <c r="H8" t="s">
        <v>36</v>
      </c>
      <c r="I8" t="s">
        <v>37</v>
      </c>
      <c r="J8" t="s">
        <v>38</v>
      </c>
      <c r="K8" t="s">
        <v>39</v>
      </c>
      <c r="L8" t="s">
        <v>73</v>
      </c>
      <c r="M8" t="s">
        <v>74</v>
      </c>
      <c r="N8" t="s">
        <v>105</v>
      </c>
      <c r="O8" t="s">
        <v>43</v>
      </c>
      <c r="P8">
        <v>6</v>
      </c>
      <c r="Q8">
        <v>2005.95</v>
      </c>
      <c r="R8">
        <v>0.2</v>
      </c>
      <c r="S8" t="str">
        <f t="shared" si="0"/>
        <v>OK</v>
      </c>
      <c r="T8">
        <v>9628.56</v>
      </c>
      <c r="U8">
        <v>8038.59</v>
      </c>
      <c r="V8">
        <v>1589.97</v>
      </c>
      <c r="W8" t="s">
        <v>31</v>
      </c>
      <c r="X8" t="s">
        <v>32</v>
      </c>
      <c r="Y8">
        <f t="shared" si="1"/>
        <v>0.2</v>
      </c>
      <c r="Z8">
        <f t="shared" si="2"/>
        <v>9628.5600000000013</v>
      </c>
      <c r="AA8">
        <f t="shared" si="3"/>
        <v>1589.9700000000012</v>
      </c>
      <c r="AB8">
        <f t="shared" si="4"/>
        <v>16.513061143099289</v>
      </c>
      <c r="AC8">
        <f t="shared" si="5"/>
        <v>7</v>
      </c>
      <c r="AD8">
        <f t="shared" si="6"/>
        <v>2024</v>
      </c>
      <c r="AE8" t="str">
        <f t="shared" si="7"/>
        <v>CLEAN</v>
      </c>
    </row>
    <row r="9" spans="1:31">
      <c r="A9" t="s">
        <v>106</v>
      </c>
      <c r="B9" s="2">
        <v>45646</v>
      </c>
      <c r="C9" s="2">
        <v>45647</v>
      </c>
      <c r="D9" s="5">
        <f>C9-B9</f>
        <v>1</v>
      </c>
      <c r="E9" s="5" t="str">
        <f>IF(D9&lt;0,"INVALID","OK")</f>
        <v>OK</v>
      </c>
      <c r="F9" t="s">
        <v>107</v>
      </c>
      <c r="G9" t="s">
        <v>61</v>
      </c>
      <c r="H9" t="s">
        <v>89</v>
      </c>
      <c r="I9" t="s">
        <v>62</v>
      </c>
      <c r="J9" t="s">
        <v>25</v>
      </c>
      <c r="K9" t="s">
        <v>108</v>
      </c>
      <c r="L9" t="s">
        <v>27</v>
      </c>
      <c r="M9" t="s">
        <v>28</v>
      </c>
      <c r="N9" t="s">
        <v>109</v>
      </c>
      <c r="O9" t="s">
        <v>49</v>
      </c>
      <c r="P9">
        <v>1</v>
      </c>
      <c r="Q9">
        <v>702.14</v>
      </c>
      <c r="R9">
        <v>0.15</v>
      </c>
      <c r="S9" t="str">
        <f t="shared" si="0"/>
        <v>OK</v>
      </c>
      <c r="T9">
        <v>596.82000000000005</v>
      </c>
      <c r="U9">
        <v>380.25</v>
      </c>
      <c r="V9">
        <v>216.57</v>
      </c>
      <c r="W9" t="s">
        <v>110</v>
      </c>
      <c r="X9" t="s">
        <v>102</v>
      </c>
      <c r="Y9">
        <f t="shared" si="1"/>
        <v>0.15</v>
      </c>
      <c r="Z9">
        <f t="shared" si="2"/>
        <v>596.81899999999996</v>
      </c>
      <c r="AA9">
        <f t="shared" si="3"/>
        <v>216.56899999999996</v>
      </c>
      <c r="AB9">
        <f t="shared" si="4"/>
        <v>36.287216057129548</v>
      </c>
      <c r="AC9">
        <f t="shared" si="5"/>
        <v>12</v>
      </c>
      <c r="AD9">
        <f t="shared" si="6"/>
        <v>2024</v>
      </c>
      <c r="AE9" t="str">
        <f t="shared" si="7"/>
        <v>CLEAN</v>
      </c>
    </row>
    <row r="10" spans="1:31">
      <c r="A10" t="s">
        <v>115</v>
      </c>
      <c r="B10" s="2">
        <v>45653</v>
      </c>
      <c r="C10" s="2">
        <v>45654</v>
      </c>
      <c r="D10" s="5">
        <f>C10-B10</f>
        <v>1</v>
      </c>
      <c r="E10" s="5" t="str">
        <f>IF(D10&lt;0,"INVALID","OK")</f>
        <v>OK</v>
      </c>
      <c r="F10" t="s">
        <v>116</v>
      </c>
      <c r="G10" t="s">
        <v>117</v>
      </c>
      <c r="H10" t="s">
        <v>23</v>
      </c>
      <c r="I10" t="s">
        <v>62</v>
      </c>
      <c r="J10" t="s">
        <v>25</v>
      </c>
      <c r="K10" t="s">
        <v>108</v>
      </c>
      <c r="L10" t="s">
        <v>73</v>
      </c>
      <c r="M10" t="s">
        <v>79</v>
      </c>
      <c r="N10" t="s">
        <v>118</v>
      </c>
      <c r="O10" t="s">
        <v>58</v>
      </c>
      <c r="P10">
        <v>2</v>
      </c>
      <c r="Q10">
        <v>2737.83</v>
      </c>
      <c r="R10">
        <v>0.25</v>
      </c>
      <c r="S10" t="str">
        <f t="shared" si="0"/>
        <v>OK</v>
      </c>
      <c r="T10">
        <v>4106.74</v>
      </c>
      <c r="U10">
        <v>2666.3</v>
      </c>
      <c r="V10">
        <v>1440.44</v>
      </c>
      <c r="W10" t="s">
        <v>31</v>
      </c>
      <c r="X10" t="s">
        <v>32</v>
      </c>
      <c r="Y10">
        <f t="shared" si="1"/>
        <v>0.25</v>
      </c>
      <c r="Z10">
        <f t="shared" si="2"/>
        <v>4106.7449999999999</v>
      </c>
      <c r="AA10">
        <f t="shared" si="3"/>
        <v>1440.4449999999997</v>
      </c>
      <c r="AB10">
        <f t="shared" si="4"/>
        <v>35.075102057712364</v>
      </c>
      <c r="AC10">
        <f t="shared" si="5"/>
        <v>12</v>
      </c>
      <c r="AD10">
        <f t="shared" si="6"/>
        <v>2024</v>
      </c>
      <c r="AE10" t="str">
        <f t="shared" si="7"/>
        <v>CLEAN</v>
      </c>
    </row>
    <row r="11" spans="1:31">
      <c r="A11" t="s">
        <v>119</v>
      </c>
      <c r="B11" s="2">
        <v>45482</v>
      </c>
      <c r="C11" s="2">
        <v>45482</v>
      </c>
      <c r="D11" s="5">
        <f>C11-B11</f>
        <v>0</v>
      </c>
      <c r="E11" s="5" t="str">
        <f>IF(D11&lt;0,"INVALID","OK")</f>
        <v>OK</v>
      </c>
      <c r="F11" t="s">
        <v>120</v>
      </c>
      <c r="G11" t="s">
        <v>22</v>
      </c>
      <c r="H11" t="s">
        <v>36</v>
      </c>
      <c r="I11" t="s">
        <v>24</v>
      </c>
      <c r="J11" t="s">
        <v>121</v>
      </c>
      <c r="K11" t="s">
        <v>122</v>
      </c>
      <c r="L11" t="s">
        <v>27</v>
      </c>
      <c r="M11" t="s">
        <v>123</v>
      </c>
      <c r="N11" t="s">
        <v>124</v>
      </c>
      <c r="O11" t="s">
        <v>30</v>
      </c>
      <c r="P11">
        <v>6</v>
      </c>
      <c r="Q11">
        <v>3965.76</v>
      </c>
      <c r="R11">
        <v>0</v>
      </c>
      <c r="S11" t="str">
        <f t="shared" si="0"/>
        <v>OK</v>
      </c>
      <c r="T11">
        <v>23794.560000000001</v>
      </c>
      <c r="U11">
        <v>15698.47</v>
      </c>
      <c r="V11">
        <v>8096.09</v>
      </c>
      <c r="W11" t="s">
        <v>31</v>
      </c>
      <c r="X11" t="s">
        <v>32</v>
      </c>
      <c r="Y11">
        <f t="shared" si="1"/>
        <v>0</v>
      </c>
      <c r="Z11">
        <f t="shared" si="2"/>
        <v>23794.560000000001</v>
      </c>
      <c r="AA11">
        <f t="shared" si="3"/>
        <v>8096.090000000002</v>
      </c>
      <c r="AB11">
        <f t="shared" si="4"/>
        <v>34.02496200812287</v>
      </c>
      <c r="AC11">
        <f t="shared" si="5"/>
        <v>7</v>
      </c>
      <c r="AD11">
        <f t="shared" si="6"/>
        <v>2024</v>
      </c>
      <c r="AE11" t="str">
        <f t="shared" si="7"/>
        <v>CLEAN</v>
      </c>
    </row>
    <row r="12" spans="1:31">
      <c r="A12" t="s">
        <v>125</v>
      </c>
      <c r="B12" s="2">
        <v>45420</v>
      </c>
      <c r="C12" s="2">
        <v>45427</v>
      </c>
      <c r="D12" s="5">
        <f>C12-B12</f>
        <v>7</v>
      </c>
      <c r="E12" s="5" t="str">
        <f>IF(D12&lt;0,"INVALID","OK")</f>
        <v>OK</v>
      </c>
      <c r="F12" t="s">
        <v>126</v>
      </c>
      <c r="G12" t="s">
        <v>127</v>
      </c>
      <c r="H12" t="s">
        <v>23</v>
      </c>
      <c r="I12" t="s">
        <v>53</v>
      </c>
      <c r="J12" t="s">
        <v>54</v>
      </c>
      <c r="K12" t="s">
        <v>55</v>
      </c>
      <c r="L12" t="s">
        <v>27</v>
      </c>
      <c r="M12" t="s">
        <v>47</v>
      </c>
      <c r="N12" t="s">
        <v>128</v>
      </c>
      <c r="O12" t="s">
        <v>49</v>
      </c>
      <c r="P12">
        <v>4</v>
      </c>
      <c r="Q12">
        <v>3323.51</v>
      </c>
      <c r="R12">
        <v>0.25</v>
      </c>
      <c r="S12" t="str">
        <f t="shared" si="0"/>
        <v>OK</v>
      </c>
      <c r="T12">
        <v>9970.5300000000007</v>
      </c>
      <c r="U12">
        <v>5668.17</v>
      </c>
      <c r="V12">
        <v>4302.3599999999997</v>
      </c>
      <c r="W12" t="s">
        <v>31</v>
      </c>
      <c r="X12" t="s">
        <v>32</v>
      </c>
      <c r="Y12">
        <f t="shared" si="1"/>
        <v>0.25</v>
      </c>
      <c r="Z12">
        <f t="shared" si="2"/>
        <v>9970.5300000000007</v>
      </c>
      <c r="AA12">
        <f t="shared" si="3"/>
        <v>4302.3600000000006</v>
      </c>
      <c r="AB12">
        <f t="shared" si="4"/>
        <v>43.150765305354881</v>
      </c>
      <c r="AC12">
        <f t="shared" si="5"/>
        <v>5</v>
      </c>
      <c r="AD12">
        <f t="shared" si="6"/>
        <v>2024</v>
      </c>
      <c r="AE12" t="str">
        <f t="shared" si="7"/>
        <v>CLEAN</v>
      </c>
    </row>
    <row r="13" spans="1:31">
      <c r="A13" t="s">
        <v>129</v>
      </c>
      <c r="B13" s="2">
        <v>45298</v>
      </c>
      <c r="C13" s="2">
        <v>45299</v>
      </c>
      <c r="D13" s="5">
        <f>C13-B13</f>
        <v>1</v>
      </c>
      <c r="E13" s="5" t="str">
        <f>IF(D13&lt;0,"INVALID","OK")</f>
        <v>OK</v>
      </c>
      <c r="F13" t="s">
        <v>130</v>
      </c>
      <c r="G13" t="s">
        <v>131</v>
      </c>
      <c r="H13" t="s">
        <v>36</v>
      </c>
      <c r="I13" t="s">
        <v>24</v>
      </c>
      <c r="J13" t="s">
        <v>25</v>
      </c>
      <c r="K13" t="s">
        <v>26</v>
      </c>
      <c r="L13" t="s">
        <v>40</v>
      </c>
      <c r="M13" t="s">
        <v>56</v>
      </c>
      <c r="N13" t="s">
        <v>132</v>
      </c>
      <c r="O13" t="s">
        <v>43</v>
      </c>
      <c r="P13">
        <v>5</v>
      </c>
      <c r="Q13">
        <v>1526.78</v>
      </c>
      <c r="R13">
        <v>0</v>
      </c>
      <c r="S13" t="str">
        <f t="shared" si="0"/>
        <v>OK</v>
      </c>
      <c r="T13">
        <v>7633.9</v>
      </c>
      <c r="U13">
        <v>4706.91</v>
      </c>
      <c r="V13">
        <v>2926.99</v>
      </c>
      <c r="W13" t="s">
        <v>31</v>
      </c>
      <c r="X13" t="s">
        <v>32</v>
      </c>
      <c r="Y13">
        <f t="shared" si="1"/>
        <v>0</v>
      </c>
      <c r="Z13">
        <f t="shared" si="2"/>
        <v>7633.9</v>
      </c>
      <c r="AA13">
        <f t="shared" si="3"/>
        <v>2926.99</v>
      </c>
      <c r="AB13">
        <f t="shared" si="4"/>
        <v>38.342000812166781</v>
      </c>
      <c r="AC13">
        <f t="shared" si="5"/>
        <v>1</v>
      </c>
      <c r="AD13">
        <f t="shared" si="6"/>
        <v>2024</v>
      </c>
      <c r="AE13" t="str">
        <f t="shared" si="7"/>
        <v>CLEAN</v>
      </c>
    </row>
    <row r="14" spans="1:31">
      <c r="A14" t="s">
        <v>138</v>
      </c>
      <c r="B14" s="2">
        <v>45500</v>
      </c>
      <c r="C14" s="2">
        <v>45504</v>
      </c>
      <c r="D14" s="5">
        <f>C14-B14</f>
        <v>4</v>
      </c>
      <c r="E14" s="5" t="str">
        <f>IF(D14&lt;0,"INVALID","OK")</f>
        <v>OK</v>
      </c>
      <c r="F14" t="s">
        <v>139</v>
      </c>
      <c r="G14" t="s">
        <v>140</v>
      </c>
      <c r="H14" t="s">
        <v>94</v>
      </c>
      <c r="I14" t="s">
        <v>62</v>
      </c>
      <c r="J14" t="s">
        <v>71</v>
      </c>
      <c r="K14" t="s">
        <v>72</v>
      </c>
      <c r="L14" t="s">
        <v>27</v>
      </c>
      <c r="M14" t="s">
        <v>123</v>
      </c>
      <c r="N14" t="s">
        <v>141</v>
      </c>
      <c r="O14" t="s">
        <v>30</v>
      </c>
      <c r="P14">
        <v>3</v>
      </c>
      <c r="Q14">
        <v>3887.94</v>
      </c>
      <c r="R14">
        <v>-0.19</v>
      </c>
      <c r="S14" t="str">
        <f t="shared" si="0"/>
        <v>INVALID</v>
      </c>
      <c r="T14">
        <v>9331.06</v>
      </c>
      <c r="U14">
        <v>7529.31</v>
      </c>
      <c r="V14">
        <v>1801.75</v>
      </c>
      <c r="W14" t="s">
        <v>31</v>
      </c>
      <c r="X14" t="s">
        <v>32</v>
      </c>
      <c r="Y14">
        <f t="shared" si="1"/>
        <v>0</v>
      </c>
      <c r="Z14">
        <f t="shared" si="2"/>
        <v>11663.82</v>
      </c>
      <c r="AA14">
        <f t="shared" si="3"/>
        <v>4134.5099999999993</v>
      </c>
      <c r="AB14">
        <f t="shared" si="4"/>
        <v>35.447306285590827</v>
      </c>
      <c r="AC14">
        <f t="shared" si="5"/>
        <v>7</v>
      </c>
      <c r="AD14">
        <f t="shared" si="6"/>
        <v>2024</v>
      </c>
      <c r="AE14" t="str">
        <f t="shared" si="7"/>
        <v>INVALID</v>
      </c>
    </row>
    <row r="15" spans="1:31">
      <c r="A15" t="s">
        <v>163</v>
      </c>
      <c r="B15" s="2">
        <v>45606</v>
      </c>
      <c r="C15" s="2">
        <v>45584</v>
      </c>
      <c r="D15" s="5">
        <f>C15-B15</f>
        <v>-22</v>
      </c>
      <c r="E15" s="5" t="str">
        <f>IF(D15&lt;0,"INVALID","OK")</f>
        <v>INVALID</v>
      </c>
      <c r="F15" t="s">
        <v>164</v>
      </c>
      <c r="G15" t="s">
        <v>52</v>
      </c>
      <c r="H15" t="s">
        <v>89</v>
      </c>
      <c r="I15" t="s">
        <v>37</v>
      </c>
      <c r="J15" t="s">
        <v>165</v>
      </c>
      <c r="K15" t="s">
        <v>166</v>
      </c>
      <c r="L15" t="s">
        <v>73</v>
      </c>
      <c r="M15" t="s">
        <v>74</v>
      </c>
      <c r="N15" t="s">
        <v>167</v>
      </c>
      <c r="O15" t="s">
        <v>49</v>
      </c>
      <c r="P15">
        <v>2</v>
      </c>
      <c r="Q15">
        <v>4315.2</v>
      </c>
      <c r="R15">
        <v>0.15</v>
      </c>
      <c r="S15" t="str">
        <f t="shared" si="0"/>
        <v>OK</v>
      </c>
      <c r="T15">
        <v>7335.84</v>
      </c>
      <c r="U15">
        <v>4968.41</v>
      </c>
      <c r="V15">
        <v>2367.4299999999998</v>
      </c>
      <c r="W15" t="s">
        <v>31</v>
      </c>
      <c r="X15" t="s">
        <v>32</v>
      </c>
      <c r="Y15">
        <f t="shared" si="1"/>
        <v>0.15</v>
      </c>
      <c r="Z15">
        <f t="shared" si="2"/>
        <v>7335.8399999999992</v>
      </c>
      <c r="AA15">
        <f t="shared" si="3"/>
        <v>2367.4299999999994</v>
      </c>
      <c r="AB15">
        <f t="shared" si="4"/>
        <v>32.272105171323254</v>
      </c>
      <c r="AC15">
        <f t="shared" si="5"/>
        <v>11</v>
      </c>
      <c r="AD15">
        <f t="shared" si="6"/>
        <v>2024</v>
      </c>
      <c r="AE15" t="str">
        <f t="shared" si="7"/>
        <v>INVALID</v>
      </c>
    </row>
    <row r="16" spans="1:31">
      <c r="A16" t="s">
        <v>168</v>
      </c>
      <c r="B16" s="2">
        <v>45619</v>
      </c>
      <c r="C16" s="2">
        <v>45619</v>
      </c>
      <c r="D16" s="5">
        <f>C16-B16</f>
        <v>0</v>
      </c>
      <c r="E16" s="5" t="str">
        <f>IF(D16&lt;0,"INVALID","OK")</f>
        <v>OK</v>
      </c>
      <c r="F16" t="s">
        <v>169</v>
      </c>
      <c r="G16" t="s">
        <v>161</v>
      </c>
      <c r="H16" t="s">
        <v>89</v>
      </c>
      <c r="I16" t="s">
        <v>24</v>
      </c>
      <c r="J16" t="s">
        <v>135</v>
      </c>
      <c r="K16" t="s">
        <v>136</v>
      </c>
      <c r="L16" t="s">
        <v>73</v>
      </c>
      <c r="M16" t="s">
        <v>170</v>
      </c>
      <c r="N16" t="s">
        <v>171</v>
      </c>
      <c r="O16" t="s">
        <v>58</v>
      </c>
      <c r="P16">
        <v>4</v>
      </c>
      <c r="Q16">
        <v>716.13</v>
      </c>
      <c r="R16">
        <v>0.1</v>
      </c>
      <c r="S16" t="str">
        <f t="shared" si="0"/>
        <v>OK</v>
      </c>
      <c r="T16">
        <v>2578.0700000000002</v>
      </c>
      <c r="U16">
        <v>1527.55</v>
      </c>
      <c r="V16">
        <v>1050.52</v>
      </c>
      <c r="W16" t="s">
        <v>31</v>
      </c>
      <c r="X16" t="s">
        <v>102</v>
      </c>
      <c r="Y16">
        <f t="shared" si="1"/>
        <v>0.1</v>
      </c>
      <c r="Z16">
        <f t="shared" si="2"/>
        <v>2578.0680000000002</v>
      </c>
      <c r="AA16">
        <f t="shared" si="3"/>
        <v>1050.5180000000003</v>
      </c>
      <c r="AB16">
        <f t="shared" si="4"/>
        <v>40.748265755596833</v>
      </c>
      <c r="AC16">
        <f t="shared" si="5"/>
        <v>11</v>
      </c>
      <c r="AD16">
        <f t="shared" si="6"/>
        <v>2024</v>
      </c>
      <c r="AE16" t="str">
        <f t="shared" si="7"/>
        <v>CLEAN</v>
      </c>
    </row>
    <row r="17" spans="1:31">
      <c r="A17" t="s">
        <v>187</v>
      </c>
      <c r="B17" s="2">
        <v>45331</v>
      </c>
      <c r="C17" s="2">
        <v>45334</v>
      </c>
      <c r="D17" s="5">
        <f>C17-B17</f>
        <v>3</v>
      </c>
      <c r="E17" s="5" t="str">
        <f>IF(D17&lt;0,"INVALID","OK")</f>
        <v>OK</v>
      </c>
      <c r="F17" t="s">
        <v>188</v>
      </c>
      <c r="G17" t="s">
        <v>61</v>
      </c>
      <c r="H17" t="s">
        <v>89</v>
      </c>
      <c r="I17" t="s">
        <v>62</v>
      </c>
      <c r="J17" t="s">
        <v>189</v>
      </c>
      <c r="K17" t="s">
        <v>190</v>
      </c>
      <c r="L17" t="s">
        <v>27</v>
      </c>
      <c r="M17" t="s">
        <v>90</v>
      </c>
      <c r="N17" t="s">
        <v>191</v>
      </c>
      <c r="O17" t="s">
        <v>49</v>
      </c>
      <c r="P17">
        <v>1</v>
      </c>
      <c r="Q17">
        <v>3421.77</v>
      </c>
      <c r="R17">
        <v>0.1</v>
      </c>
      <c r="S17" t="str">
        <f t="shared" si="0"/>
        <v>OK</v>
      </c>
      <c r="T17">
        <v>3079.59</v>
      </c>
      <c r="U17">
        <v>2001.89</v>
      </c>
      <c r="V17">
        <v>1077.7</v>
      </c>
      <c r="W17" t="s">
        <v>31</v>
      </c>
      <c r="X17" t="s">
        <v>32</v>
      </c>
      <c r="Y17">
        <f t="shared" si="1"/>
        <v>0.1</v>
      </c>
      <c r="Z17">
        <f t="shared" si="2"/>
        <v>3079.5929999999998</v>
      </c>
      <c r="AA17">
        <f t="shared" si="3"/>
        <v>1077.7029999999997</v>
      </c>
      <c r="AB17">
        <f t="shared" si="4"/>
        <v>34.994981479695525</v>
      </c>
      <c r="AC17">
        <f t="shared" si="5"/>
        <v>2</v>
      </c>
      <c r="AD17">
        <f t="shared" si="6"/>
        <v>2024</v>
      </c>
      <c r="AE17" t="str">
        <f t="shared" si="7"/>
        <v>CLEAN</v>
      </c>
    </row>
    <row r="18" spans="1:31">
      <c r="A18" t="s">
        <v>195</v>
      </c>
      <c r="B18" s="2">
        <v>45618</v>
      </c>
      <c r="C18" s="2">
        <v>45622</v>
      </c>
      <c r="D18" s="5">
        <f>C18-B18</f>
        <v>4</v>
      </c>
      <c r="E18" s="5" t="str">
        <f>IF(D18&lt;0,"INVALID","OK")</f>
        <v>OK</v>
      </c>
      <c r="F18" t="s">
        <v>196</v>
      </c>
      <c r="G18" t="s">
        <v>127</v>
      </c>
      <c r="H18" t="s">
        <v>89</v>
      </c>
      <c r="I18" t="s">
        <v>53</v>
      </c>
      <c r="J18" t="s">
        <v>83</v>
      </c>
      <c r="K18" t="s">
        <v>84</v>
      </c>
      <c r="L18" t="s">
        <v>73</v>
      </c>
      <c r="M18" t="s">
        <v>170</v>
      </c>
      <c r="N18" t="s">
        <v>197</v>
      </c>
      <c r="O18" t="s">
        <v>30</v>
      </c>
      <c r="P18">
        <v>3</v>
      </c>
      <c r="Q18">
        <v>4001.25</v>
      </c>
      <c r="R18">
        <v>0</v>
      </c>
      <c r="S18" t="str">
        <f t="shared" si="0"/>
        <v>OK</v>
      </c>
      <c r="T18">
        <v>9002.81</v>
      </c>
      <c r="U18">
        <v>7529.92</v>
      </c>
      <c r="V18">
        <v>1472.89</v>
      </c>
      <c r="W18" t="s">
        <v>31</v>
      </c>
      <c r="X18" t="s">
        <v>32</v>
      </c>
      <c r="Y18">
        <f t="shared" si="1"/>
        <v>0</v>
      </c>
      <c r="Z18">
        <f t="shared" si="2"/>
        <v>12003.75</v>
      </c>
      <c r="AA18">
        <f t="shared" si="3"/>
        <v>4473.83</v>
      </c>
      <c r="AB18">
        <f t="shared" si="4"/>
        <v>37.270269707383108</v>
      </c>
      <c r="AC18">
        <f t="shared" si="5"/>
        <v>11</v>
      </c>
      <c r="AD18">
        <f t="shared" si="6"/>
        <v>2024</v>
      </c>
      <c r="AE18" t="str">
        <f t="shared" si="7"/>
        <v>CLEAN</v>
      </c>
    </row>
    <row r="19" spans="1:31">
      <c r="A19" t="s">
        <v>198</v>
      </c>
      <c r="B19" s="2">
        <v>45495</v>
      </c>
      <c r="C19" s="2">
        <v>45500</v>
      </c>
      <c r="D19" s="5">
        <f>C19-B19</f>
        <v>5</v>
      </c>
      <c r="E19" s="5" t="str">
        <f>IF(D19&lt;0,"INVALID","OK")</f>
        <v>OK</v>
      </c>
      <c r="F19" t="s">
        <v>199</v>
      </c>
      <c r="G19" t="s">
        <v>113</v>
      </c>
      <c r="H19" t="s">
        <v>94</v>
      </c>
      <c r="I19" t="s">
        <v>62</v>
      </c>
      <c r="J19" t="s">
        <v>189</v>
      </c>
      <c r="K19" t="s">
        <v>190</v>
      </c>
      <c r="L19" t="s">
        <v>40</v>
      </c>
      <c r="M19" t="s">
        <v>41</v>
      </c>
      <c r="N19" t="s">
        <v>200</v>
      </c>
      <c r="O19" t="s">
        <v>43</v>
      </c>
      <c r="P19">
        <v>7</v>
      </c>
      <c r="Q19">
        <v>492.41</v>
      </c>
      <c r="R19">
        <v>0.25</v>
      </c>
      <c r="S19" t="str">
        <f t="shared" si="0"/>
        <v>OK</v>
      </c>
      <c r="T19">
        <v>2585.15</v>
      </c>
      <c r="U19">
        <v>2070.73</v>
      </c>
      <c r="V19">
        <v>514.41999999999996</v>
      </c>
      <c r="W19" t="s">
        <v>31</v>
      </c>
      <c r="X19" t="s">
        <v>32</v>
      </c>
      <c r="Y19">
        <f t="shared" si="1"/>
        <v>0.25</v>
      </c>
      <c r="Z19">
        <f t="shared" si="2"/>
        <v>2585.1525000000001</v>
      </c>
      <c r="AA19">
        <f t="shared" si="3"/>
        <v>514.42250000000013</v>
      </c>
      <c r="AB19">
        <f t="shared" si="4"/>
        <v>19.899116203009303</v>
      </c>
      <c r="AC19">
        <f t="shared" si="5"/>
        <v>7</v>
      </c>
      <c r="AD19">
        <f t="shared" si="6"/>
        <v>2024</v>
      </c>
      <c r="AE19" t="str">
        <f t="shared" si="7"/>
        <v>CLEAN</v>
      </c>
    </row>
    <row r="20" spans="1:31">
      <c r="A20" t="s">
        <v>204</v>
      </c>
      <c r="B20" s="2">
        <v>45441</v>
      </c>
      <c r="C20" s="2">
        <v>45441</v>
      </c>
      <c r="D20" s="5">
        <f>C20-B20</f>
        <v>0</v>
      </c>
      <c r="E20" s="5" t="str">
        <f>IF(D20&lt;0,"INVALID","OK")</f>
        <v>OK</v>
      </c>
      <c r="F20" t="s">
        <v>205</v>
      </c>
      <c r="G20" t="s">
        <v>131</v>
      </c>
      <c r="H20" t="s">
        <v>36</v>
      </c>
      <c r="I20" t="s">
        <v>62</v>
      </c>
      <c r="J20" t="s">
        <v>179</v>
      </c>
      <c r="K20" t="s">
        <v>180</v>
      </c>
      <c r="L20" t="s">
        <v>40</v>
      </c>
      <c r="M20" t="s">
        <v>157</v>
      </c>
      <c r="N20" t="s">
        <v>206</v>
      </c>
      <c r="O20" t="s">
        <v>30</v>
      </c>
      <c r="P20">
        <v>8</v>
      </c>
      <c r="Q20">
        <v>2507.12</v>
      </c>
      <c r="R20">
        <v>0.05</v>
      </c>
      <c r="S20" t="str">
        <f t="shared" si="0"/>
        <v>OK</v>
      </c>
      <c r="T20">
        <v>19054.11</v>
      </c>
      <c r="U20">
        <v>15313.83</v>
      </c>
      <c r="V20">
        <v>3740.28</v>
      </c>
      <c r="W20" t="s">
        <v>110</v>
      </c>
      <c r="X20" t="s">
        <v>102</v>
      </c>
      <c r="Y20">
        <f t="shared" si="1"/>
        <v>0.05</v>
      </c>
      <c r="Z20">
        <f t="shared" si="2"/>
        <v>19054.111999999997</v>
      </c>
      <c r="AA20">
        <f t="shared" si="3"/>
        <v>3740.2819999999974</v>
      </c>
      <c r="AB20">
        <f t="shared" si="4"/>
        <v>19.629789097492438</v>
      </c>
      <c r="AC20">
        <f t="shared" si="5"/>
        <v>5</v>
      </c>
      <c r="AD20">
        <f t="shared" si="6"/>
        <v>2024</v>
      </c>
      <c r="AE20" t="str">
        <f t="shared" si="7"/>
        <v>CLEAN</v>
      </c>
    </row>
    <row r="21" spans="1:31">
      <c r="A21" t="s">
        <v>207</v>
      </c>
      <c r="B21" s="2">
        <v>45590</v>
      </c>
      <c r="C21" s="2">
        <v>45593</v>
      </c>
      <c r="D21" s="5">
        <f>C21-B21</f>
        <v>3</v>
      </c>
      <c r="E21" s="5" t="str">
        <f>IF(D21&lt;0,"INVALID","OK")</f>
        <v>OK</v>
      </c>
      <c r="F21" t="s">
        <v>208</v>
      </c>
      <c r="G21" t="s">
        <v>140</v>
      </c>
      <c r="H21" t="s">
        <v>89</v>
      </c>
      <c r="I21" t="s">
        <v>62</v>
      </c>
      <c r="J21" t="s">
        <v>63</v>
      </c>
      <c r="K21" t="s">
        <v>64</v>
      </c>
      <c r="L21" t="s">
        <v>40</v>
      </c>
      <c r="M21" t="s">
        <v>157</v>
      </c>
      <c r="N21" t="s">
        <v>209</v>
      </c>
      <c r="O21" t="s">
        <v>30</v>
      </c>
      <c r="P21">
        <v>3</v>
      </c>
      <c r="Q21">
        <v>3126.47</v>
      </c>
      <c r="R21">
        <v>0</v>
      </c>
      <c r="S21" t="str">
        <f t="shared" si="0"/>
        <v>OK</v>
      </c>
      <c r="T21">
        <v>9379.41</v>
      </c>
      <c r="U21">
        <v>6670.85</v>
      </c>
      <c r="V21">
        <v>2708.56</v>
      </c>
      <c r="W21" t="s">
        <v>31</v>
      </c>
      <c r="X21" t="s">
        <v>102</v>
      </c>
      <c r="Y21">
        <f t="shared" si="1"/>
        <v>0</v>
      </c>
      <c r="Z21">
        <f t="shared" si="2"/>
        <v>9379.41</v>
      </c>
      <c r="AA21">
        <f t="shared" si="3"/>
        <v>2708.5599999999995</v>
      </c>
      <c r="AB21">
        <f t="shared" si="4"/>
        <v>28.877722585962225</v>
      </c>
      <c r="AC21">
        <f t="shared" si="5"/>
        <v>10</v>
      </c>
      <c r="AD21">
        <f t="shared" si="6"/>
        <v>2024</v>
      </c>
      <c r="AE21" t="str">
        <f t="shared" si="7"/>
        <v>CLEAN</v>
      </c>
    </row>
    <row r="22" spans="1:31">
      <c r="A22" t="s">
        <v>213</v>
      </c>
      <c r="B22" s="2">
        <v>45460</v>
      </c>
      <c r="C22" s="2">
        <v>45465</v>
      </c>
      <c r="D22" s="5">
        <f>C22-B22</f>
        <v>5</v>
      </c>
      <c r="E22" s="5" t="str">
        <f>IF(D22&lt;0,"INVALID","OK")</f>
        <v>OK</v>
      </c>
      <c r="F22" t="s">
        <v>214</v>
      </c>
      <c r="G22" t="s">
        <v>127</v>
      </c>
      <c r="H22" t="s">
        <v>89</v>
      </c>
      <c r="I22" t="s">
        <v>62</v>
      </c>
      <c r="J22" t="s">
        <v>179</v>
      </c>
      <c r="K22" t="s">
        <v>180</v>
      </c>
      <c r="L22" t="s">
        <v>73</v>
      </c>
      <c r="M22" t="s">
        <v>170</v>
      </c>
      <c r="N22" t="s">
        <v>215</v>
      </c>
      <c r="O22" t="s">
        <v>49</v>
      </c>
      <c r="P22">
        <v>7</v>
      </c>
      <c r="Q22">
        <v>2210.6799999999998</v>
      </c>
      <c r="R22">
        <v>0.1</v>
      </c>
      <c r="S22" t="str">
        <f t="shared" si="0"/>
        <v>OK</v>
      </c>
      <c r="T22">
        <v>13927.28</v>
      </c>
      <c r="U22">
        <v>10504.87</v>
      </c>
      <c r="V22">
        <v>3422.41</v>
      </c>
      <c r="W22" t="s">
        <v>31</v>
      </c>
      <c r="X22" t="s">
        <v>32</v>
      </c>
      <c r="Y22">
        <f t="shared" si="1"/>
        <v>0.1</v>
      </c>
      <c r="Z22">
        <f t="shared" si="2"/>
        <v>13927.284</v>
      </c>
      <c r="AA22">
        <f t="shared" si="3"/>
        <v>3422.4139999999989</v>
      </c>
      <c r="AB22">
        <f t="shared" si="4"/>
        <v>24.573448778670691</v>
      </c>
      <c r="AC22">
        <f t="shared" si="5"/>
        <v>6</v>
      </c>
      <c r="AD22">
        <f t="shared" si="6"/>
        <v>2024</v>
      </c>
      <c r="AE22" t="str">
        <f t="shared" si="7"/>
        <v>CLEAN</v>
      </c>
    </row>
    <row r="23" spans="1:31">
      <c r="A23" t="s">
        <v>216</v>
      </c>
      <c r="B23" s="2">
        <v>45637</v>
      </c>
      <c r="C23" s="2">
        <v>45637</v>
      </c>
      <c r="D23" s="5">
        <f>C23-B23</f>
        <v>0</v>
      </c>
      <c r="E23" s="5" t="str">
        <f>IF(D23&lt;0,"INVALID","OK")</f>
        <v>OK</v>
      </c>
      <c r="F23" t="s">
        <v>217</v>
      </c>
      <c r="G23" t="s">
        <v>35</v>
      </c>
      <c r="H23" t="s">
        <v>36</v>
      </c>
      <c r="I23" t="s">
        <v>62</v>
      </c>
      <c r="J23" t="s">
        <v>71</v>
      </c>
      <c r="K23" t="s">
        <v>72</v>
      </c>
      <c r="L23" t="s">
        <v>73</v>
      </c>
      <c r="M23" t="s">
        <v>79</v>
      </c>
      <c r="N23" t="s">
        <v>218</v>
      </c>
      <c r="O23" t="s">
        <v>49</v>
      </c>
      <c r="P23">
        <v>4</v>
      </c>
      <c r="Q23">
        <v>1370.92</v>
      </c>
      <c r="R23">
        <v>0.1</v>
      </c>
      <c r="S23" t="str">
        <f t="shared" si="0"/>
        <v>OK</v>
      </c>
      <c r="T23">
        <v>4935.3100000000004</v>
      </c>
      <c r="U23">
        <v>3374.77</v>
      </c>
      <c r="V23">
        <v>1560.54</v>
      </c>
      <c r="W23" t="s">
        <v>110</v>
      </c>
      <c r="X23" t="s">
        <v>102</v>
      </c>
      <c r="Y23">
        <f t="shared" si="1"/>
        <v>0.1</v>
      </c>
      <c r="Z23">
        <f t="shared" si="2"/>
        <v>4935.3120000000008</v>
      </c>
      <c r="AA23">
        <f t="shared" si="3"/>
        <v>1560.5420000000008</v>
      </c>
      <c r="AB23">
        <f t="shared" si="4"/>
        <v>31.619925954022776</v>
      </c>
      <c r="AC23">
        <f t="shared" si="5"/>
        <v>12</v>
      </c>
      <c r="AD23">
        <f t="shared" si="6"/>
        <v>2024</v>
      </c>
      <c r="AE23" t="str">
        <f t="shared" si="7"/>
        <v>CLEAN</v>
      </c>
    </row>
    <row r="24" spans="1:31">
      <c r="A24" t="s">
        <v>219</v>
      </c>
      <c r="B24" s="2">
        <v>45575</v>
      </c>
      <c r="C24" s="2">
        <v>45581</v>
      </c>
      <c r="D24" s="5">
        <f>C24-B24</f>
        <v>6</v>
      </c>
      <c r="E24" s="5" t="str">
        <f>IF(D24&lt;0,"INVALID","OK")</f>
        <v>OK</v>
      </c>
      <c r="F24" t="s">
        <v>220</v>
      </c>
      <c r="G24" t="s">
        <v>46</v>
      </c>
      <c r="H24" t="s">
        <v>94</v>
      </c>
      <c r="I24" t="s">
        <v>62</v>
      </c>
      <c r="J24" t="s">
        <v>25</v>
      </c>
      <c r="K24" t="s">
        <v>108</v>
      </c>
      <c r="L24" t="s">
        <v>73</v>
      </c>
      <c r="M24" t="s">
        <v>79</v>
      </c>
      <c r="N24" t="s">
        <v>221</v>
      </c>
      <c r="O24" t="s">
        <v>58</v>
      </c>
      <c r="P24">
        <v>7</v>
      </c>
      <c r="Q24">
        <v>2509.27</v>
      </c>
      <c r="R24">
        <v>0.2</v>
      </c>
      <c r="S24" t="str">
        <f t="shared" si="0"/>
        <v>OK</v>
      </c>
      <c r="T24">
        <v>14051.91</v>
      </c>
      <c r="U24">
        <v>11990.37</v>
      </c>
      <c r="V24">
        <v>2061.54</v>
      </c>
      <c r="W24" t="s">
        <v>31</v>
      </c>
      <c r="X24" t="s">
        <v>32</v>
      </c>
      <c r="Y24">
        <f t="shared" si="1"/>
        <v>0.2</v>
      </c>
      <c r="Z24">
        <f t="shared" si="2"/>
        <v>14051.912</v>
      </c>
      <c r="AA24">
        <f t="shared" si="3"/>
        <v>2061.5419999999995</v>
      </c>
      <c r="AB24">
        <f t="shared" si="4"/>
        <v>14.67090030168136</v>
      </c>
      <c r="AC24">
        <f t="shared" si="5"/>
        <v>10</v>
      </c>
      <c r="AD24">
        <f t="shared" si="6"/>
        <v>2024</v>
      </c>
      <c r="AE24" t="str">
        <f t="shared" si="7"/>
        <v>CLEAN</v>
      </c>
    </row>
    <row r="25" spans="1:31">
      <c r="A25" t="s">
        <v>230</v>
      </c>
      <c r="B25" s="2">
        <v>45481</v>
      </c>
      <c r="C25" s="2">
        <v>45487</v>
      </c>
      <c r="D25" s="5">
        <f>C25-B25</f>
        <v>6</v>
      </c>
      <c r="E25" s="5" t="str">
        <f>IF(D25&lt;0,"INVALID","OK")</f>
        <v>OK</v>
      </c>
      <c r="F25" t="s">
        <v>231</v>
      </c>
      <c r="G25" t="s">
        <v>113</v>
      </c>
      <c r="H25" t="s">
        <v>36</v>
      </c>
      <c r="I25" t="s">
        <v>37</v>
      </c>
      <c r="J25" t="s">
        <v>38</v>
      </c>
      <c r="K25" t="s">
        <v>39</v>
      </c>
      <c r="L25" t="s">
        <v>40</v>
      </c>
      <c r="M25" t="s">
        <v>56</v>
      </c>
      <c r="N25" t="s">
        <v>232</v>
      </c>
      <c r="O25" t="s">
        <v>43</v>
      </c>
      <c r="P25">
        <v>3</v>
      </c>
      <c r="Q25">
        <v>1010.23</v>
      </c>
      <c r="R25">
        <v>0</v>
      </c>
      <c r="S25" t="str">
        <f t="shared" si="0"/>
        <v>OK</v>
      </c>
      <c r="T25">
        <v>3030.69</v>
      </c>
      <c r="U25">
        <v>1721.08</v>
      </c>
      <c r="V25">
        <v>1309.6099999999999</v>
      </c>
      <c r="W25" t="s">
        <v>31</v>
      </c>
      <c r="X25" t="s">
        <v>32</v>
      </c>
      <c r="Y25">
        <f t="shared" si="1"/>
        <v>0</v>
      </c>
      <c r="Z25">
        <f t="shared" si="2"/>
        <v>3030.69</v>
      </c>
      <c r="AA25">
        <f t="shared" si="3"/>
        <v>1309.6100000000001</v>
      </c>
      <c r="AB25">
        <f t="shared" si="4"/>
        <v>43.211611877163293</v>
      </c>
      <c r="AC25">
        <f t="shared" si="5"/>
        <v>7</v>
      </c>
      <c r="AD25">
        <f t="shared" si="6"/>
        <v>2024</v>
      </c>
      <c r="AE25" t="str">
        <f t="shared" si="7"/>
        <v>CLEAN</v>
      </c>
    </row>
    <row r="26" spans="1:31">
      <c r="A26" t="s">
        <v>233</v>
      </c>
      <c r="B26" s="2">
        <v>45465</v>
      </c>
      <c r="C26" s="2">
        <v>45468</v>
      </c>
      <c r="D26" s="5">
        <f>C26-B26</f>
        <v>3</v>
      </c>
      <c r="E26" s="5" t="str">
        <f>IF(D26&lt;0,"INVALID","OK")</f>
        <v>OK</v>
      </c>
      <c r="F26" t="s">
        <v>234</v>
      </c>
      <c r="G26" t="s">
        <v>140</v>
      </c>
      <c r="H26" t="s">
        <v>36</v>
      </c>
      <c r="I26" t="s">
        <v>24</v>
      </c>
      <c r="J26" t="s">
        <v>235</v>
      </c>
      <c r="K26" t="s">
        <v>236</v>
      </c>
      <c r="L26" t="s">
        <v>40</v>
      </c>
      <c r="M26" t="s">
        <v>65</v>
      </c>
      <c r="N26" t="s">
        <v>237</v>
      </c>
      <c r="O26" t="s">
        <v>58</v>
      </c>
      <c r="P26">
        <v>9</v>
      </c>
      <c r="Q26">
        <v>3329.77</v>
      </c>
      <c r="R26">
        <v>0.1</v>
      </c>
      <c r="S26" t="str">
        <f t="shared" si="0"/>
        <v>OK</v>
      </c>
      <c r="T26">
        <v>26971.14</v>
      </c>
      <c r="U26">
        <v>17376.2</v>
      </c>
      <c r="V26">
        <v>9594.94</v>
      </c>
      <c r="W26" t="s">
        <v>31</v>
      </c>
      <c r="X26" t="s">
        <v>32</v>
      </c>
      <c r="Y26">
        <f t="shared" si="1"/>
        <v>0.1</v>
      </c>
      <c r="Z26">
        <f t="shared" si="2"/>
        <v>26971.137000000002</v>
      </c>
      <c r="AA26">
        <f t="shared" si="3"/>
        <v>9594.9370000000017</v>
      </c>
      <c r="AB26">
        <f t="shared" si="4"/>
        <v>35.574833200394927</v>
      </c>
      <c r="AC26">
        <f t="shared" si="5"/>
        <v>6</v>
      </c>
      <c r="AD26">
        <f t="shared" si="6"/>
        <v>2024</v>
      </c>
      <c r="AE26" t="str">
        <f t="shared" si="7"/>
        <v>CLEAN</v>
      </c>
    </row>
    <row r="27" spans="1:31">
      <c r="A27" t="s">
        <v>238</v>
      </c>
      <c r="B27" s="2">
        <v>45309</v>
      </c>
      <c r="C27" s="2">
        <v>45315</v>
      </c>
      <c r="D27" s="5">
        <f>C27-B27</f>
        <v>6</v>
      </c>
      <c r="E27" s="5" t="str">
        <f>IF(D27&lt;0,"INVALID","OK")</f>
        <v>OK</v>
      </c>
      <c r="F27" t="s">
        <v>239</v>
      </c>
      <c r="G27" t="s">
        <v>46</v>
      </c>
      <c r="H27" t="s">
        <v>94</v>
      </c>
      <c r="I27" t="s">
        <v>37</v>
      </c>
      <c r="J27" t="s">
        <v>144</v>
      </c>
      <c r="K27" t="s">
        <v>145</v>
      </c>
      <c r="L27" t="s">
        <v>27</v>
      </c>
      <c r="M27" t="s">
        <v>47</v>
      </c>
      <c r="N27" t="s">
        <v>240</v>
      </c>
      <c r="O27" t="s">
        <v>30</v>
      </c>
      <c r="P27">
        <v>8</v>
      </c>
      <c r="Q27">
        <v>3927.82</v>
      </c>
      <c r="R27">
        <v>0.05</v>
      </c>
      <c r="S27" t="str">
        <f t="shared" si="0"/>
        <v>OK</v>
      </c>
      <c r="T27">
        <v>29851.43</v>
      </c>
      <c r="U27">
        <v>17487.48</v>
      </c>
      <c r="V27">
        <v>12363.95</v>
      </c>
      <c r="W27" t="s">
        <v>110</v>
      </c>
      <c r="X27" t="s">
        <v>102</v>
      </c>
      <c r="Y27">
        <f t="shared" si="1"/>
        <v>0.05</v>
      </c>
      <c r="Z27">
        <f t="shared" si="2"/>
        <v>29851.432000000001</v>
      </c>
      <c r="AA27">
        <f t="shared" si="3"/>
        <v>12363.952000000001</v>
      </c>
      <c r="AB27">
        <f t="shared" si="4"/>
        <v>41.418287739094062</v>
      </c>
      <c r="AC27">
        <f t="shared" si="5"/>
        <v>1</v>
      </c>
      <c r="AD27">
        <f t="shared" si="6"/>
        <v>2024</v>
      </c>
      <c r="AE27" t="str">
        <f t="shared" si="7"/>
        <v>CLEAN</v>
      </c>
    </row>
    <row r="28" spans="1:31">
      <c r="A28" t="s">
        <v>244</v>
      </c>
      <c r="B28" s="2">
        <v>45634</v>
      </c>
      <c r="C28" s="2">
        <v>45516</v>
      </c>
      <c r="D28" s="5">
        <f>C28-B28</f>
        <v>-118</v>
      </c>
      <c r="E28" s="5" t="str">
        <f>IF(D28&lt;0,"INVALID","OK")</f>
        <v>INVALID</v>
      </c>
      <c r="F28" t="s">
        <v>245</v>
      </c>
      <c r="G28" t="s">
        <v>117</v>
      </c>
      <c r="H28" t="s">
        <v>89</v>
      </c>
      <c r="I28" t="s">
        <v>53</v>
      </c>
      <c r="J28" t="s">
        <v>246</v>
      </c>
      <c r="K28" t="s">
        <v>247</v>
      </c>
      <c r="L28" t="s">
        <v>27</v>
      </c>
      <c r="M28" t="s">
        <v>123</v>
      </c>
      <c r="N28" t="s">
        <v>248</v>
      </c>
      <c r="O28" t="s">
        <v>58</v>
      </c>
      <c r="P28">
        <v>8</v>
      </c>
      <c r="Q28">
        <v>2445.31</v>
      </c>
      <c r="R28">
        <v>0.1</v>
      </c>
      <c r="S28" t="str">
        <f t="shared" si="0"/>
        <v>OK</v>
      </c>
      <c r="T28">
        <v>17606.23</v>
      </c>
      <c r="U28">
        <v>12438.96</v>
      </c>
      <c r="V28">
        <v>5167.2700000000004</v>
      </c>
      <c r="W28" t="s">
        <v>31</v>
      </c>
      <c r="X28" t="s">
        <v>32</v>
      </c>
      <c r="Y28">
        <f t="shared" si="1"/>
        <v>0.1</v>
      </c>
      <c r="Z28">
        <f t="shared" si="2"/>
        <v>17606.232</v>
      </c>
      <c r="AA28">
        <f t="shared" si="3"/>
        <v>5167.2720000000008</v>
      </c>
      <c r="AB28">
        <f t="shared" si="4"/>
        <v>29.349107747756591</v>
      </c>
      <c r="AC28">
        <f t="shared" si="5"/>
        <v>12</v>
      </c>
      <c r="AD28">
        <f t="shared" si="6"/>
        <v>2024</v>
      </c>
      <c r="AE28" t="str">
        <f t="shared" si="7"/>
        <v>INVALID</v>
      </c>
    </row>
    <row r="29" spans="1:31">
      <c r="A29" t="s">
        <v>252</v>
      </c>
      <c r="B29" s="2">
        <v>45388</v>
      </c>
      <c r="C29" s="2">
        <v>45395</v>
      </c>
      <c r="D29" s="5">
        <f>C29-B29</f>
        <v>7</v>
      </c>
      <c r="E29" s="5" t="str">
        <f>IF(D29&lt;0,"INVALID","OK")</f>
        <v>OK</v>
      </c>
      <c r="F29" t="s">
        <v>253</v>
      </c>
      <c r="G29" t="s">
        <v>127</v>
      </c>
      <c r="H29" t="s">
        <v>94</v>
      </c>
      <c r="I29" t="s">
        <v>24</v>
      </c>
      <c r="J29" t="s">
        <v>135</v>
      </c>
      <c r="K29" t="s">
        <v>136</v>
      </c>
      <c r="L29" t="s">
        <v>73</v>
      </c>
      <c r="M29" t="s">
        <v>79</v>
      </c>
      <c r="N29" t="s">
        <v>254</v>
      </c>
      <c r="O29" t="s">
        <v>30</v>
      </c>
      <c r="P29">
        <v>9</v>
      </c>
      <c r="Q29">
        <v>792.11</v>
      </c>
      <c r="R29">
        <v>0.05</v>
      </c>
      <c r="S29" t="str">
        <f t="shared" si="0"/>
        <v>OK</v>
      </c>
      <c r="T29">
        <v>6772.54</v>
      </c>
      <c r="U29">
        <v>5755.46</v>
      </c>
      <c r="V29">
        <v>1017.08</v>
      </c>
      <c r="W29" t="s">
        <v>31</v>
      </c>
      <c r="X29" t="s">
        <v>32</v>
      </c>
      <c r="Y29">
        <f t="shared" si="1"/>
        <v>0.05</v>
      </c>
      <c r="Z29">
        <f t="shared" si="2"/>
        <v>6772.5404999999992</v>
      </c>
      <c r="AA29">
        <f t="shared" si="3"/>
        <v>1017.0804999999991</v>
      </c>
      <c r="AB29">
        <f t="shared" si="4"/>
        <v>15.01771011926764</v>
      </c>
      <c r="AC29">
        <f t="shared" si="5"/>
        <v>4</v>
      </c>
      <c r="AD29">
        <f t="shared" si="6"/>
        <v>2024</v>
      </c>
      <c r="AE29" t="str">
        <f t="shared" si="7"/>
        <v>CLEAN</v>
      </c>
    </row>
    <row r="30" spans="1:31">
      <c r="A30" t="s">
        <v>258</v>
      </c>
      <c r="B30" s="2">
        <v>45406</v>
      </c>
      <c r="C30" s="2">
        <v>45411</v>
      </c>
      <c r="D30" s="5">
        <f>C30-B30</f>
        <v>5</v>
      </c>
      <c r="E30" s="5" t="str">
        <f>IF(D30&lt;0,"INVALID","OK")</f>
        <v>OK</v>
      </c>
      <c r="F30" t="s">
        <v>259</v>
      </c>
      <c r="G30" t="s">
        <v>61</v>
      </c>
      <c r="H30" t="s">
        <v>89</v>
      </c>
      <c r="I30" t="s">
        <v>53</v>
      </c>
      <c r="J30" t="s">
        <v>54</v>
      </c>
      <c r="K30" t="s">
        <v>55</v>
      </c>
      <c r="L30" t="s">
        <v>27</v>
      </c>
      <c r="M30" t="s">
        <v>47</v>
      </c>
      <c r="N30" t="s">
        <v>260</v>
      </c>
      <c r="O30" t="s">
        <v>58</v>
      </c>
      <c r="P30">
        <v>6</v>
      </c>
      <c r="Q30">
        <v>1528.08</v>
      </c>
      <c r="R30">
        <v>0</v>
      </c>
      <c r="S30" t="str">
        <f t="shared" si="0"/>
        <v>OK</v>
      </c>
      <c r="T30">
        <v>9168.48</v>
      </c>
      <c r="U30">
        <v>7439.77</v>
      </c>
      <c r="V30">
        <v>1728.71</v>
      </c>
      <c r="W30" t="s">
        <v>31</v>
      </c>
      <c r="X30" t="s">
        <v>32</v>
      </c>
      <c r="Y30">
        <f t="shared" si="1"/>
        <v>0</v>
      </c>
      <c r="Z30">
        <f t="shared" si="2"/>
        <v>9168.48</v>
      </c>
      <c r="AA30">
        <f t="shared" si="3"/>
        <v>1728.7099999999991</v>
      </c>
      <c r="AB30">
        <f t="shared" si="4"/>
        <v>18.854924698532354</v>
      </c>
      <c r="AC30">
        <f t="shared" si="5"/>
        <v>4</v>
      </c>
      <c r="AD30">
        <f t="shared" si="6"/>
        <v>2024</v>
      </c>
      <c r="AE30" t="str">
        <f t="shared" si="7"/>
        <v>CLEAN</v>
      </c>
    </row>
    <row r="31" spans="1:31">
      <c r="A31" t="s">
        <v>278</v>
      </c>
      <c r="B31" s="2">
        <v>45329</v>
      </c>
      <c r="C31" s="2">
        <v>45337</v>
      </c>
      <c r="D31" s="5">
        <f>C31-B31</f>
        <v>8</v>
      </c>
      <c r="E31" s="5" t="str">
        <f>IF(D31&lt;0,"INVALID","OK")</f>
        <v>OK</v>
      </c>
      <c r="F31" t="s">
        <v>279</v>
      </c>
      <c r="G31" t="s">
        <v>113</v>
      </c>
      <c r="H31" t="s">
        <v>23</v>
      </c>
      <c r="I31" t="s">
        <v>62</v>
      </c>
      <c r="J31" t="s">
        <v>189</v>
      </c>
      <c r="K31" t="s">
        <v>190</v>
      </c>
      <c r="L31" t="s">
        <v>40</v>
      </c>
      <c r="M31" t="s">
        <v>65</v>
      </c>
      <c r="N31" t="s">
        <v>280</v>
      </c>
      <c r="O31" t="s">
        <v>43</v>
      </c>
      <c r="P31">
        <v>5</v>
      </c>
      <c r="Q31">
        <v>255.87</v>
      </c>
      <c r="R31">
        <v>0</v>
      </c>
      <c r="S31" t="str">
        <f t="shared" si="0"/>
        <v>OK</v>
      </c>
      <c r="T31">
        <v>1279.3499999999999</v>
      </c>
      <c r="U31">
        <v>1091.54</v>
      </c>
      <c r="V31">
        <v>187.81</v>
      </c>
      <c r="W31" t="s">
        <v>31</v>
      </c>
      <c r="X31" t="s">
        <v>32</v>
      </c>
      <c r="Y31">
        <f t="shared" si="1"/>
        <v>0</v>
      </c>
      <c r="Z31">
        <f t="shared" si="2"/>
        <v>1279.3499999999999</v>
      </c>
      <c r="AA31">
        <f t="shared" si="3"/>
        <v>187.80999999999995</v>
      </c>
      <c r="AB31">
        <f t="shared" si="4"/>
        <v>14.680110993864067</v>
      </c>
      <c r="AC31">
        <f t="shared" si="5"/>
        <v>2</v>
      </c>
      <c r="AD31">
        <f t="shared" si="6"/>
        <v>2024</v>
      </c>
      <c r="AE31" t="str">
        <f t="shared" si="7"/>
        <v>CLEAN</v>
      </c>
    </row>
    <row r="32" spans="1:31">
      <c r="A32" t="s">
        <v>281</v>
      </c>
      <c r="B32" s="2">
        <v>45536</v>
      </c>
      <c r="C32" s="2">
        <v>45542</v>
      </c>
      <c r="D32" s="5">
        <f>C32-B32</f>
        <v>6</v>
      </c>
      <c r="E32" s="5" t="str">
        <f>IF(D32&lt;0,"INVALID","OK")</f>
        <v>OK</v>
      </c>
      <c r="F32" t="s">
        <v>282</v>
      </c>
      <c r="G32" t="s">
        <v>46</v>
      </c>
      <c r="H32" t="s">
        <v>94</v>
      </c>
      <c r="I32" t="s">
        <v>24</v>
      </c>
      <c r="J32" t="s">
        <v>25</v>
      </c>
      <c r="K32" t="s">
        <v>26</v>
      </c>
      <c r="L32" t="s">
        <v>27</v>
      </c>
      <c r="M32" t="s">
        <v>123</v>
      </c>
      <c r="N32" t="s">
        <v>283</v>
      </c>
      <c r="O32" t="s">
        <v>2762</v>
      </c>
      <c r="P32">
        <v>9</v>
      </c>
      <c r="Q32">
        <v>1389.48</v>
      </c>
      <c r="R32">
        <v>0.1</v>
      </c>
      <c r="S32" t="str">
        <f t="shared" si="0"/>
        <v>OK</v>
      </c>
      <c r="T32">
        <v>11254.79</v>
      </c>
      <c r="U32">
        <v>6578.06</v>
      </c>
      <c r="V32">
        <v>4676.7299999999996</v>
      </c>
      <c r="W32" t="s">
        <v>110</v>
      </c>
      <c r="X32" t="s">
        <v>102</v>
      </c>
      <c r="Y32">
        <f t="shared" si="1"/>
        <v>0.1</v>
      </c>
      <c r="Z32">
        <f t="shared" si="2"/>
        <v>11254.788</v>
      </c>
      <c r="AA32">
        <f t="shared" si="3"/>
        <v>4676.7280000000001</v>
      </c>
      <c r="AB32">
        <f t="shared" si="4"/>
        <v>41.553230500654479</v>
      </c>
      <c r="AC32">
        <f t="shared" si="5"/>
        <v>9</v>
      </c>
      <c r="AD32">
        <f t="shared" si="6"/>
        <v>2024</v>
      </c>
      <c r="AE32" t="str">
        <f t="shared" si="7"/>
        <v>CLEAN</v>
      </c>
    </row>
    <row r="33" spans="1:31">
      <c r="A33" t="s">
        <v>290</v>
      </c>
      <c r="B33" s="2">
        <v>45398</v>
      </c>
      <c r="C33" s="2">
        <v>45398</v>
      </c>
      <c r="D33" s="5">
        <f>C33-B33</f>
        <v>0</v>
      </c>
      <c r="E33" s="5" t="str">
        <f>IF(D33&lt;0,"INVALID","OK")</f>
        <v>OK</v>
      </c>
      <c r="F33" t="s">
        <v>291</v>
      </c>
      <c r="G33" t="s">
        <v>70</v>
      </c>
      <c r="H33" t="s">
        <v>94</v>
      </c>
      <c r="I33" t="s">
        <v>37</v>
      </c>
      <c r="J33" t="s">
        <v>144</v>
      </c>
      <c r="K33" t="s">
        <v>145</v>
      </c>
      <c r="L33" t="s">
        <v>40</v>
      </c>
      <c r="M33" t="s">
        <v>157</v>
      </c>
      <c r="N33" t="s">
        <v>292</v>
      </c>
      <c r="O33" t="s">
        <v>58</v>
      </c>
      <c r="P33">
        <v>1</v>
      </c>
      <c r="Q33">
        <v>949.59</v>
      </c>
      <c r="R33">
        <v>0</v>
      </c>
      <c r="S33" t="str">
        <f t="shared" si="0"/>
        <v>OK</v>
      </c>
      <c r="T33">
        <v>949.59</v>
      </c>
      <c r="U33">
        <v>751.25</v>
      </c>
      <c r="V33">
        <v>198.34</v>
      </c>
      <c r="W33" t="s">
        <v>31</v>
      </c>
      <c r="X33" t="s">
        <v>32</v>
      </c>
      <c r="Y33">
        <f t="shared" si="1"/>
        <v>0</v>
      </c>
      <c r="Z33">
        <f t="shared" si="2"/>
        <v>949.59</v>
      </c>
      <c r="AA33">
        <f t="shared" si="3"/>
        <v>198.34000000000003</v>
      </c>
      <c r="AB33">
        <f t="shared" si="4"/>
        <v>20.88690908707969</v>
      </c>
      <c r="AC33">
        <f t="shared" si="5"/>
        <v>4</v>
      </c>
      <c r="AD33">
        <f t="shared" si="6"/>
        <v>2024</v>
      </c>
      <c r="AE33" t="str">
        <f t="shared" si="7"/>
        <v>CLEAN</v>
      </c>
    </row>
    <row r="34" spans="1:31">
      <c r="A34" t="s">
        <v>293</v>
      </c>
      <c r="B34" s="2">
        <v>45595</v>
      </c>
      <c r="C34" s="2">
        <v>45333</v>
      </c>
      <c r="D34" s="5">
        <f>C34-B34</f>
        <v>-262</v>
      </c>
      <c r="E34" s="5" t="str">
        <f>IF(D34&lt;0,"INVALID","OK")</f>
        <v>INVALID</v>
      </c>
      <c r="F34" t="s">
        <v>294</v>
      </c>
      <c r="G34" t="s">
        <v>131</v>
      </c>
      <c r="H34" t="s">
        <v>94</v>
      </c>
      <c r="I34" t="s">
        <v>24</v>
      </c>
      <c r="J34" t="s">
        <v>25</v>
      </c>
      <c r="K34" t="s">
        <v>26</v>
      </c>
      <c r="L34" t="s">
        <v>73</v>
      </c>
      <c r="M34" t="s">
        <v>170</v>
      </c>
      <c r="N34" t="s">
        <v>295</v>
      </c>
      <c r="O34" t="s">
        <v>58</v>
      </c>
      <c r="P34">
        <v>9</v>
      </c>
      <c r="Q34">
        <v>3042.29</v>
      </c>
      <c r="R34">
        <v>0.2</v>
      </c>
      <c r="S34" t="str">
        <f t="shared" si="0"/>
        <v>OK</v>
      </c>
      <c r="T34">
        <v>21904.49</v>
      </c>
      <c r="U34">
        <v>13570.55</v>
      </c>
      <c r="V34">
        <v>8333.94</v>
      </c>
      <c r="W34" t="s">
        <v>31</v>
      </c>
      <c r="X34" t="s">
        <v>32</v>
      </c>
      <c r="Y34">
        <f t="shared" si="1"/>
        <v>0.2</v>
      </c>
      <c r="Z34">
        <f t="shared" si="2"/>
        <v>21904.488000000001</v>
      </c>
      <c r="AA34">
        <f t="shared" si="3"/>
        <v>8333.9380000000019</v>
      </c>
      <c r="AB34">
        <f t="shared" si="4"/>
        <v>38.046714445003246</v>
      </c>
      <c r="AC34">
        <f t="shared" si="5"/>
        <v>10</v>
      </c>
      <c r="AD34">
        <f t="shared" si="6"/>
        <v>2024</v>
      </c>
      <c r="AE34" t="str">
        <f t="shared" si="7"/>
        <v>INVALID</v>
      </c>
    </row>
    <row r="35" spans="1:31">
      <c r="A35" t="s">
        <v>296</v>
      </c>
      <c r="B35" s="2">
        <v>45316</v>
      </c>
      <c r="C35" s="2">
        <v>45293</v>
      </c>
      <c r="D35" s="5">
        <f>C35-B35</f>
        <v>-23</v>
      </c>
      <c r="E35" s="5" t="str">
        <f>IF(D35&lt;0,"INVALID","OK")</f>
        <v>INVALID</v>
      </c>
      <c r="F35" t="s">
        <v>297</v>
      </c>
      <c r="G35" t="s">
        <v>131</v>
      </c>
      <c r="H35" t="s">
        <v>94</v>
      </c>
      <c r="I35" t="s">
        <v>24</v>
      </c>
      <c r="J35" t="s">
        <v>235</v>
      </c>
      <c r="K35" t="s">
        <v>236</v>
      </c>
      <c r="L35" t="s">
        <v>27</v>
      </c>
      <c r="M35" t="s">
        <v>152</v>
      </c>
      <c r="N35" t="s">
        <v>298</v>
      </c>
      <c r="O35" t="s">
        <v>43</v>
      </c>
      <c r="P35">
        <v>2</v>
      </c>
      <c r="Q35">
        <v>2832.77</v>
      </c>
      <c r="R35">
        <v>0.15</v>
      </c>
      <c r="S35" t="str">
        <f t="shared" si="0"/>
        <v>OK</v>
      </c>
      <c r="T35">
        <v>4815.71</v>
      </c>
      <c r="U35">
        <v>3027.75</v>
      </c>
      <c r="V35">
        <v>1917.47</v>
      </c>
      <c r="W35" t="s">
        <v>31</v>
      </c>
      <c r="X35" t="s">
        <v>32</v>
      </c>
      <c r="Y35">
        <f t="shared" si="1"/>
        <v>0.15</v>
      </c>
      <c r="Z35">
        <f t="shared" si="2"/>
        <v>4815.7089999999998</v>
      </c>
      <c r="AA35">
        <f t="shared" si="3"/>
        <v>1787.9589999999998</v>
      </c>
      <c r="AB35">
        <f t="shared" si="4"/>
        <v>37.127637903369994</v>
      </c>
      <c r="AC35">
        <f t="shared" si="5"/>
        <v>1</v>
      </c>
      <c r="AD35">
        <f t="shared" si="6"/>
        <v>2024</v>
      </c>
      <c r="AE35" t="str">
        <f t="shared" si="7"/>
        <v>INVALID</v>
      </c>
    </row>
    <row r="36" spans="1:31">
      <c r="A36" t="s">
        <v>302</v>
      </c>
      <c r="B36" s="2">
        <v>45404</v>
      </c>
      <c r="C36" s="2">
        <v>45409</v>
      </c>
      <c r="D36" s="5">
        <f>C36-B36</f>
        <v>5</v>
      </c>
      <c r="E36" s="5" t="str">
        <f>IF(D36&lt;0,"INVALID","OK")</f>
        <v>OK</v>
      </c>
      <c r="F36" t="s">
        <v>303</v>
      </c>
      <c r="G36" t="s">
        <v>35</v>
      </c>
      <c r="H36" t="s">
        <v>94</v>
      </c>
      <c r="I36" t="s">
        <v>62</v>
      </c>
      <c r="J36" t="s">
        <v>63</v>
      </c>
      <c r="K36" t="s">
        <v>64</v>
      </c>
      <c r="L36" t="s">
        <v>27</v>
      </c>
      <c r="M36" t="s">
        <v>28</v>
      </c>
      <c r="N36" t="s">
        <v>304</v>
      </c>
      <c r="O36" t="s">
        <v>30</v>
      </c>
      <c r="P36">
        <v>1</v>
      </c>
      <c r="Q36">
        <v>4280.1899999999996</v>
      </c>
      <c r="R36">
        <v>0.05</v>
      </c>
      <c r="S36" t="str">
        <f t="shared" si="0"/>
        <v>OK</v>
      </c>
      <c r="T36">
        <v>4066.18</v>
      </c>
      <c r="U36">
        <v>2628.92</v>
      </c>
      <c r="V36">
        <v>1437.26</v>
      </c>
      <c r="W36" t="s">
        <v>31</v>
      </c>
      <c r="X36" t="s">
        <v>32</v>
      </c>
      <c r="Y36">
        <f t="shared" si="1"/>
        <v>0.05</v>
      </c>
      <c r="Z36">
        <f t="shared" si="2"/>
        <v>4066.1804999999995</v>
      </c>
      <c r="AA36">
        <f t="shared" si="3"/>
        <v>1437.2604999999994</v>
      </c>
      <c r="AB36">
        <f t="shared" si="4"/>
        <v>35.346696980126673</v>
      </c>
      <c r="AC36">
        <f t="shared" si="5"/>
        <v>4</v>
      </c>
      <c r="AD36">
        <f t="shared" si="6"/>
        <v>2024</v>
      </c>
      <c r="AE36" t="str">
        <f t="shared" si="7"/>
        <v>CLEAN</v>
      </c>
    </row>
    <row r="37" spans="1:31">
      <c r="A37" t="s">
        <v>323</v>
      </c>
      <c r="B37" s="2">
        <v>45333</v>
      </c>
      <c r="C37" s="2">
        <v>45329</v>
      </c>
      <c r="D37" s="5">
        <f>C37-B37</f>
        <v>-4</v>
      </c>
      <c r="E37" s="5" t="str">
        <f>IF(D37&lt;0,"INVALID","OK")</f>
        <v>INVALID</v>
      </c>
      <c r="F37" t="s">
        <v>324</v>
      </c>
      <c r="G37" t="s">
        <v>22</v>
      </c>
      <c r="H37" t="s">
        <v>94</v>
      </c>
      <c r="I37" t="s">
        <v>53</v>
      </c>
      <c r="J37" t="s">
        <v>246</v>
      </c>
      <c r="K37" t="s">
        <v>247</v>
      </c>
      <c r="L37" t="s">
        <v>40</v>
      </c>
      <c r="M37" t="s">
        <v>41</v>
      </c>
      <c r="N37" t="s">
        <v>325</v>
      </c>
      <c r="O37" t="s">
        <v>49</v>
      </c>
      <c r="P37">
        <v>7</v>
      </c>
      <c r="Q37">
        <v>2287.4699999999998</v>
      </c>
      <c r="R37">
        <v>0.15</v>
      </c>
      <c r="S37" t="str">
        <f t="shared" si="0"/>
        <v>OK</v>
      </c>
      <c r="T37">
        <v>13610.45</v>
      </c>
      <c r="U37">
        <v>10039.049999999999</v>
      </c>
      <c r="V37">
        <v>3571.4</v>
      </c>
      <c r="W37" t="s">
        <v>31</v>
      </c>
      <c r="X37" t="s">
        <v>32</v>
      </c>
      <c r="Y37">
        <f t="shared" si="1"/>
        <v>0.15</v>
      </c>
      <c r="Z37">
        <f t="shared" si="2"/>
        <v>13610.446499999998</v>
      </c>
      <c r="AA37">
        <f t="shared" si="3"/>
        <v>3571.3964999999989</v>
      </c>
      <c r="AB37">
        <f t="shared" si="4"/>
        <v>26.240112695788486</v>
      </c>
      <c r="AC37">
        <f t="shared" si="5"/>
        <v>2</v>
      </c>
      <c r="AD37">
        <f t="shared" si="6"/>
        <v>2024</v>
      </c>
      <c r="AE37" t="str">
        <f t="shared" si="7"/>
        <v>INVALID</v>
      </c>
    </row>
    <row r="38" spans="1:31">
      <c r="A38" t="s">
        <v>335</v>
      </c>
      <c r="B38" s="2">
        <v>45599</v>
      </c>
      <c r="C38" s="2">
        <v>45607</v>
      </c>
      <c r="D38" s="5">
        <f>C38-B38</f>
        <v>8</v>
      </c>
      <c r="E38" s="5" t="str">
        <f>IF(D38&lt;0,"INVALID","OK")</f>
        <v>OK</v>
      </c>
      <c r="F38" t="s">
        <v>336</v>
      </c>
      <c r="G38" t="s">
        <v>61</v>
      </c>
      <c r="H38" t="s">
        <v>89</v>
      </c>
      <c r="I38" t="s">
        <v>37</v>
      </c>
      <c r="J38" t="s">
        <v>227</v>
      </c>
      <c r="K38" t="s">
        <v>228</v>
      </c>
      <c r="L38" t="s">
        <v>27</v>
      </c>
      <c r="M38" t="s">
        <v>90</v>
      </c>
      <c r="N38" t="s">
        <v>337</v>
      </c>
      <c r="O38" t="s">
        <v>30</v>
      </c>
      <c r="P38">
        <v>3</v>
      </c>
      <c r="Q38">
        <v>3406.27</v>
      </c>
      <c r="R38">
        <v>0</v>
      </c>
      <c r="S38" t="str">
        <f t="shared" si="0"/>
        <v>OK</v>
      </c>
      <c r="T38">
        <v>10218.81</v>
      </c>
      <c r="U38">
        <v>7616.97</v>
      </c>
      <c r="V38">
        <v>2601.84</v>
      </c>
      <c r="W38" t="s">
        <v>31</v>
      </c>
      <c r="X38" t="s">
        <v>32</v>
      </c>
      <c r="Y38">
        <f t="shared" si="1"/>
        <v>0</v>
      </c>
      <c r="Z38">
        <f t="shared" si="2"/>
        <v>10218.81</v>
      </c>
      <c r="AA38">
        <f t="shared" si="3"/>
        <v>2601.8399999999992</v>
      </c>
      <c r="AB38">
        <f t="shared" si="4"/>
        <v>25.461281695226738</v>
      </c>
      <c r="AC38">
        <f t="shared" si="5"/>
        <v>11</v>
      </c>
      <c r="AD38">
        <f t="shared" si="6"/>
        <v>2024</v>
      </c>
      <c r="AE38" t="str">
        <f t="shared" si="7"/>
        <v>CLEAN</v>
      </c>
    </row>
    <row r="39" spans="1:31">
      <c r="A39" t="s">
        <v>347</v>
      </c>
      <c r="B39" s="2">
        <v>45514</v>
      </c>
      <c r="C39" s="2">
        <v>45518</v>
      </c>
      <c r="D39" s="5">
        <f>C39-B39</f>
        <v>4</v>
      </c>
      <c r="E39" s="5" t="str">
        <f>IF(D39&lt;0,"INVALID","OK")</f>
        <v>OK</v>
      </c>
      <c r="F39" t="s">
        <v>348</v>
      </c>
      <c r="G39" t="s">
        <v>127</v>
      </c>
      <c r="H39" t="s">
        <v>36</v>
      </c>
      <c r="I39" t="s">
        <v>24</v>
      </c>
      <c r="J39" t="s">
        <v>349</v>
      </c>
      <c r="K39" t="s">
        <v>350</v>
      </c>
      <c r="L39" t="s">
        <v>27</v>
      </c>
      <c r="M39" t="s">
        <v>123</v>
      </c>
      <c r="N39" t="s">
        <v>351</v>
      </c>
      <c r="O39" t="s">
        <v>30</v>
      </c>
      <c r="P39">
        <v>4</v>
      </c>
      <c r="Q39">
        <v>1182.32</v>
      </c>
      <c r="R39">
        <v>0.1</v>
      </c>
      <c r="S39" t="str">
        <f t="shared" si="0"/>
        <v>OK</v>
      </c>
      <c r="T39">
        <v>4256.3500000000004</v>
      </c>
      <c r="U39">
        <v>2495.33</v>
      </c>
      <c r="V39">
        <v>1761.02</v>
      </c>
      <c r="W39" t="s">
        <v>110</v>
      </c>
      <c r="X39" t="s">
        <v>102</v>
      </c>
      <c r="Y39">
        <f t="shared" si="1"/>
        <v>0.1</v>
      </c>
      <c r="Z39">
        <f t="shared" si="2"/>
        <v>4256.3519999999999</v>
      </c>
      <c r="AA39">
        <f t="shared" si="3"/>
        <v>1761.0219999999999</v>
      </c>
      <c r="AB39">
        <f t="shared" si="4"/>
        <v>41.373974708858661</v>
      </c>
      <c r="AC39">
        <f t="shared" si="5"/>
        <v>8</v>
      </c>
      <c r="AD39">
        <f t="shared" si="6"/>
        <v>2024</v>
      </c>
      <c r="AE39" t="str">
        <f t="shared" si="7"/>
        <v>CLEAN</v>
      </c>
    </row>
    <row r="40" spans="1:31">
      <c r="A40" t="s">
        <v>358</v>
      </c>
      <c r="B40" s="2">
        <v>45591</v>
      </c>
      <c r="C40" s="2">
        <v>45594</v>
      </c>
      <c r="D40" s="5">
        <f>C40-B40</f>
        <v>3</v>
      </c>
      <c r="E40" s="5" t="str">
        <f>IF(D40&lt;0,"INVALID","OK")</f>
        <v>OK</v>
      </c>
      <c r="F40" t="s">
        <v>359</v>
      </c>
      <c r="G40" t="s">
        <v>88</v>
      </c>
      <c r="H40" t="s">
        <v>94</v>
      </c>
      <c r="I40" t="s">
        <v>62</v>
      </c>
      <c r="J40" t="s">
        <v>63</v>
      </c>
      <c r="K40" t="s">
        <v>64</v>
      </c>
      <c r="L40" t="s">
        <v>40</v>
      </c>
      <c r="M40" t="s">
        <v>41</v>
      </c>
      <c r="N40" t="s">
        <v>360</v>
      </c>
      <c r="O40" t="s">
        <v>30</v>
      </c>
      <c r="P40">
        <v>9</v>
      </c>
      <c r="Q40">
        <v>131.74</v>
      </c>
      <c r="R40">
        <v>0.2</v>
      </c>
      <c r="S40" t="str">
        <f t="shared" si="0"/>
        <v>OK</v>
      </c>
      <c r="T40">
        <v>948.53</v>
      </c>
      <c r="U40">
        <v>674.62</v>
      </c>
      <c r="V40">
        <v>273.91000000000003</v>
      </c>
      <c r="W40" t="s">
        <v>31</v>
      </c>
      <c r="X40" t="s">
        <v>32</v>
      </c>
      <c r="Y40">
        <f t="shared" si="1"/>
        <v>0.2</v>
      </c>
      <c r="Z40">
        <f t="shared" si="2"/>
        <v>948.52800000000013</v>
      </c>
      <c r="AA40">
        <f t="shared" si="3"/>
        <v>273.90800000000013</v>
      </c>
      <c r="AB40">
        <f t="shared" si="4"/>
        <v>28.877165460587364</v>
      </c>
      <c r="AC40">
        <f t="shared" si="5"/>
        <v>10</v>
      </c>
      <c r="AD40">
        <f t="shared" si="6"/>
        <v>2024</v>
      </c>
      <c r="AE40" t="str">
        <f t="shared" si="7"/>
        <v>CLEAN</v>
      </c>
    </row>
    <row r="41" spans="1:31">
      <c r="A41" t="s">
        <v>361</v>
      </c>
      <c r="B41" s="2">
        <v>45566</v>
      </c>
      <c r="C41" s="2">
        <v>45568</v>
      </c>
      <c r="D41" s="5">
        <f>C41-B41</f>
        <v>2</v>
      </c>
      <c r="E41" s="5" t="str">
        <f>IF(D41&lt;0,"INVALID","OK")</f>
        <v>OK</v>
      </c>
      <c r="F41" t="s">
        <v>362</v>
      </c>
      <c r="G41" t="s">
        <v>140</v>
      </c>
      <c r="H41" t="s">
        <v>89</v>
      </c>
      <c r="I41" t="s">
        <v>53</v>
      </c>
      <c r="J41" t="s">
        <v>246</v>
      </c>
      <c r="K41" t="s">
        <v>247</v>
      </c>
      <c r="L41" t="s">
        <v>73</v>
      </c>
      <c r="M41" t="s">
        <v>170</v>
      </c>
      <c r="N41" t="s">
        <v>363</v>
      </c>
      <c r="O41" t="s">
        <v>30</v>
      </c>
      <c r="P41">
        <v>6</v>
      </c>
      <c r="Q41">
        <v>570.28</v>
      </c>
      <c r="R41">
        <v>0.2</v>
      </c>
      <c r="S41" t="str">
        <f t="shared" si="0"/>
        <v>OK</v>
      </c>
      <c r="T41">
        <v>2737.34</v>
      </c>
      <c r="U41">
        <v>2085.44</v>
      </c>
      <c r="V41">
        <v>651.9</v>
      </c>
      <c r="W41" t="s">
        <v>31</v>
      </c>
      <c r="X41" t="s">
        <v>32</v>
      </c>
      <c r="Y41">
        <f t="shared" si="1"/>
        <v>0.2</v>
      </c>
      <c r="Z41">
        <f t="shared" si="2"/>
        <v>2737.3440000000001</v>
      </c>
      <c r="AA41">
        <f t="shared" si="3"/>
        <v>651.904</v>
      </c>
      <c r="AB41">
        <f t="shared" si="4"/>
        <v>23.815201889130485</v>
      </c>
      <c r="AC41">
        <f t="shared" si="5"/>
        <v>10</v>
      </c>
      <c r="AD41">
        <f t="shared" si="6"/>
        <v>2024</v>
      </c>
      <c r="AE41" t="str">
        <f t="shared" si="7"/>
        <v>CLEAN</v>
      </c>
    </row>
    <row r="42" spans="1:31">
      <c r="A42" t="s">
        <v>370</v>
      </c>
      <c r="B42" s="2">
        <v>45330</v>
      </c>
      <c r="C42" s="2">
        <v>45507</v>
      </c>
      <c r="D42" s="5">
        <f>C42-B42</f>
        <v>177</v>
      </c>
      <c r="E42" s="5" t="str">
        <f>IF(D42&lt;0,"INVALID","OK")</f>
        <v>OK</v>
      </c>
      <c r="F42" t="s">
        <v>371</v>
      </c>
      <c r="G42" t="s">
        <v>70</v>
      </c>
      <c r="H42" t="s">
        <v>23</v>
      </c>
      <c r="I42" t="s">
        <v>37</v>
      </c>
      <c r="J42" t="s">
        <v>165</v>
      </c>
      <c r="K42" t="s">
        <v>166</v>
      </c>
      <c r="L42" t="s">
        <v>27</v>
      </c>
      <c r="M42" t="s">
        <v>152</v>
      </c>
      <c r="N42" t="s">
        <v>372</v>
      </c>
      <c r="O42" t="s">
        <v>58</v>
      </c>
      <c r="P42">
        <v>7</v>
      </c>
      <c r="Q42">
        <v>3345.22</v>
      </c>
      <c r="R42">
        <v>0</v>
      </c>
      <c r="S42" t="str">
        <f t="shared" si="0"/>
        <v>OK</v>
      </c>
      <c r="T42">
        <v>23416.54</v>
      </c>
      <c r="U42">
        <v>15490.89</v>
      </c>
      <c r="V42">
        <v>7925.65</v>
      </c>
      <c r="W42" t="s">
        <v>31</v>
      </c>
      <c r="X42" t="s">
        <v>32</v>
      </c>
      <c r="Y42">
        <f t="shared" si="1"/>
        <v>0</v>
      </c>
      <c r="Z42">
        <f t="shared" si="2"/>
        <v>23416.539999999997</v>
      </c>
      <c r="AA42">
        <f t="shared" si="3"/>
        <v>7925.6499999999978</v>
      </c>
      <c r="AB42">
        <f t="shared" si="4"/>
        <v>33.846375254414184</v>
      </c>
      <c r="AC42">
        <f t="shared" si="5"/>
        <v>2</v>
      </c>
      <c r="AD42">
        <f t="shared" si="6"/>
        <v>2024</v>
      </c>
      <c r="AE42" t="str">
        <f t="shared" si="7"/>
        <v>CLEAN</v>
      </c>
    </row>
    <row r="43" spans="1:31">
      <c r="A43" t="s">
        <v>373</v>
      </c>
      <c r="B43" s="2">
        <v>45375</v>
      </c>
      <c r="C43" s="2">
        <v>45378</v>
      </c>
      <c r="D43" s="5">
        <f>C43-B43</f>
        <v>3</v>
      </c>
      <c r="E43" s="5" t="str">
        <f>IF(D43&lt;0,"INVALID","OK")</f>
        <v>OK</v>
      </c>
      <c r="F43" t="s">
        <v>374</v>
      </c>
      <c r="G43" t="s">
        <v>140</v>
      </c>
      <c r="H43" t="s">
        <v>36</v>
      </c>
      <c r="I43" t="s">
        <v>62</v>
      </c>
      <c r="J43" t="s">
        <v>63</v>
      </c>
      <c r="K43" t="s">
        <v>64</v>
      </c>
      <c r="L43" t="s">
        <v>40</v>
      </c>
      <c r="M43" t="s">
        <v>157</v>
      </c>
      <c r="N43" t="s">
        <v>375</v>
      </c>
      <c r="O43" t="s">
        <v>58</v>
      </c>
      <c r="P43">
        <v>2</v>
      </c>
      <c r="Q43">
        <v>3284.75</v>
      </c>
      <c r="R43">
        <v>0.05</v>
      </c>
      <c r="S43" t="str">
        <f t="shared" si="0"/>
        <v>OK</v>
      </c>
      <c r="T43">
        <v>6241.02</v>
      </c>
      <c r="U43">
        <v>5345.88</v>
      </c>
      <c r="V43">
        <v>895.14</v>
      </c>
      <c r="W43" t="s">
        <v>31</v>
      </c>
      <c r="X43" t="s">
        <v>32</v>
      </c>
      <c r="Y43">
        <f t="shared" si="1"/>
        <v>0.05</v>
      </c>
      <c r="Z43">
        <f t="shared" si="2"/>
        <v>6241.0249999999996</v>
      </c>
      <c r="AA43">
        <f t="shared" si="3"/>
        <v>895.14499999999953</v>
      </c>
      <c r="AB43">
        <f t="shared" si="4"/>
        <v>14.342916427990588</v>
      </c>
      <c r="AC43">
        <f t="shared" si="5"/>
        <v>3</v>
      </c>
      <c r="AD43">
        <f t="shared" si="6"/>
        <v>2024</v>
      </c>
      <c r="AE43" t="str">
        <f t="shared" si="7"/>
        <v>CLEAN</v>
      </c>
    </row>
    <row r="44" spans="1:31">
      <c r="A44" t="s">
        <v>388</v>
      </c>
      <c r="B44" s="2">
        <v>45298</v>
      </c>
      <c r="C44" s="2">
        <v>45304</v>
      </c>
      <c r="D44" s="5">
        <f>C44-B44</f>
        <v>6</v>
      </c>
      <c r="E44" s="5" t="str">
        <f>IF(D44&lt;0,"INVALID","OK")</f>
        <v>OK</v>
      </c>
      <c r="F44" t="s">
        <v>389</v>
      </c>
      <c r="G44" t="s">
        <v>140</v>
      </c>
      <c r="H44" t="s">
        <v>89</v>
      </c>
      <c r="I44" t="s">
        <v>24</v>
      </c>
      <c r="J44" t="s">
        <v>135</v>
      </c>
      <c r="K44" t="s">
        <v>136</v>
      </c>
      <c r="L44" t="s">
        <v>27</v>
      </c>
      <c r="M44" t="s">
        <v>152</v>
      </c>
      <c r="N44" t="s">
        <v>390</v>
      </c>
      <c r="O44" t="s">
        <v>58</v>
      </c>
      <c r="P44">
        <v>7</v>
      </c>
      <c r="Q44">
        <v>2788.97</v>
      </c>
      <c r="R44">
        <v>-0.09</v>
      </c>
      <c r="S44" t="str">
        <f t="shared" si="0"/>
        <v>INVALID</v>
      </c>
      <c r="T44">
        <v>19522.79</v>
      </c>
      <c r="U44">
        <v>12455.78</v>
      </c>
      <c r="V44">
        <v>7067.01</v>
      </c>
      <c r="W44" t="s">
        <v>31</v>
      </c>
      <c r="X44" t="s">
        <v>32</v>
      </c>
      <c r="Y44">
        <f t="shared" si="1"/>
        <v>0</v>
      </c>
      <c r="Z44">
        <f t="shared" si="2"/>
        <v>19522.789999999997</v>
      </c>
      <c r="AA44">
        <f t="shared" si="3"/>
        <v>7067.0099999999966</v>
      </c>
      <c r="AB44">
        <f t="shared" si="4"/>
        <v>36.198770769956532</v>
      </c>
      <c r="AC44">
        <f t="shared" si="5"/>
        <v>1</v>
      </c>
      <c r="AD44">
        <f t="shared" si="6"/>
        <v>2024</v>
      </c>
      <c r="AE44" t="str">
        <f t="shared" si="7"/>
        <v>INVALID</v>
      </c>
    </row>
    <row r="45" spans="1:31">
      <c r="A45" t="s">
        <v>397</v>
      </c>
      <c r="B45" s="2">
        <v>45448</v>
      </c>
      <c r="C45" s="2">
        <v>45479</v>
      </c>
      <c r="D45" s="5">
        <f>C45-B45</f>
        <v>31</v>
      </c>
      <c r="E45" s="5" t="str">
        <f>IF(D45&lt;0,"INVALID","OK")</f>
        <v>OK</v>
      </c>
      <c r="F45" t="s">
        <v>398</v>
      </c>
      <c r="G45" t="s">
        <v>117</v>
      </c>
      <c r="H45" t="s">
        <v>94</v>
      </c>
      <c r="I45" t="s">
        <v>37</v>
      </c>
      <c r="J45" t="s">
        <v>38</v>
      </c>
      <c r="K45" t="s">
        <v>39</v>
      </c>
      <c r="L45" t="s">
        <v>73</v>
      </c>
      <c r="M45" t="s">
        <v>79</v>
      </c>
      <c r="N45" t="s">
        <v>399</v>
      </c>
      <c r="O45" t="s">
        <v>30</v>
      </c>
      <c r="P45">
        <v>2</v>
      </c>
      <c r="Q45">
        <v>2259.2399999999998</v>
      </c>
      <c r="R45">
        <v>0.15</v>
      </c>
      <c r="S45" t="str">
        <f t="shared" si="0"/>
        <v>OK</v>
      </c>
      <c r="T45">
        <v>3840.71</v>
      </c>
      <c r="U45">
        <v>2516.29</v>
      </c>
      <c r="V45">
        <v>1324.42</v>
      </c>
      <c r="W45" t="s">
        <v>31</v>
      </c>
      <c r="X45" t="s">
        <v>32</v>
      </c>
      <c r="Y45">
        <f t="shared" si="1"/>
        <v>0.15</v>
      </c>
      <c r="Z45">
        <f t="shared" si="2"/>
        <v>3840.7079999999996</v>
      </c>
      <c r="AA45">
        <f t="shared" si="3"/>
        <v>1324.4179999999997</v>
      </c>
      <c r="AB45">
        <f t="shared" si="4"/>
        <v>34.483694152224011</v>
      </c>
      <c r="AC45">
        <f t="shared" si="5"/>
        <v>6</v>
      </c>
      <c r="AD45">
        <f t="shared" si="6"/>
        <v>2024</v>
      </c>
      <c r="AE45" t="str">
        <f t="shared" si="7"/>
        <v>CLEAN</v>
      </c>
    </row>
    <row r="46" spans="1:31">
      <c r="A46" t="s">
        <v>403</v>
      </c>
      <c r="B46" s="2">
        <v>45317</v>
      </c>
      <c r="C46" s="2">
        <v>45323</v>
      </c>
      <c r="D46" s="5">
        <f>C46-B46</f>
        <v>6</v>
      </c>
      <c r="E46" s="5" t="str">
        <f>IF(D46&lt;0,"INVALID","OK")</f>
        <v>OK</v>
      </c>
      <c r="F46" t="s">
        <v>404</v>
      </c>
      <c r="G46" t="s">
        <v>140</v>
      </c>
      <c r="H46" t="s">
        <v>94</v>
      </c>
      <c r="I46" t="s">
        <v>53</v>
      </c>
      <c r="J46" t="s">
        <v>184</v>
      </c>
      <c r="K46" t="s">
        <v>185</v>
      </c>
      <c r="L46" t="s">
        <v>73</v>
      </c>
      <c r="M46" t="s">
        <v>79</v>
      </c>
      <c r="N46" t="s">
        <v>405</v>
      </c>
      <c r="O46" t="s">
        <v>2762</v>
      </c>
      <c r="P46">
        <v>8</v>
      </c>
      <c r="Q46">
        <v>2108.9299999999998</v>
      </c>
      <c r="R46">
        <v>0.1</v>
      </c>
      <c r="S46" t="str">
        <f t="shared" si="0"/>
        <v>OK</v>
      </c>
      <c r="T46">
        <v>15184.3</v>
      </c>
      <c r="U46">
        <v>11270.74</v>
      </c>
      <c r="V46">
        <v>3913.56</v>
      </c>
      <c r="W46" t="s">
        <v>31</v>
      </c>
      <c r="X46" t="s">
        <v>32</v>
      </c>
      <c r="Y46">
        <f t="shared" si="1"/>
        <v>0.1</v>
      </c>
      <c r="Z46">
        <f t="shared" si="2"/>
        <v>15184.295999999998</v>
      </c>
      <c r="AA46">
        <f t="shared" si="3"/>
        <v>3913.5559999999987</v>
      </c>
      <c r="AB46">
        <f t="shared" si="4"/>
        <v>25.773707256497104</v>
      </c>
      <c r="AC46">
        <f t="shared" si="5"/>
        <v>1</v>
      </c>
      <c r="AD46">
        <f t="shared" si="6"/>
        <v>2024</v>
      </c>
      <c r="AE46" t="str">
        <f t="shared" si="7"/>
        <v>CLEAN</v>
      </c>
    </row>
    <row r="47" spans="1:31">
      <c r="A47" t="s">
        <v>412</v>
      </c>
      <c r="B47" s="2">
        <v>45465</v>
      </c>
      <c r="C47" s="2">
        <v>45469</v>
      </c>
      <c r="D47" s="5">
        <f>C47-B47</f>
        <v>4</v>
      </c>
      <c r="E47" s="5" t="str">
        <f>IF(D47&lt;0,"INVALID","OK")</f>
        <v>OK</v>
      </c>
      <c r="F47" t="s">
        <v>413</v>
      </c>
      <c r="G47" t="s">
        <v>140</v>
      </c>
      <c r="H47" t="s">
        <v>94</v>
      </c>
      <c r="I47" t="s">
        <v>37</v>
      </c>
      <c r="J47" t="s">
        <v>144</v>
      </c>
      <c r="K47" t="s">
        <v>145</v>
      </c>
      <c r="L47" t="s">
        <v>40</v>
      </c>
      <c r="M47" t="s">
        <v>56</v>
      </c>
      <c r="N47" t="s">
        <v>414</v>
      </c>
      <c r="O47" t="s">
        <v>49</v>
      </c>
      <c r="P47">
        <v>5</v>
      </c>
      <c r="Q47">
        <v>4396.5200000000004</v>
      </c>
      <c r="R47">
        <v>0.25</v>
      </c>
      <c r="S47" t="str">
        <f t="shared" si="0"/>
        <v>OK</v>
      </c>
      <c r="T47">
        <v>16486.95</v>
      </c>
      <c r="U47">
        <v>12054.14</v>
      </c>
      <c r="V47">
        <v>4432.8100000000004</v>
      </c>
      <c r="W47" t="s">
        <v>31</v>
      </c>
      <c r="X47" t="s">
        <v>32</v>
      </c>
      <c r="Y47">
        <f t="shared" si="1"/>
        <v>0.25</v>
      </c>
      <c r="Z47">
        <f t="shared" si="2"/>
        <v>16486.95</v>
      </c>
      <c r="AA47">
        <f t="shared" si="3"/>
        <v>4432.8100000000013</v>
      </c>
      <c r="AB47">
        <f t="shared" si="4"/>
        <v>26.886780150361357</v>
      </c>
      <c r="AC47">
        <f t="shared" si="5"/>
        <v>6</v>
      </c>
      <c r="AD47">
        <f t="shared" si="6"/>
        <v>2024</v>
      </c>
      <c r="AE47" t="str">
        <f t="shared" si="7"/>
        <v>CLEAN</v>
      </c>
    </row>
    <row r="48" spans="1:31">
      <c r="A48" t="s">
        <v>424</v>
      </c>
      <c r="B48" s="2">
        <v>45467</v>
      </c>
      <c r="C48" s="2">
        <v>45472</v>
      </c>
      <c r="D48" s="5">
        <f>C48-B48</f>
        <v>5</v>
      </c>
      <c r="E48" s="5" t="str">
        <f>IF(D48&lt;0,"INVALID","OK")</f>
        <v>OK</v>
      </c>
      <c r="F48" t="s">
        <v>425</v>
      </c>
      <c r="G48" t="s">
        <v>35</v>
      </c>
      <c r="H48" t="s">
        <v>94</v>
      </c>
      <c r="I48" t="s">
        <v>37</v>
      </c>
      <c r="J48" t="s">
        <v>98</v>
      </c>
      <c r="K48" t="s">
        <v>99</v>
      </c>
      <c r="L48" t="s">
        <v>40</v>
      </c>
      <c r="M48" t="s">
        <v>41</v>
      </c>
      <c r="N48" t="s">
        <v>426</v>
      </c>
      <c r="O48" t="s">
        <v>30</v>
      </c>
      <c r="P48">
        <v>2</v>
      </c>
      <c r="Q48">
        <v>685</v>
      </c>
      <c r="R48">
        <v>0.1</v>
      </c>
      <c r="S48" t="str">
        <f t="shared" si="0"/>
        <v>OK</v>
      </c>
      <c r="T48">
        <v>1233</v>
      </c>
      <c r="U48">
        <v>1006.9</v>
      </c>
      <c r="V48">
        <v>226.1</v>
      </c>
      <c r="W48" t="s">
        <v>31</v>
      </c>
      <c r="X48" t="s">
        <v>32</v>
      </c>
      <c r="Y48">
        <f t="shared" si="1"/>
        <v>0.1</v>
      </c>
      <c r="Z48">
        <f t="shared" si="2"/>
        <v>1233</v>
      </c>
      <c r="AA48">
        <f t="shared" si="3"/>
        <v>226.10000000000002</v>
      </c>
      <c r="AB48">
        <f t="shared" si="4"/>
        <v>18.337388483373886</v>
      </c>
      <c r="AC48">
        <f t="shared" si="5"/>
        <v>6</v>
      </c>
      <c r="AD48">
        <f t="shared" si="6"/>
        <v>2024</v>
      </c>
      <c r="AE48" t="str">
        <f t="shared" si="7"/>
        <v>CLEAN</v>
      </c>
    </row>
    <row r="49" spans="1:31">
      <c r="A49" t="s">
        <v>430</v>
      </c>
      <c r="B49" s="2">
        <v>45594</v>
      </c>
      <c r="C49" s="2">
        <v>45600</v>
      </c>
      <c r="D49" s="5">
        <f>C49-B49</f>
        <v>6</v>
      </c>
      <c r="E49" s="5" t="str">
        <f>IF(D49&lt;0,"INVALID","OK")</f>
        <v>OK</v>
      </c>
      <c r="F49" t="s">
        <v>431</v>
      </c>
      <c r="G49" t="s">
        <v>140</v>
      </c>
      <c r="H49" t="s">
        <v>94</v>
      </c>
      <c r="I49" t="s">
        <v>37</v>
      </c>
      <c r="J49" t="s">
        <v>98</v>
      </c>
      <c r="K49" t="s">
        <v>99</v>
      </c>
      <c r="L49" t="s">
        <v>40</v>
      </c>
      <c r="M49" t="s">
        <v>56</v>
      </c>
      <c r="N49" t="s">
        <v>432</v>
      </c>
      <c r="O49" t="s">
        <v>49</v>
      </c>
      <c r="P49">
        <v>3</v>
      </c>
      <c r="Q49">
        <v>4302.8900000000003</v>
      </c>
      <c r="R49">
        <v>0.05</v>
      </c>
      <c r="S49" t="str">
        <f t="shared" si="0"/>
        <v>OK</v>
      </c>
      <c r="T49">
        <v>12263.24</v>
      </c>
      <c r="U49">
        <v>8925.57</v>
      </c>
      <c r="V49">
        <v>3337.67</v>
      </c>
      <c r="W49" t="s">
        <v>31</v>
      </c>
      <c r="X49" t="s">
        <v>32</v>
      </c>
      <c r="Y49">
        <f t="shared" si="1"/>
        <v>0.05</v>
      </c>
      <c r="Z49">
        <f t="shared" si="2"/>
        <v>12263.236500000001</v>
      </c>
      <c r="AA49">
        <f t="shared" si="3"/>
        <v>3337.6665000000012</v>
      </c>
      <c r="AB49">
        <f t="shared" si="4"/>
        <v>27.216848504878797</v>
      </c>
      <c r="AC49">
        <f t="shared" si="5"/>
        <v>10</v>
      </c>
      <c r="AD49">
        <f t="shared" si="6"/>
        <v>2024</v>
      </c>
      <c r="AE49" t="str">
        <f t="shared" si="7"/>
        <v>CLEAN</v>
      </c>
    </row>
    <row r="50" spans="1:31">
      <c r="A50" t="s">
        <v>433</v>
      </c>
      <c r="B50" s="2">
        <v>45519</v>
      </c>
      <c r="C50" s="2">
        <v>45527</v>
      </c>
      <c r="D50" s="5">
        <f>C50-B50</f>
        <v>8</v>
      </c>
      <c r="E50" s="5" t="str">
        <f>IF(D50&lt;0,"INVALID","OK")</f>
        <v>OK</v>
      </c>
      <c r="F50" t="s">
        <v>434</v>
      </c>
      <c r="G50" t="s">
        <v>88</v>
      </c>
      <c r="H50" t="s">
        <v>36</v>
      </c>
      <c r="I50" t="s">
        <v>37</v>
      </c>
      <c r="J50" t="s">
        <v>38</v>
      </c>
      <c r="K50" t="s">
        <v>39</v>
      </c>
      <c r="L50" t="s">
        <v>40</v>
      </c>
      <c r="M50" t="s">
        <v>157</v>
      </c>
      <c r="N50" t="s">
        <v>435</v>
      </c>
      <c r="O50" t="s">
        <v>43</v>
      </c>
      <c r="P50">
        <v>2</v>
      </c>
      <c r="Q50">
        <v>537.54</v>
      </c>
      <c r="R50">
        <v>0.25</v>
      </c>
      <c r="S50" t="str">
        <f t="shared" si="0"/>
        <v>OK</v>
      </c>
      <c r="T50">
        <v>806.31</v>
      </c>
      <c r="U50">
        <v>498.5</v>
      </c>
      <c r="V50">
        <v>307.81</v>
      </c>
      <c r="W50" t="s">
        <v>31</v>
      </c>
      <c r="X50" t="s">
        <v>32</v>
      </c>
      <c r="Y50">
        <f t="shared" si="1"/>
        <v>0.25</v>
      </c>
      <c r="Z50">
        <f t="shared" si="2"/>
        <v>806.31</v>
      </c>
      <c r="AA50">
        <f t="shared" si="3"/>
        <v>307.80999999999995</v>
      </c>
      <c r="AB50">
        <f t="shared" si="4"/>
        <v>38.175143555208294</v>
      </c>
      <c r="AC50">
        <f t="shared" si="5"/>
        <v>8</v>
      </c>
      <c r="AD50">
        <f t="shared" si="6"/>
        <v>2024</v>
      </c>
      <c r="AE50" t="str">
        <f t="shared" si="7"/>
        <v>CLEAN</v>
      </c>
    </row>
    <row r="51" spans="1:31">
      <c r="A51" t="s">
        <v>445</v>
      </c>
      <c r="B51" s="2">
        <v>45301</v>
      </c>
      <c r="C51" s="2">
        <v>45305</v>
      </c>
      <c r="D51" s="5">
        <f>C51-B51</f>
        <v>4</v>
      </c>
      <c r="E51" s="5" t="str">
        <f>IF(D51&lt;0,"INVALID","OK")</f>
        <v>OK</v>
      </c>
      <c r="F51" t="s">
        <v>446</v>
      </c>
      <c r="G51" t="s">
        <v>131</v>
      </c>
      <c r="H51" t="s">
        <v>23</v>
      </c>
      <c r="I51" t="s">
        <v>2762</v>
      </c>
      <c r="J51" t="s">
        <v>179</v>
      </c>
      <c r="K51" t="s">
        <v>180</v>
      </c>
      <c r="L51" t="s">
        <v>73</v>
      </c>
      <c r="M51" t="s">
        <v>74</v>
      </c>
      <c r="N51" t="s">
        <v>447</v>
      </c>
      <c r="O51" t="s">
        <v>58</v>
      </c>
      <c r="P51">
        <v>3</v>
      </c>
      <c r="Q51">
        <v>3829.48</v>
      </c>
      <c r="R51">
        <v>0.05</v>
      </c>
      <c r="S51" t="str">
        <f t="shared" ref="S51:S99" si="8">IF(R51&lt;0,"INVALID",IF(R51&gt;0.5,"INVALID","OK"))</f>
        <v>OK</v>
      </c>
      <c r="T51">
        <v>10914.02</v>
      </c>
      <c r="U51">
        <v>6548.74</v>
      </c>
      <c r="V51">
        <v>4365.28</v>
      </c>
      <c r="W51" t="s">
        <v>31</v>
      </c>
      <c r="X51" t="s">
        <v>32</v>
      </c>
      <c r="Y51">
        <f t="shared" si="1"/>
        <v>0.05</v>
      </c>
      <c r="Z51">
        <f t="shared" si="2"/>
        <v>10914.018</v>
      </c>
      <c r="AA51">
        <f t="shared" si="3"/>
        <v>4365.2780000000002</v>
      </c>
      <c r="AB51">
        <f t="shared" si="4"/>
        <v>39.996983695647195</v>
      </c>
      <c r="AC51">
        <f t="shared" si="5"/>
        <v>1</v>
      </c>
      <c r="AD51">
        <f t="shared" si="6"/>
        <v>2024</v>
      </c>
      <c r="AE51" t="str">
        <f t="shared" si="7"/>
        <v>CLEAN</v>
      </c>
    </row>
    <row r="52" spans="1:31">
      <c r="A52" t="s">
        <v>448</v>
      </c>
      <c r="B52" s="2">
        <v>45628</v>
      </c>
      <c r="C52" s="2">
        <v>45628</v>
      </c>
      <c r="D52" s="5">
        <f>C52-B52</f>
        <v>0</v>
      </c>
      <c r="E52" s="5" t="str">
        <f>IF(D52&lt;0,"INVALID","OK")</f>
        <v>OK</v>
      </c>
      <c r="F52" t="s">
        <v>359</v>
      </c>
      <c r="G52" t="s">
        <v>46</v>
      </c>
      <c r="H52" t="s">
        <v>94</v>
      </c>
      <c r="I52" t="s">
        <v>53</v>
      </c>
      <c r="J52" t="s">
        <v>246</v>
      </c>
      <c r="K52" t="s">
        <v>247</v>
      </c>
      <c r="L52" t="s">
        <v>40</v>
      </c>
      <c r="M52" t="s">
        <v>41</v>
      </c>
      <c r="N52" t="s">
        <v>449</v>
      </c>
      <c r="O52" t="s">
        <v>58</v>
      </c>
      <c r="P52">
        <v>3</v>
      </c>
      <c r="Q52">
        <v>1089.1500000000001</v>
      </c>
      <c r="R52">
        <v>0.25</v>
      </c>
      <c r="S52" t="str">
        <f t="shared" si="8"/>
        <v>OK</v>
      </c>
      <c r="T52">
        <v>2450.59</v>
      </c>
      <c r="U52">
        <v>1639.89</v>
      </c>
      <c r="V52">
        <v>810.7</v>
      </c>
      <c r="W52" t="s">
        <v>31</v>
      </c>
      <c r="X52" t="s">
        <v>32</v>
      </c>
      <c r="Y52">
        <f t="shared" si="1"/>
        <v>0.25</v>
      </c>
      <c r="Z52">
        <f t="shared" si="2"/>
        <v>2450.5875000000001</v>
      </c>
      <c r="AA52">
        <f t="shared" si="3"/>
        <v>810.69749999999999</v>
      </c>
      <c r="AB52">
        <f t="shared" si="4"/>
        <v>33.081761006289305</v>
      </c>
      <c r="AC52">
        <f t="shared" si="5"/>
        <v>12</v>
      </c>
      <c r="AD52">
        <f t="shared" si="6"/>
        <v>2024</v>
      </c>
      <c r="AE52" t="str">
        <f t="shared" si="7"/>
        <v>CLEAN</v>
      </c>
    </row>
    <row r="53" spans="1:31">
      <c r="A53" t="s">
        <v>459</v>
      </c>
      <c r="B53" s="2">
        <v>45337</v>
      </c>
      <c r="C53" s="2">
        <v>45339</v>
      </c>
      <c r="D53" s="5">
        <f>C53-B53</f>
        <v>2</v>
      </c>
      <c r="E53" s="5" t="str">
        <f>IF(D53&lt;0,"INVALID","OK")</f>
        <v>OK</v>
      </c>
      <c r="F53" t="s">
        <v>460</v>
      </c>
      <c r="G53" t="s">
        <v>35</v>
      </c>
      <c r="H53" t="s">
        <v>94</v>
      </c>
      <c r="I53" t="s">
        <v>53</v>
      </c>
      <c r="J53" t="s">
        <v>246</v>
      </c>
      <c r="K53" t="s">
        <v>247</v>
      </c>
      <c r="L53" t="s">
        <v>73</v>
      </c>
      <c r="M53" t="s">
        <v>273</v>
      </c>
      <c r="N53" t="s">
        <v>461</v>
      </c>
      <c r="O53" t="s">
        <v>58</v>
      </c>
      <c r="P53">
        <v>9</v>
      </c>
      <c r="Q53">
        <v>3324.55</v>
      </c>
      <c r="R53" t="s">
        <v>462</v>
      </c>
      <c r="S53" t="str">
        <f t="shared" si="8"/>
        <v>INVALID</v>
      </c>
      <c r="T53">
        <v>25432.81</v>
      </c>
      <c r="U53">
        <v>20370.16</v>
      </c>
      <c r="V53">
        <v>5062.6499999999996</v>
      </c>
      <c r="W53" t="s">
        <v>31</v>
      </c>
      <c r="X53" t="s">
        <v>32</v>
      </c>
      <c r="Y53">
        <f t="shared" si="1"/>
        <v>0</v>
      </c>
      <c r="Z53">
        <f t="shared" si="2"/>
        <v>29920.95</v>
      </c>
      <c r="AA53">
        <f t="shared" si="3"/>
        <v>9550.7900000000009</v>
      </c>
      <c r="AB53">
        <f t="shared" si="4"/>
        <v>31.920076067103487</v>
      </c>
      <c r="AC53">
        <f t="shared" si="5"/>
        <v>2</v>
      </c>
      <c r="AD53">
        <f t="shared" si="6"/>
        <v>2024</v>
      </c>
      <c r="AE53" t="str">
        <f t="shared" si="7"/>
        <v>INVALID</v>
      </c>
    </row>
    <row r="54" spans="1:31">
      <c r="A54" t="s">
        <v>463</v>
      </c>
      <c r="B54" s="2">
        <v>45453</v>
      </c>
      <c r="C54" s="2">
        <v>45461</v>
      </c>
      <c r="D54" s="5">
        <f>C54-B54</f>
        <v>8</v>
      </c>
      <c r="E54" s="5" t="str">
        <f>IF(D54&lt;0,"INVALID","OK")</f>
        <v>OK</v>
      </c>
      <c r="F54" t="s">
        <v>464</v>
      </c>
      <c r="G54" t="s">
        <v>70</v>
      </c>
      <c r="H54" t="s">
        <v>94</v>
      </c>
      <c r="I54" t="s">
        <v>53</v>
      </c>
      <c r="J54" t="s">
        <v>83</v>
      </c>
      <c r="K54" t="s">
        <v>84</v>
      </c>
      <c r="L54" t="s">
        <v>73</v>
      </c>
      <c r="M54" t="s">
        <v>79</v>
      </c>
      <c r="N54" t="s">
        <v>465</v>
      </c>
      <c r="O54" t="s">
        <v>43</v>
      </c>
      <c r="P54">
        <v>5</v>
      </c>
      <c r="Q54">
        <v>1580.27</v>
      </c>
      <c r="R54">
        <v>0.2</v>
      </c>
      <c r="S54" t="str">
        <f t="shared" si="8"/>
        <v>OK</v>
      </c>
      <c r="T54">
        <v>6321.08</v>
      </c>
      <c r="U54">
        <v>4407.22</v>
      </c>
      <c r="V54">
        <v>1913.86</v>
      </c>
      <c r="W54" t="s">
        <v>31</v>
      </c>
      <c r="X54" t="s">
        <v>32</v>
      </c>
      <c r="Y54">
        <f t="shared" si="1"/>
        <v>0.2</v>
      </c>
      <c r="Z54">
        <f t="shared" si="2"/>
        <v>6321.0800000000008</v>
      </c>
      <c r="AA54">
        <f t="shared" si="3"/>
        <v>1913.8600000000006</v>
      </c>
      <c r="AB54">
        <f t="shared" si="4"/>
        <v>30.277420947053358</v>
      </c>
      <c r="AC54">
        <f t="shared" si="5"/>
        <v>6</v>
      </c>
      <c r="AD54">
        <f t="shared" si="6"/>
        <v>2024</v>
      </c>
      <c r="AE54" t="str">
        <f t="shared" si="7"/>
        <v>CLEAN</v>
      </c>
    </row>
    <row r="55" spans="1:31">
      <c r="A55" t="s">
        <v>469</v>
      </c>
      <c r="B55" s="2">
        <v>45514</v>
      </c>
      <c r="C55" s="2">
        <v>45522</v>
      </c>
      <c r="D55" s="5">
        <f>C55-B55</f>
        <v>8</v>
      </c>
      <c r="E55" s="5" t="str">
        <f>IF(D55&lt;0,"INVALID","OK")</f>
        <v>OK</v>
      </c>
      <c r="F55" t="s">
        <v>470</v>
      </c>
      <c r="G55" t="s">
        <v>131</v>
      </c>
      <c r="H55" t="s">
        <v>36</v>
      </c>
      <c r="I55" t="s">
        <v>37</v>
      </c>
      <c r="J55" t="s">
        <v>144</v>
      </c>
      <c r="K55" t="s">
        <v>145</v>
      </c>
      <c r="L55" t="s">
        <v>73</v>
      </c>
      <c r="M55" t="s">
        <v>170</v>
      </c>
      <c r="N55" t="s">
        <v>471</v>
      </c>
      <c r="O55" t="s">
        <v>58</v>
      </c>
      <c r="P55">
        <v>1</v>
      </c>
      <c r="Q55">
        <v>1823.67</v>
      </c>
      <c r="R55">
        <v>0.2</v>
      </c>
      <c r="S55" t="str">
        <f t="shared" si="8"/>
        <v>OK</v>
      </c>
      <c r="T55">
        <v>1458.94</v>
      </c>
      <c r="U55">
        <v>893.2</v>
      </c>
      <c r="V55">
        <v>565.74</v>
      </c>
      <c r="W55" t="s">
        <v>31</v>
      </c>
      <c r="X55" t="s">
        <v>102</v>
      </c>
      <c r="Y55">
        <f t="shared" si="1"/>
        <v>0.2</v>
      </c>
      <c r="Z55">
        <f t="shared" si="2"/>
        <v>1458.9360000000001</v>
      </c>
      <c r="AA55">
        <f t="shared" si="3"/>
        <v>565.7360000000001</v>
      </c>
      <c r="AB55">
        <f t="shared" si="4"/>
        <v>38.777300717783376</v>
      </c>
      <c r="AC55">
        <f t="shared" si="5"/>
        <v>8</v>
      </c>
      <c r="AD55">
        <f t="shared" si="6"/>
        <v>2024</v>
      </c>
      <c r="AE55" t="str">
        <f t="shared" si="7"/>
        <v>CLEAN</v>
      </c>
    </row>
    <row r="56" spans="1:31">
      <c r="A56" t="s">
        <v>475</v>
      </c>
      <c r="B56" s="2">
        <v>45626</v>
      </c>
      <c r="C56" s="2">
        <v>45394</v>
      </c>
      <c r="D56" s="5">
        <f>C56-B56</f>
        <v>-232</v>
      </c>
      <c r="E56" s="5" t="str">
        <f>IF(D56&lt;0,"INVALID","OK")</f>
        <v>INVALID</v>
      </c>
      <c r="F56" t="s">
        <v>476</v>
      </c>
      <c r="G56" t="s">
        <v>61</v>
      </c>
      <c r="H56" t="s">
        <v>36</v>
      </c>
      <c r="I56" t="s">
        <v>37</v>
      </c>
      <c r="J56" t="s">
        <v>165</v>
      </c>
      <c r="K56" t="s">
        <v>166</v>
      </c>
      <c r="L56" t="s">
        <v>40</v>
      </c>
      <c r="M56" t="s">
        <v>65</v>
      </c>
      <c r="N56" t="s">
        <v>477</v>
      </c>
      <c r="O56" t="s">
        <v>30</v>
      </c>
      <c r="P56">
        <v>3</v>
      </c>
      <c r="Q56">
        <v>170.35</v>
      </c>
      <c r="R56">
        <v>0</v>
      </c>
      <c r="S56" t="str">
        <f t="shared" si="8"/>
        <v>OK</v>
      </c>
      <c r="T56">
        <v>511.05</v>
      </c>
      <c r="U56">
        <v>367.18</v>
      </c>
      <c r="V56">
        <v>143.87</v>
      </c>
      <c r="W56" t="s">
        <v>31</v>
      </c>
      <c r="X56" t="s">
        <v>32</v>
      </c>
      <c r="Y56">
        <f t="shared" si="1"/>
        <v>0</v>
      </c>
      <c r="Z56">
        <f t="shared" si="2"/>
        <v>511.04999999999995</v>
      </c>
      <c r="AA56">
        <f t="shared" si="3"/>
        <v>143.86999999999995</v>
      </c>
      <c r="AB56">
        <f t="shared" si="4"/>
        <v>28.151844242246348</v>
      </c>
      <c r="AC56">
        <f t="shared" si="5"/>
        <v>11</v>
      </c>
      <c r="AD56">
        <f t="shared" si="6"/>
        <v>2024</v>
      </c>
      <c r="AE56" t="str">
        <f t="shared" si="7"/>
        <v>INVALID</v>
      </c>
    </row>
    <row r="57" spans="1:31">
      <c r="A57" t="s">
        <v>481</v>
      </c>
      <c r="B57" s="2">
        <v>45494</v>
      </c>
      <c r="C57" s="2">
        <v>45497</v>
      </c>
      <c r="D57" s="5">
        <f>C57-B57</f>
        <v>3</v>
      </c>
      <c r="E57" s="5" t="str">
        <f>IF(D57&lt;0,"INVALID","OK")</f>
        <v>OK</v>
      </c>
      <c r="F57" t="s">
        <v>482</v>
      </c>
      <c r="G57" t="s">
        <v>46</v>
      </c>
      <c r="H57" t="s">
        <v>89</v>
      </c>
      <c r="I57" t="s">
        <v>53</v>
      </c>
      <c r="J57" t="s">
        <v>174</v>
      </c>
      <c r="K57" t="s">
        <v>175</v>
      </c>
      <c r="L57" t="s">
        <v>73</v>
      </c>
      <c r="M57" t="s">
        <v>79</v>
      </c>
      <c r="N57" t="s">
        <v>483</v>
      </c>
      <c r="O57" t="s">
        <v>58</v>
      </c>
      <c r="P57">
        <v>9</v>
      </c>
      <c r="Q57">
        <v>465.06</v>
      </c>
      <c r="R57">
        <v>-0.15</v>
      </c>
      <c r="S57" t="str">
        <f t="shared" si="8"/>
        <v>INVALID</v>
      </c>
      <c r="T57">
        <v>4185.54</v>
      </c>
      <c r="U57">
        <v>3443.74</v>
      </c>
      <c r="V57">
        <v>741.8</v>
      </c>
      <c r="W57" t="s">
        <v>31</v>
      </c>
      <c r="X57" t="s">
        <v>32</v>
      </c>
      <c r="Y57">
        <f t="shared" si="1"/>
        <v>0</v>
      </c>
      <c r="Z57">
        <f t="shared" si="2"/>
        <v>4185.54</v>
      </c>
      <c r="AA57">
        <f t="shared" si="3"/>
        <v>741.80000000000018</v>
      </c>
      <c r="AB57">
        <f t="shared" si="4"/>
        <v>17.7229222513702</v>
      </c>
      <c r="AC57">
        <f t="shared" si="5"/>
        <v>7</v>
      </c>
      <c r="AD57">
        <f t="shared" si="6"/>
        <v>2024</v>
      </c>
      <c r="AE57" t="str">
        <f t="shared" si="7"/>
        <v>INVALID</v>
      </c>
    </row>
    <row r="58" spans="1:31">
      <c r="A58" t="s">
        <v>493</v>
      </c>
      <c r="B58" s="2">
        <v>45639</v>
      </c>
      <c r="C58" s="2">
        <v>45642</v>
      </c>
      <c r="D58" s="5">
        <f>C58-B58</f>
        <v>3</v>
      </c>
      <c r="E58" s="5" t="str">
        <f>IF(D58&lt;0,"INVALID","OK")</f>
        <v>OK</v>
      </c>
      <c r="F58" t="s">
        <v>494</v>
      </c>
      <c r="G58" t="s">
        <v>78</v>
      </c>
      <c r="H58" t="s">
        <v>36</v>
      </c>
      <c r="I58" t="s">
        <v>37</v>
      </c>
      <c r="J58" t="s">
        <v>38</v>
      </c>
      <c r="K58" t="s">
        <v>39</v>
      </c>
      <c r="L58" t="s">
        <v>40</v>
      </c>
      <c r="M58" t="s">
        <v>56</v>
      </c>
      <c r="N58" t="s">
        <v>495</v>
      </c>
      <c r="O58" t="s">
        <v>58</v>
      </c>
      <c r="P58">
        <v>5</v>
      </c>
      <c r="Q58">
        <v>923.45</v>
      </c>
      <c r="R58">
        <v>0.05</v>
      </c>
      <c r="S58" t="str">
        <f t="shared" si="8"/>
        <v>OK</v>
      </c>
      <c r="T58">
        <v>4386.3900000000003</v>
      </c>
      <c r="U58">
        <v>3366.88</v>
      </c>
      <c r="V58">
        <v>1019.51</v>
      </c>
      <c r="W58" t="s">
        <v>31</v>
      </c>
      <c r="X58" t="s">
        <v>102</v>
      </c>
      <c r="Y58">
        <f t="shared" si="1"/>
        <v>0.05</v>
      </c>
      <c r="Z58">
        <f t="shared" si="2"/>
        <v>4386.3874999999998</v>
      </c>
      <c r="AA58">
        <f t="shared" si="3"/>
        <v>1019.5074999999997</v>
      </c>
      <c r="AB58">
        <f t="shared" si="4"/>
        <v>23.242531582082059</v>
      </c>
      <c r="AC58">
        <f t="shared" si="5"/>
        <v>12</v>
      </c>
      <c r="AD58">
        <f t="shared" si="6"/>
        <v>2024</v>
      </c>
      <c r="AE58" t="str">
        <f t="shared" si="7"/>
        <v>CLEAN</v>
      </c>
    </row>
    <row r="59" spans="1:31">
      <c r="A59" t="s">
        <v>496</v>
      </c>
      <c r="B59" s="2">
        <v>45492</v>
      </c>
      <c r="C59" s="2">
        <v>45498</v>
      </c>
      <c r="D59" s="5">
        <f>C59-B59</f>
        <v>6</v>
      </c>
      <c r="E59" s="5" t="str">
        <f>IF(D59&lt;0,"INVALID","OK")</f>
        <v>OK</v>
      </c>
      <c r="F59" t="s">
        <v>497</v>
      </c>
      <c r="G59" t="s">
        <v>46</v>
      </c>
      <c r="H59" t="s">
        <v>36</v>
      </c>
      <c r="I59" t="s">
        <v>62</v>
      </c>
      <c r="J59" t="s">
        <v>189</v>
      </c>
      <c r="K59" t="s">
        <v>190</v>
      </c>
      <c r="L59" t="s">
        <v>27</v>
      </c>
      <c r="M59" t="s">
        <v>152</v>
      </c>
      <c r="N59" t="s">
        <v>498</v>
      </c>
      <c r="O59" t="s">
        <v>58</v>
      </c>
      <c r="P59">
        <v>7</v>
      </c>
      <c r="Q59">
        <v>2741.29</v>
      </c>
      <c r="R59">
        <v>0.05</v>
      </c>
      <c r="S59" t="str">
        <f t="shared" si="8"/>
        <v>OK</v>
      </c>
      <c r="T59">
        <v>18229.580000000002</v>
      </c>
      <c r="U59">
        <v>15139.15</v>
      </c>
      <c r="V59">
        <v>3090.43</v>
      </c>
      <c r="W59" t="s">
        <v>31</v>
      </c>
      <c r="X59" t="s">
        <v>32</v>
      </c>
      <c r="Y59">
        <f t="shared" si="1"/>
        <v>0.05</v>
      </c>
      <c r="Z59">
        <f t="shared" si="2"/>
        <v>18229.5785</v>
      </c>
      <c r="AA59">
        <f t="shared" si="3"/>
        <v>3090.4285</v>
      </c>
      <c r="AB59">
        <f t="shared" si="4"/>
        <v>16.952824773211294</v>
      </c>
      <c r="AC59">
        <f t="shared" si="5"/>
        <v>7</v>
      </c>
      <c r="AD59">
        <f t="shared" si="6"/>
        <v>2024</v>
      </c>
      <c r="AE59" t="str">
        <f t="shared" si="7"/>
        <v>CLEAN</v>
      </c>
    </row>
    <row r="60" spans="1:31">
      <c r="A60" t="s">
        <v>508</v>
      </c>
      <c r="B60" s="2">
        <v>45639</v>
      </c>
      <c r="C60" s="2">
        <v>45644</v>
      </c>
      <c r="D60" s="5">
        <f>C60-B60</f>
        <v>5</v>
      </c>
      <c r="E60" s="5" t="str">
        <f>IF(D60&lt;0,"INVALID","OK")</f>
        <v>OK</v>
      </c>
      <c r="F60" t="s">
        <v>509</v>
      </c>
      <c r="G60" t="s">
        <v>22</v>
      </c>
      <c r="H60" t="s">
        <v>23</v>
      </c>
      <c r="I60" t="s">
        <v>62</v>
      </c>
      <c r="J60" t="s">
        <v>189</v>
      </c>
      <c r="K60" t="s">
        <v>190</v>
      </c>
      <c r="L60" t="s">
        <v>73</v>
      </c>
      <c r="M60" t="s">
        <v>170</v>
      </c>
      <c r="N60" t="s">
        <v>510</v>
      </c>
      <c r="O60" t="s">
        <v>30</v>
      </c>
      <c r="P60">
        <v>8</v>
      </c>
      <c r="Q60">
        <v>3372.15</v>
      </c>
      <c r="R60">
        <v>0.15</v>
      </c>
      <c r="S60" t="str">
        <f t="shared" si="8"/>
        <v>OK</v>
      </c>
      <c r="T60">
        <v>22930.62</v>
      </c>
      <c r="U60">
        <v>16875.55</v>
      </c>
      <c r="V60">
        <v>6055.07</v>
      </c>
      <c r="W60" t="s">
        <v>31</v>
      </c>
      <c r="X60" t="s">
        <v>32</v>
      </c>
      <c r="Y60">
        <f t="shared" si="1"/>
        <v>0.15</v>
      </c>
      <c r="Z60">
        <f t="shared" si="2"/>
        <v>22930.62</v>
      </c>
      <c r="AA60">
        <f t="shared" si="3"/>
        <v>6055.07</v>
      </c>
      <c r="AB60">
        <f t="shared" si="4"/>
        <v>26.406045715292475</v>
      </c>
      <c r="AC60">
        <f t="shared" si="5"/>
        <v>12</v>
      </c>
      <c r="AD60">
        <f t="shared" si="6"/>
        <v>2024</v>
      </c>
      <c r="AE60" t="str">
        <f t="shared" si="7"/>
        <v>CLEAN</v>
      </c>
    </row>
    <row r="61" spans="1:31">
      <c r="A61" t="s">
        <v>523</v>
      </c>
      <c r="B61" s="2">
        <v>45311</v>
      </c>
      <c r="C61" s="2">
        <v>45317</v>
      </c>
      <c r="D61" s="5">
        <f>C61-B61</f>
        <v>6</v>
      </c>
      <c r="E61" s="5" t="str">
        <f>IF(D61&lt;0,"INVALID","OK")</f>
        <v>OK</v>
      </c>
      <c r="F61" t="s">
        <v>524</v>
      </c>
      <c r="G61" t="s">
        <v>161</v>
      </c>
      <c r="H61" t="s">
        <v>94</v>
      </c>
      <c r="I61" t="s">
        <v>37</v>
      </c>
      <c r="J61" t="s">
        <v>227</v>
      </c>
      <c r="K61" t="s">
        <v>228</v>
      </c>
      <c r="L61" t="s">
        <v>73</v>
      </c>
      <c r="M61" t="s">
        <v>273</v>
      </c>
      <c r="N61" t="s">
        <v>525</v>
      </c>
      <c r="O61" t="s">
        <v>58</v>
      </c>
      <c r="P61">
        <v>8</v>
      </c>
      <c r="Q61">
        <v>4003.05</v>
      </c>
      <c r="R61">
        <v>0.25</v>
      </c>
      <c r="S61" t="str">
        <f t="shared" si="8"/>
        <v>OK</v>
      </c>
      <c r="T61">
        <v>24018.3</v>
      </c>
      <c r="U61">
        <v>14070.78</v>
      </c>
      <c r="V61">
        <v>9947.52</v>
      </c>
      <c r="W61" t="s">
        <v>31</v>
      </c>
      <c r="X61" t="s">
        <v>32</v>
      </c>
      <c r="Y61">
        <f t="shared" si="1"/>
        <v>0.25</v>
      </c>
      <c r="Z61">
        <f t="shared" si="2"/>
        <v>24018.300000000003</v>
      </c>
      <c r="AA61">
        <f t="shared" si="3"/>
        <v>9947.5200000000023</v>
      </c>
      <c r="AB61">
        <f t="shared" si="4"/>
        <v>41.416419979765436</v>
      </c>
      <c r="AC61">
        <f t="shared" si="5"/>
        <v>1</v>
      </c>
      <c r="AD61">
        <f t="shared" si="6"/>
        <v>2024</v>
      </c>
      <c r="AE61" t="str">
        <f t="shared" si="7"/>
        <v>CLEAN</v>
      </c>
    </row>
    <row r="62" spans="1:31">
      <c r="A62" t="s">
        <v>529</v>
      </c>
      <c r="B62" s="2">
        <v>45443</v>
      </c>
      <c r="C62" s="2">
        <v>45444</v>
      </c>
      <c r="D62" s="5">
        <f>C62-B62</f>
        <v>1</v>
      </c>
      <c r="E62" s="5" t="str">
        <f>IF(D62&lt;0,"INVALID","OK")</f>
        <v>OK</v>
      </c>
      <c r="F62" t="s">
        <v>530</v>
      </c>
      <c r="G62" t="s">
        <v>35</v>
      </c>
      <c r="H62" t="s">
        <v>89</v>
      </c>
      <c r="I62" t="s">
        <v>53</v>
      </c>
      <c r="J62" t="s">
        <v>174</v>
      </c>
      <c r="K62" t="s">
        <v>175</v>
      </c>
      <c r="L62" t="s">
        <v>40</v>
      </c>
      <c r="M62" t="s">
        <v>157</v>
      </c>
      <c r="N62" t="s">
        <v>531</v>
      </c>
      <c r="O62" t="s">
        <v>43</v>
      </c>
      <c r="P62">
        <v>3</v>
      </c>
      <c r="Q62">
        <v>2914.55</v>
      </c>
      <c r="R62">
        <v>0</v>
      </c>
      <c r="S62" t="str">
        <f t="shared" si="8"/>
        <v>OK</v>
      </c>
      <c r="T62">
        <v>8743.65</v>
      </c>
      <c r="U62">
        <v>6603.76</v>
      </c>
      <c r="V62">
        <v>2139.89</v>
      </c>
      <c r="W62" t="s">
        <v>31</v>
      </c>
      <c r="X62" t="s">
        <v>32</v>
      </c>
      <c r="Y62">
        <f t="shared" si="1"/>
        <v>0</v>
      </c>
      <c r="Z62">
        <f t="shared" si="2"/>
        <v>8743.6500000000015</v>
      </c>
      <c r="AA62">
        <f t="shared" si="3"/>
        <v>2139.8900000000012</v>
      </c>
      <c r="AB62">
        <f t="shared" si="4"/>
        <v>24.47364658923906</v>
      </c>
      <c r="AC62">
        <f t="shared" si="5"/>
        <v>5</v>
      </c>
      <c r="AD62">
        <f t="shared" si="6"/>
        <v>2024</v>
      </c>
      <c r="AE62" t="str">
        <f t="shared" si="7"/>
        <v>CLEAN</v>
      </c>
    </row>
    <row r="63" spans="1:31">
      <c r="A63" t="s">
        <v>532</v>
      </c>
      <c r="B63" s="2">
        <v>45374</v>
      </c>
      <c r="C63" s="2">
        <v>45380</v>
      </c>
      <c r="D63" s="5">
        <f>C63-B63</f>
        <v>6</v>
      </c>
      <c r="E63" s="5" t="str">
        <f>IF(D63&lt;0,"INVALID","OK")</f>
        <v>OK</v>
      </c>
      <c r="F63" t="s">
        <v>533</v>
      </c>
      <c r="G63" t="s">
        <v>113</v>
      </c>
      <c r="H63" t="s">
        <v>89</v>
      </c>
      <c r="I63" t="s">
        <v>24</v>
      </c>
      <c r="J63" t="s">
        <v>349</v>
      </c>
      <c r="K63" t="s">
        <v>350</v>
      </c>
      <c r="L63" t="s">
        <v>40</v>
      </c>
      <c r="M63" t="s">
        <v>157</v>
      </c>
      <c r="N63" t="s">
        <v>534</v>
      </c>
      <c r="O63" t="s">
        <v>43</v>
      </c>
      <c r="P63">
        <v>7</v>
      </c>
      <c r="Q63">
        <v>634.29</v>
      </c>
      <c r="R63">
        <v>0.1</v>
      </c>
      <c r="S63" t="str">
        <f t="shared" si="8"/>
        <v>OK</v>
      </c>
      <c r="T63">
        <v>3996.03</v>
      </c>
      <c r="U63">
        <v>2859.51</v>
      </c>
      <c r="V63">
        <v>1136.52</v>
      </c>
      <c r="W63" t="s">
        <v>31</v>
      </c>
      <c r="X63" t="s">
        <v>102</v>
      </c>
      <c r="Y63">
        <f t="shared" si="1"/>
        <v>0.1</v>
      </c>
      <c r="Z63">
        <f t="shared" si="2"/>
        <v>3996.027</v>
      </c>
      <c r="AA63">
        <f t="shared" si="3"/>
        <v>1136.5169999999998</v>
      </c>
      <c r="AB63">
        <f t="shared" si="4"/>
        <v>28.441174196270442</v>
      </c>
      <c r="AC63">
        <f t="shared" si="5"/>
        <v>3</v>
      </c>
      <c r="AD63">
        <f t="shared" si="6"/>
        <v>2024</v>
      </c>
      <c r="AE63" t="str">
        <f t="shared" si="7"/>
        <v>CLEAN</v>
      </c>
    </row>
    <row r="64" spans="1:31">
      <c r="A64" t="s">
        <v>535</v>
      </c>
      <c r="B64" s="2">
        <v>45381</v>
      </c>
      <c r="C64" s="2">
        <v>45377</v>
      </c>
      <c r="D64" s="5">
        <f>C64-B64</f>
        <v>-4</v>
      </c>
      <c r="E64" s="5" t="str">
        <f>IF(D64&lt;0,"INVALID","OK")</f>
        <v>INVALID</v>
      </c>
      <c r="F64" t="s">
        <v>536</v>
      </c>
      <c r="G64" t="s">
        <v>88</v>
      </c>
      <c r="H64" t="s">
        <v>94</v>
      </c>
      <c r="I64" t="s">
        <v>24</v>
      </c>
      <c r="J64" t="s">
        <v>25</v>
      </c>
      <c r="K64" t="s">
        <v>26</v>
      </c>
      <c r="L64" t="s">
        <v>73</v>
      </c>
      <c r="M64" t="s">
        <v>170</v>
      </c>
      <c r="N64" t="s">
        <v>537</v>
      </c>
      <c r="O64" t="s">
        <v>30</v>
      </c>
      <c r="P64">
        <v>5</v>
      </c>
      <c r="Q64">
        <v>907.54</v>
      </c>
      <c r="R64">
        <v>0.15</v>
      </c>
      <c r="S64" t="str">
        <f t="shared" si="8"/>
        <v>OK</v>
      </c>
      <c r="T64">
        <v>3857.04</v>
      </c>
      <c r="U64">
        <v>2769.26</v>
      </c>
      <c r="V64">
        <v>1087.78</v>
      </c>
      <c r="W64" t="s">
        <v>31</v>
      </c>
      <c r="X64" t="s">
        <v>32</v>
      </c>
      <c r="Y64">
        <f t="shared" si="1"/>
        <v>0.15</v>
      </c>
      <c r="Z64">
        <f t="shared" si="2"/>
        <v>3857.0449999999996</v>
      </c>
      <c r="AA64">
        <f t="shared" si="3"/>
        <v>1087.7849999999994</v>
      </c>
      <c r="AB64">
        <f t="shared" si="4"/>
        <v>28.202548842442845</v>
      </c>
      <c r="AC64">
        <f t="shared" si="5"/>
        <v>3</v>
      </c>
      <c r="AD64">
        <f t="shared" si="6"/>
        <v>2024</v>
      </c>
      <c r="AE64" t="str">
        <f t="shared" si="7"/>
        <v>INVALID</v>
      </c>
    </row>
    <row r="65" spans="1:31">
      <c r="A65" t="s">
        <v>535</v>
      </c>
      <c r="B65" s="2">
        <v>45381</v>
      </c>
      <c r="C65" s="2">
        <v>45377</v>
      </c>
      <c r="D65" s="5">
        <f>C65-B65</f>
        <v>-4</v>
      </c>
      <c r="E65" s="5" t="str">
        <f>IF(D65&lt;0,"INVALID","OK")</f>
        <v>INVALID</v>
      </c>
      <c r="F65" t="s">
        <v>536</v>
      </c>
      <c r="G65" t="s">
        <v>88</v>
      </c>
      <c r="H65" t="s">
        <v>94</v>
      </c>
      <c r="I65" t="s">
        <v>24</v>
      </c>
      <c r="J65" t="s">
        <v>25</v>
      </c>
      <c r="K65" t="s">
        <v>26</v>
      </c>
      <c r="L65" t="s">
        <v>73</v>
      </c>
      <c r="M65" t="s">
        <v>170</v>
      </c>
      <c r="N65" t="s">
        <v>537</v>
      </c>
      <c r="O65" t="s">
        <v>30</v>
      </c>
      <c r="P65">
        <v>5</v>
      </c>
      <c r="Q65">
        <v>907.54</v>
      </c>
      <c r="R65">
        <v>0.15</v>
      </c>
      <c r="S65" t="str">
        <f t="shared" si="8"/>
        <v>OK</v>
      </c>
      <c r="T65">
        <v>4099.6899999999996</v>
      </c>
      <c r="U65">
        <v>2769.26</v>
      </c>
      <c r="V65">
        <v>1087.78</v>
      </c>
      <c r="W65" t="s">
        <v>31</v>
      </c>
      <c r="X65" t="s">
        <v>102</v>
      </c>
      <c r="Y65">
        <f t="shared" si="1"/>
        <v>0.15</v>
      </c>
      <c r="Z65">
        <f t="shared" si="2"/>
        <v>3857.0449999999996</v>
      </c>
      <c r="AA65">
        <f t="shared" si="3"/>
        <v>1087.7849999999994</v>
      </c>
      <c r="AB65">
        <f t="shared" si="4"/>
        <v>28.202548842442845</v>
      </c>
      <c r="AC65">
        <f t="shared" si="5"/>
        <v>3</v>
      </c>
      <c r="AD65">
        <f t="shared" si="6"/>
        <v>2024</v>
      </c>
      <c r="AE65" t="str">
        <f t="shared" si="7"/>
        <v>INVALID</v>
      </c>
    </row>
    <row r="66" spans="1:31">
      <c r="A66" t="s">
        <v>538</v>
      </c>
      <c r="B66" s="2">
        <v>45375</v>
      </c>
      <c r="C66" s="2">
        <v>45377</v>
      </c>
      <c r="D66" s="5">
        <f>C66-B66</f>
        <v>2</v>
      </c>
      <c r="E66" s="5" t="str">
        <f>IF(D66&lt;0,"INVALID","OK")</f>
        <v>OK</v>
      </c>
      <c r="F66" t="s">
        <v>539</v>
      </c>
      <c r="G66" t="s">
        <v>113</v>
      </c>
      <c r="H66" t="s">
        <v>23</v>
      </c>
      <c r="I66" t="s">
        <v>62</v>
      </c>
      <c r="J66" t="s">
        <v>179</v>
      </c>
      <c r="K66" t="s">
        <v>180</v>
      </c>
      <c r="L66" t="s">
        <v>27</v>
      </c>
      <c r="M66" t="s">
        <v>28</v>
      </c>
      <c r="N66" t="s">
        <v>540</v>
      </c>
      <c r="O66" t="s">
        <v>30</v>
      </c>
      <c r="P66">
        <v>1</v>
      </c>
      <c r="Q66">
        <v>3409.5</v>
      </c>
      <c r="R66">
        <v>0.1</v>
      </c>
      <c r="S66" t="str">
        <f t="shared" si="8"/>
        <v>OK</v>
      </c>
      <c r="T66">
        <v>3068.55</v>
      </c>
      <c r="U66">
        <v>1916.16</v>
      </c>
      <c r="V66">
        <v>1152.3900000000001</v>
      </c>
      <c r="W66" t="s">
        <v>31</v>
      </c>
      <c r="X66" t="s">
        <v>102</v>
      </c>
      <c r="Y66">
        <f t="shared" si="1"/>
        <v>0.1</v>
      </c>
      <c r="Z66">
        <f t="shared" si="2"/>
        <v>3068.55</v>
      </c>
      <c r="AA66">
        <f t="shared" si="3"/>
        <v>1152.3900000000001</v>
      </c>
      <c r="AB66">
        <f t="shared" si="4"/>
        <v>37.55487119323459</v>
      </c>
      <c r="AC66">
        <f t="shared" si="5"/>
        <v>3</v>
      </c>
      <c r="AD66">
        <f t="shared" si="6"/>
        <v>2024</v>
      </c>
      <c r="AE66" t="str">
        <f t="shared" si="7"/>
        <v>CLEAN</v>
      </c>
    </row>
    <row r="67" spans="1:31">
      <c r="A67" t="s">
        <v>550</v>
      </c>
      <c r="B67" s="2">
        <v>45649</v>
      </c>
      <c r="C67" s="2">
        <v>45656</v>
      </c>
      <c r="D67" s="5">
        <f>C67-B67</f>
        <v>7</v>
      </c>
      <c r="E67" s="5" t="str">
        <f>IF(D67&lt;0,"INVALID","OK")</f>
        <v>OK</v>
      </c>
      <c r="F67" t="s">
        <v>551</v>
      </c>
      <c r="G67" t="s">
        <v>113</v>
      </c>
      <c r="H67" t="s">
        <v>94</v>
      </c>
      <c r="I67" t="s">
        <v>62</v>
      </c>
      <c r="J67" t="s">
        <v>189</v>
      </c>
      <c r="K67" t="s">
        <v>190</v>
      </c>
      <c r="L67" t="s">
        <v>40</v>
      </c>
      <c r="M67" t="s">
        <v>56</v>
      </c>
      <c r="N67" t="s">
        <v>552</v>
      </c>
      <c r="O67" t="s">
        <v>49</v>
      </c>
      <c r="P67">
        <v>8</v>
      </c>
      <c r="Q67">
        <v>386.1</v>
      </c>
      <c r="R67">
        <v>0.1</v>
      </c>
      <c r="S67" t="str">
        <f t="shared" si="8"/>
        <v>OK</v>
      </c>
      <c r="T67">
        <v>2779.92</v>
      </c>
      <c r="U67">
        <v>1744.05</v>
      </c>
      <c r="V67">
        <v>1035.8699999999999</v>
      </c>
      <c r="W67" t="s">
        <v>31</v>
      </c>
      <c r="X67" t="s">
        <v>32</v>
      </c>
      <c r="Y67">
        <f t="shared" ref="Y67:Y130" si="9">IF(R67&lt;0,0,IF(R67&gt;0.5,0,R67))</f>
        <v>0.1</v>
      </c>
      <c r="Z67">
        <f t="shared" ref="Z67:Z130" si="10">P67*Q67*(1-Y67)</f>
        <v>2779.92</v>
      </c>
      <c r="AA67">
        <f t="shared" ref="AA67:AA130" si="11">Z67-U67</f>
        <v>1035.8700000000001</v>
      </c>
      <c r="AB67">
        <f t="shared" ref="AB67:AB130" si="12">AA67/Z67*100</f>
        <v>37.262583095916433</v>
      </c>
      <c r="AC67">
        <f t="shared" ref="AC67:AC130" si="13">MONTH(B67)</f>
        <v>12</v>
      </c>
      <c r="AD67">
        <f t="shared" ref="AD67:AD130" si="14">YEAR(B67)</f>
        <v>2024</v>
      </c>
      <c r="AE67" t="str">
        <f t="shared" ref="AE67:AE130" si="15">IF(OR(R67&lt;0,NOT(ISNUMBER(R67)),D67&lt;0,W67="Failed"),"INVALID",IF(OR(I67="",O67="",R67="",R67&gt;0.5,AA67&lt;0),"WARNING","CLEAN"))</f>
        <v>CLEAN</v>
      </c>
    </row>
    <row r="68" spans="1:31">
      <c r="A68" t="s">
        <v>556</v>
      </c>
      <c r="B68" s="2">
        <v>45321</v>
      </c>
      <c r="C68" s="2">
        <v>45321</v>
      </c>
      <c r="D68" s="5">
        <f>C68-B68</f>
        <v>0</v>
      </c>
      <c r="E68" s="5" t="str">
        <f>IF(D68&lt;0,"INVALID","OK")</f>
        <v>OK</v>
      </c>
      <c r="F68" t="s">
        <v>557</v>
      </c>
      <c r="G68" t="s">
        <v>127</v>
      </c>
      <c r="H68" t="s">
        <v>36</v>
      </c>
      <c r="I68" t="s">
        <v>62</v>
      </c>
      <c r="J68" t="s">
        <v>25</v>
      </c>
      <c r="K68" t="s">
        <v>108</v>
      </c>
      <c r="L68" t="s">
        <v>73</v>
      </c>
      <c r="M68" t="s">
        <v>79</v>
      </c>
      <c r="N68" t="s">
        <v>558</v>
      </c>
      <c r="O68" t="s">
        <v>43</v>
      </c>
      <c r="P68">
        <v>7</v>
      </c>
      <c r="Q68">
        <v>2527.61</v>
      </c>
      <c r="R68">
        <v>0.25</v>
      </c>
      <c r="S68" t="str">
        <f t="shared" si="8"/>
        <v>OK</v>
      </c>
      <c r="T68">
        <v>13269.95</v>
      </c>
      <c r="U68">
        <v>8977.1</v>
      </c>
      <c r="V68">
        <v>4292.8500000000004</v>
      </c>
      <c r="W68" t="s">
        <v>31</v>
      </c>
      <c r="X68" t="s">
        <v>32</v>
      </c>
      <c r="Y68">
        <f t="shared" si="9"/>
        <v>0.25</v>
      </c>
      <c r="Z68">
        <f t="shared" si="10"/>
        <v>13269.952499999999</v>
      </c>
      <c r="AA68">
        <f t="shared" si="11"/>
        <v>4292.8524999999991</v>
      </c>
      <c r="AB68">
        <f t="shared" si="12"/>
        <v>32.350172315989823</v>
      </c>
      <c r="AC68">
        <f t="shared" si="13"/>
        <v>1</v>
      </c>
      <c r="AD68">
        <f t="shared" si="14"/>
        <v>2024</v>
      </c>
      <c r="AE68" t="str">
        <f t="shared" si="15"/>
        <v>CLEAN</v>
      </c>
    </row>
    <row r="69" spans="1:31">
      <c r="A69" t="s">
        <v>559</v>
      </c>
      <c r="B69" s="2">
        <v>45385</v>
      </c>
      <c r="C69" s="2">
        <v>45363</v>
      </c>
      <c r="D69" s="5">
        <f>C69-B69</f>
        <v>-22</v>
      </c>
      <c r="E69" s="5" t="str">
        <f>IF(D69&lt;0,"INVALID","OK")</f>
        <v>INVALID</v>
      </c>
      <c r="F69" t="s">
        <v>560</v>
      </c>
      <c r="G69" t="s">
        <v>52</v>
      </c>
      <c r="H69" t="s">
        <v>23</v>
      </c>
      <c r="I69" t="s">
        <v>2762</v>
      </c>
      <c r="J69" t="s">
        <v>179</v>
      </c>
      <c r="K69" t="s">
        <v>180</v>
      </c>
      <c r="L69" t="s">
        <v>40</v>
      </c>
      <c r="M69" t="s">
        <v>157</v>
      </c>
      <c r="N69" t="s">
        <v>561</v>
      </c>
      <c r="O69" t="s">
        <v>49</v>
      </c>
      <c r="P69">
        <v>1</v>
      </c>
      <c r="Q69">
        <v>1554.12</v>
      </c>
      <c r="R69">
        <v>0.1</v>
      </c>
      <c r="S69" t="str">
        <f t="shared" si="8"/>
        <v>OK</v>
      </c>
      <c r="T69">
        <v>1398.71</v>
      </c>
      <c r="U69">
        <v>1056.92</v>
      </c>
      <c r="V69">
        <v>341.79</v>
      </c>
      <c r="W69" t="s">
        <v>31</v>
      </c>
      <c r="X69" t="s">
        <v>32</v>
      </c>
      <c r="Y69">
        <f t="shared" si="9"/>
        <v>0.1</v>
      </c>
      <c r="Z69">
        <f t="shared" si="10"/>
        <v>1398.7079999999999</v>
      </c>
      <c r="AA69">
        <f t="shared" si="11"/>
        <v>341.78799999999978</v>
      </c>
      <c r="AB69">
        <f t="shared" si="12"/>
        <v>24.435979489643287</v>
      </c>
      <c r="AC69">
        <f t="shared" si="13"/>
        <v>4</v>
      </c>
      <c r="AD69">
        <f t="shared" si="14"/>
        <v>2024</v>
      </c>
      <c r="AE69" t="str">
        <f t="shared" si="15"/>
        <v>INVALID</v>
      </c>
    </row>
    <row r="70" spans="1:31">
      <c r="A70" t="s">
        <v>562</v>
      </c>
      <c r="B70" s="2">
        <v>45470</v>
      </c>
      <c r="C70" s="2">
        <v>45470</v>
      </c>
      <c r="D70" s="5">
        <f>C70-B70</f>
        <v>0</v>
      </c>
      <c r="E70" s="5" t="str">
        <f>IF(D70&lt;0,"INVALID","OK")</f>
        <v>OK</v>
      </c>
      <c r="F70" t="s">
        <v>563</v>
      </c>
      <c r="G70" t="s">
        <v>78</v>
      </c>
      <c r="H70" t="s">
        <v>94</v>
      </c>
      <c r="I70" t="s">
        <v>2762</v>
      </c>
      <c r="J70" t="s">
        <v>71</v>
      </c>
      <c r="K70" t="s">
        <v>72</v>
      </c>
      <c r="L70" t="s">
        <v>73</v>
      </c>
      <c r="M70" t="s">
        <v>79</v>
      </c>
      <c r="N70" t="s">
        <v>564</v>
      </c>
      <c r="O70" t="s">
        <v>58</v>
      </c>
      <c r="P70">
        <v>2</v>
      </c>
      <c r="Q70">
        <v>3859.11</v>
      </c>
      <c r="R70">
        <v>0</v>
      </c>
      <c r="S70" t="str">
        <f t="shared" si="8"/>
        <v>OK</v>
      </c>
      <c r="T70">
        <v>7718.22</v>
      </c>
      <c r="U70">
        <v>5355.93</v>
      </c>
      <c r="V70">
        <v>2362.29</v>
      </c>
      <c r="W70" t="s">
        <v>110</v>
      </c>
      <c r="X70" t="s">
        <v>102</v>
      </c>
      <c r="Y70">
        <f t="shared" si="9"/>
        <v>0</v>
      </c>
      <c r="Z70">
        <f t="shared" si="10"/>
        <v>7718.22</v>
      </c>
      <c r="AA70">
        <f t="shared" si="11"/>
        <v>2362.29</v>
      </c>
      <c r="AB70">
        <f t="shared" si="12"/>
        <v>30.606668376905553</v>
      </c>
      <c r="AC70">
        <f t="shared" si="13"/>
        <v>6</v>
      </c>
      <c r="AD70">
        <f t="shared" si="14"/>
        <v>2024</v>
      </c>
      <c r="AE70" t="str">
        <f t="shared" si="15"/>
        <v>CLEAN</v>
      </c>
    </row>
    <row r="71" spans="1:31">
      <c r="A71" t="s">
        <v>565</v>
      </c>
      <c r="B71" s="2">
        <v>45457</v>
      </c>
      <c r="C71" s="2">
        <v>45460</v>
      </c>
      <c r="D71" s="5">
        <f>C71-B71</f>
        <v>3</v>
      </c>
      <c r="E71" s="5" t="str">
        <f>IF(D71&lt;0,"INVALID","OK")</f>
        <v>OK</v>
      </c>
      <c r="F71" t="s">
        <v>566</v>
      </c>
      <c r="G71" t="s">
        <v>263</v>
      </c>
      <c r="H71" t="s">
        <v>36</v>
      </c>
      <c r="I71" t="s">
        <v>53</v>
      </c>
      <c r="J71" t="s">
        <v>184</v>
      </c>
      <c r="K71" t="s">
        <v>185</v>
      </c>
      <c r="L71" t="s">
        <v>40</v>
      </c>
      <c r="M71" t="s">
        <v>41</v>
      </c>
      <c r="N71" t="s">
        <v>567</v>
      </c>
      <c r="O71" t="s">
        <v>30</v>
      </c>
      <c r="P71">
        <v>6</v>
      </c>
      <c r="Q71">
        <v>1088.04</v>
      </c>
      <c r="R71">
        <v>0.1</v>
      </c>
      <c r="S71" t="str">
        <f t="shared" si="8"/>
        <v>OK</v>
      </c>
      <c r="T71">
        <v>5875.42</v>
      </c>
      <c r="U71">
        <v>4380.55</v>
      </c>
      <c r="V71">
        <v>1494.87</v>
      </c>
      <c r="W71" t="s">
        <v>110</v>
      </c>
      <c r="X71" t="s">
        <v>102</v>
      </c>
      <c r="Y71">
        <f t="shared" si="9"/>
        <v>0.1</v>
      </c>
      <c r="Z71">
        <f t="shared" si="10"/>
        <v>5875.4160000000002</v>
      </c>
      <c r="AA71">
        <f t="shared" si="11"/>
        <v>1494.866</v>
      </c>
      <c r="AB71">
        <f t="shared" si="12"/>
        <v>25.442726098032885</v>
      </c>
      <c r="AC71">
        <f t="shared" si="13"/>
        <v>6</v>
      </c>
      <c r="AD71">
        <f t="shared" si="14"/>
        <v>2024</v>
      </c>
      <c r="AE71" t="str">
        <f t="shared" si="15"/>
        <v>CLEAN</v>
      </c>
    </row>
    <row r="72" spans="1:31">
      <c r="A72" t="s">
        <v>571</v>
      </c>
      <c r="B72" s="2">
        <v>45334</v>
      </c>
      <c r="C72" s="2">
        <v>45333</v>
      </c>
      <c r="D72" s="5">
        <f>C72-B72</f>
        <v>-1</v>
      </c>
      <c r="E72" s="5" t="str">
        <f>IF(D72&lt;0,"INVALID","OK")</f>
        <v>INVALID</v>
      </c>
      <c r="F72" t="s">
        <v>454</v>
      </c>
      <c r="G72" t="s">
        <v>113</v>
      </c>
      <c r="H72" t="s">
        <v>23</v>
      </c>
      <c r="I72" t="s">
        <v>53</v>
      </c>
      <c r="J72" t="s">
        <v>246</v>
      </c>
      <c r="K72" t="s">
        <v>247</v>
      </c>
      <c r="L72" t="s">
        <v>40</v>
      </c>
      <c r="M72" t="s">
        <v>157</v>
      </c>
      <c r="N72" t="s">
        <v>572</v>
      </c>
      <c r="O72" t="s">
        <v>43</v>
      </c>
      <c r="P72">
        <v>1</v>
      </c>
      <c r="Q72">
        <v>2599.12</v>
      </c>
      <c r="R72">
        <v>0.15</v>
      </c>
      <c r="S72" t="str">
        <f t="shared" si="8"/>
        <v>OK</v>
      </c>
      <c r="T72">
        <v>2209.25</v>
      </c>
      <c r="U72">
        <v>1523.78</v>
      </c>
      <c r="V72">
        <v>685.47</v>
      </c>
      <c r="W72" t="s">
        <v>31</v>
      </c>
      <c r="X72" t="s">
        <v>32</v>
      </c>
      <c r="Y72">
        <f t="shared" si="9"/>
        <v>0.15</v>
      </c>
      <c r="Z72">
        <f t="shared" si="10"/>
        <v>2209.252</v>
      </c>
      <c r="AA72">
        <f t="shared" si="11"/>
        <v>685.47199999999998</v>
      </c>
      <c r="AB72">
        <f t="shared" si="12"/>
        <v>31.027334138432373</v>
      </c>
      <c r="AC72">
        <f t="shared" si="13"/>
        <v>2</v>
      </c>
      <c r="AD72">
        <f t="shared" si="14"/>
        <v>2024</v>
      </c>
      <c r="AE72" t="str">
        <f t="shared" si="15"/>
        <v>INVALID</v>
      </c>
    </row>
    <row r="73" spans="1:31">
      <c r="A73" t="s">
        <v>579</v>
      </c>
      <c r="B73" s="2">
        <v>45587</v>
      </c>
      <c r="C73" s="2">
        <v>45589</v>
      </c>
      <c r="D73" s="5">
        <f>C73-B73</f>
        <v>2</v>
      </c>
      <c r="E73" s="5" t="str">
        <f>IF(D73&lt;0,"INVALID","OK")</f>
        <v>OK</v>
      </c>
      <c r="F73" t="s">
        <v>580</v>
      </c>
      <c r="G73" t="s">
        <v>140</v>
      </c>
      <c r="H73" t="s">
        <v>36</v>
      </c>
      <c r="I73" t="s">
        <v>53</v>
      </c>
      <c r="J73" t="s">
        <v>83</v>
      </c>
      <c r="K73" t="s">
        <v>84</v>
      </c>
      <c r="L73" t="s">
        <v>40</v>
      </c>
      <c r="M73" t="s">
        <v>157</v>
      </c>
      <c r="N73" t="s">
        <v>581</v>
      </c>
      <c r="O73" t="s">
        <v>58</v>
      </c>
      <c r="P73">
        <v>3</v>
      </c>
      <c r="Q73">
        <v>915.84</v>
      </c>
      <c r="R73">
        <v>0.15</v>
      </c>
      <c r="S73" t="str">
        <f t="shared" si="8"/>
        <v>OK</v>
      </c>
      <c r="T73">
        <v>2335.39</v>
      </c>
      <c r="U73">
        <v>1466.15</v>
      </c>
      <c r="V73">
        <v>869.24</v>
      </c>
      <c r="W73" t="s">
        <v>31</v>
      </c>
      <c r="X73" t="s">
        <v>32</v>
      </c>
      <c r="Y73">
        <f t="shared" si="9"/>
        <v>0.15</v>
      </c>
      <c r="Z73">
        <f t="shared" si="10"/>
        <v>2335.3919999999998</v>
      </c>
      <c r="AA73">
        <f t="shared" si="11"/>
        <v>869.24199999999973</v>
      </c>
      <c r="AB73">
        <f t="shared" si="12"/>
        <v>37.220389553445408</v>
      </c>
      <c r="AC73">
        <f t="shared" si="13"/>
        <v>10</v>
      </c>
      <c r="AD73">
        <f t="shared" si="14"/>
        <v>2024</v>
      </c>
      <c r="AE73" t="str">
        <f t="shared" si="15"/>
        <v>CLEAN</v>
      </c>
    </row>
    <row r="74" spans="1:31">
      <c r="A74" t="s">
        <v>582</v>
      </c>
      <c r="B74" s="2">
        <v>45544</v>
      </c>
      <c r="C74" s="2">
        <v>45546</v>
      </c>
      <c r="D74" s="5">
        <f>C74-B74</f>
        <v>2</v>
      </c>
      <c r="E74" s="5" t="str">
        <f>IF(D74&lt;0,"INVALID","OK")</f>
        <v>OK</v>
      </c>
      <c r="F74" t="s">
        <v>583</v>
      </c>
      <c r="G74" t="s">
        <v>78</v>
      </c>
      <c r="H74" t="s">
        <v>94</v>
      </c>
      <c r="I74" t="s">
        <v>53</v>
      </c>
      <c r="J74" t="s">
        <v>54</v>
      </c>
      <c r="K74" t="s">
        <v>55</v>
      </c>
      <c r="L74" t="s">
        <v>40</v>
      </c>
      <c r="M74" t="s">
        <v>157</v>
      </c>
      <c r="N74" t="s">
        <v>584</v>
      </c>
      <c r="O74" t="s">
        <v>49</v>
      </c>
      <c r="P74">
        <v>1</v>
      </c>
      <c r="Q74">
        <v>4199.54</v>
      </c>
      <c r="R74">
        <v>0.05</v>
      </c>
      <c r="S74" t="str">
        <f t="shared" si="8"/>
        <v>OK</v>
      </c>
      <c r="T74">
        <v>3989.56</v>
      </c>
      <c r="U74">
        <v>2381.38</v>
      </c>
      <c r="V74">
        <v>1608.18</v>
      </c>
      <c r="W74" t="s">
        <v>31</v>
      </c>
      <c r="X74" t="s">
        <v>32</v>
      </c>
      <c r="Y74">
        <f t="shared" si="9"/>
        <v>0.05</v>
      </c>
      <c r="Z74">
        <f t="shared" si="10"/>
        <v>3989.5629999999996</v>
      </c>
      <c r="AA74">
        <f t="shared" si="11"/>
        <v>1608.1829999999995</v>
      </c>
      <c r="AB74">
        <f t="shared" si="12"/>
        <v>40.309753223598662</v>
      </c>
      <c r="AC74">
        <f t="shared" si="13"/>
        <v>9</v>
      </c>
      <c r="AD74">
        <f t="shared" si="14"/>
        <v>2024</v>
      </c>
      <c r="AE74" t="str">
        <f t="shared" si="15"/>
        <v>CLEAN</v>
      </c>
    </row>
    <row r="75" spans="1:31">
      <c r="A75" t="s">
        <v>594</v>
      </c>
      <c r="B75" s="2">
        <v>45360</v>
      </c>
      <c r="C75" s="2">
        <v>45365</v>
      </c>
      <c r="D75" s="5">
        <f>C75-B75</f>
        <v>5</v>
      </c>
      <c r="E75" s="5" t="str">
        <f>IF(D75&lt;0,"INVALID","OK")</f>
        <v>OK</v>
      </c>
      <c r="F75" t="s">
        <v>595</v>
      </c>
      <c r="G75" t="s">
        <v>78</v>
      </c>
      <c r="H75" t="s">
        <v>36</v>
      </c>
      <c r="I75" t="s">
        <v>62</v>
      </c>
      <c r="J75" t="s">
        <v>189</v>
      </c>
      <c r="K75" t="s">
        <v>190</v>
      </c>
      <c r="L75" t="s">
        <v>40</v>
      </c>
      <c r="M75" t="s">
        <v>56</v>
      </c>
      <c r="N75" t="s">
        <v>596</v>
      </c>
      <c r="O75" t="s">
        <v>30</v>
      </c>
      <c r="P75">
        <v>8</v>
      </c>
      <c r="Q75">
        <v>4472.84</v>
      </c>
      <c r="R75">
        <v>0</v>
      </c>
      <c r="S75" t="str">
        <f t="shared" si="8"/>
        <v>OK</v>
      </c>
      <c r="T75">
        <v>35997.620000000003</v>
      </c>
      <c r="U75">
        <v>26424.41</v>
      </c>
      <c r="V75">
        <v>9358.31</v>
      </c>
      <c r="W75" t="s">
        <v>110</v>
      </c>
      <c r="X75" t="s">
        <v>102</v>
      </c>
      <c r="Y75">
        <f t="shared" si="9"/>
        <v>0</v>
      </c>
      <c r="Z75">
        <f t="shared" si="10"/>
        <v>35782.720000000001</v>
      </c>
      <c r="AA75">
        <f t="shared" si="11"/>
        <v>9358.3100000000013</v>
      </c>
      <c r="AB75">
        <f t="shared" si="12"/>
        <v>26.15315437171909</v>
      </c>
      <c r="AC75">
        <f t="shared" si="13"/>
        <v>3</v>
      </c>
      <c r="AD75">
        <f t="shared" si="14"/>
        <v>2024</v>
      </c>
      <c r="AE75" t="str">
        <f t="shared" si="15"/>
        <v>CLEAN</v>
      </c>
    </row>
    <row r="76" spans="1:31">
      <c r="A76" t="s">
        <v>603</v>
      </c>
      <c r="B76" s="2">
        <v>45618</v>
      </c>
      <c r="C76" s="2">
        <v>45625</v>
      </c>
      <c r="D76" s="5">
        <f>C76-B76</f>
        <v>7</v>
      </c>
      <c r="E76" s="5" t="str">
        <f>IF(D76&lt;0,"INVALID","OK")</f>
        <v>OK</v>
      </c>
      <c r="F76" t="s">
        <v>604</v>
      </c>
      <c r="G76" t="s">
        <v>35</v>
      </c>
      <c r="H76" t="s">
        <v>94</v>
      </c>
      <c r="I76" t="s">
        <v>37</v>
      </c>
      <c r="J76" t="s">
        <v>144</v>
      </c>
      <c r="K76" t="s">
        <v>145</v>
      </c>
      <c r="L76" t="s">
        <v>40</v>
      </c>
      <c r="M76" t="s">
        <v>65</v>
      </c>
      <c r="N76" t="s">
        <v>605</v>
      </c>
      <c r="O76" t="s">
        <v>58</v>
      </c>
      <c r="P76">
        <v>4</v>
      </c>
      <c r="Q76">
        <v>3422.99</v>
      </c>
      <c r="R76">
        <v>0.25</v>
      </c>
      <c r="S76" t="str">
        <f t="shared" si="8"/>
        <v>OK</v>
      </c>
      <c r="T76">
        <v>10268.969999999999</v>
      </c>
      <c r="U76">
        <v>6470.92</v>
      </c>
      <c r="V76">
        <v>3798.05</v>
      </c>
      <c r="W76" t="s">
        <v>31</v>
      </c>
      <c r="X76" t="s">
        <v>32</v>
      </c>
      <c r="Y76">
        <f t="shared" si="9"/>
        <v>0.25</v>
      </c>
      <c r="Z76">
        <f t="shared" si="10"/>
        <v>10268.969999999999</v>
      </c>
      <c r="AA76">
        <f t="shared" si="11"/>
        <v>3798.0499999999993</v>
      </c>
      <c r="AB76">
        <f t="shared" si="12"/>
        <v>36.98569574163718</v>
      </c>
      <c r="AC76">
        <f t="shared" si="13"/>
        <v>11</v>
      </c>
      <c r="AD76">
        <f t="shared" si="14"/>
        <v>2024</v>
      </c>
      <c r="AE76" t="str">
        <f t="shared" si="15"/>
        <v>CLEAN</v>
      </c>
    </row>
    <row r="77" spans="1:31">
      <c r="A77" t="s">
        <v>627</v>
      </c>
      <c r="B77" s="2">
        <v>45327</v>
      </c>
      <c r="C77" s="2">
        <v>45420</v>
      </c>
      <c r="D77" s="5">
        <f>C77-B77</f>
        <v>93</v>
      </c>
      <c r="E77" s="5" t="str">
        <f>IF(D77&lt;0,"INVALID","OK")</f>
        <v>OK</v>
      </c>
      <c r="F77" t="s">
        <v>628</v>
      </c>
      <c r="G77" t="s">
        <v>113</v>
      </c>
      <c r="H77" t="s">
        <v>94</v>
      </c>
      <c r="I77" t="s">
        <v>24</v>
      </c>
      <c r="J77" t="s">
        <v>121</v>
      </c>
      <c r="K77" t="s">
        <v>122</v>
      </c>
      <c r="L77" t="s">
        <v>73</v>
      </c>
      <c r="M77" t="s">
        <v>79</v>
      </c>
      <c r="N77" t="s">
        <v>629</v>
      </c>
      <c r="O77" t="s">
        <v>30</v>
      </c>
      <c r="P77">
        <v>1</v>
      </c>
      <c r="Q77">
        <v>2312.25</v>
      </c>
      <c r="R77">
        <v>0.25</v>
      </c>
      <c r="S77" t="str">
        <f t="shared" si="8"/>
        <v>OK</v>
      </c>
      <c r="T77">
        <v>1734.19</v>
      </c>
      <c r="U77">
        <v>1386.07</v>
      </c>
      <c r="V77">
        <v>348.12</v>
      </c>
      <c r="W77" t="s">
        <v>31</v>
      </c>
      <c r="X77" t="s">
        <v>32</v>
      </c>
      <c r="Y77">
        <f t="shared" si="9"/>
        <v>0.25</v>
      </c>
      <c r="Z77">
        <f t="shared" si="10"/>
        <v>1734.1875</v>
      </c>
      <c r="AA77">
        <f t="shared" si="11"/>
        <v>348.11750000000006</v>
      </c>
      <c r="AB77">
        <f t="shared" si="12"/>
        <v>20.073809781237614</v>
      </c>
      <c r="AC77">
        <f t="shared" si="13"/>
        <v>2</v>
      </c>
      <c r="AD77">
        <f t="shared" si="14"/>
        <v>2024</v>
      </c>
      <c r="AE77" t="str">
        <f t="shared" si="15"/>
        <v>CLEAN</v>
      </c>
    </row>
    <row r="78" spans="1:31">
      <c r="A78" t="s">
        <v>633</v>
      </c>
      <c r="B78" s="2">
        <v>45318</v>
      </c>
      <c r="C78" s="2">
        <v>45325</v>
      </c>
      <c r="D78" s="5">
        <f>C78-B78</f>
        <v>7</v>
      </c>
      <c r="E78" s="5" t="str">
        <f>IF(D78&lt;0,"INVALID","OK")</f>
        <v>OK</v>
      </c>
      <c r="F78" t="s">
        <v>634</v>
      </c>
      <c r="G78" t="s">
        <v>52</v>
      </c>
      <c r="H78" t="s">
        <v>36</v>
      </c>
      <c r="I78" t="s">
        <v>37</v>
      </c>
      <c r="J78" t="s">
        <v>144</v>
      </c>
      <c r="K78" t="s">
        <v>145</v>
      </c>
      <c r="L78" t="s">
        <v>73</v>
      </c>
      <c r="M78" t="s">
        <v>273</v>
      </c>
      <c r="N78" t="s">
        <v>635</v>
      </c>
      <c r="O78" t="s">
        <v>43</v>
      </c>
      <c r="P78">
        <v>7</v>
      </c>
      <c r="Q78">
        <v>2673.42</v>
      </c>
      <c r="R78">
        <v>0.15</v>
      </c>
      <c r="S78" t="str">
        <f t="shared" si="8"/>
        <v>OK</v>
      </c>
      <c r="T78">
        <v>15906.85</v>
      </c>
      <c r="U78">
        <v>11014.46</v>
      </c>
      <c r="V78">
        <v>4892.3900000000003</v>
      </c>
      <c r="W78" t="s">
        <v>31</v>
      </c>
      <c r="X78" t="s">
        <v>102</v>
      </c>
      <c r="Y78">
        <f t="shared" si="9"/>
        <v>0.15</v>
      </c>
      <c r="Z78">
        <f t="shared" si="10"/>
        <v>15906.849000000002</v>
      </c>
      <c r="AA78">
        <f t="shared" si="11"/>
        <v>4892.3890000000029</v>
      </c>
      <c r="AB78">
        <f t="shared" si="12"/>
        <v>30.756493633654298</v>
      </c>
      <c r="AC78">
        <f t="shared" si="13"/>
        <v>1</v>
      </c>
      <c r="AD78">
        <f t="shared" si="14"/>
        <v>2024</v>
      </c>
      <c r="AE78" t="str">
        <f t="shared" si="15"/>
        <v>CLEAN</v>
      </c>
    </row>
    <row r="79" spans="1:31">
      <c r="A79" t="s">
        <v>639</v>
      </c>
      <c r="B79" s="2">
        <v>45297</v>
      </c>
      <c r="C79" s="2">
        <v>45446</v>
      </c>
      <c r="D79" s="5">
        <f>C79-B79</f>
        <v>149</v>
      </c>
      <c r="E79" s="5" t="str">
        <f>IF(D79&lt;0,"INVALID","OK")</f>
        <v>OK</v>
      </c>
      <c r="F79" t="s">
        <v>640</v>
      </c>
      <c r="G79" t="s">
        <v>131</v>
      </c>
      <c r="H79" t="s">
        <v>94</v>
      </c>
      <c r="I79" t="s">
        <v>2762</v>
      </c>
      <c r="J79" t="s">
        <v>144</v>
      </c>
      <c r="K79" t="s">
        <v>145</v>
      </c>
      <c r="L79" t="s">
        <v>27</v>
      </c>
      <c r="M79" t="s">
        <v>47</v>
      </c>
      <c r="N79" t="s">
        <v>641</v>
      </c>
      <c r="O79" t="s">
        <v>43</v>
      </c>
      <c r="P79">
        <v>8</v>
      </c>
      <c r="Q79">
        <v>3879.95</v>
      </c>
      <c r="R79">
        <v>0</v>
      </c>
      <c r="S79" t="str">
        <f t="shared" si="8"/>
        <v>OK</v>
      </c>
      <c r="T79">
        <v>31039.599999999999</v>
      </c>
      <c r="U79">
        <v>20866.72</v>
      </c>
      <c r="V79">
        <v>10172.879999999999</v>
      </c>
      <c r="W79" t="s">
        <v>31</v>
      </c>
      <c r="X79" t="s">
        <v>32</v>
      </c>
      <c r="Y79">
        <f t="shared" si="9"/>
        <v>0</v>
      </c>
      <c r="Z79">
        <f t="shared" si="10"/>
        <v>31039.599999999999</v>
      </c>
      <c r="AA79">
        <f t="shared" si="11"/>
        <v>10172.879999999997</v>
      </c>
      <c r="AB79">
        <f t="shared" si="12"/>
        <v>32.773875952009682</v>
      </c>
      <c r="AC79">
        <f t="shared" si="13"/>
        <v>1</v>
      </c>
      <c r="AD79">
        <f t="shared" si="14"/>
        <v>2024</v>
      </c>
      <c r="AE79" t="str">
        <f t="shared" si="15"/>
        <v>CLEAN</v>
      </c>
    </row>
    <row r="80" spans="1:31">
      <c r="A80" t="s">
        <v>642</v>
      </c>
      <c r="B80" s="2">
        <v>45565</v>
      </c>
      <c r="C80" s="2">
        <v>45565</v>
      </c>
      <c r="D80" s="5">
        <f>C80-B80</f>
        <v>0</v>
      </c>
      <c r="E80" s="5" t="str">
        <f>IF(D80&lt;0,"INVALID","OK")</f>
        <v>OK</v>
      </c>
      <c r="F80" t="s">
        <v>643</v>
      </c>
      <c r="G80" t="s">
        <v>46</v>
      </c>
      <c r="H80" t="s">
        <v>89</v>
      </c>
      <c r="I80" t="s">
        <v>53</v>
      </c>
      <c r="J80" t="s">
        <v>54</v>
      </c>
      <c r="K80" t="s">
        <v>55</v>
      </c>
      <c r="L80" t="s">
        <v>27</v>
      </c>
      <c r="M80" t="s">
        <v>47</v>
      </c>
      <c r="N80" t="s">
        <v>644</v>
      </c>
      <c r="O80" t="s">
        <v>58</v>
      </c>
      <c r="P80">
        <v>4</v>
      </c>
      <c r="Q80">
        <v>3281.74</v>
      </c>
      <c r="R80">
        <v>0</v>
      </c>
      <c r="S80" t="str">
        <f t="shared" si="8"/>
        <v>OK</v>
      </c>
      <c r="T80">
        <v>13126.96</v>
      </c>
      <c r="U80">
        <v>10732.44</v>
      </c>
      <c r="V80">
        <v>2394.52</v>
      </c>
      <c r="W80" t="s">
        <v>31</v>
      </c>
      <c r="X80" t="s">
        <v>32</v>
      </c>
      <c r="Y80">
        <f t="shared" si="9"/>
        <v>0</v>
      </c>
      <c r="Z80">
        <f t="shared" si="10"/>
        <v>13126.96</v>
      </c>
      <c r="AA80">
        <f t="shared" si="11"/>
        <v>2394.5199999999986</v>
      </c>
      <c r="AB80">
        <f t="shared" si="12"/>
        <v>18.24123787990516</v>
      </c>
      <c r="AC80">
        <f t="shared" si="13"/>
        <v>9</v>
      </c>
      <c r="AD80">
        <f t="shared" si="14"/>
        <v>2024</v>
      </c>
      <c r="AE80" t="str">
        <f t="shared" si="15"/>
        <v>CLEAN</v>
      </c>
    </row>
    <row r="81" spans="1:31">
      <c r="A81" t="s">
        <v>648</v>
      </c>
      <c r="B81" s="2">
        <v>45530</v>
      </c>
      <c r="C81" s="2">
        <v>45530</v>
      </c>
      <c r="D81" s="5">
        <f>C81-B81</f>
        <v>0</v>
      </c>
      <c r="E81" s="5" t="str">
        <f>IF(D81&lt;0,"INVALID","OK")</f>
        <v>OK</v>
      </c>
      <c r="F81" t="s">
        <v>649</v>
      </c>
      <c r="G81" t="s">
        <v>35</v>
      </c>
      <c r="H81" t="s">
        <v>94</v>
      </c>
      <c r="I81" t="s">
        <v>24</v>
      </c>
      <c r="J81" t="s">
        <v>135</v>
      </c>
      <c r="K81" t="s">
        <v>136</v>
      </c>
      <c r="L81" t="s">
        <v>27</v>
      </c>
      <c r="M81" t="s">
        <v>152</v>
      </c>
      <c r="N81" t="s">
        <v>650</v>
      </c>
      <c r="O81" t="s">
        <v>49</v>
      </c>
      <c r="P81">
        <v>7</v>
      </c>
      <c r="Q81">
        <v>844.59</v>
      </c>
      <c r="R81">
        <v>0.1</v>
      </c>
      <c r="S81" t="str">
        <f t="shared" si="8"/>
        <v>OK</v>
      </c>
      <c r="T81">
        <v>5320.92</v>
      </c>
      <c r="U81">
        <v>3041.5</v>
      </c>
      <c r="V81">
        <v>2279.42</v>
      </c>
      <c r="W81" t="s">
        <v>31</v>
      </c>
      <c r="X81" t="s">
        <v>32</v>
      </c>
      <c r="Y81">
        <f t="shared" si="9"/>
        <v>0.1</v>
      </c>
      <c r="Z81">
        <f t="shared" si="10"/>
        <v>5320.9170000000004</v>
      </c>
      <c r="AA81">
        <f t="shared" si="11"/>
        <v>2279.4170000000004</v>
      </c>
      <c r="AB81">
        <f t="shared" si="12"/>
        <v>42.838800154183957</v>
      </c>
      <c r="AC81">
        <f t="shared" si="13"/>
        <v>8</v>
      </c>
      <c r="AD81">
        <f t="shared" si="14"/>
        <v>2024</v>
      </c>
      <c r="AE81" t="str">
        <f t="shared" si="15"/>
        <v>CLEAN</v>
      </c>
    </row>
    <row r="82" spans="1:31">
      <c r="A82" t="s">
        <v>654</v>
      </c>
      <c r="B82" s="2">
        <v>45581</v>
      </c>
      <c r="C82" s="2">
        <v>45581</v>
      </c>
      <c r="D82" s="5">
        <f>C82-B82</f>
        <v>0</v>
      </c>
      <c r="E82" s="5" t="str">
        <f>IF(D82&lt;0,"INVALID","OK")</f>
        <v>OK</v>
      </c>
      <c r="F82" t="s">
        <v>655</v>
      </c>
      <c r="G82" t="s">
        <v>61</v>
      </c>
      <c r="H82" t="s">
        <v>94</v>
      </c>
      <c r="I82" t="s">
        <v>37</v>
      </c>
      <c r="J82" t="s">
        <v>144</v>
      </c>
      <c r="K82" t="s">
        <v>145</v>
      </c>
      <c r="L82" t="s">
        <v>73</v>
      </c>
      <c r="M82" t="s">
        <v>273</v>
      </c>
      <c r="N82" t="s">
        <v>656</v>
      </c>
      <c r="O82" t="s">
        <v>58</v>
      </c>
      <c r="P82">
        <v>7</v>
      </c>
      <c r="Q82">
        <v>775.77</v>
      </c>
      <c r="R82">
        <v>0</v>
      </c>
      <c r="S82" t="str">
        <f t="shared" si="8"/>
        <v>OK</v>
      </c>
      <c r="T82">
        <v>5430.39</v>
      </c>
      <c r="U82">
        <v>3707.66</v>
      </c>
      <c r="V82">
        <v>1722.73</v>
      </c>
      <c r="W82" t="s">
        <v>31</v>
      </c>
      <c r="X82" t="s">
        <v>32</v>
      </c>
      <c r="Y82">
        <f t="shared" si="9"/>
        <v>0</v>
      </c>
      <c r="Z82">
        <f t="shared" si="10"/>
        <v>5430.3899999999994</v>
      </c>
      <c r="AA82">
        <f t="shared" si="11"/>
        <v>1722.7299999999996</v>
      </c>
      <c r="AB82">
        <f t="shared" si="12"/>
        <v>31.723872502711586</v>
      </c>
      <c r="AC82">
        <f t="shared" si="13"/>
        <v>10</v>
      </c>
      <c r="AD82">
        <f t="shared" si="14"/>
        <v>2024</v>
      </c>
      <c r="AE82" t="str">
        <f t="shared" si="15"/>
        <v>CLEAN</v>
      </c>
    </row>
    <row r="83" spans="1:31">
      <c r="A83" t="s">
        <v>663</v>
      </c>
      <c r="B83" s="2">
        <v>45601</v>
      </c>
      <c r="C83" s="2">
        <v>45609</v>
      </c>
      <c r="D83" s="5">
        <f>C83-B83</f>
        <v>8</v>
      </c>
      <c r="E83" s="5" t="str">
        <f>IF(D83&lt;0,"INVALID","OK")</f>
        <v>OK</v>
      </c>
      <c r="F83" t="s">
        <v>664</v>
      </c>
      <c r="G83" t="s">
        <v>52</v>
      </c>
      <c r="H83" t="s">
        <v>23</v>
      </c>
      <c r="I83" t="s">
        <v>2762</v>
      </c>
      <c r="J83" t="s">
        <v>121</v>
      </c>
      <c r="K83" t="s">
        <v>122</v>
      </c>
      <c r="L83" t="s">
        <v>27</v>
      </c>
      <c r="M83" t="s">
        <v>90</v>
      </c>
      <c r="N83" t="s">
        <v>665</v>
      </c>
      <c r="O83" t="s">
        <v>30</v>
      </c>
      <c r="P83">
        <v>2</v>
      </c>
      <c r="Q83">
        <v>1003.17</v>
      </c>
      <c r="R83">
        <v>0.2</v>
      </c>
      <c r="S83" t="str">
        <f t="shared" si="8"/>
        <v>OK</v>
      </c>
      <c r="T83">
        <v>1605.07</v>
      </c>
      <c r="U83">
        <v>1337.28</v>
      </c>
      <c r="V83">
        <v>267.79000000000002</v>
      </c>
      <c r="W83" t="s">
        <v>31</v>
      </c>
      <c r="X83" t="s">
        <v>32</v>
      </c>
      <c r="Y83">
        <f t="shared" si="9"/>
        <v>0.2</v>
      </c>
      <c r="Z83">
        <f t="shared" si="10"/>
        <v>1605.0720000000001</v>
      </c>
      <c r="AA83">
        <f t="shared" si="11"/>
        <v>267.79200000000014</v>
      </c>
      <c r="AB83">
        <f t="shared" si="12"/>
        <v>16.684111366966722</v>
      </c>
      <c r="AC83">
        <f t="shared" si="13"/>
        <v>11</v>
      </c>
      <c r="AD83">
        <f t="shared" si="14"/>
        <v>2024</v>
      </c>
      <c r="AE83" t="str">
        <f t="shared" si="15"/>
        <v>CLEAN</v>
      </c>
    </row>
    <row r="84" spans="1:31">
      <c r="A84" t="s">
        <v>666</v>
      </c>
      <c r="B84" s="2">
        <v>45492</v>
      </c>
      <c r="C84" s="2">
        <v>45493</v>
      </c>
      <c r="D84" s="5">
        <f>C84-B84</f>
        <v>1</v>
      </c>
      <c r="E84" s="5" t="str">
        <f>IF(D84&lt;0,"INVALID","OK")</f>
        <v>OK</v>
      </c>
      <c r="F84" t="s">
        <v>262</v>
      </c>
      <c r="G84" t="s">
        <v>70</v>
      </c>
      <c r="H84" t="s">
        <v>23</v>
      </c>
      <c r="I84" t="s">
        <v>53</v>
      </c>
      <c r="J84" t="s">
        <v>246</v>
      </c>
      <c r="K84" t="s">
        <v>247</v>
      </c>
      <c r="L84" t="s">
        <v>40</v>
      </c>
      <c r="M84" t="s">
        <v>41</v>
      </c>
      <c r="N84" t="s">
        <v>667</v>
      </c>
      <c r="O84" t="s">
        <v>49</v>
      </c>
      <c r="P84">
        <v>7</v>
      </c>
      <c r="Q84">
        <v>3608.43</v>
      </c>
      <c r="R84">
        <v>0.05</v>
      </c>
      <c r="S84" t="str">
        <f t="shared" si="8"/>
        <v>OK</v>
      </c>
      <c r="T84">
        <v>23996.06</v>
      </c>
      <c r="U84">
        <v>20167.28</v>
      </c>
      <c r="V84">
        <v>3828.78</v>
      </c>
      <c r="W84" t="s">
        <v>31</v>
      </c>
      <c r="X84" t="s">
        <v>32</v>
      </c>
      <c r="Y84">
        <f t="shared" si="9"/>
        <v>0.05</v>
      </c>
      <c r="Z84">
        <f t="shared" si="10"/>
        <v>23996.059499999996</v>
      </c>
      <c r="AA84">
        <f t="shared" si="11"/>
        <v>3828.7794999999969</v>
      </c>
      <c r="AB84">
        <f t="shared" si="12"/>
        <v>15.955867670689837</v>
      </c>
      <c r="AC84">
        <f t="shared" si="13"/>
        <v>7</v>
      </c>
      <c r="AD84">
        <f t="shared" si="14"/>
        <v>2024</v>
      </c>
      <c r="AE84" t="str">
        <f t="shared" si="15"/>
        <v>CLEAN</v>
      </c>
    </row>
    <row r="85" spans="1:31">
      <c r="A85" t="s">
        <v>680</v>
      </c>
      <c r="B85" s="2">
        <v>45584</v>
      </c>
      <c r="C85" s="2">
        <v>45589</v>
      </c>
      <c r="D85" s="5">
        <f>C85-B85</f>
        <v>5</v>
      </c>
      <c r="E85" s="5" t="str">
        <f>IF(D85&lt;0,"INVALID","OK")</f>
        <v>OK</v>
      </c>
      <c r="F85" t="s">
        <v>681</v>
      </c>
      <c r="G85" t="s">
        <v>131</v>
      </c>
      <c r="H85" t="s">
        <v>36</v>
      </c>
      <c r="I85" t="s">
        <v>53</v>
      </c>
      <c r="J85" t="s">
        <v>246</v>
      </c>
      <c r="K85" t="s">
        <v>247</v>
      </c>
      <c r="L85" t="s">
        <v>40</v>
      </c>
      <c r="M85" t="s">
        <v>157</v>
      </c>
      <c r="N85" t="s">
        <v>682</v>
      </c>
      <c r="O85" t="s">
        <v>30</v>
      </c>
      <c r="P85">
        <v>6</v>
      </c>
      <c r="Q85">
        <v>4308.3999999999996</v>
      </c>
      <c r="R85">
        <v>0.65</v>
      </c>
      <c r="S85" t="str">
        <f t="shared" si="8"/>
        <v>INVALID</v>
      </c>
      <c r="T85">
        <v>25850.400000000001</v>
      </c>
      <c r="U85">
        <v>19397.68</v>
      </c>
      <c r="V85">
        <v>6452.72</v>
      </c>
      <c r="W85" t="s">
        <v>31</v>
      </c>
      <c r="X85" t="s">
        <v>32</v>
      </c>
      <c r="Y85">
        <f t="shared" si="9"/>
        <v>0</v>
      </c>
      <c r="Z85">
        <f t="shared" si="10"/>
        <v>25850.399999999998</v>
      </c>
      <c r="AA85">
        <f t="shared" si="11"/>
        <v>6452.7199999999975</v>
      </c>
      <c r="AB85">
        <f t="shared" si="12"/>
        <v>24.961780088509261</v>
      </c>
      <c r="AC85">
        <f t="shared" si="13"/>
        <v>10</v>
      </c>
      <c r="AD85">
        <f t="shared" si="14"/>
        <v>2024</v>
      </c>
      <c r="AE85" t="str">
        <f t="shared" si="15"/>
        <v>WARNING</v>
      </c>
    </row>
    <row r="86" spans="1:31">
      <c r="A86" t="s">
        <v>683</v>
      </c>
      <c r="B86" s="2">
        <v>45635</v>
      </c>
      <c r="C86" s="2">
        <v>45642</v>
      </c>
      <c r="D86" s="5">
        <f>C86-B86</f>
        <v>7</v>
      </c>
      <c r="E86" s="5" t="str">
        <f>IF(D86&lt;0,"INVALID","OK")</f>
        <v>OK</v>
      </c>
      <c r="F86" t="s">
        <v>684</v>
      </c>
      <c r="G86" t="s">
        <v>46</v>
      </c>
      <c r="H86" t="s">
        <v>94</v>
      </c>
      <c r="I86" t="s">
        <v>62</v>
      </c>
      <c r="J86" t="s">
        <v>179</v>
      </c>
      <c r="K86" t="s">
        <v>180</v>
      </c>
      <c r="L86" t="s">
        <v>40</v>
      </c>
      <c r="M86" t="s">
        <v>65</v>
      </c>
      <c r="N86" t="s">
        <v>685</v>
      </c>
      <c r="O86" t="s">
        <v>49</v>
      </c>
      <c r="P86">
        <v>4</v>
      </c>
      <c r="Q86">
        <v>2191.0300000000002</v>
      </c>
      <c r="R86">
        <v>0</v>
      </c>
      <c r="S86" t="str">
        <f t="shared" si="8"/>
        <v>OK</v>
      </c>
      <c r="T86">
        <v>8764.1200000000008</v>
      </c>
      <c r="U86">
        <v>7220.05</v>
      </c>
      <c r="V86">
        <v>1544.07</v>
      </c>
      <c r="W86" t="s">
        <v>31</v>
      </c>
      <c r="X86" t="s">
        <v>32</v>
      </c>
      <c r="Y86">
        <f t="shared" si="9"/>
        <v>0</v>
      </c>
      <c r="Z86">
        <f t="shared" si="10"/>
        <v>8764.1200000000008</v>
      </c>
      <c r="AA86">
        <f t="shared" si="11"/>
        <v>1544.0700000000006</v>
      </c>
      <c r="AB86">
        <f t="shared" si="12"/>
        <v>17.618083732308556</v>
      </c>
      <c r="AC86">
        <f t="shared" si="13"/>
        <v>12</v>
      </c>
      <c r="AD86">
        <f t="shared" si="14"/>
        <v>2024</v>
      </c>
      <c r="AE86" t="str">
        <f t="shared" si="15"/>
        <v>CLEAN</v>
      </c>
    </row>
    <row r="87" spans="1:31">
      <c r="A87" t="s">
        <v>695</v>
      </c>
      <c r="B87" s="2">
        <v>45313</v>
      </c>
      <c r="C87" s="2">
        <v>45316</v>
      </c>
      <c r="D87" s="5">
        <f>C87-B87</f>
        <v>3</v>
      </c>
      <c r="E87" s="5" t="str">
        <f>IF(D87&lt;0,"INVALID","OK")</f>
        <v>OK</v>
      </c>
      <c r="F87" t="s">
        <v>696</v>
      </c>
      <c r="G87" t="s">
        <v>263</v>
      </c>
      <c r="H87" t="s">
        <v>94</v>
      </c>
      <c r="I87" t="s">
        <v>24</v>
      </c>
      <c r="J87" t="s">
        <v>135</v>
      </c>
      <c r="K87" t="s">
        <v>136</v>
      </c>
      <c r="L87" t="s">
        <v>27</v>
      </c>
      <c r="M87" t="s">
        <v>123</v>
      </c>
      <c r="N87" t="s">
        <v>697</v>
      </c>
      <c r="O87" t="s">
        <v>49</v>
      </c>
      <c r="P87">
        <v>3</v>
      </c>
      <c r="Q87">
        <v>1212.03</v>
      </c>
      <c r="R87">
        <v>0.1</v>
      </c>
      <c r="S87" t="str">
        <f t="shared" si="8"/>
        <v>OK</v>
      </c>
      <c r="T87">
        <v>3272.48</v>
      </c>
      <c r="U87">
        <v>2517.44</v>
      </c>
      <c r="V87">
        <v>755.04</v>
      </c>
      <c r="W87" t="s">
        <v>31</v>
      </c>
      <c r="X87" t="s">
        <v>32</v>
      </c>
      <c r="Y87">
        <f t="shared" si="9"/>
        <v>0.1</v>
      </c>
      <c r="Z87">
        <f t="shared" si="10"/>
        <v>3272.4810000000002</v>
      </c>
      <c r="AA87">
        <f t="shared" si="11"/>
        <v>755.04100000000017</v>
      </c>
      <c r="AB87">
        <f t="shared" si="12"/>
        <v>23.072433422837292</v>
      </c>
      <c r="AC87">
        <f t="shared" si="13"/>
        <v>1</v>
      </c>
      <c r="AD87">
        <f t="shared" si="14"/>
        <v>2024</v>
      </c>
      <c r="AE87" t="str">
        <f t="shared" si="15"/>
        <v>CLEAN</v>
      </c>
    </row>
    <row r="88" spans="1:31">
      <c r="A88" t="s">
        <v>703</v>
      </c>
      <c r="B88" s="2">
        <v>45363</v>
      </c>
      <c r="C88" s="2">
        <v>45629</v>
      </c>
      <c r="D88" s="5">
        <f>C88-B88</f>
        <v>266</v>
      </c>
      <c r="E88" s="5" t="str">
        <f>IF(D88&lt;0,"INVALID","OK")</f>
        <v>OK</v>
      </c>
      <c r="F88" t="s">
        <v>704</v>
      </c>
      <c r="G88" t="s">
        <v>117</v>
      </c>
      <c r="H88" t="s">
        <v>94</v>
      </c>
      <c r="I88" t="s">
        <v>37</v>
      </c>
      <c r="J88" t="s">
        <v>144</v>
      </c>
      <c r="K88" t="s">
        <v>145</v>
      </c>
      <c r="L88" t="s">
        <v>73</v>
      </c>
      <c r="M88" t="s">
        <v>273</v>
      </c>
      <c r="N88" t="s">
        <v>705</v>
      </c>
      <c r="O88" t="s">
        <v>2762</v>
      </c>
      <c r="P88">
        <v>6</v>
      </c>
      <c r="Q88">
        <v>2185.58</v>
      </c>
      <c r="R88">
        <v>0.25</v>
      </c>
      <c r="S88" t="str">
        <f t="shared" si="8"/>
        <v>OK</v>
      </c>
      <c r="T88">
        <v>9835.11</v>
      </c>
      <c r="U88">
        <v>5437.64</v>
      </c>
      <c r="V88">
        <v>4397.47</v>
      </c>
      <c r="W88" t="s">
        <v>31</v>
      </c>
      <c r="X88" t="s">
        <v>32</v>
      </c>
      <c r="Y88">
        <f t="shared" si="9"/>
        <v>0.25</v>
      </c>
      <c r="Z88">
        <f t="shared" si="10"/>
        <v>9835.11</v>
      </c>
      <c r="AA88">
        <f t="shared" si="11"/>
        <v>4397.47</v>
      </c>
      <c r="AB88">
        <f t="shared" si="12"/>
        <v>44.711955433136993</v>
      </c>
      <c r="AC88">
        <f t="shared" si="13"/>
        <v>3</v>
      </c>
      <c r="AD88">
        <f t="shared" si="14"/>
        <v>2024</v>
      </c>
      <c r="AE88" t="str">
        <f t="shared" si="15"/>
        <v>CLEAN</v>
      </c>
    </row>
    <row r="89" spans="1:31">
      <c r="A89" t="s">
        <v>715</v>
      </c>
      <c r="B89" s="2">
        <v>45379</v>
      </c>
      <c r="C89" s="2">
        <v>45381</v>
      </c>
      <c r="D89" s="5">
        <f>C89-B89</f>
        <v>2</v>
      </c>
      <c r="E89" s="5" t="str">
        <f>IF(D89&lt;0,"INVALID","OK")</f>
        <v>OK</v>
      </c>
      <c r="F89" t="s">
        <v>716</v>
      </c>
      <c r="G89" t="s">
        <v>131</v>
      </c>
      <c r="H89" t="s">
        <v>89</v>
      </c>
      <c r="I89" t="s">
        <v>62</v>
      </c>
      <c r="J89" t="s">
        <v>25</v>
      </c>
      <c r="K89" t="s">
        <v>108</v>
      </c>
      <c r="L89" t="s">
        <v>73</v>
      </c>
      <c r="M89" t="s">
        <v>74</v>
      </c>
      <c r="N89" t="s">
        <v>717</v>
      </c>
      <c r="O89" t="s">
        <v>30</v>
      </c>
      <c r="P89">
        <v>1</v>
      </c>
      <c r="Q89">
        <v>570.34</v>
      </c>
      <c r="R89">
        <v>0.15</v>
      </c>
      <c r="S89" t="str">
        <f t="shared" si="8"/>
        <v>OK</v>
      </c>
      <c r="T89">
        <v>484.79</v>
      </c>
      <c r="U89">
        <v>333.54</v>
      </c>
      <c r="V89">
        <v>151.25</v>
      </c>
      <c r="W89" t="s">
        <v>31</v>
      </c>
      <c r="X89" t="s">
        <v>32</v>
      </c>
      <c r="Y89">
        <f t="shared" si="9"/>
        <v>0.15</v>
      </c>
      <c r="Z89">
        <f t="shared" si="10"/>
        <v>484.78899999999999</v>
      </c>
      <c r="AA89">
        <f t="shared" si="11"/>
        <v>151.24899999999997</v>
      </c>
      <c r="AB89">
        <f t="shared" si="12"/>
        <v>31.198933969211339</v>
      </c>
      <c r="AC89">
        <f t="shared" si="13"/>
        <v>3</v>
      </c>
      <c r="AD89">
        <f t="shared" si="14"/>
        <v>2024</v>
      </c>
      <c r="AE89" t="str">
        <f t="shared" si="15"/>
        <v>CLEAN</v>
      </c>
    </row>
    <row r="90" spans="1:31">
      <c r="A90" t="s">
        <v>727</v>
      </c>
      <c r="B90" s="2">
        <v>45483</v>
      </c>
      <c r="C90" s="2">
        <v>45489</v>
      </c>
      <c r="D90" s="5">
        <f>C90-B90</f>
        <v>6</v>
      </c>
      <c r="E90" s="5" t="str">
        <f>IF(D90&lt;0,"INVALID","OK")</f>
        <v>OK</v>
      </c>
      <c r="F90" t="s">
        <v>728</v>
      </c>
      <c r="G90" t="s">
        <v>127</v>
      </c>
      <c r="H90" t="s">
        <v>94</v>
      </c>
      <c r="I90" t="s">
        <v>62</v>
      </c>
      <c r="J90" t="s">
        <v>189</v>
      </c>
      <c r="K90" t="s">
        <v>190</v>
      </c>
      <c r="L90" t="s">
        <v>40</v>
      </c>
      <c r="M90" t="s">
        <v>157</v>
      </c>
      <c r="N90" t="s">
        <v>729</v>
      </c>
      <c r="O90" t="s">
        <v>30</v>
      </c>
      <c r="P90">
        <v>2</v>
      </c>
      <c r="Q90">
        <v>1095.45</v>
      </c>
      <c r="R90">
        <v>0.2</v>
      </c>
      <c r="S90" t="str">
        <f t="shared" si="8"/>
        <v>OK</v>
      </c>
      <c r="T90">
        <v>1752.72</v>
      </c>
      <c r="U90">
        <v>996.41</v>
      </c>
      <c r="V90">
        <v>756.31</v>
      </c>
      <c r="W90" t="s">
        <v>31</v>
      </c>
      <c r="X90" t="s">
        <v>32</v>
      </c>
      <c r="Y90">
        <f t="shared" si="9"/>
        <v>0.2</v>
      </c>
      <c r="Z90">
        <f t="shared" si="10"/>
        <v>1752.7200000000003</v>
      </c>
      <c r="AA90">
        <f t="shared" si="11"/>
        <v>756.31000000000029</v>
      </c>
      <c r="AB90">
        <f t="shared" si="12"/>
        <v>43.150645853302308</v>
      </c>
      <c r="AC90">
        <f t="shared" si="13"/>
        <v>7</v>
      </c>
      <c r="AD90">
        <f t="shared" si="14"/>
        <v>2024</v>
      </c>
      <c r="AE90" t="str">
        <f t="shared" si="15"/>
        <v>CLEAN</v>
      </c>
    </row>
    <row r="91" spans="1:31">
      <c r="A91" t="s">
        <v>739</v>
      </c>
      <c r="B91" s="2">
        <v>45428</v>
      </c>
      <c r="C91" s="2">
        <v>45429</v>
      </c>
      <c r="D91" s="5">
        <f>C91-B91</f>
        <v>1</v>
      </c>
      <c r="E91" s="5" t="str">
        <f>IF(D91&lt;0,"INVALID","OK")</f>
        <v>OK</v>
      </c>
      <c r="F91" t="s">
        <v>740</v>
      </c>
      <c r="G91" t="s">
        <v>140</v>
      </c>
      <c r="H91" t="s">
        <v>89</v>
      </c>
      <c r="I91" t="s">
        <v>37</v>
      </c>
      <c r="J91" t="s">
        <v>98</v>
      </c>
      <c r="K91" t="s">
        <v>99</v>
      </c>
      <c r="L91" t="s">
        <v>73</v>
      </c>
      <c r="M91" t="s">
        <v>79</v>
      </c>
      <c r="N91" t="s">
        <v>741</v>
      </c>
      <c r="O91" t="s">
        <v>30</v>
      </c>
      <c r="P91">
        <v>8</v>
      </c>
      <c r="Q91">
        <v>4221.95</v>
      </c>
      <c r="R91">
        <v>0.2</v>
      </c>
      <c r="S91" t="str">
        <f t="shared" si="8"/>
        <v>OK</v>
      </c>
      <c r="T91">
        <v>27020.48</v>
      </c>
      <c r="U91">
        <v>22885.24</v>
      </c>
      <c r="V91">
        <v>4135.24</v>
      </c>
      <c r="W91" t="s">
        <v>31</v>
      </c>
      <c r="X91" t="s">
        <v>32</v>
      </c>
      <c r="Y91">
        <f t="shared" si="9"/>
        <v>0.2</v>
      </c>
      <c r="Z91">
        <f t="shared" si="10"/>
        <v>27020.48</v>
      </c>
      <c r="AA91">
        <f t="shared" si="11"/>
        <v>4135.239999999998</v>
      </c>
      <c r="AB91">
        <f t="shared" si="12"/>
        <v>15.304095264036752</v>
      </c>
      <c r="AC91">
        <f t="shared" si="13"/>
        <v>5</v>
      </c>
      <c r="AD91">
        <f t="shared" si="14"/>
        <v>2024</v>
      </c>
      <c r="AE91" t="str">
        <f t="shared" si="15"/>
        <v>CLEAN</v>
      </c>
    </row>
    <row r="92" spans="1:31">
      <c r="A92" t="s">
        <v>742</v>
      </c>
      <c r="B92" s="2">
        <v>45556</v>
      </c>
      <c r="C92" s="2">
        <v>45556</v>
      </c>
      <c r="D92" s="5">
        <f>C92-B92</f>
        <v>0</v>
      </c>
      <c r="E92" s="5" t="str">
        <f>IF(D92&lt;0,"INVALID","OK")</f>
        <v>OK</v>
      </c>
      <c r="F92" t="s">
        <v>743</v>
      </c>
      <c r="G92" t="s">
        <v>61</v>
      </c>
      <c r="H92" t="s">
        <v>36</v>
      </c>
      <c r="I92" t="s">
        <v>37</v>
      </c>
      <c r="J92" t="s">
        <v>38</v>
      </c>
      <c r="K92" t="s">
        <v>39</v>
      </c>
      <c r="L92" t="s">
        <v>73</v>
      </c>
      <c r="M92" t="s">
        <v>170</v>
      </c>
      <c r="N92" t="s">
        <v>744</v>
      </c>
      <c r="O92" t="s">
        <v>43</v>
      </c>
      <c r="P92">
        <v>2</v>
      </c>
      <c r="Q92">
        <v>214.5</v>
      </c>
      <c r="R92">
        <v>0.15</v>
      </c>
      <c r="S92" t="str">
        <f t="shared" si="8"/>
        <v>OK</v>
      </c>
      <c r="T92">
        <v>364.65</v>
      </c>
      <c r="U92">
        <v>280.74</v>
      </c>
      <c r="V92">
        <v>83.91</v>
      </c>
      <c r="W92" t="s">
        <v>31</v>
      </c>
      <c r="X92" t="s">
        <v>32</v>
      </c>
      <c r="Y92">
        <f t="shared" si="9"/>
        <v>0.15</v>
      </c>
      <c r="Z92">
        <f t="shared" si="10"/>
        <v>364.65</v>
      </c>
      <c r="AA92">
        <f t="shared" si="11"/>
        <v>83.909999999999968</v>
      </c>
      <c r="AB92">
        <f t="shared" si="12"/>
        <v>23.011106540518298</v>
      </c>
      <c r="AC92">
        <f t="shared" si="13"/>
        <v>9</v>
      </c>
      <c r="AD92">
        <f t="shared" si="14"/>
        <v>2024</v>
      </c>
      <c r="AE92" t="str">
        <f t="shared" si="15"/>
        <v>CLEAN</v>
      </c>
    </row>
    <row r="93" spans="1:31">
      <c r="A93" t="s">
        <v>745</v>
      </c>
      <c r="B93" s="2">
        <v>45427</v>
      </c>
      <c r="C93" s="2">
        <v>45433</v>
      </c>
      <c r="D93" s="5">
        <f>C93-B93</f>
        <v>6</v>
      </c>
      <c r="E93" s="5" t="str">
        <f>IF(D93&lt;0,"INVALID","OK")</f>
        <v>OK</v>
      </c>
      <c r="F93" t="s">
        <v>746</v>
      </c>
      <c r="G93" t="s">
        <v>46</v>
      </c>
      <c r="H93" t="s">
        <v>36</v>
      </c>
      <c r="I93" t="s">
        <v>37</v>
      </c>
      <c r="J93" t="s">
        <v>144</v>
      </c>
      <c r="K93" t="s">
        <v>145</v>
      </c>
      <c r="L93" t="s">
        <v>73</v>
      </c>
      <c r="M93" t="s">
        <v>74</v>
      </c>
      <c r="N93" t="s">
        <v>747</v>
      </c>
      <c r="O93" t="s">
        <v>30</v>
      </c>
      <c r="P93">
        <v>4</v>
      </c>
      <c r="Q93">
        <v>4332.7299999999996</v>
      </c>
      <c r="R93">
        <v>0.2</v>
      </c>
      <c r="S93" t="str">
        <f t="shared" si="8"/>
        <v>OK</v>
      </c>
      <c r="T93">
        <v>13864.74</v>
      </c>
      <c r="U93">
        <v>11294.06</v>
      </c>
      <c r="V93">
        <v>2570.6799999999998</v>
      </c>
      <c r="W93" t="s">
        <v>31</v>
      </c>
      <c r="X93" t="s">
        <v>32</v>
      </c>
      <c r="Y93">
        <f t="shared" si="9"/>
        <v>0.2</v>
      </c>
      <c r="Z93">
        <f t="shared" si="10"/>
        <v>13864.735999999999</v>
      </c>
      <c r="AA93">
        <f t="shared" si="11"/>
        <v>2570.6759999999995</v>
      </c>
      <c r="AB93">
        <f t="shared" si="12"/>
        <v>18.541110339208764</v>
      </c>
      <c r="AC93">
        <f t="shared" si="13"/>
        <v>5</v>
      </c>
      <c r="AD93">
        <f t="shared" si="14"/>
        <v>2024</v>
      </c>
      <c r="AE93" t="str">
        <f t="shared" si="15"/>
        <v>CLEAN</v>
      </c>
    </row>
    <row r="94" spans="1:31">
      <c r="A94" t="s">
        <v>748</v>
      </c>
      <c r="B94" s="2">
        <v>45368</v>
      </c>
      <c r="C94" s="2">
        <v>45374</v>
      </c>
      <c r="D94" s="5">
        <f>C94-B94</f>
        <v>6</v>
      </c>
      <c r="E94" s="5" t="str">
        <f>IF(D94&lt;0,"INVALID","OK")</f>
        <v>OK</v>
      </c>
      <c r="F94" t="s">
        <v>749</v>
      </c>
      <c r="G94" t="s">
        <v>117</v>
      </c>
      <c r="H94" t="s">
        <v>23</v>
      </c>
      <c r="I94" t="s">
        <v>24</v>
      </c>
      <c r="J94" t="s">
        <v>235</v>
      </c>
      <c r="K94" t="s">
        <v>236</v>
      </c>
      <c r="L94" t="s">
        <v>73</v>
      </c>
      <c r="M94" t="s">
        <v>74</v>
      </c>
      <c r="N94" t="s">
        <v>750</v>
      </c>
      <c r="O94" t="s">
        <v>49</v>
      </c>
      <c r="P94">
        <v>3</v>
      </c>
      <c r="Q94">
        <v>248.18</v>
      </c>
      <c r="R94">
        <v>0.05</v>
      </c>
      <c r="S94" t="str">
        <f t="shared" si="8"/>
        <v>OK</v>
      </c>
      <c r="T94">
        <v>707.31</v>
      </c>
      <c r="U94">
        <v>569</v>
      </c>
      <c r="V94">
        <v>138.31</v>
      </c>
      <c r="W94" t="s">
        <v>31</v>
      </c>
      <c r="X94" t="s">
        <v>32</v>
      </c>
      <c r="Y94">
        <f t="shared" si="9"/>
        <v>0.05</v>
      </c>
      <c r="Z94">
        <f t="shared" si="10"/>
        <v>707.31299999999999</v>
      </c>
      <c r="AA94">
        <f t="shared" si="11"/>
        <v>138.31299999999999</v>
      </c>
      <c r="AB94">
        <f t="shared" si="12"/>
        <v>19.554709159876886</v>
      </c>
      <c r="AC94">
        <f t="shared" si="13"/>
        <v>3</v>
      </c>
      <c r="AD94">
        <f t="shared" si="14"/>
        <v>2024</v>
      </c>
      <c r="AE94" t="str">
        <f t="shared" si="15"/>
        <v>CLEAN</v>
      </c>
    </row>
    <row r="95" spans="1:31">
      <c r="A95" t="s">
        <v>751</v>
      </c>
      <c r="B95" s="2">
        <v>45294</v>
      </c>
      <c r="C95" s="2">
        <v>45355</v>
      </c>
      <c r="D95" s="5">
        <f>C95-B95</f>
        <v>61</v>
      </c>
      <c r="E95" s="5" t="str">
        <f>IF(D95&lt;0,"INVALID","OK")</f>
        <v>OK</v>
      </c>
      <c r="F95" t="s">
        <v>752</v>
      </c>
      <c r="G95" t="s">
        <v>35</v>
      </c>
      <c r="H95" t="s">
        <v>23</v>
      </c>
      <c r="I95" t="s">
        <v>62</v>
      </c>
      <c r="J95" t="s">
        <v>71</v>
      </c>
      <c r="K95" t="s">
        <v>72</v>
      </c>
      <c r="L95" t="s">
        <v>27</v>
      </c>
      <c r="M95" t="s">
        <v>28</v>
      </c>
      <c r="N95" t="s">
        <v>753</v>
      </c>
      <c r="O95" t="s">
        <v>49</v>
      </c>
      <c r="P95">
        <v>8</v>
      </c>
      <c r="Q95">
        <v>3202.4</v>
      </c>
      <c r="R95">
        <v>0.25</v>
      </c>
      <c r="S95" t="str">
        <f t="shared" si="8"/>
        <v>OK</v>
      </c>
      <c r="T95">
        <v>19214.400000000001</v>
      </c>
      <c r="U95">
        <v>10916.01</v>
      </c>
      <c r="V95">
        <v>8298.39</v>
      </c>
      <c r="W95" t="s">
        <v>31</v>
      </c>
      <c r="X95" t="s">
        <v>32</v>
      </c>
      <c r="Y95">
        <f t="shared" si="9"/>
        <v>0.25</v>
      </c>
      <c r="Z95">
        <f t="shared" si="10"/>
        <v>19214.400000000001</v>
      </c>
      <c r="AA95">
        <f t="shared" si="11"/>
        <v>8298.3900000000012</v>
      </c>
      <c r="AB95">
        <f t="shared" si="12"/>
        <v>43.188389957531854</v>
      </c>
      <c r="AC95">
        <f t="shared" si="13"/>
        <v>1</v>
      </c>
      <c r="AD95">
        <f t="shared" si="14"/>
        <v>2024</v>
      </c>
      <c r="AE95" t="str">
        <f t="shared" si="15"/>
        <v>CLEAN</v>
      </c>
    </row>
    <row r="96" spans="1:31">
      <c r="A96" t="s">
        <v>763</v>
      </c>
      <c r="B96" s="2">
        <v>45461</v>
      </c>
      <c r="C96" s="2">
        <v>45462</v>
      </c>
      <c r="D96" s="5">
        <f>C96-B96</f>
        <v>1</v>
      </c>
      <c r="E96" s="5" t="str">
        <f>IF(D96&lt;0,"INVALID","OK")</f>
        <v>OK</v>
      </c>
      <c r="F96" t="s">
        <v>764</v>
      </c>
      <c r="G96" t="s">
        <v>117</v>
      </c>
      <c r="H96" t="s">
        <v>23</v>
      </c>
      <c r="I96" t="s">
        <v>37</v>
      </c>
      <c r="J96" t="s">
        <v>144</v>
      </c>
      <c r="K96" t="s">
        <v>145</v>
      </c>
      <c r="L96" t="s">
        <v>73</v>
      </c>
      <c r="M96" t="s">
        <v>273</v>
      </c>
      <c r="N96" t="s">
        <v>765</v>
      </c>
      <c r="O96" t="s">
        <v>49</v>
      </c>
      <c r="P96">
        <v>2</v>
      </c>
      <c r="Q96">
        <v>121.49</v>
      </c>
      <c r="R96" t="s">
        <v>766</v>
      </c>
      <c r="S96" t="str">
        <f t="shared" si="8"/>
        <v>INVALID</v>
      </c>
      <c r="T96">
        <v>242.98</v>
      </c>
      <c r="U96">
        <v>161.41999999999999</v>
      </c>
      <c r="V96">
        <v>81.56</v>
      </c>
      <c r="W96" t="s">
        <v>31</v>
      </c>
      <c r="X96" t="s">
        <v>32</v>
      </c>
      <c r="Y96">
        <f t="shared" si="9"/>
        <v>0</v>
      </c>
      <c r="Z96">
        <f t="shared" si="10"/>
        <v>242.98</v>
      </c>
      <c r="AA96">
        <f t="shared" si="11"/>
        <v>81.56</v>
      </c>
      <c r="AB96">
        <f t="shared" si="12"/>
        <v>33.566548687134748</v>
      </c>
      <c r="AC96">
        <f t="shared" si="13"/>
        <v>6</v>
      </c>
      <c r="AD96">
        <f t="shared" si="14"/>
        <v>2024</v>
      </c>
      <c r="AE96" t="str">
        <f t="shared" si="15"/>
        <v>INVALID</v>
      </c>
    </row>
    <row r="97" spans="1:31">
      <c r="A97" t="s">
        <v>782</v>
      </c>
      <c r="B97" s="2">
        <v>45537</v>
      </c>
      <c r="C97" s="2">
        <v>45545</v>
      </c>
      <c r="D97" s="5">
        <f>C97-B97</f>
        <v>8</v>
      </c>
      <c r="E97" s="5" t="str">
        <f>IF(D97&lt;0,"INVALID","OK")</f>
        <v>OK</v>
      </c>
      <c r="F97" t="s">
        <v>783</v>
      </c>
      <c r="G97" t="s">
        <v>35</v>
      </c>
      <c r="H97" t="s">
        <v>89</v>
      </c>
      <c r="I97" t="s">
        <v>62</v>
      </c>
      <c r="J97" t="s">
        <v>189</v>
      </c>
      <c r="K97" t="s">
        <v>190</v>
      </c>
      <c r="L97" t="s">
        <v>73</v>
      </c>
      <c r="M97" t="s">
        <v>170</v>
      </c>
      <c r="N97" t="s">
        <v>784</v>
      </c>
      <c r="O97" t="s">
        <v>58</v>
      </c>
      <c r="P97">
        <v>6</v>
      </c>
      <c r="Q97">
        <v>1032.47</v>
      </c>
      <c r="R97">
        <v>0.15</v>
      </c>
      <c r="S97" t="str">
        <f t="shared" si="8"/>
        <v>OK</v>
      </c>
      <c r="T97">
        <v>5265.6</v>
      </c>
      <c r="U97">
        <v>4293.1099999999997</v>
      </c>
      <c r="V97">
        <v>787.57</v>
      </c>
      <c r="W97" t="s">
        <v>31</v>
      </c>
      <c r="X97" t="s">
        <v>32</v>
      </c>
      <c r="Y97">
        <f t="shared" si="9"/>
        <v>0.15</v>
      </c>
      <c r="Z97">
        <f t="shared" si="10"/>
        <v>5265.5969999999998</v>
      </c>
      <c r="AA97">
        <f t="shared" si="11"/>
        <v>972.48700000000008</v>
      </c>
      <c r="AB97">
        <f t="shared" si="12"/>
        <v>18.468694053114966</v>
      </c>
      <c r="AC97">
        <f t="shared" si="13"/>
        <v>9</v>
      </c>
      <c r="AD97">
        <f t="shared" si="14"/>
        <v>2024</v>
      </c>
      <c r="AE97" t="str">
        <f t="shared" si="15"/>
        <v>CLEAN</v>
      </c>
    </row>
    <row r="98" spans="1:31">
      <c r="A98" t="s">
        <v>788</v>
      </c>
      <c r="B98" s="2">
        <v>45478</v>
      </c>
      <c r="C98" s="2">
        <v>45485</v>
      </c>
      <c r="D98" s="5">
        <f>C98-B98</f>
        <v>7</v>
      </c>
      <c r="E98" s="5" t="str">
        <f>IF(D98&lt;0,"INVALID","OK")</f>
        <v>OK</v>
      </c>
      <c r="F98" t="s">
        <v>789</v>
      </c>
      <c r="G98" t="s">
        <v>61</v>
      </c>
      <c r="H98" t="s">
        <v>36</v>
      </c>
      <c r="I98" t="s">
        <v>62</v>
      </c>
      <c r="J98" t="s">
        <v>189</v>
      </c>
      <c r="K98" t="s">
        <v>190</v>
      </c>
      <c r="L98" t="s">
        <v>27</v>
      </c>
      <c r="M98" t="s">
        <v>152</v>
      </c>
      <c r="N98" t="s">
        <v>790</v>
      </c>
      <c r="O98" t="s">
        <v>49</v>
      </c>
      <c r="P98">
        <v>3</v>
      </c>
      <c r="Q98">
        <v>577.75</v>
      </c>
      <c r="R98">
        <v>0.15</v>
      </c>
      <c r="S98" t="str">
        <f t="shared" si="8"/>
        <v>OK</v>
      </c>
      <c r="T98">
        <v>1473.26</v>
      </c>
      <c r="U98">
        <v>899.86</v>
      </c>
      <c r="V98">
        <v>573.4</v>
      </c>
      <c r="W98" t="s">
        <v>31</v>
      </c>
      <c r="X98" t="s">
        <v>32</v>
      </c>
      <c r="Y98">
        <f t="shared" si="9"/>
        <v>0.15</v>
      </c>
      <c r="Z98">
        <f t="shared" si="10"/>
        <v>1473.2625</v>
      </c>
      <c r="AA98">
        <f t="shared" si="11"/>
        <v>573.40250000000003</v>
      </c>
      <c r="AB98">
        <f t="shared" si="12"/>
        <v>38.920592901808064</v>
      </c>
      <c r="AC98">
        <f t="shared" si="13"/>
        <v>7</v>
      </c>
      <c r="AD98">
        <f t="shared" si="14"/>
        <v>2024</v>
      </c>
      <c r="AE98" t="str">
        <f t="shared" si="15"/>
        <v>CLEAN</v>
      </c>
    </row>
    <row r="99" spans="1:31">
      <c r="A99" t="s">
        <v>791</v>
      </c>
      <c r="B99" s="2">
        <v>45406</v>
      </c>
      <c r="C99" s="2">
        <v>45410</v>
      </c>
      <c r="D99" s="5">
        <f>C99-B99</f>
        <v>4</v>
      </c>
      <c r="E99" s="5" t="str">
        <f>IF(D99&lt;0,"INVALID","OK")</f>
        <v>OK</v>
      </c>
      <c r="F99" t="s">
        <v>792</v>
      </c>
      <c r="G99" t="s">
        <v>22</v>
      </c>
      <c r="H99" t="s">
        <v>36</v>
      </c>
      <c r="I99" t="s">
        <v>53</v>
      </c>
      <c r="J99" t="s">
        <v>54</v>
      </c>
      <c r="K99" t="s">
        <v>55</v>
      </c>
      <c r="L99" t="s">
        <v>27</v>
      </c>
      <c r="M99" t="s">
        <v>90</v>
      </c>
      <c r="N99" t="s">
        <v>793</v>
      </c>
      <c r="O99" t="s">
        <v>30</v>
      </c>
      <c r="P99">
        <v>1</v>
      </c>
      <c r="Q99">
        <v>3194.37</v>
      </c>
      <c r="R99">
        <v>0.15</v>
      </c>
      <c r="S99" t="str">
        <f t="shared" si="8"/>
        <v>OK</v>
      </c>
      <c r="T99">
        <v>2715.21</v>
      </c>
      <c r="U99">
        <v>1551.55</v>
      </c>
      <c r="V99">
        <v>1163.6600000000001</v>
      </c>
      <c r="W99" t="s">
        <v>31</v>
      </c>
      <c r="X99" t="s">
        <v>32</v>
      </c>
      <c r="Y99">
        <f t="shared" si="9"/>
        <v>0.15</v>
      </c>
      <c r="Z99">
        <f t="shared" si="10"/>
        <v>2715.2145</v>
      </c>
      <c r="AA99">
        <f t="shared" si="11"/>
        <v>1163.6645000000001</v>
      </c>
      <c r="AB99">
        <f t="shared" si="12"/>
        <v>42.857184948003194</v>
      </c>
      <c r="AC99">
        <f t="shared" si="13"/>
        <v>4</v>
      </c>
      <c r="AD99">
        <f t="shared" si="14"/>
        <v>2024</v>
      </c>
      <c r="AE99" t="str">
        <f t="shared" si="15"/>
        <v>CLEAN</v>
      </c>
    </row>
    <row r="100" spans="1:31">
      <c r="A100" t="s">
        <v>797</v>
      </c>
      <c r="B100" s="2">
        <v>45440</v>
      </c>
      <c r="C100" s="2">
        <v>45357</v>
      </c>
      <c r="D100" s="5">
        <f>C100-B100</f>
        <v>-83</v>
      </c>
      <c r="E100" s="5" t="str">
        <f>IF(D100&lt;0,"INVALID","OK")</f>
        <v>INVALID</v>
      </c>
      <c r="F100" t="s">
        <v>798</v>
      </c>
      <c r="G100" t="s">
        <v>78</v>
      </c>
      <c r="H100" t="s">
        <v>36</v>
      </c>
      <c r="I100" t="s">
        <v>24</v>
      </c>
      <c r="J100" t="s">
        <v>25</v>
      </c>
      <c r="K100" t="s">
        <v>26</v>
      </c>
      <c r="L100" t="s">
        <v>27</v>
      </c>
      <c r="M100" t="s">
        <v>28</v>
      </c>
      <c r="N100" t="s">
        <v>799</v>
      </c>
      <c r="O100" t="s">
        <v>58</v>
      </c>
      <c r="P100">
        <v>8</v>
      </c>
      <c r="Q100">
        <v>1540.33</v>
      </c>
      <c r="R100">
        <v>0.1</v>
      </c>
      <c r="S100" t="str">
        <f t="shared" ref="S100:S149" si="16">IF(R100&lt;0,"INVALID",IF(R100&gt;0.5,"INVALID","OK"))</f>
        <v>OK</v>
      </c>
      <c r="T100">
        <v>11090.38</v>
      </c>
      <c r="U100">
        <v>8840.9500000000007</v>
      </c>
      <c r="V100">
        <v>2249.4299999999998</v>
      </c>
      <c r="W100" t="s">
        <v>31</v>
      </c>
      <c r="X100" t="s">
        <v>32</v>
      </c>
      <c r="Y100">
        <f t="shared" si="9"/>
        <v>0.1</v>
      </c>
      <c r="Z100">
        <f t="shared" si="10"/>
        <v>11090.376</v>
      </c>
      <c r="AA100">
        <f t="shared" si="11"/>
        <v>2249.4259999999995</v>
      </c>
      <c r="AB100">
        <f t="shared" si="12"/>
        <v>20.282684734944958</v>
      </c>
      <c r="AC100">
        <f t="shared" si="13"/>
        <v>5</v>
      </c>
      <c r="AD100">
        <f t="shared" si="14"/>
        <v>2024</v>
      </c>
      <c r="AE100" t="str">
        <f t="shared" si="15"/>
        <v>INVALID</v>
      </c>
    </row>
    <row r="101" spans="1:31">
      <c r="A101" t="s">
        <v>806</v>
      </c>
      <c r="B101" s="2">
        <v>45579</v>
      </c>
      <c r="C101" s="2">
        <v>45579</v>
      </c>
      <c r="D101" s="5">
        <f>C101-B101</f>
        <v>0</v>
      </c>
      <c r="E101" s="5" t="str">
        <f>IF(D101&lt;0,"INVALID","OK")</f>
        <v>OK</v>
      </c>
      <c r="F101" t="s">
        <v>807</v>
      </c>
      <c r="G101" t="s">
        <v>70</v>
      </c>
      <c r="H101" t="s">
        <v>89</v>
      </c>
      <c r="I101" t="s">
        <v>53</v>
      </c>
      <c r="J101" t="s">
        <v>174</v>
      </c>
      <c r="K101" t="s">
        <v>175</v>
      </c>
      <c r="L101" t="s">
        <v>40</v>
      </c>
      <c r="M101" t="s">
        <v>157</v>
      </c>
      <c r="N101" t="s">
        <v>808</v>
      </c>
      <c r="O101" t="s">
        <v>2762</v>
      </c>
      <c r="P101">
        <v>8</v>
      </c>
      <c r="Q101">
        <v>3904.59</v>
      </c>
      <c r="R101">
        <v>0</v>
      </c>
      <c r="S101" t="str">
        <f t="shared" si="16"/>
        <v>OK</v>
      </c>
      <c r="T101">
        <v>31236.720000000001</v>
      </c>
      <c r="U101">
        <v>26377.7</v>
      </c>
      <c r="V101">
        <v>4859.0200000000004</v>
      </c>
      <c r="W101" t="s">
        <v>31</v>
      </c>
      <c r="X101" t="s">
        <v>32</v>
      </c>
      <c r="Y101">
        <f t="shared" si="9"/>
        <v>0</v>
      </c>
      <c r="Z101">
        <f t="shared" si="10"/>
        <v>31236.720000000001</v>
      </c>
      <c r="AA101">
        <f t="shared" si="11"/>
        <v>4859.0200000000004</v>
      </c>
      <c r="AB101">
        <f t="shared" si="12"/>
        <v>15.555474454424154</v>
      </c>
      <c r="AC101">
        <f t="shared" si="13"/>
        <v>10</v>
      </c>
      <c r="AD101">
        <f t="shared" si="14"/>
        <v>2024</v>
      </c>
      <c r="AE101" t="str">
        <f t="shared" si="15"/>
        <v>CLEAN</v>
      </c>
    </row>
    <row r="102" spans="1:31">
      <c r="A102" t="s">
        <v>809</v>
      </c>
      <c r="B102" s="2">
        <v>45537</v>
      </c>
      <c r="C102" s="2">
        <v>45538</v>
      </c>
      <c r="D102" s="5">
        <f>C102-B102</f>
        <v>1</v>
      </c>
      <c r="E102" s="5" t="str">
        <f>IF(D102&lt;0,"INVALID","OK")</f>
        <v>OK</v>
      </c>
      <c r="F102" t="s">
        <v>810</v>
      </c>
      <c r="G102" t="s">
        <v>263</v>
      </c>
      <c r="H102" t="s">
        <v>94</v>
      </c>
      <c r="I102" t="s">
        <v>24</v>
      </c>
      <c r="J102" t="s">
        <v>349</v>
      </c>
      <c r="K102" t="s">
        <v>350</v>
      </c>
      <c r="L102" t="s">
        <v>40</v>
      </c>
      <c r="M102" t="s">
        <v>56</v>
      </c>
      <c r="N102" t="s">
        <v>811</v>
      </c>
      <c r="O102" t="s">
        <v>49</v>
      </c>
      <c r="P102">
        <v>9</v>
      </c>
      <c r="Q102">
        <v>1353.61</v>
      </c>
      <c r="R102">
        <v>0.1</v>
      </c>
      <c r="S102" t="str">
        <f t="shared" si="16"/>
        <v>OK</v>
      </c>
      <c r="T102">
        <v>10964.24</v>
      </c>
      <c r="U102">
        <v>9262.4699999999993</v>
      </c>
      <c r="V102">
        <v>1701.77</v>
      </c>
      <c r="W102" t="s">
        <v>31</v>
      </c>
      <c r="X102" t="s">
        <v>32</v>
      </c>
      <c r="Y102">
        <f t="shared" si="9"/>
        <v>0.1</v>
      </c>
      <c r="Z102">
        <f t="shared" si="10"/>
        <v>10964.241</v>
      </c>
      <c r="AA102">
        <f t="shared" si="11"/>
        <v>1701.7710000000006</v>
      </c>
      <c r="AB102">
        <f t="shared" si="12"/>
        <v>15.521101734265057</v>
      </c>
      <c r="AC102">
        <f t="shared" si="13"/>
        <v>9</v>
      </c>
      <c r="AD102">
        <f t="shared" si="14"/>
        <v>2024</v>
      </c>
      <c r="AE102" t="str">
        <f t="shared" si="15"/>
        <v>CLEAN</v>
      </c>
    </row>
    <row r="103" spans="1:31">
      <c r="A103" t="s">
        <v>812</v>
      </c>
      <c r="B103" s="2">
        <v>45598</v>
      </c>
      <c r="C103" s="2">
        <v>45599</v>
      </c>
      <c r="D103" s="5">
        <f>C103-B103</f>
        <v>1</v>
      </c>
      <c r="E103" s="5" t="str">
        <f>IF(D103&lt;0,"INVALID","OK")</f>
        <v>OK</v>
      </c>
      <c r="F103" t="s">
        <v>813</v>
      </c>
      <c r="G103" t="s">
        <v>117</v>
      </c>
      <c r="H103" t="s">
        <v>36</v>
      </c>
      <c r="I103" t="s">
        <v>62</v>
      </c>
      <c r="J103" t="s">
        <v>25</v>
      </c>
      <c r="K103" t="s">
        <v>108</v>
      </c>
      <c r="L103" t="s">
        <v>27</v>
      </c>
      <c r="M103" t="s">
        <v>123</v>
      </c>
      <c r="N103" t="s">
        <v>814</v>
      </c>
      <c r="O103" t="s">
        <v>58</v>
      </c>
      <c r="P103">
        <v>6</v>
      </c>
      <c r="Q103">
        <v>2671.29</v>
      </c>
      <c r="R103">
        <v>0.05</v>
      </c>
      <c r="S103" t="str">
        <f t="shared" si="16"/>
        <v>OK</v>
      </c>
      <c r="T103">
        <v>15226.35</v>
      </c>
      <c r="U103">
        <v>11145.28</v>
      </c>
      <c r="V103">
        <v>4081.07</v>
      </c>
      <c r="W103" t="s">
        <v>31</v>
      </c>
      <c r="X103" t="s">
        <v>32</v>
      </c>
      <c r="Y103">
        <f t="shared" si="9"/>
        <v>0.05</v>
      </c>
      <c r="Z103">
        <f t="shared" si="10"/>
        <v>15226.352999999999</v>
      </c>
      <c r="AA103">
        <f t="shared" si="11"/>
        <v>4081.0729999999985</v>
      </c>
      <c r="AB103">
        <f t="shared" si="12"/>
        <v>26.802695300706603</v>
      </c>
      <c r="AC103">
        <f t="shared" si="13"/>
        <v>11</v>
      </c>
      <c r="AD103">
        <f t="shared" si="14"/>
        <v>2024</v>
      </c>
      <c r="AE103" t="str">
        <f t="shared" si="15"/>
        <v>CLEAN</v>
      </c>
    </row>
    <row r="104" spans="1:31">
      <c r="A104" t="s">
        <v>815</v>
      </c>
      <c r="B104" s="2">
        <v>45579</v>
      </c>
      <c r="C104" s="2">
        <v>45586</v>
      </c>
      <c r="D104" s="5">
        <f>C104-B104</f>
        <v>7</v>
      </c>
      <c r="E104" s="5" t="str">
        <f>IF(D104&lt;0,"INVALID","OK")</f>
        <v>OK</v>
      </c>
      <c r="F104" t="s">
        <v>816</v>
      </c>
      <c r="G104" t="s">
        <v>113</v>
      </c>
      <c r="H104" t="s">
        <v>89</v>
      </c>
      <c r="I104" t="s">
        <v>24</v>
      </c>
      <c r="J104" t="s">
        <v>135</v>
      </c>
      <c r="K104" t="s">
        <v>136</v>
      </c>
      <c r="L104" t="s">
        <v>40</v>
      </c>
      <c r="M104" t="s">
        <v>157</v>
      </c>
      <c r="N104" t="s">
        <v>817</v>
      </c>
      <c r="O104" t="s">
        <v>49</v>
      </c>
      <c r="P104">
        <v>6</v>
      </c>
      <c r="Q104">
        <v>4062.78</v>
      </c>
      <c r="R104">
        <v>0</v>
      </c>
      <c r="S104" t="str">
        <f t="shared" si="16"/>
        <v>OK</v>
      </c>
      <c r="T104">
        <v>24376.68</v>
      </c>
      <c r="U104">
        <v>18533.39</v>
      </c>
      <c r="V104">
        <v>5843.29</v>
      </c>
      <c r="W104" t="s">
        <v>31</v>
      </c>
      <c r="X104" t="s">
        <v>32</v>
      </c>
      <c r="Y104">
        <f t="shared" si="9"/>
        <v>0</v>
      </c>
      <c r="Z104">
        <f t="shared" si="10"/>
        <v>24376.68</v>
      </c>
      <c r="AA104">
        <f t="shared" si="11"/>
        <v>5843.2900000000009</v>
      </c>
      <c r="AB104">
        <f t="shared" si="12"/>
        <v>23.970819652224996</v>
      </c>
      <c r="AC104">
        <f t="shared" si="13"/>
        <v>10</v>
      </c>
      <c r="AD104">
        <f t="shared" si="14"/>
        <v>2024</v>
      </c>
      <c r="AE104" t="str">
        <f t="shared" si="15"/>
        <v>CLEAN</v>
      </c>
    </row>
    <row r="105" spans="1:31">
      <c r="A105" t="s">
        <v>818</v>
      </c>
      <c r="B105" s="2">
        <v>45531</v>
      </c>
      <c r="C105" s="2">
        <v>45531</v>
      </c>
      <c r="D105" s="5">
        <f>C105-B105</f>
        <v>0</v>
      </c>
      <c r="E105" s="5" t="str">
        <f>IF(D105&lt;0,"INVALID","OK")</f>
        <v>OK</v>
      </c>
      <c r="F105" t="s">
        <v>819</v>
      </c>
      <c r="G105" t="s">
        <v>35</v>
      </c>
      <c r="H105" t="s">
        <v>23</v>
      </c>
      <c r="I105" t="s">
        <v>24</v>
      </c>
      <c r="J105" t="s">
        <v>235</v>
      </c>
      <c r="K105" t="s">
        <v>236</v>
      </c>
      <c r="L105" t="s">
        <v>73</v>
      </c>
      <c r="M105" t="s">
        <v>79</v>
      </c>
      <c r="N105" t="s">
        <v>820</v>
      </c>
      <c r="O105" t="s">
        <v>58</v>
      </c>
      <c r="P105">
        <v>9</v>
      </c>
      <c r="Q105">
        <v>2330.3000000000002</v>
      </c>
      <c r="R105">
        <v>0</v>
      </c>
      <c r="S105" t="str">
        <f t="shared" si="16"/>
        <v>OK</v>
      </c>
      <c r="T105">
        <v>20972.7</v>
      </c>
      <c r="U105">
        <v>13504.88</v>
      </c>
      <c r="V105">
        <v>7467.82</v>
      </c>
      <c r="W105" t="s">
        <v>31</v>
      </c>
      <c r="X105" t="s">
        <v>32</v>
      </c>
      <c r="Y105">
        <f t="shared" si="9"/>
        <v>0</v>
      </c>
      <c r="Z105">
        <f t="shared" si="10"/>
        <v>20972.7</v>
      </c>
      <c r="AA105">
        <f t="shared" si="11"/>
        <v>7467.8200000000015</v>
      </c>
      <c r="AB105">
        <f t="shared" si="12"/>
        <v>35.607337157352184</v>
      </c>
      <c r="AC105">
        <f t="shared" si="13"/>
        <v>8</v>
      </c>
      <c r="AD105">
        <f t="shared" si="14"/>
        <v>2024</v>
      </c>
      <c r="AE105" t="str">
        <f t="shared" si="15"/>
        <v>CLEAN</v>
      </c>
    </row>
    <row r="106" spans="1:31">
      <c r="A106" t="s">
        <v>821</v>
      </c>
      <c r="B106" s="2">
        <v>45303</v>
      </c>
      <c r="C106" s="2">
        <v>45308</v>
      </c>
      <c r="D106" s="5">
        <f>C106-B106</f>
        <v>5</v>
      </c>
      <c r="E106" s="5" t="str">
        <f>IF(D106&lt;0,"INVALID","OK")</f>
        <v>OK</v>
      </c>
      <c r="F106" t="s">
        <v>822</v>
      </c>
      <c r="G106" t="s">
        <v>52</v>
      </c>
      <c r="H106" t="s">
        <v>23</v>
      </c>
      <c r="I106" t="s">
        <v>53</v>
      </c>
      <c r="J106" t="s">
        <v>83</v>
      </c>
      <c r="K106" t="s">
        <v>84</v>
      </c>
      <c r="L106" t="s">
        <v>27</v>
      </c>
      <c r="M106" t="s">
        <v>123</v>
      </c>
      <c r="N106" t="s">
        <v>823</v>
      </c>
      <c r="O106" t="s">
        <v>49</v>
      </c>
      <c r="P106">
        <v>7</v>
      </c>
      <c r="Q106">
        <v>4005.05</v>
      </c>
      <c r="R106">
        <v>0.55000000000000004</v>
      </c>
      <c r="S106" t="str">
        <f t="shared" si="16"/>
        <v>INVALID</v>
      </c>
      <c r="T106">
        <v>26633.58</v>
      </c>
      <c r="U106">
        <v>18838.75</v>
      </c>
      <c r="V106">
        <v>7794.83</v>
      </c>
      <c r="W106" t="s">
        <v>31</v>
      </c>
      <c r="X106" t="s">
        <v>32</v>
      </c>
      <c r="Y106">
        <f t="shared" si="9"/>
        <v>0</v>
      </c>
      <c r="Z106">
        <f t="shared" si="10"/>
        <v>28035.350000000002</v>
      </c>
      <c r="AA106">
        <f t="shared" si="11"/>
        <v>9196.6000000000022</v>
      </c>
      <c r="AB106">
        <f t="shared" si="12"/>
        <v>32.803585473339915</v>
      </c>
      <c r="AC106">
        <f t="shared" si="13"/>
        <v>1</v>
      </c>
      <c r="AD106">
        <f t="shared" si="14"/>
        <v>2024</v>
      </c>
      <c r="AE106" t="str">
        <f t="shared" si="15"/>
        <v>WARNING</v>
      </c>
    </row>
    <row r="107" spans="1:31">
      <c r="A107" t="s">
        <v>824</v>
      </c>
      <c r="B107" s="2">
        <v>45556</v>
      </c>
      <c r="C107" s="2">
        <v>45556</v>
      </c>
      <c r="D107" s="5">
        <f>C107-B107</f>
        <v>0</v>
      </c>
      <c r="E107" s="5" t="str">
        <f>IF(D107&lt;0,"INVALID","OK")</f>
        <v>OK</v>
      </c>
      <c r="F107" t="s">
        <v>825</v>
      </c>
      <c r="G107" t="s">
        <v>263</v>
      </c>
      <c r="H107" t="s">
        <v>89</v>
      </c>
      <c r="I107" t="s">
        <v>53</v>
      </c>
      <c r="J107" t="s">
        <v>174</v>
      </c>
      <c r="K107" t="s">
        <v>175</v>
      </c>
      <c r="L107" t="s">
        <v>73</v>
      </c>
      <c r="M107" t="s">
        <v>273</v>
      </c>
      <c r="N107" t="s">
        <v>826</v>
      </c>
      <c r="O107" t="s">
        <v>49</v>
      </c>
      <c r="P107">
        <v>2</v>
      </c>
      <c r="Q107">
        <v>1960.06</v>
      </c>
      <c r="R107">
        <v>0.2</v>
      </c>
      <c r="S107" t="str">
        <f t="shared" si="16"/>
        <v>OK</v>
      </c>
      <c r="T107">
        <v>3136.1</v>
      </c>
      <c r="U107">
        <v>2279.4899999999998</v>
      </c>
      <c r="V107">
        <v>856.61</v>
      </c>
      <c r="W107" t="s">
        <v>31</v>
      </c>
      <c r="X107" t="s">
        <v>32</v>
      </c>
      <c r="Y107">
        <f t="shared" si="9"/>
        <v>0.2</v>
      </c>
      <c r="Z107">
        <f t="shared" si="10"/>
        <v>3136.096</v>
      </c>
      <c r="AA107">
        <f t="shared" si="11"/>
        <v>856.60600000000022</v>
      </c>
      <c r="AB107">
        <f t="shared" si="12"/>
        <v>27.314406191647201</v>
      </c>
      <c r="AC107">
        <f t="shared" si="13"/>
        <v>9</v>
      </c>
      <c r="AD107">
        <f t="shared" si="14"/>
        <v>2024</v>
      </c>
      <c r="AE107" t="str">
        <f t="shared" si="15"/>
        <v>CLEAN</v>
      </c>
    </row>
    <row r="108" spans="1:31">
      <c r="A108" t="s">
        <v>827</v>
      </c>
      <c r="B108" s="2">
        <v>45643</v>
      </c>
      <c r="C108" s="2">
        <v>45649</v>
      </c>
      <c r="D108" s="5">
        <f>C108-B108</f>
        <v>6</v>
      </c>
      <c r="E108" s="5" t="str">
        <f>IF(D108&lt;0,"INVALID","OK")</f>
        <v>OK</v>
      </c>
      <c r="F108" t="s">
        <v>828</v>
      </c>
      <c r="G108" t="s">
        <v>127</v>
      </c>
      <c r="H108" t="s">
        <v>89</v>
      </c>
      <c r="I108" t="s">
        <v>53</v>
      </c>
      <c r="J108" t="s">
        <v>54</v>
      </c>
      <c r="K108" t="s">
        <v>55</v>
      </c>
      <c r="L108" t="s">
        <v>27</v>
      </c>
      <c r="M108" t="s">
        <v>152</v>
      </c>
      <c r="N108" t="s">
        <v>829</v>
      </c>
      <c r="O108" t="s">
        <v>49</v>
      </c>
      <c r="P108">
        <v>9</v>
      </c>
      <c r="Q108">
        <v>2315.1</v>
      </c>
      <c r="R108">
        <v>0</v>
      </c>
      <c r="S108" t="str">
        <f t="shared" si="16"/>
        <v>OK</v>
      </c>
      <c r="T108">
        <v>20835.900000000001</v>
      </c>
      <c r="U108">
        <v>13928.19</v>
      </c>
      <c r="V108">
        <v>6907.71</v>
      </c>
      <c r="W108" t="s">
        <v>31</v>
      </c>
      <c r="X108" t="s">
        <v>32</v>
      </c>
      <c r="Y108">
        <f t="shared" si="9"/>
        <v>0</v>
      </c>
      <c r="Z108">
        <f t="shared" si="10"/>
        <v>20835.899999999998</v>
      </c>
      <c r="AA108">
        <f t="shared" si="11"/>
        <v>6907.7099999999973</v>
      </c>
      <c r="AB108">
        <f t="shared" si="12"/>
        <v>33.152923559817424</v>
      </c>
      <c r="AC108">
        <f t="shared" si="13"/>
        <v>12</v>
      </c>
      <c r="AD108">
        <f t="shared" si="14"/>
        <v>2024</v>
      </c>
      <c r="AE108" t="str">
        <f t="shared" si="15"/>
        <v>CLEAN</v>
      </c>
    </row>
    <row r="109" spans="1:31">
      <c r="A109" t="s">
        <v>839</v>
      </c>
      <c r="B109" s="2">
        <v>45527</v>
      </c>
      <c r="C109" s="2">
        <v>45528</v>
      </c>
      <c r="D109" s="5">
        <f>C109-B109</f>
        <v>1</v>
      </c>
      <c r="E109" s="5" t="str">
        <f>IF(D109&lt;0,"INVALID","OK")</f>
        <v>OK</v>
      </c>
      <c r="F109" t="s">
        <v>840</v>
      </c>
      <c r="G109" t="s">
        <v>78</v>
      </c>
      <c r="H109" t="s">
        <v>23</v>
      </c>
      <c r="I109" t="s">
        <v>53</v>
      </c>
      <c r="J109" t="s">
        <v>54</v>
      </c>
      <c r="K109" t="s">
        <v>55</v>
      </c>
      <c r="L109" t="s">
        <v>40</v>
      </c>
      <c r="M109" t="s">
        <v>157</v>
      </c>
      <c r="N109" t="s">
        <v>841</v>
      </c>
      <c r="O109" t="s">
        <v>43</v>
      </c>
      <c r="P109">
        <v>6</v>
      </c>
      <c r="Q109">
        <v>1021.89</v>
      </c>
      <c r="R109">
        <v>0</v>
      </c>
      <c r="S109" t="str">
        <f t="shared" si="16"/>
        <v>OK</v>
      </c>
      <c r="T109">
        <v>6131.34</v>
      </c>
      <c r="U109">
        <v>4060.88</v>
      </c>
      <c r="V109">
        <v>2070.46</v>
      </c>
      <c r="W109" t="s">
        <v>31</v>
      </c>
      <c r="X109" t="s">
        <v>32</v>
      </c>
      <c r="Y109">
        <f t="shared" si="9"/>
        <v>0</v>
      </c>
      <c r="Z109">
        <f t="shared" si="10"/>
        <v>6131.34</v>
      </c>
      <c r="AA109">
        <f t="shared" si="11"/>
        <v>2070.46</v>
      </c>
      <c r="AB109">
        <f t="shared" si="12"/>
        <v>33.768474754295148</v>
      </c>
      <c r="AC109">
        <f t="shared" si="13"/>
        <v>8</v>
      </c>
      <c r="AD109">
        <f t="shared" si="14"/>
        <v>2024</v>
      </c>
      <c r="AE109" t="str">
        <f t="shared" si="15"/>
        <v>CLEAN</v>
      </c>
    </row>
    <row r="110" spans="1:31">
      <c r="A110" t="s">
        <v>842</v>
      </c>
      <c r="B110" s="2">
        <v>45583</v>
      </c>
      <c r="C110" s="2">
        <v>45589</v>
      </c>
      <c r="D110" s="5">
        <f>C110-B110</f>
        <v>6</v>
      </c>
      <c r="E110" s="5" t="str">
        <f>IF(D110&lt;0,"INVALID","OK")</f>
        <v>OK</v>
      </c>
      <c r="F110" t="s">
        <v>843</v>
      </c>
      <c r="G110" t="s">
        <v>78</v>
      </c>
      <c r="H110" t="s">
        <v>94</v>
      </c>
      <c r="I110" t="s">
        <v>53</v>
      </c>
      <c r="J110" t="s">
        <v>184</v>
      </c>
      <c r="K110" t="s">
        <v>185</v>
      </c>
      <c r="L110" t="s">
        <v>40</v>
      </c>
      <c r="M110" t="s">
        <v>65</v>
      </c>
      <c r="N110" t="s">
        <v>844</v>
      </c>
      <c r="O110" t="s">
        <v>30</v>
      </c>
      <c r="P110">
        <v>3</v>
      </c>
      <c r="Q110">
        <v>3275.93</v>
      </c>
      <c r="R110">
        <v>0</v>
      </c>
      <c r="S110" t="str">
        <f t="shared" si="16"/>
        <v>OK</v>
      </c>
      <c r="T110">
        <v>9827.7900000000009</v>
      </c>
      <c r="U110">
        <v>5478.28</v>
      </c>
      <c r="V110">
        <v>4349.51</v>
      </c>
      <c r="W110" t="s">
        <v>31</v>
      </c>
      <c r="X110" t="s">
        <v>32</v>
      </c>
      <c r="Y110">
        <f t="shared" si="9"/>
        <v>0</v>
      </c>
      <c r="Z110">
        <f t="shared" si="10"/>
        <v>9827.7899999999991</v>
      </c>
      <c r="AA110">
        <f t="shared" si="11"/>
        <v>4349.5099999999993</v>
      </c>
      <c r="AB110">
        <f t="shared" si="12"/>
        <v>44.25725417413274</v>
      </c>
      <c r="AC110">
        <f t="shared" si="13"/>
        <v>10</v>
      </c>
      <c r="AD110">
        <f t="shared" si="14"/>
        <v>2024</v>
      </c>
      <c r="AE110" t="str">
        <f t="shared" si="15"/>
        <v>CLEAN</v>
      </c>
    </row>
    <row r="111" spans="1:31">
      <c r="A111" t="s">
        <v>848</v>
      </c>
      <c r="B111" s="2">
        <v>45498</v>
      </c>
      <c r="C111" s="2">
        <v>45505</v>
      </c>
      <c r="D111" s="5">
        <f>C111-B111</f>
        <v>7</v>
      </c>
      <c r="E111" s="5" t="str">
        <f>IF(D111&lt;0,"INVALID","OK")</f>
        <v>OK</v>
      </c>
      <c r="F111" t="s">
        <v>849</v>
      </c>
      <c r="G111" t="s">
        <v>117</v>
      </c>
      <c r="H111" t="s">
        <v>89</v>
      </c>
      <c r="I111" t="s">
        <v>24</v>
      </c>
      <c r="J111" t="s">
        <v>25</v>
      </c>
      <c r="K111" t="s">
        <v>26</v>
      </c>
      <c r="L111" t="s">
        <v>73</v>
      </c>
      <c r="M111" t="s">
        <v>74</v>
      </c>
      <c r="N111" t="s">
        <v>850</v>
      </c>
      <c r="O111" t="s">
        <v>30</v>
      </c>
      <c r="P111">
        <v>8</v>
      </c>
      <c r="Q111">
        <v>2493.4</v>
      </c>
      <c r="R111">
        <v>0.25</v>
      </c>
      <c r="S111" t="str">
        <f t="shared" si="16"/>
        <v>OK</v>
      </c>
      <c r="T111">
        <v>14960.4</v>
      </c>
      <c r="U111">
        <v>12500.84</v>
      </c>
      <c r="V111">
        <v>2459.56</v>
      </c>
      <c r="W111" t="s">
        <v>31</v>
      </c>
      <c r="X111" t="s">
        <v>32</v>
      </c>
      <c r="Y111">
        <f t="shared" si="9"/>
        <v>0.25</v>
      </c>
      <c r="Z111">
        <f t="shared" si="10"/>
        <v>14960.400000000001</v>
      </c>
      <c r="AA111">
        <f t="shared" si="11"/>
        <v>2459.5600000000013</v>
      </c>
      <c r="AB111">
        <f t="shared" si="12"/>
        <v>16.440469506162945</v>
      </c>
      <c r="AC111">
        <f t="shared" si="13"/>
        <v>7</v>
      </c>
      <c r="AD111">
        <f t="shared" si="14"/>
        <v>2024</v>
      </c>
      <c r="AE111" t="str">
        <f t="shared" si="15"/>
        <v>CLEAN</v>
      </c>
    </row>
    <row r="112" spans="1:31">
      <c r="A112" t="s">
        <v>851</v>
      </c>
      <c r="B112" s="2">
        <v>45445</v>
      </c>
      <c r="C112" s="2">
        <v>45479</v>
      </c>
      <c r="D112" s="5">
        <f>C112-B112</f>
        <v>34</v>
      </c>
      <c r="E112" s="5" t="str">
        <f>IF(D112&lt;0,"INVALID","OK")</f>
        <v>OK</v>
      </c>
      <c r="F112" t="s">
        <v>852</v>
      </c>
      <c r="G112" t="s">
        <v>140</v>
      </c>
      <c r="H112" t="s">
        <v>94</v>
      </c>
      <c r="I112" t="s">
        <v>37</v>
      </c>
      <c r="J112" t="s">
        <v>38</v>
      </c>
      <c r="K112" t="s">
        <v>39</v>
      </c>
      <c r="L112" t="s">
        <v>27</v>
      </c>
      <c r="M112" t="s">
        <v>90</v>
      </c>
      <c r="N112" t="s">
        <v>853</v>
      </c>
      <c r="O112" t="s">
        <v>30</v>
      </c>
      <c r="P112">
        <v>9</v>
      </c>
      <c r="Q112">
        <v>787.91</v>
      </c>
      <c r="R112">
        <v>0.15</v>
      </c>
      <c r="S112" t="str">
        <f t="shared" si="16"/>
        <v>OK</v>
      </c>
      <c r="T112">
        <v>6027.51</v>
      </c>
      <c r="U112">
        <v>4883.82</v>
      </c>
      <c r="V112">
        <v>1143.69</v>
      </c>
      <c r="W112" t="s">
        <v>31</v>
      </c>
      <c r="X112" t="s">
        <v>32</v>
      </c>
      <c r="Y112">
        <f t="shared" si="9"/>
        <v>0.15</v>
      </c>
      <c r="Z112">
        <f t="shared" si="10"/>
        <v>6027.5114999999996</v>
      </c>
      <c r="AA112">
        <f t="shared" si="11"/>
        <v>1143.6914999999999</v>
      </c>
      <c r="AB112">
        <f t="shared" si="12"/>
        <v>18.974522072666307</v>
      </c>
      <c r="AC112">
        <f t="shared" si="13"/>
        <v>6</v>
      </c>
      <c r="AD112">
        <f t="shared" si="14"/>
        <v>2024</v>
      </c>
      <c r="AE112" t="str">
        <f t="shared" si="15"/>
        <v>CLEAN</v>
      </c>
    </row>
    <row r="113" spans="1:31">
      <c r="A113" t="s">
        <v>857</v>
      </c>
      <c r="B113" s="2">
        <v>45343</v>
      </c>
      <c r="C113" s="2">
        <v>45349</v>
      </c>
      <c r="D113" s="5">
        <f>C113-B113</f>
        <v>6</v>
      </c>
      <c r="E113" s="5" t="str">
        <f>IF(D113&lt;0,"INVALID","OK")</f>
        <v>OK</v>
      </c>
      <c r="F113" t="s">
        <v>858</v>
      </c>
      <c r="G113" t="s">
        <v>52</v>
      </c>
      <c r="H113" t="s">
        <v>36</v>
      </c>
      <c r="I113" t="s">
        <v>37</v>
      </c>
      <c r="J113" t="s">
        <v>98</v>
      </c>
      <c r="K113" t="s">
        <v>99</v>
      </c>
      <c r="L113" t="s">
        <v>40</v>
      </c>
      <c r="M113" t="s">
        <v>56</v>
      </c>
      <c r="N113" t="s">
        <v>859</v>
      </c>
      <c r="O113" t="s">
        <v>58</v>
      </c>
      <c r="P113">
        <v>5</v>
      </c>
      <c r="Q113">
        <v>3373.86</v>
      </c>
      <c r="R113">
        <v>0.15</v>
      </c>
      <c r="S113" t="str">
        <f t="shared" si="16"/>
        <v>OK</v>
      </c>
      <c r="T113">
        <v>14338.9</v>
      </c>
      <c r="U113">
        <v>11897.65</v>
      </c>
      <c r="V113">
        <v>2441.25</v>
      </c>
      <c r="W113" t="s">
        <v>110</v>
      </c>
      <c r="X113" t="s">
        <v>102</v>
      </c>
      <c r="Y113">
        <f t="shared" si="9"/>
        <v>0.15</v>
      </c>
      <c r="Z113">
        <f t="shared" si="10"/>
        <v>14338.904999999999</v>
      </c>
      <c r="AA113">
        <f t="shared" si="11"/>
        <v>2441.2549999999992</v>
      </c>
      <c r="AB113">
        <f t="shared" si="12"/>
        <v>17.025393501107647</v>
      </c>
      <c r="AC113">
        <f t="shared" si="13"/>
        <v>2</v>
      </c>
      <c r="AD113">
        <f t="shared" si="14"/>
        <v>2024</v>
      </c>
      <c r="AE113" t="str">
        <f t="shared" si="15"/>
        <v>CLEAN</v>
      </c>
    </row>
    <row r="114" spans="1:31">
      <c r="A114" t="s">
        <v>875</v>
      </c>
      <c r="B114" s="2">
        <v>45601</v>
      </c>
      <c r="C114" s="2">
        <v>45599</v>
      </c>
      <c r="D114" s="5">
        <f>C114-B114</f>
        <v>-2</v>
      </c>
      <c r="E114" s="5" t="str">
        <f>IF(D114&lt;0,"INVALID","OK")</f>
        <v>INVALID</v>
      </c>
      <c r="F114" t="s">
        <v>876</v>
      </c>
      <c r="G114" t="s">
        <v>61</v>
      </c>
      <c r="H114" t="s">
        <v>23</v>
      </c>
      <c r="I114" t="s">
        <v>37</v>
      </c>
      <c r="J114" t="s">
        <v>98</v>
      </c>
      <c r="K114" t="s">
        <v>99</v>
      </c>
      <c r="L114" t="s">
        <v>40</v>
      </c>
      <c r="M114" t="s">
        <v>41</v>
      </c>
      <c r="N114" t="s">
        <v>877</v>
      </c>
      <c r="O114" t="s">
        <v>49</v>
      </c>
      <c r="P114">
        <v>9</v>
      </c>
      <c r="Q114">
        <v>2260.61</v>
      </c>
      <c r="R114">
        <v>0.05</v>
      </c>
      <c r="S114" t="str">
        <f t="shared" si="16"/>
        <v>OK</v>
      </c>
      <c r="T114">
        <v>19328.22</v>
      </c>
      <c r="U114">
        <v>12039.5</v>
      </c>
      <c r="V114">
        <v>7288.72</v>
      </c>
      <c r="W114" t="s">
        <v>31</v>
      </c>
      <c r="X114" t="s">
        <v>32</v>
      </c>
      <c r="Y114">
        <f t="shared" si="9"/>
        <v>0.05</v>
      </c>
      <c r="Z114">
        <f t="shared" si="10"/>
        <v>19328.215500000002</v>
      </c>
      <c r="AA114">
        <f t="shared" si="11"/>
        <v>7288.7155000000021</v>
      </c>
      <c r="AB114">
        <f t="shared" si="12"/>
        <v>37.710235070588908</v>
      </c>
      <c r="AC114">
        <f t="shared" si="13"/>
        <v>11</v>
      </c>
      <c r="AD114">
        <f t="shared" si="14"/>
        <v>2024</v>
      </c>
      <c r="AE114" t="str">
        <f t="shared" si="15"/>
        <v>INVALID</v>
      </c>
    </row>
    <row r="115" spans="1:31">
      <c r="A115" t="s">
        <v>881</v>
      </c>
      <c r="B115" s="2">
        <v>45656</v>
      </c>
      <c r="C115" s="2">
        <v>45661</v>
      </c>
      <c r="D115" s="5">
        <f>C115-B115</f>
        <v>5</v>
      </c>
      <c r="E115" s="5" t="str">
        <f>IF(D115&lt;0,"INVALID","OK")</f>
        <v>OK</v>
      </c>
      <c r="F115" t="s">
        <v>882</v>
      </c>
      <c r="G115" t="s">
        <v>131</v>
      </c>
      <c r="H115" t="s">
        <v>89</v>
      </c>
      <c r="I115" t="s">
        <v>53</v>
      </c>
      <c r="J115" t="s">
        <v>246</v>
      </c>
      <c r="K115" t="s">
        <v>247</v>
      </c>
      <c r="L115" t="s">
        <v>40</v>
      </c>
      <c r="M115" t="s">
        <v>41</v>
      </c>
      <c r="N115" t="s">
        <v>883</v>
      </c>
      <c r="O115" t="s">
        <v>43</v>
      </c>
      <c r="P115">
        <v>2</v>
      </c>
      <c r="Q115">
        <v>3720.07</v>
      </c>
      <c r="R115">
        <v>0.25</v>
      </c>
      <c r="S115" t="str">
        <f t="shared" si="16"/>
        <v>OK</v>
      </c>
      <c r="T115">
        <v>5580.11</v>
      </c>
      <c r="U115">
        <v>4307.01</v>
      </c>
      <c r="V115">
        <v>1273.0999999999999</v>
      </c>
      <c r="W115" t="s">
        <v>31</v>
      </c>
      <c r="X115" t="s">
        <v>32</v>
      </c>
      <c r="Y115">
        <f t="shared" si="9"/>
        <v>0.25</v>
      </c>
      <c r="Z115">
        <f t="shared" si="10"/>
        <v>5580.1050000000005</v>
      </c>
      <c r="AA115">
        <f t="shared" si="11"/>
        <v>1273.0950000000003</v>
      </c>
      <c r="AB115">
        <f t="shared" si="12"/>
        <v>22.814893268137428</v>
      </c>
      <c r="AC115">
        <f t="shared" si="13"/>
        <v>12</v>
      </c>
      <c r="AD115">
        <f t="shared" si="14"/>
        <v>2024</v>
      </c>
      <c r="AE115" t="str">
        <f t="shared" si="15"/>
        <v>CLEAN</v>
      </c>
    </row>
    <row r="116" spans="1:31">
      <c r="A116" t="s">
        <v>884</v>
      </c>
      <c r="B116" s="2">
        <v>45464</v>
      </c>
      <c r="C116" s="2">
        <v>45472</v>
      </c>
      <c r="D116" s="5">
        <f>C116-B116</f>
        <v>8</v>
      </c>
      <c r="E116" s="5" t="str">
        <f>IF(D116&lt;0,"INVALID","OK")</f>
        <v>OK</v>
      </c>
      <c r="F116" t="s">
        <v>885</v>
      </c>
      <c r="G116" t="s">
        <v>78</v>
      </c>
      <c r="H116" t="s">
        <v>23</v>
      </c>
      <c r="I116" t="s">
        <v>53</v>
      </c>
      <c r="J116" t="s">
        <v>246</v>
      </c>
      <c r="K116" t="s">
        <v>247</v>
      </c>
      <c r="L116" t="s">
        <v>73</v>
      </c>
      <c r="M116" t="s">
        <v>273</v>
      </c>
      <c r="N116" t="s">
        <v>886</v>
      </c>
      <c r="O116" t="s">
        <v>58</v>
      </c>
      <c r="P116">
        <v>8</v>
      </c>
      <c r="Q116">
        <v>2853.92</v>
      </c>
      <c r="R116">
        <v>0.2</v>
      </c>
      <c r="S116" t="str">
        <f t="shared" si="16"/>
        <v>OK</v>
      </c>
      <c r="T116">
        <v>18265.09</v>
      </c>
      <c r="U116">
        <v>10437.14</v>
      </c>
      <c r="V116">
        <v>7827.95</v>
      </c>
      <c r="W116" t="s">
        <v>31</v>
      </c>
      <c r="X116" t="s">
        <v>32</v>
      </c>
      <c r="Y116">
        <f t="shared" si="9"/>
        <v>0.2</v>
      </c>
      <c r="Z116">
        <f t="shared" si="10"/>
        <v>18265.088</v>
      </c>
      <c r="AA116">
        <f t="shared" si="11"/>
        <v>7827.9480000000003</v>
      </c>
      <c r="AB116">
        <f t="shared" si="12"/>
        <v>42.857433810338065</v>
      </c>
      <c r="AC116">
        <f t="shared" si="13"/>
        <v>6</v>
      </c>
      <c r="AD116">
        <f t="shared" si="14"/>
        <v>2024</v>
      </c>
      <c r="AE116" t="str">
        <f t="shared" si="15"/>
        <v>CLEAN</v>
      </c>
    </row>
    <row r="117" spans="1:31">
      <c r="A117" t="s">
        <v>898</v>
      </c>
      <c r="B117" s="2">
        <v>45428</v>
      </c>
      <c r="C117" s="2">
        <v>45433</v>
      </c>
      <c r="D117" s="5">
        <f>C117-B117</f>
        <v>5</v>
      </c>
      <c r="E117" s="5" t="str">
        <f>IF(D117&lt;0,"INVALID","OK")</f>
        <v>OK</v>
      </c>
      <c r="F117" t="s">
        <v>899</v>
      </c>
      <c r="G117" t="s">
        <v>161</v>
      </c>
      <c r="H117" t="s">
        <v>36</v>
      </c>
      <c r="I117" t="s">
        <v>37</v>
      </c>
      <c r="J117" t="s">
        <v>144</v>
      </c>
      <c r="K117" t="s">
        <v>145</v>
      </c>
      <c r="L117" t="s">
        <v>73</v>
      </c>
      <c r="M117" t="s">
        <v>79</v>
      </c>
      <c r="N117" t="s">
        <v>900</v>
      </c>
      <c r="O117" t="s">
        <v>58</v>
      </c>
      <c r="P117">
        <v>4</v>
      </c>
      <c r="Q117">
        <v>1503.07</v>
      </c>
      <c r="R117">
        <v>0</v>
      </c>
      <c r="S117" t="str">
        <f t="shared" si="16"/>
        <v>OK</v>
      </c>
      <c r="T117">
        <v>6012.28</v>
      </c>
      <c r="U117">
        <v>3927.64</v>
      </c>
      <c r="V117">
        <v>2084.64</v>
      </c>
      <c r="W117" t="s">
        <v>31</v>
      </c>
      <c r="X117" t="s">
        <v>32</v>
      </c>
      <c r="Y117">
        <f t="shared" si="9"/>
        <v>0</v>
      </c>
      <c r="Z117">
        <f t="shared" si="10"/>
        <v>6012.28</v>
      </c>
      <c r="AA117">
        <f t="shared" si="11"/>
        <v>2084.64</v>
      </c>
      <c r="AB117">
        <f t="shared" si="12"/>
        <v>34.67303585328694</v>
      </c>
      <c r="AC117">
        <f t="shared" si="13"/>
        <v>5</v>
      </c>
      <c r="AD117">
        <f t="shared" si="14"/>
        <v>2024</v>
      </c>
      <c r="AE117" t="str">
        <f t="shared" si="15"/>
        <v>CLEAN</v>
      </c>
    </row>
    <row r="118" spans="1:31">
      <c r="A118" t="s">
        <v>916</v>
      </c>
      <c r="B118" s="2">
        <v>45303</v>
      </c>
      <c r="C118" s="2">
        <v>45304</v>
      </c>
      <c r="D118" s="5">
        <f>C118-B118</f>
        <v>1</v>
      </c>
      <c r="E118" s="5" t="str">
        <f>IF(D118&lt;0,"INVALID","OK")</f>
        <v>OK</v>
      </c>
      <c r="F118" t="s">
        <v>917</v>
      </c>
      <c r="G118" t="s">
        <v>88</v>
      </c>
      <c r="H118" t="s">
        <v>89</v>
      </c>
      <c r="I118" t="s">
        <v>24</v>
      </c>
      <c r="J118" t="s">
        <v>135</v>
      </c>
      <c r="K118" t="s">
        <v>136</v>
      </c>
      <c r="L118" t="s">
        <v>73</v>
      </c>
      <c r="M118" t="s">
        <v>273</v>
      </c>
      <c r="N118" t="s">
        <v>918</v>
      </c>
      <c r="O118" t="s">
        <v>43</v>
      </c>
      <c r="P118">
        <v>3</v>
      </c>
      <c r="Q118">
        <v>827.44</v>
      </c>
      <c r="R118">
        <v>0</v>
      </c>
      <c r="S118" t="str">
        <f t="shared" si="16"/>
        <v>OK</v>
      </c>
      <c r="T118">
        <v>2482.3200000000002</v>
      </c>
      <c r="U118">
        <v>1520.21</v>
      </c>
      <c r="V118">
        <v>962.11</v>
      </c>
      <c r="W118" t="s">
        <v>31</v>
      </c>
      <c r="X118" t="s">
        <v>32</v>
      </c>
      <c r="Y118">
        <f t="shared" si="9"/>
        <v>0</v>
      </c>
      <c r="Z118">
        <f t="shared" si="10"/>
        <v>2482.3200000000002</v>
      </c>
      <c r="AA118">
        <f t="shared" si="11"/>
        <v>962.11000000000013</v>
      </c>
      <c r="AB118">
        <f t="shared" si="12"/>
        <v>38.758500112797705</v>
      </c>
      <c r="AC118">
        <f t="shared" si="13"/>
        <v>1</v>
      </c>
      <c r="AD118">
        <f t="shared" si="14"/>
        <v>2024</v>
      </c>
      <c r="AE118" t="str">
        <f t="shared" si="15"/>
        <v>CLEAN</v>
      </c>
    </row>
    <row r="119" spans="1:31">
      <c r="A119" t="s">
        <v>922</v>
      </c>
      <c r="B119" s="2">
        <v>45522</v>
      </c>
      <c r="C119" s="2">
        <v>45528</v>
      </c>
      <c r="D119" s="5">
        <f>C119-B119</f>
        <v>6</v>
      </c>
      <c r="E119" s="5" t="str">
        <f>IF(D119&lt;0,"INVALID","OK")</f>
        <v>OK</v>
      </c>
      <c r="F119" t="s">
        <v>923</v>
      </c>
      <c r="G119" t="s">
        <v>52</v>
      </c>
      <c r="H119" t="s">
        <v>23</v>
      </c>
      <c r="I119" t="s">
        <v>53</v>
      </c>
      <c r="J119" t="s">
        <v>83</v>
      </c>
      <c r="K119" t="s">
        <v>84</v>
      </c>
      <c r="L119" t="s">
        <v>40</v>
      </c>
      <c r="M119" t="s">
        <v>65</v>
      </c>
      <c r="N119" t="s">
        <v>924</v>
      </c>
      <c r="O119" t="s">
        <v>49</v>
      </c>
      <c r="P119">
        <v>7</v>
      </c>
      <c r="Q119">
        <v>557.21</v>
      </c>
      <c r="R119">
        <v>0.1</v>
      </c>
      <c r="S119" t="str">
        <f t="shared" si="16"/>
        <v>OK</v>
      </c>
      <c r="T119">
        <v>3510.42</v>
      </c>
      <c r="U119">
        <v>2191.5</v>
      </c>
      <c r="V119">
        <v>1213.48</v>
      </c>
      <c r="W119" t="s">
        <v>31</v>
      </c>
      <c r="X119" t="s">
        <v>32</v>
      </c>
      <c r="Y119">
        <f t="shared" si="9"/>
        <v>0.1</v>
      </c>
      <c r="Z119">
        <f t="shared" si="10"/>
        <v>3510.4230000000002</v>
      </c>
      <c r="AA119">
        <f t="shared" si="11"/>
        <v>1318.9230000000002</v>
      </c>
      <c r="AB119">
        <f t="shared" si="12"/>
        <v>37.57162598353532</v>
      </c>
      <c r="AC119">
        <f t="shared" si="13"/>
        <v>8</v>
      </c>
      <c r="AD119">
        <f t="shared" si="14"/>
        <v>2024</v>
      </c>
      <c r="AE119" t="str">
        <f t="shared" si="15"/>
        <v>CLEAN</v>
      </c>
    </row>
    <row r="120" spans="1:31">
      <c r="A120" t="s">
        <v>922</v>
      </c>
      <c r="B120" s="2">
        <v>45522</v>
      </c>
      <c r="C120" s="2">
        <v>45528</v>
      </c>
      <c r="D120" s="5">
        <f>C120-B120</f>
        <v>6</v>
      </c>
      <c r="E120" s="5" t="str">
        <f>IF(D120&lt;0,"INVALID","OK")</f>
        <v>OK</v>
      </c>
      <c r="F120" t="s">
        <v>923</v>
      </c>
      <c r="G120" t="s">
        <v>52</v>
      </c>
      <c r="H120" t="s">
        <v>23</v>
      </c>
      <c r="I120" t="s">
        <v>53</v>
      </c>
      <c r="J120" t="s">
        <v>83</v>
      </c>
      <c r="K120" t="s">
        <v>84</v>
      </c>
      <c r="L120" t="s">
        <v>40</v>
      </c>
      <c r="M120" t="s">
        <v>65</v>
      </c>
      <c r="N120" t="s">
        <v>924</v>
      </c>
      <c r="O120" t="s">
        <v>49</v>
      </c>
      <c r="P120">
        <v>7</v>
      </c>
      <c r="Q120">
        <v>557.21</v>
      </c>
      <c r="R120">
        <v>0.1</v>
      </c>
      <c r="S120" t="str">
        <f t="shared" si="16"/>
        <v>OK</v>
      </c>
      <c r="T120">
        <v>3797.79</v>
      </c>
      <c r="U120">
        <v>2191.5</v>
      </c>
      <c r="V120">
        <v>1213.48</v>
      </c>
      <c r="W120" t="s">
        <v>31</v>
      </c>
      <c r="X120" t="s">
        <v>102</v>
      </c>
      <c r="Y120">
        <f t="shared" si="9"/>
        <v>0.1</v>
      </c>
      <c r="Z120">
        <f t="shared" si="10"/>
        <v>3510.4230000000002</v>
      </c>
      <c r="AA120">
        <f t="shared" si="11"/>
        <v>1318.9230000000002</v>
      </c>
      <c r="AB120">
        <f t="shared" si="12"/>
        <v>37.57162598353532</v>
      </c>
      <c r="AC120">
        <f t="shared" si="13"/>
        <v>8</v>
      </c>
      <c r="AD120">
        <f t="shared" si="14"/>
        <v>2024</v>
      </c>
      <c r="AE120" t="str">
        <f t="shared" si="15"/>
        <v>CLEAN</v>
      </c>
    </row>
    <row r="121" spans="1:31">
      <c r="A121" t="s">
        <v>931</v>
      </c>
      <c r="B121" s="2">
        <v>45337</v>
      </c>
      <c r="C121" s="2">
        <v>45344</v>
      </c>
      <c r="D121" s="5">
        <f>C121-B121</f>
        <v>7</v>
      </c>
      <c r="E121" s="5" t="str">
        <f>IF(D121&lt;0,"INVALID","OK")</f>
        <v>OK</v>
      </c>
      <c r="F121" t="s">
        <v>932</v>
      </c>
      <c r="G121" t="s">
        <v>113</v>
      </c>
      <c r="H121" t="s">
        <v>36</v>
      </c>
      <c r="I121" t="s">
        <v>37</v>
      </c>
      <c r="J121" t="s">
        <v>98</v>
      </c>
      <c r="K121" t="s">
        <v>99</v>
      </c>
      <c r="L121" t="s">
        <v>40</v>
      </c>
      <c r="M121" t="s">
        <v>56</v>
      </c>
      <c r="N121" t="s">
        <v>933</v>
      </c>
      <c r="O121" t="s">
        <v>43</v>
      </c>
      <c r="P121">
        <v>1</v>
      </c>
      <c r="Q121">
        <v>980.51</v>
      </c>
      <c r="R121">
        <v>0</v>
      </c>
      <c r="S121" t="str">
        <f t="shared" si="16"/>
        <v>OK</v>
      </c>
      <c r="T121">
        <v>980.51</v>
      </c>
      <c r="U121">
        <v>660.92</v>
      </c>
      <c r="V121">
        <v>319.58999999999997</v>
      </c>
      <c r="W121" t="s">
        <v>31</v>
      </c>
      <c r="X121" t="s">
        <v>32</v>
      </c>
      <c r="Y121">
        <f t="shared" si="9"/>
        <v>0</v>
      </c>
      <c r="Z121">
        <f t="shared" si="10"/>
        <v>980.51</v>
      </c>
      <c r="AA121">
        <f t="shared" si="11"/>
        <v>319.59000000000003</v>
      </c>
      <c r="AB121">
        <f t="shared" si="12"/>
        <v>32.594262169687205</v>
      </c>
      <c r="AC121">
        <f t="shared" si="13"/>
        <v>2</v>
      </c>
      <c r="AD121">
        <f t="shared" si="14"/>
        <v>2024</v>
      </c>
      <c r="AE121" t="str">
        <f t="shared" si="15"/>
        <v>CLEAN</v>
      </c>
    </row>
    <row r="122" spans="1:31">
      <c r="A122" t="s">
        <v>934</v>
      </c>
      <c r="B122" s="2">
        <v>45313</v>
      </c>
      <c r="C122" s="2">
        <v>45314</v>
      </c>
      <c r="D122" s="5">
        <f>C122-B122</f>
        <v>1</v>
      </c>
      <c r="E122" s="5" t="str">
        <f>IF(D122&lt;0,"INVALID","OK")</f>
        <v>OK</v>
      </c>
      <c r="F122" t="s">
        <v>935</v>
      </c>
      <c r="G122" t="s">
        <v>127</v>
      </c>
      <c r="H122" t="s">
        <v>36</v>
      </c>
      <c r="I122" t="s">
        <v>2762</v>
      </c>
      <c r="J122" t="s">
        <v>165</v>
      </c>
      <c r="K122" t="s">
        <v>166</v>
      </c>
      <c r="L122" t="s">
        <v>40</v>
      </c>
      <c r="M122" t="s">
        <v>65</v>
      </c>
      <c r="N122" t="s">
        <v>936</v>
      </c>
      <c r="O122" t="s">
        <v>30</v>
      </c>
      <c r="P122">
        <v>6</v>
      </c>
      <c r="Q122">
        <v>3391.53</v>
      </c>
      <c r="R122">
        <v>-0.14000000000000001</v>
      </c>
      <c r="S122" t="str">
        <f t="shared" si="16"/>
        <v>INVALID</v>
      </c>
      <c r="T122">
        <v>15261.89</v>
      </c>
      <c r="U122">
        <v>8413.5300000000007</v>
      </c>
      <c r="V122">
        <v>6848.36</v>
      </c>
      <c r="W122" t="s">
        <v>31</v>
      </c>
      <c r="X122" t="s">
        <v>32</v>
      </c>
      <c r="Y122">
        <f t="shared" si="9"/>
        <v>0</v>
      </c>
      <c r="Z122">
        <f t="shared" si="10"/>
        <v>20349.18</v>
      </c>
      <c r="AA122">
        <f t="shared" si="11"/>
        <v>11935.65</v>
      </c>
      <c r="AB122">
        <f t="shared" si="12"/>
        <v>58.654206213714758</v>
      </c>
      <c r="AC122">
        <f t="shared" si="13"/>
        <v>1</v>
      </c>
      <c r="AD122">
        <f t="shared" si="14"/>
        <v>2024</v>
      </c>
      <c r="AE122" t="str">
        <f t="shared" si="15"/>
        <v>INVALID</v>
      </c>
    </row>
    <row r="123" spans="1:31">
      <c r="A123" t="s">
        <v>942</v>
      </c>
      <c r="B123" s="2">
        <v>45391</v>
      </c>
      <c r="C123" s="2">
        <v>45392</v>
      </c>
      <c r="D123" s="5">
        <f>C123-B123</f>
        <v>1</v>
      </c>
      <c r="E123" s="5" t="str">
        <f>IF(D123&lt;0,"INVALID","OK")</f>
        <v>OK</v>
      </c>
      <c r="F123" t="s">
        <v>943</v>
      </c>
      <c r="G123" t="s">
        <v>140</v>
      </c>
      <c r="H123" t="s">
        <v>36</v>
      </c>
      <c r="I123" t="s">
        <v>62</v>
      </c>
      <c r="J123" t="s">
        <v>63</v>
      </c>
      <c r="K123" t="s">
        <v>64</v>
      </c>
      <c r="L123" t="s">
        <v>27</v>
      </c>
      <c r="M123" t="s">
        <v>123</v>
      </c>
      <c r="N123" t="s">
        <v>944</v>
      </c>
      <c r="O123" t="s">
        <v>49</v>
      </c>
      <c r="P123">
        <v>1</v>
      </c>
      <c r="Q123">
        <v>4359.12</v>
      </c>
      <c r="R123">
        <v>0.05</v>
      </c>
      <c r="S123" t="str">
        <f t="shared" si="16"/>
        <v>OK</v>
      </c>
      <c r="T123">
        <v>4141.16</v>
      </c>
      <c r="U123">
        <v>2754.17</v>
      </c>
      <c r="V123">
        <v>1386.99</v>
      </c>
      <c r="W123" t="s">
        <v>31</v>
      </c>
      <c r="X123" t="s">
        <v>32</v>
      </c>
      <c r="Y123">
        <f t="shared" si="9"/>
        <v>0.05</v>
      </c>
      <c r="Z123">
        <f t="shared" si="10"/>
        <v>4141.1639999999998</v>
      </c>
      <c r="AA123">
        <f t="shared" si="11"/>
        <v>1386.9939999999997</v>
      </c>
      <c r="AB123">
        <f t="shared" si="12"/>
        <v>33.492853700070796</v>
      </c>
      <c r="AC123">
        <f t="shared" si="13"/>
        <v>4</v>
      </c>
      <c r="AD123">
        <f t="shared" si="14"/>
        <v>2024</v>
      </c>
      <c r="AE123" t="str">
        <f t="shared" si="15"/>
        <v>CLEAN</v>
      </c>
    </row>
    <row r="124" spans="1:31">
      <c r="A124" t="s">
        <v>945</v>
      </c>
      <c r="B124" s="2">
        <v>45649</v>
      </c>
      <c r="C124" s="2">
        <v>45652</v>
      </c>
      <c r="D124" s="5">
        <f>C124-B124</f>
        <v>3</v>
      </c>
      <c r="E124" s="5" t="str">
        <f>IF(D124&lt;0,"INVALID","OK")</f>
        <v>OK</v>
      </c>
      <c r="F124" t="s">
        <v>946</v>
      </c>
      <c r="G124" t="s">
        <v>88</v>
      </c>
      <c r="H124" t="s">
        <v>23</v>
      </c>
      <c r="I124" t="s">
        <v>53</v>
      </c>
      <c r="J124" t="s">
        <v>174</v>
      </c>
      <c r="K124" t="s">
        <v>175</v>
      </c>
      <c r="L124" t="s">
        <v>73</v>
      </c>
      <c r="M124" t="s">
        <v>79</v>
      </c>
      <c r="N124" t="s">
        <v>947</v>
      </c>
      <c r="O124" t="s">
        <v>58</v>
      </c>
      <c r="P124">
        <v>9</v>
      </c>
      <c r="Q124">
        <v>993.67</v>
      </c>
      <c r="R124">
        <v>0</v>
      </c>
      <c r="S124" t="str">
        <f t="shared" si="16"/>
        <v>OK</v>
      </c>
      <c r="T124">
        <v>8943.0300000000007</v>
      </c>
      <c r="U124">
        <v>5165.38</v>
      </c>
      <c r="V124">
        <v>3777.65</v>
      </c>
      <c r="W124" t="s">
        <v>31</v>
      </c>
      <c r="X124" t="s">
        <v>32</v>
      </c>
      <c r="Y124">
        <f t="shared" si="9"/>
        <v>0</v>
      </c>
      <c r="Z124">
        <f t="shared" si="10"/>
        <v>8943.0299999999988</v>
      </c>
      <c r="AA124">
        <f t="shared" si="11"/>
        <v>3777.6499999999987</v>
      </c>
      <c r="AB124">
        <f t="shared" si="12"/>
        <v>42.241276167026157</v>
      </c>
      <c r="AC124">
        <f t="shared" si="13"/>
        <v>12</v>
      </c>
      <c r="AD124">
        <f t="shared" si="14"/>
        <v>2024</v>
      </c>
      <c r="AE124" t="str">
        <f t="shared" si="15"/>
        <v>CLEAN</v>
      </c>
    </row>
    <row r="125" spans="1:31">
      <c r="A125" t="s">
        <v>951</v>
      </c>
      <c r="B125" s="2">
        <v>45566</v>
      </c>
      <c r="C125" s="2">
        <v>45567</v>
      </c>
      <c r="D125" s="5">
        <f>C125-B125</f>
        <v>1</v>
      </c>
      <c r="E125" s="5" t="str">
        <f>IF(D125&lt;0,"INVALID","OK")</f>
        <v>OK</v>
      </c>
      <c r="F125" t="s">
        <v>952</v>
      </c>
      <c r="G125" t="s">
        <v>22</v>
      </c>
      <c r="H125" t="s">
        <v>94</v>
      </c>
      <c r="I125" t="s">
        <v>37</v>
      </c>
      <c r="J125" t="s">
        <v>165</v>
      </c>
      <c r="K125" t="s">
        <v>166</v>
      </c>
      <c r="L125" t="s">
        <v>40</v>
      </c>
      <c r="M125" t="s">
        <v>41</v>
      </c>
      <c r="N125" t="s">
        <v>953</v>
      </c>
      <c r="O125" t="s">
        <v>30</v>
      </c>
      <c r="P125">
        <v>2</v>
      </c>
      <c r="Q125">
        <v>2298</v>
      </c>
      <c r="R125">
        <v>0</v>
      </c>
      <c r="S125" t="str">
        <f t="shared" si="16"/>
        <v>OK</v>
      </c>
      <c r="T125">
        <v>4596</v>
      </c>
      <c r="U125">
        <v>3220.33</v>
      </c>
      <c r="V125">
        <v>1375.67</v>
      </c>
      <c r="W125" t="s">
        <v>31</v>
      </c>
      <c r="X125" t="s">
        <v>32</v>
      </c>
      <c r="Y125">
        <f t="shared" si="9"/>
        <v>0</v>
      </c>
      <c r="Z125">
        <f t="shared" si="10"/>
        <v>4596</v>
      </c>
      <c r="AA125">
        <f t="shared" si="11"/>
        <v>1375.67</v>
      </c>
      <c r="AB125">
        <f t="shared" si="12"/>
        <v>29.931897302001744</v>
      </c>
      <c r="AC125">
        <f t="shared" si="13"/>
        <v>10</v>
      </c>
      <c r="AD125">
        <f t="shared" si="14"/>
        <v>2024</v>
      </c>
      <c r="AE125" t="str">
        <f t="shared" si="15"/>
        <v>CLEAN</v>
      </c>
    </row>
    <row r="126" spans="1:31">
      <c r="A126" t="s">
        <v>957</v>
      </c>
      <c r="B126" s="2">
        <v>45634</v>
      </c>
      <c r="C126" s="2">
        <v>45640</v>
      </c>
      <c r="D126" s="5">
        <f>C126-B126</f>
        <v>6</v>
      </c>
      <c r="E126" s="5" t="str">
        <f>IF(D126&lt;0,"INVALID","OK")</f>
        <v>OK</v>
      </c>
      <c r="F126" t="s">
        <v>958</v>
      </c>
      <c r="G126" t="s">
        <v>22</v>
      </c>
      <c r="H126" t="s">
        <v>23</v>
      </c>
      <c r="I126" t="s">
        <v>37</v>
      </c>
      <c r="J126" t="s">
        <v>38</v>
      </c>
      <c r="K126" t="s">
        <v>39</v>
      </c>
      <c r="L126" t="s">
        <v>40</v>
      </c>
      <c r="M126" t="s">
        <v>41</v>
      </c>
      <c r="N126" t="s">
        <v>959</v>
      </c>
      <c r="O126" t="s">
        <v>43</v>
      </c>
      <c r="P126">
        <v>3</v>
      </c>
      <c r="Q126">
        <v>1576.92</v>
      </c>
      <c r="R126">
        <v>0</v>
      </c>
      <c r="S126" t="str">
        <f t="shared" si="16"/>
        <v>OK</v>
      </c>
      <c r="T126">
        <v>4730.76</v>
      </c>
      <c r="U126">
        <v>3139.73</v>
      </c>
      <c r="V126">
        <v>1591.03</v>
      </c>
      <c r="W126" t="s">
        <v>31</v>
      </c>
      <c r="X126" t="s">
        <v>102</v>
      </c>
      <c r="Y126">
        <f t="shared" si="9"/>
        <v>0</v>
      </c>
      <c r="Z126">
        <f t="shared" si="10"/>
        <v>4730.76</v>
      </c>
      <c r="AA126">
        <f t="shared" si="11"/>
        <v>1591.0300000000002</v>
      </c>
      <c r="AB126">
        <f t="shared" si="12"/>
        <v>33.631594077907145</v>
      </c>
      <c r="AC126">
        <f t="shared" si="13"/>
        <v>12</v>
      </c>
      <c r="AD126">
        <f t="shared" si="14"/>
        <v>2024</v>
      </c>
      <c r="AE126" t="str">
        <f t="shared" si="15"/>
        <v>CLEAN</v>
      </c>
    </row>
    <row r="127" spans="1:31">
      <c r="A127" t="s">
        <v>963</v>
      </c>
      <c r="B127" s="2">
        <v>45350</v>
      </c>
      <c r="C127" s="2">
        <v>45353</v>
      </c>
      <c r="D127" s="5">
        <f>C127-B127</f>
        <v>3</v>
      </c>
      <c r="E127" s="5" t="str">
        <f>IF(D127&lt;0,"INVALID","OK")</f>
        <v>OK</v>
      </c>
      <c r="F127" t="s">
        <v>964</v>
      </c>
      <c r="G127" t="s">
        <v>113</v>
      </c>
      <c r="H127" t="s">
        <v>36</v>
      </c>
      <c r="I127" t="s">
        <v>24</v>
      </c>
      <c r="J127" t="s">
        <v>349</v>
      </c>
      <c r="K127" t="s">
        <v>350</v>
      </c>
      <c r="L127" t="s">
        <v>40</v>
      </c>
      <c r="M127" t="s">
        <v>56</v>
      </c>
      <c r="N127" t="s">
        <v>965</v>
      </c>
      <c r="O127" t="s">
        <v>49</v>
      </c>
      <c r="P127">
        <v>7</v>
      </c>
      <c r="Q127">
        <v>701.8</v>
      </c>
      <c r="R127">
        <v>0.1</v>
      </c>
      <c r="S127" t="str">
        <f t="shared" si="16"/>
        <v>OK</v>
      </c>
      <c r="T127">
        <v>4421.34</v>
      </c>
      <c r="U127">
        <v>2489.98</v>
      </c>
      <c r="V127">
        <v>1931.36</v>
      </c>
      <c r="W127" t="s">
        <v>110</v>
      </c>
      <c r="X127" t="s">
        <v>102</v>
      </c>
      <c r="Y127">
        <f t="shared" si="9"/>
        <v>0.1</v>
      </c>
      <c r="Z127">
        <f t="shared" si="10"/>
        <v>4421.3399999999992</v>
      </c>
      <c r="AA127">
        <f t="shared" si="11"/>
        <v>1931.3599999999992</v>
      </c>
      <c r="AB127">
        <f t="shared" si="12"/>
        <v>43.682684435035526</v>
      </c>
      <c r="AC127">
        <f t="shared" si="13"/>
        <v>2</v>
      </c>
      <c r="AD127">
        <f t="shared" si="14"/>
        <v>2024</v>
      </c>
      <c r="AE127" t="str">
        <f t="shared" si="15"/>
        <v>CLEAN</v>
      </c>
    </row>
    <row r="128" spans="1:31">
      <c r="A128" t="s">
        <v>969</v>
      </c>
      <c r="B128" s="2">
        <v>45467</v>
      </c>
      <c r="C128" s="2">
        <v>45467</v>
      </c>
      <c r="D128" s="5">
        <f>C128-B128</f>
        <v>0</v>
      </c>
      <c r="E128" s="5" t="str">
        <f>IF(D128&lt;0,"INVALID","OK")</f>
        <v>OK</v>
      </c>
      <c r="F128" t="s">
        <v>970</v>
      </c>
      <c r="G128" t="s">
        <v>140</v>
      </c>
      <c r="H128" t="s">
        <v>36</v>
      </c>
      <c r="I128" t="s">
        <v>37</v>
      </c>
      <c r="J128" t="s">
        <v>144</v>
      </c>
      <c r="K128" t="s">
        <v>145</v>
      </c>
      <c r="L128" t="s">
        <v>27</v>
      </c>
      <c r="M128" t="s">
        <v>152</v>
      </c>
      <c r="N128" t="s">
        <v>971</v>
      </c>
      <c r="O128" t="s">
        <v>43</v>
      </c>
      <c r="P128">
        <v>2</v>
      </c>
      <c r="Q128">
        <v>4359.8999999999996</v>
      </c>
      <c r="R128">
        <v>0.15</v>
      </c>
      <c r="S128" t="str">
        <f t="shared" si="16"/>
        <v>OK</v>
      </c>
      <c r="T128">
        <v>7411.83</v>
      </c>
      <c r="U128">
        <v>4904.63</v>
      </c>
      <c r="V128">
        <v>2507.1999999999998</v>
      </c>
      <c r="W128" t="s">
        <v>31</v>
      </c>
      <c r="X128" t="s">
        <v>32</v>
      </c>
      <c r="Y128">
        <f t="shared" si="9"/>
        <v>0.15</v>
      </c>
      <c r="Z128">
        <f t="shared" si="10"/>
        <v>7411.829999999999</v>
      </c>
      <c r="AA128">
        <f t="shared" si="11"/>
        <v>2507.1999999999989</v>
      </c>
      <c r="AB128">
        <f t="shared" si="12"/>
        <v>33.827003587508067</v>
      </c>
      <c r="AC128">
        <f t="shared" si="13"/>
        <v>6</v>
      </c>
      <c r="AD128">
        <f t="shared" si="14"/>
        <v>2024</v>
      </c>
      <c r="AE128" t="str">
        <f t="shared" si="15"/>
        <v>CLEAN</v>
      </c>
    </row>
    <row r="129" spans="1:31">
      <c r="A129" t="s">
        <v>978</v>
      </c>
      <c r="B129" s="2">
        <v>45387</v>
      </c>
      <c r="C129" s="2">
        <v>45392</v>
      </c>
      <c r="D129" s="5">
        <f>C129-B129</f>
        <v>5</v>
      </c>
      <c r="E129" s="5" t="str">
        <f>IF(D129&lt;0,"INVALID","OK")</f>
        <v>OK</v>
      </c>
      <c r="F129" t="s">
        <v>979</v>
      </c>
      <c r="G129" t="s">
        <v>113</v>
      </c>
      <c r="H129" t="s">
        <v>94</v>
      </c>
      <c r="I129" t="s">
        <v>24</v>
      </c>
      <c r="J129" t="s">
        <v>25</v>
      </c>
      <c r="K129" t="s">
        <v>26</v>
      </c>
      <c r="L129" t="s">
        <v>27</v>
      </c>
      <c r="M129" t="s">
        <v>152</v>
      </c>
      <c r="N129" t="s">
        <v>980</v>
      </c>
      <c r="O129" t="s">
        <v>58</v>
      </c>
      <c r="P129">
        <v>4</v>
      </c>
      <c r="Q129">
        <v>3228.66</v>
      </c>
      <c r="R129">
        <v>0.25</v>
      </c>
      <c r="S129" t="str">
        <f t="shared" si="16"/>
        <v>OK</v>
      </c>
      <c r="T129">
        <v>9685.98</v>
      </c>
      <c r="U129">
        <v>7730.04</v>
      </c>
      <c r="V129">
        <v>1955.94</v>
      </c>
      <c r="W129" t="s">
        <v>31</v>
      </c>
      <c r="X129" t="s">
        <v>32</v>
      </c>
      <c r="Y129">
        <f t="shared" si="9"/>
        <v>0.25</v>
      </c>
      <c r="Z129">
        <f t="shared" si="10"/>
        <v>9685.98</v>
      </c>
      <c r="AA129">
        <f t="shared" si="11"/>
        <v>1955.9399999999996</v>
      </c>
      <c r="AB129">
        <f t="shared" si="12"/>
        <v>20.193516815025426</v>
      </c>
      <c r="AC129">
        <f t="shared" si="13"/>
        <v>4</v>
      </c>
      <c r="AD129">
        <f t="shared" si="14"/>
        <v>2024</v>
      </c>
      <c r="AE129" t="str">
        <f t="shared" si="15"/>
        <v>CLEAN</v>
      </c>
    </row>
    <row r="130" spans="1:31">
      <c r="A130" t="s">
        <v>984</v>
      </c>
      <c r="B130" s="2">
        <v>45358</v>
      </c>
      <c r="C130" s="2">
        <v>45599</v>
      </c>
      <c r="D130" s="5">
        <f>C130-B130</f>
        <v>241</v>
      </c>
      <c r="E130" s="5" t="str">
        <f>IF(D130&lt;0,"INVALID","OK")</f>
        <v>OK</v>
      </c>
      <c r="F130" t="s">
        <v>985</v>
      </c>
      <c r="G130" t="s">
        <v>52</v>
      </c>
      <c r="H130" t="s">
        <v>94</v>
      </c>
      <c r="I130" t="s">
        <v>53</v>
      </c>
      <c r="J130" t="s">
        <v>54</v>
      </c>
      <c r="K130" t="s">
        <v>55</v>
      </c>
      <c r="L130" t="s">
        <v>73</v>
      </c>
      <c r="M130" t="s">
        <v>170</v>
      </c>
      <c r="N130" t="s">
        <v>986</v>
      </c>
      <c r="O130" t="s">
        <v>49</v>
      </c>
      <c r="P130">
        <v>2</v>
      </c>
      <c r="Q130">
        <v>4401.51</v>
      </c>
      <c r="R130">
        <v>0.65</v>
      </c>
      <c r="S130" t="str">
        <f t="shared" si="16"/>
        <v>INVALID</v>
      </c>
      <c r="T130">
        <v>8362.8700000000008</v>
      </c>
      <c r="U130">
        <v>6541.04</v>
      </c>
      <c r="V130">
        <v>1821.83</v>
      </c>
      <c r="W130" t="s">
        <v>31</v>
      </c>
      <c r="X130" t="s">
        <v>32</v>
      </c>
      <c r="Y130">
        <f t="shared" si="9"/>
        <v>0</v>
      </c>
      <c r="Z130">
        <f t="shared" si="10"/>
        <v>8803.02</v>
      </c>
      <c r="AA130">
        <f t="shared" si="11"/>
        <v>2261.9800000000005</v>
      </c>
      <c r="AB130">
        <f t="shared" si="12"/>
        <v>25.695499953425077</v>
      </c>
      <c r="AC130">
        <f t="shared" si="13"/>
        <v>3</v>
      </c>
      <c r="AD130">
        <f t="shared" si="14"/>
        <v>2024</v>
      </c>
      <c r="AE130" t="str">
        <f t="shared" si="15"/>
        <v>WARNING</v>
      </c>
    </row>
    <row r="131" spans="1:31">
      <c r="A131" t="s">
        <v>996</v>
      </c>
      <c r="B131" s="2">
        <v>45594</v>
      </c>
      <c r="C131" s="2">
        <v>45454</v>
      </c>
      <c r="D131" s="5">
        <f>C131-B131</f>
        <v>-140</v>
      </c>
      <c r="E131" s="5" t="str">
        <f>IF(D131&lt;0,"INVALID","OK")</f>
        <v>INVALID</v>
      </c>
      <c r="F131" t="s">
        <v>997</v>
      </c>
      <c r="G131" t="s">
        <v>131</v>
      </c>
      <c r="H131" t="s">
        <v>89</v>
      </c>
      <c r="I131" t="s">
        <v>53</v>
      </c>
      <c r="J131" t="s">
        <v>246</v>
      </c>
      <c r="K131" t="s">
        <v>247</v>
      </c>
      <c r="L131" t="s">
        <v>73</v>
      </c>
      <c r="M131" t="s">
        <v>79</v>
      </c>
      <c r="N131" t="s">
        <v>998</v>
      </c>
      <c r="O131" t="s">
        <v>43</v>
      </c>
      <c r="P131">
        <v>6</v>
      </c>
      <c r="Q131">
        <v>1169.92</v>
      </c>
      <c r="R131">
        <v>0.15</v>
      </c>
      <c r="S131" t="str">
        <f t="shared" si="16"/>
        <v>OK</v>
      </c>
      <c r="T131">
        <v>5966.59</v>
      </c>
      <c r="U131">
        <v>3994.72</v>
      </c>
      <c r="V131">
        <v>1971.87</v>
      </c>
      <c r="W131" t="s">
        <v>31</v>
      </c>
      <c r="X131" t="s">
        <v>32</v>
      </c>
      <c r="Y131">
        <f t="shared" ref="Y131:Y194" si="17">IF(R131&lt;0,0,IF(R131&gt;0.5,0,R131))</f>
        <v>0.15</v>
      </c>
      <c r="Z131">
        <f t="shared" ref="Z131:Z194" si="18">P131*Q131*(1-Y131)</f>
        <v>5966.5920000000006</v>
      </c>
      <c r="AA131">
        <f t="shared" ref="AA131:AA194" si="19">Z131-U131</f>
        <v>1971.8720000000008</v>
      </c>
      <c r="AB131">
        <f t="shared" ref="AB131:AB194" si="20">AA131/Z131*100</f>
        <v>33.048547646629778</v>
      </c>
      <c r="AC131">
        <f t="shared" ref="AC131:AC194" si="21">MONTH(B131)</f>
        <v>10</v>
      </c>
      <c r="AD131">
        <f t="shared" ref="AD131:AD194" si="22">YEAR(B131)</f>
        <v>2024</v>
      </c>
      <c r="AE131" t="str">
        <f t="shared" ref="AE131:AE194" si="23">IF(OR(R131&lt;0,NOT(ISNUMBER(R131)),D131&lt;0,W131="Failed"),"INVALID",IF(OR(I131="",O131="",R131="",R131&gt;0.5,AA131&lt;0),"WARNING","CLEAN"))</f>
        <v>INVALID</v>
      </c>
    </row>
    <row r="132" spans="1:31">
      <c r="A132" t="s">
        <v>1002</v>
      </c>
      <c r="B132" s="2">
        <v>45454</v>
      </c>
      <c r="C132" s="2">
        <v>45608</v>
      </c>
      <c r="D132" s="5">
        <f>C132-B132</f>
        <v>154</v>
      </c>
      <c r="E132" s="5" t="str">
        <f>IF(D132&lt;0,"INVALID","OK")</f>
        <v>OK</v>
      </c>
      <c r="F132" t="s">
        <v>1003</v>
      </c>
      <c r="G132" t="s">
        <v>117</v>
      </c>
      <c r="H132" t="s">
        <v>36</v>
      </c>
      <c r="I132" t="s">
        <v>62</v>
      </c>
      <c r="J132" t="s">
        <v>179</v>
      </c>
      <c r="K132" t="s">
        <v>180</v>
      </c>
      <c r="L132" t="s">
        <v>73</v>
      </c>
      <c r="M132" t="s">
        <v>74</v>
      </c>
      <c r="N132" t="s">
        <v>1004</v>
      </c>
      <c r="O132" t="s">
        <v>58</v>
      </c>
      <c r="P132">
        <v>7</v>
      </c>
      <c r="Q132">
        <v>1719.05</v>
      </c>
      <c r="R132">
        <v>0.1</v>
      </c>
      <c r="S132" t="str">
        <f t="shared" si="16"/>
        <v>OK</v>
      </c>
      <c r="T132">
        <v>10830.02</v>
      </c>
      <c r="U132">
        <v>7055.31</v>
      </c>
      <c r="V132">
        <v>3774.71</v>
      </c>
      <c r="W132" t="s">
        <v>31</v>
      </c>
      <c r="X132" t="s">
        <v>32</v>
      </c>
      <c r="Y132">
        <f t="shared" si="17"/>
        <v>0.1</v>
      </c>
      <c r="Z132">
        <f t="shared" si="18"/>
        <v>10830.015000000001</v>
      </c>
      <c r="AA132">
        <f t="shared" si="19"/>
        <v>3774.7050000000008</v>
      </c>
      <c r="AB132">
        <f t="shared" si="20"/>
        <v>34.854106850267527</v>
      </c>
      <c r="AC132">
        <f t="shared" si="21"/>
        <v>6</v>
      </c>
      <c r="AD132">
        <f t="shared" si="22"/>
        <v>2024</v>
      </c>
      <c r="AE132" t="str">
        <f t="shared" si="23"/>
        <v>CLEAN</v>
      </c>
    </row>
    <row r="133" spans="1:31">
      <c r="A133" t="s">
        <v>1005</v>
      </c>
      <c r="B133" s="2">
        <v>45397</v>
      </c>
      <c r="C133" s="2">
        <v>45405</v>
      </c>
      <c r="D133" s="5">
        <f>C133-B133</f>
        <v>8</v>
      </c>
      <c r="E133" s="5" t="str">
        <f>IF(D133&lt;0,"INVALID","OK")</f>
        <v>OK</v>
      </c>
      <c r="F133" t="s">
        <v>1006</v>
      </c>
      <c r="G133" t="s">
        <v>161</v>
      </c>
      <c r="H133" t="s">
        <v>36</v>
      </c>
      <c r="I133" t="s">
        <v>24</v>
      </c>
      <c r="J133" t="s">
        <v>121</v>
      </c>
      <c r="K133" t="s">
        <v>122</v>
      </c>
      <c r="L133" t="s">
        <v>73</v>
      </c>
      <c r="M133" t="s">
        <v>74</v>
      </c>
      <c r="N133" t="s">
        <v>1007</v>
      </c>
      <c r="O133" t="s">
        <v>30</v>
      </c>
      <c r="P133">
        <v>9</v>
      </c>
      <c r="Q133">
        <v>3893.74</v>
      </c>
      <c r="R133">
        <v>0.1</v>
      </c>
      <c r="S133" t="str">
        <f t="shared" si="16"/>
        <v>OK</v>
      </c>
      <c r="T133">
        <v>31539.29</v>
      </c>
      <c r="U133">
        <v>22100.14</v>
      </c>
      <c r="V133">
        <v>9439.15</v>
      </c>
      <c r="W133" t="s">
        <v>31</v>
      </c>
      <c r="X133" t="s">
        <v>32</v>
      </c>
      <c r="Y133">
        <f t="shared" si="17"/>
        <v>0.1</v>
      </c>
      <c r="Z133">
        <f t="shared" si="18"/>
        <v>31539.293999999998</v>
      </c>
      <c r="AA133">
        <f t="shared" si="19"/>
        <v>9439.1539999999986</v>
      </c>
      <c r="AB133">
        <f t="shared" si="20"/>
        <v>29.928234918638314</v>
      </c>
      <c r="AC133">
        <f t="shared" si="21"/>
        <v>4</v>
      </c>
      <c r="AD133">
        <f t="shared" si="22"/>
        <v>2024</v>
      </c>
      <c r="AE133" t="str">
        <f t="shared" si="23"/>
        <v>CLEAN</v>
      </c>
    </row>
    <row r="134" spans="1:31">
      <c r="A134" t="s">
        <v>1014</v>
      </c>
      <c r="B134" s="2">
        <v>45466</v>
      </c>
      <c r="C134" s="2">
        <v>45471</v>
      </c>
      <c r="D134" s="5">
        <f>C134-B134</f>
        <v>5</v>
      </c>
      <c r="E134" s="5" t="str">
        <f>IF(D134&lt;0,"INVALID","OK")</f>
        <v>OK</v>
      </c>
      <c r="F134" t="s">
        <v>1015</v>
      </c>
      <c r="G134" t="s">
        <v>161</v>
      </c>
      <c r="H134" t="s">
        <v>94</v>
      </c>
      <c r="I134" t="s">
        <v>62</v>
      </c>
      <c r="J134" t="s">
        <v>179</v>
      </c>
      <c r="K134" t="s">
        <v>180</v>
      </c>
      <c r="L134" t="s">
        <v>40</v>
      </c>
      <c r="M134" t="s">
        <v>65</v>
      </c>
      <c r="N134" t="s">
        <v>1016</v>
      </c>
      <c r="O134" t="s">
        <v>58</v>
      </c>
      <c r="P134">
        <v>2</v>
      </c>
      <c r="Q134">
        <v>1313.14</v>
      </c>
      <c r="R134">
        <v>0.1</v>
      </c>
      <c r="S134" t="str">
        <f t="shared" si="16"/>
        <v>OK</v>
      </c>
      <c r="T134">
        <v>2363.65</v>
      </c>
      <c r="U134">
        <v>1876.1</v>
      </c>
      <c r="V134">
        <v>487.55</v>
      </c>
      <c r="W134" t="s">
        <v>110</v>
      </c>
      <c r="X134" t="s">
        <v>102</v>
      </c>
      <c r="Y134">
        <f t="shared" si="17"/>
        <v>0.1</v>
      </c>
      <c r="Z134">
        <f t="shared" si="18"/>
        <v>2363.652</v>
      </c>
      <c r="AA134">
        <f t="shared" si="19"/>
        <v>487.55200000000013</v>
      </c>
      <c r="AB134">
        <f t="shared" si="20"/>
        <v>20.627063544041174</v>
      </c>
      <c r="AC134">
        <f t="shared" si="21"/>
        <v>6</v>
      </c>
      <c r="AD134">
        <f t="shared" si="22"/>
        <v>2024</v>
      </c>
      <c r="AE134" t="str">
        <f t="shared" si="23"/>
        <v>CLEAN</v>
      </c>
    </row>
    <row r="135" spans="1:31">
      <c r="A135" t="s">
        <v>1017</v>
      </c>
      <c r="B135" s="2">
        <v>45357</v>
      </c>
      <c r="C135" s="2">
        <v>45364</v>
      </c>
      <c r="D135" s="5">
        <f>C135-B135</f>
        <v>7</v>
      </c>
      <c r="E135" s="5" t="str">
        <f>IF(D135&lt;0,"INVALID","OK")</f>
        <v>OK</v>
      </c>
      <c r="F135" t="s">
        <v>1018</v>
      </c>
      <c r="G135" t="s">
        <v>22</v>
      </c>
      <c r="H135" t="s">
        <v>23</v>
      </c>
      <c r="I135" t="s">
        <v>24</v>
      </c>
      <c r="J135" t="s">
        <v>121</v>
      </c>
      <c r="K135" t="s">
        <v>122</v>
      </c>
      <c r="L135" t="s">
        <v>40</v>
      </c>
      <c r="M135" t="s">
        <v>56</v>
      </c>
      <c r="N135" t="s">
        <v>1019</v>
      </c>
      <c r="O135" t="s">
        <v>58</v>
      </c>
      <c r="P135">
        <v>6</v>
      </c>
      <c r="Q135">
        <v>2403.0500000000002</v>
      </c>
      <c r="R135">
        <v>0.1</v>
      </c>
      <c r="S135" t="str">
        <f t="shared" si="16"/>
        <v>OK</v>
      </c>
      <c r="T135">
        <v>12976.47</v>
      </c>
      <c r="U135">
        <v>10019.98</v>
      </c>
      <c r="V135">
        <v>2956.49</v>
      </c>
      <c r="W135" t="s">
        <v>31</v>
      </c>
      <c r="X135" t="s">
        <v>32</v>
      </c>
      <c r="Y135">
        <f t="shared" si="17"/>
        <v>0.1</v>
      </c>
      <c r="Z135">
        <f t="shared" si="18"/>
        <v>12976.470000000001</v>
      </c>
      <c r="AA135">
        <f t="shared" si="19"/>
        <v>2956.4900000000016</v>
      </c>
      <c r="AB135">
        <f t="shared" si="20"/>
        <v>22.783468847845377</v>
      </c>
      <c r="AC135">
        <f t="shared" si="21"/>
        <v>3</v>
      </c>
      <c r="AD135">
        <f t="shared" si="22"/>
        <v>2024</v>
      </c>
      <c r="AE135" t="str">
        <f t="shared" si="23"/>
        <v>CLEAN</v>
      </c>
    </row>
    <row r="136" spans="1:31">
      <c r="A136" t="s">
        <v>1035</v>
      </c>
      <c r="B136" s="2">
        <v>45389</v>
      </c>
      <c r="C136" s="2">
        <v>45511</v>
      </c>
      <c r="D136" s="5">
        <f>C136-B136</f>
        <v>122</v>
      </c>
      <c r="E136" s="5" t="str">
        <f>IF(D136&lt;0,"INVALID","OK")</f>
        <v>OK</v>
      </c>
      <c r="F136" t="s">
        <v>1036</v>
      </c>
      <c r="G136" t="s">
        <v>140</v>
      </c>
      <c r="H136" t="s">
        <v>36</v>
      </c>
      <c r="I136" t="s">
        <v>53</v>
      </c>
      <c r="J136" t="s">
        <v>246</v>
      </c>
      <c r="K136" t="s">
        <v>247</v>
      </c>
      <c r="L136" t="s">
        <v>73</v>
      </c>
      <c r="M136" t="s">
        <v>273</v>
      </c>
      <c r="N136" t="s">
        <v>1037</v>
      </c>
      <c r="O136" t="s">
        <v>49</v>
      </c>
      <c r="P136">
        <v>8</v>
      </c>
      <c r="Q136">
        <v>2034.25</v>
      </c>
      <c r="R136">
        <v>0</v>
      </c>
      <c r="S136" t="str">
        <f t="shared" si="16"/>
        <v>OK</v>
      </c>
      <c r="T136">
        <v>16274</v>
      </c>
      <c r="U136">
        <v>9424.25</v>
      </c>
      <c r="V136">
        <v>6849.75</v>
      </c>
      <c r="W136" t="s">
        <v>31</v>
      </c>
      <c r="X136" t="s">
        <v>32</v>
      </c>
      <c r="Y136">
        <f t="shared" si="17"/>
        <v>0</v>
      </c>
      <c r="Z136">
        <f t="shared" si="18"/>
        <v>16274</v>
      </c>
      <c r="AA136">
        <f t="shared" si="19"/>
        <v>6849.75</v>
      </c>
      <c r="AB136">
        <f t="shared" si="20"/>
        <v>42.09014378763672</v>
      </c>
      <c r="AC136">
        <f t="shared" si="21"/>
        <v>4</v>
      </c>
      <c r="AD136">
        <f t="shared" si="22"/>
        <v>2024</v>
      </c>
      <c r="AE136" t="str">
        <f t="shared" si="23"/>
        <v>CLEAN</v>
      </c>
    </row>
    <row r="137" spans="1:31">
      <c r="A137" t="s">
        <v>1038</v>
      </c>
      <c r="B137" s="2">
        <v>45409</v>
      </c>
      <c r="C137" s="2">
        <v>45327</v>
      </c>
      <c r="D137" s="5">
        <f>C137-B137</f>
        <v>-82</v>
      </c>
      <c r="E137" s="5" t="str">
        <f>IF(D137&lt;0,"INVALID","OK")</f>
        <v>INVALID</v>
      </c>
      <c r="F137" t="s">
        <v>1039</v>
      </c>
      <c r="G137" t="s">
        <v>35</v>
      </c>
      <c r="H137" t="s">
        <v>89</v>
      </c>
      <c r="I137" t="s">
        <v>53</v>
      </c>
      <c r="J137" t="s">
        <v>174</v>
      </c>
      <c r="K137" t="s">
        <v>175</v>
      </c>
      <c r="L137" t="s">
        <v>27</v>
      </c>
      <c r="M137" t="s">
        <v>152</v>
      </c>
      <c r="N137" t="s">
        <v>1040</v>
      </c>
      <c r="O137" t="s">
        <v>30</v>
      </c>
      <c r="P137">
        <v>5</v>
      </c>
      <c r="Q137">
        <v>554.04</v>
      </c>
      <c r="R137">
        <v>0.1</v>
      </c>
      <c r="S137" t="str">
        <f t="shared" si="16"/>
        <v>OK</v>
      </c>
      <c r="T137">
        <v>2493.1799999999998</v>
      </c>
      <c r="U137">
        <v>1764</v>
      </c>
      <c r="V137">
        <v>729.18</v>
      </c>
      <c r="W137" t="s">
        <v>31</v>
      </c>
      <c r="X137" t="s">
        <v>32</v>
      </c>
      <c r="Y137">
        <f t="shared" si="17"/>
        <v>0.1</v>
      </c>
      <c r="Z137">
        <f t="shared" si="18"/>
        <v>2493.1799999999998</v>
      </c>
      <c r="AA137">
        <f t="shared" si="19"/>
        <v>729.17999999999984</v>
      </c>
      <c r="AB137">
        <f t="shared" si="20"/>
        <v>29.246985777200194</v>
      </c>
      <c r="AC137">
        <f t="shared" si="21"/>
        <v>4</v>
      </c>
      <c r="AD137">
        <f t="shared" si="22"/>
        <v>2024</v>
      </c>
      <c r="AE137" t="str">
        <f t="shared" si="23"/>
        <v>INVALID</v>
      </c>
    </row>
    <row r="138" spans="1:31">
      <c r="A138" t="s">
        <v>1050</v>
      </c>
      <c r="B138" s="2">
        <v>45475</v>
      </c>
      <c r="C138" s="2">
        <v>45481</v>
      </c>
      <c r="D138" s="5">
        <f>C138-B138</f>
        <v>6</v>
      </c>
      <c r="E138" s="5" t="str">
        <f>IF(D138&lt;0,"INVALID","OK")</f>
        <v>OK</v>
      </c>
      <c r="F138" t="s">
        <v>1051</v>
      </c>
      <c r="G138" t="s">
        <v>140</v>
      </c>
      <c r="H138" t="s">
        <v>23</v>
      </c>
      <c r="I138" t="s">
        <v>24</v>
      </c>
      <c r="J138" t="s">
        <v>349</v>
      </c>
      <c r="K138" t="s">
        <v>350</v>
      </c>
      <c r="L138" t="s">
        <v>27</v>
      </c>
      <c r="M138" t="s">
        <v>28</v>
      </c>
      <c r="N138" t="s">
        <v>1052</v>
      </c>
      <c r="O138" t="s">
        <v>58</v>
      </c>
      <c r="P138">
        <v>9</v>
      </c>
      <c r="Q138">
        <v>3450.4</v>
      </c>
      <c r="R138">
        <v>0.05</v>
      </c>
      <c r="S138" t="str">
        <f t="shared" si="16"/>
        <v>OK</v>
      </c>
      <c r="T138">
        <v>29500.92</v>
      </c>
      <c r="U138">
        <v>17989.68</v>
      </c>
      <c r="V138">
        <v>11511.24</v>
      </c>
      <c r="W138" t="s">
        <v>110</v>
      </c>
      <c r="X138" t="s">
        <v>102</v>
      </c>
      <c r="Y138">
        <f t="shared" si="17"/>
        <v>0.05</v>
      </c>
      <c r="Z138">
        <f t="shared" si="18"/>
        <v>29500.920000000002</v>
      </c>
      <c r="AA138">
        <f t="shared" si="19"/>
        <v>11511.240000000002</v>
      </c>
      <c r="AB138">
        <f t="shared" si="20"/>
        <v>39.019935649464493</v>
      </c>
      <c r="AC138">
        <f t="shared" si="21"/>
        <v>7</v>
      </c>
      <c r="AD138">
        <f t="shared" si="22"/>
        <v>2024</v>
      </c>
      <c r="AE138" t="str">
        <f t="shared" si="23"/>
        <v>CLEAN</v>
      </c>
    </row>
    <row r="139" spans="1:31">
      <c r="A139" t="s">
        <v>1059</v>
      </c>
      <c r="B139" s="2">
        <v>45407</v>
      </c>
      <c r="C139" s="2">
        <v>45412</v>
      </c>
      <c r="D139" s="5">
        <f>C139-B139</f>
        <v>5</v>
      </c>
      <c r="E139" s="5" t="str">
        <f>IF(D139&lt;0,"INVALID","OK")</f>
        <v>OK</v>
      </c>
      <c r="F139" t="s">
        <v>1060</v>
      </c>
      <c r="G139" t="s">
        <v>35</v>
      </c>
      <c r="H139" t="s">
        <v>36</v>
      </c>
      <c r="I139" t="s">
        <v>53</v>
      </c>
      <c r="J139" t="s">
        <v>174</v>
      </c>
      <c r="K139" t="s">
        <v>175</v>
      </c>
      <c r="L139" t="s">
        <v>73</v>
      </c>
      <c r="M139" t="s">
        <v>170</v>
      </c>
      <c r="N139" t="s">
        <v>1061</v>
      </c>
      <c r="O139" t="s">
        <v>58</v>
      </c>
      <c r="P139">
        <v>3</v>
      </c>
      <c r="Q139">
        <v>4149.46</v>
      </c>
      <c r="R139">
        <v>0.1</v>
      </c>
      <c r="S139" t="str">
        <f t="shared" si="16"/>
        <v>OK</v>
      </c>
      <c r="T139">
        <v>11203.54</v>
      </c>
      <c r="U139">
        <v>8452.93</v>
      </c>
      <c r="V139">
        <v>2750.61</v>
      </c>
      <c r="W139" t="s">
        <v>31</v>
      </c>
      <c r="X139" t="s">
        <v>32</v>
      </c>
      <c r="Y139">
        <f t="shared" si="17"/>
        <v>0.1</v>
      </c>
      <c r="Z139">
        <f t="shared" si="18"/>
        <v>11203.542000000001</v>
      </c>
      <c r="AA139">
        <f t="shared" si="19"/>
        <v>2750.612000000001</v>
      </c>
      <c r="AB139">
        <f t="shared" si="20"/>
        <v>24.551271374713469</v>
      </c>
      <c r="AC139">
        <f t="shared" si="21"/>
        <v>4</v>
      </c>
      <c r="AD139">
        <f t="shared" si="22"/>
        <v>2024</v>
      </c>
      <c r="AE139" t="str">
        <f t="shared" si="23"/>
        <v>CLEAN</v>
      </c>
    </row>
    <row r="140" spans="1:31">
      <c r="A140" t="s">
        <v>1062</v>
      </c>
      <c r="B140" s="2">
        <v>45525</v>
      </c>
      <c r="C140" s="2">
        <v>45529</v>
      </c>
      <c r="D140" s="5">
        <f>C140-B140</f>
        <v>4</v>
      </c>
      <c r="E140" s="5" t="str">
        <f>IF(D140&lt;0,"INVALID","OK")</f>
        <v>OK</v>
      </c>
      <c r="F140" t="s">
        <v>1063</v>
      </c>
      <c r="G140" t="s">
        <v>161</v>
      </c>
      <c r="H140" t="s">
        <v>23</v>
      </c>
      <c r="I140" t="s">
        <v>62</v>
      </c>
      <c r="J140" t="s">
        <v>179</v>
      </c>
      <c r="K140" t="s">
        <v>180</v>
      </c>
      <c r="L140" t="s">
        <v>27</v>
      </c>
      <c r="M140" t="s">
        <v>152</v>
      </c>
      <c r="N140" t="s">
        <v>1064</v>
      </c>
      <c r="O140" t="s">
        <v>49</v>
      </c>
      <c r="P140">
        <v>1</v>
      </c>
      <c r="Q140">
        <v>270.27999999999997</v>
      </c>
      <c r="R140">
        <v>0</v>
      </c>
      <c r="S140" t="str">
        <f t="shared" si="16"/>
        <v>OK</v>
      </c>
      <c r="T140">
        <v>270.27999999999997</v>
      </c>
      <c r="U140">
        <v>156.34</v>
      </c>
      <c r="V140">
        <v>113.94</v>
      </c>
      <c r="W140" t="s">
        <v>31</v>
      </c>
      <c r="X140" t="s">
        <v>32</v>
      </c>
      <c r="Y140">
        <f t="shared" si="17"/>
        <v>0</v>
      </c>
      <c r="Z140">
        <f t="shared" si="18"/>
        <v>270.27999999999997</v>
      </c>
      <c r="AA140">
        <f t="shared" si="19"/>
        <v>113.93999999999997</v>
      </c>
      <c r="AB140">
        <f t="shared" si="20"/>
        <v>42.156282373834536</v>
      </c>
      <c r="AC140">
        <f t="shared" si="21"/>
        <v>8</v>
      </c>
      <c r="AD140">
        <f t="shared" si="22"/>
        <v>2024</v>
      </c>
      <c r="AE140" t="str">
        <f t="shared" si="23"/>
        <v>CLEAN</v>
      </c>
    </row>
    <row r="141" spans="1:31">
      <c r="A141" t="s">
        <v>1065</v>
      </c>
      <c r="B141" s="2">
        <v>45630</v>
      </c>
      <c r="C141" s="2">
        <v>45632</v>
      </c>
      <c r="D141" s="5">
        <f>C141-B141</f>
        <v>2</v>
      </c>
      <c r="E141" s="5" t="str">
        <f>IF(D141&lt;0,"INVALID","OK")</f>
        <v>OK</v>
      </c>
      <c r="F141" t="s">
        <v>1066</v>
      </c>
      <c r="G141" t="s">
        <v>127</v>
      </c>
      <c r="H141" t="s">
        <v>94</v>
      </c>
      <c r="I141" t="s">
        <v>37</v>
      </c>
      <c r="J141" t="s">
        <v>98</v>
      </c>
      <c r="K141" t="s">
        <v>99</v>
      </c>
      <c r="L141" t="s">
        <v>27</v>
      </c>
      <c r="M141" t="s">
        <v>47</v>
      </c>
      <c r="N141" t="s">
        <v>1067</v>
      </c>
      <c r="O141" t="s">
        <v>30</v>
      </c>
      <c r="P141">
        <v>3</v>
      </c>
      <c r="Q141">
        <v>876.14</v>
      </c>
      <c r="R141" t="s">
        <v>462</v>
      </c>
      <c r="S141" t="str">
        <f t="shared" si="16"/>
        <v>INVALID</v>
      </c>
      <c r="T141">
        <v>2628.42</v>
      </c>
      <c r="U141">
        <v>1541.54</v>
      </c>
      <c r="V141">
        <v>1086.8800000000001</v>
      </c>
      <c r="W141" t="s">
        <v>110</v>
      </c>
      <c r="X141" t="s">
        <v>102</v>
      </c>
      <c r="Y141">
        <f t="shared" si="17"/>
        <v>0</v>
      </c>
      <c r="Z141">
        <f t="shared" si="18"/>
        <v>2628.42</v>
      </c>
      <c r="AA141">
        <f t="shared" si="19"/>
        <v>1086.8800000000001</v>
      </c>
      <c r="AB141">
        <f t="shared" si="20"/>
        <v>41.351077833831731</v>
      </c>
      <c r="AC141">
        <f t="shared" si="21"/>
        <v>12</v>
      </c>
      <c r="AD141">
        <f t="shared" si="22"/>
        <v>2024</v>
      </c>
      <c r="AE141" t="str">
        <f t="shared" si="23"/>
        <v>INVALID</v>
      </c>
    </row>
    <row r="142" spans="1:31">
      <c r="A142" t="s">
        <v>1071</v>
      </c>
      <c r="B142" s="2">
        <v>45608</v>
      </c>
      <c r="C142" s="2">
        <v>45637</v>
      </c>
      <c r="D142" s="5">
        <f>C142-B142</f>
        <v>29</v>
      </c>
      <c r="E142" s="5" t="str">
        <f>IF(D142&lt;0,"INVALID","OK")</f>
        <v>OK</v>
      </c>
      <c r="F142" t="s">
        <v>1072</v>
      </c>
      <c r="G142" t="s">
        <v>46</v>
      </c>
      <c r="H142" t="s">
        <v>23</v>
      </c>
      <c r="I142" t="s">
        <v>24</v>
      </c>
      <c r="J142" t="s">
        <v>135</v>
      </c>
      <c r="K142" t="s">
        <v>136</v>
      </c>
      <c r="L142" t="s">
        <v>73</v>
      </c>
      <c r="M142" t="s">
        <v>170</v>
      </c>
      <c r="N142" t="s">
        <v>1073</v>
      </c>
      <c r="O142" t="s">
        <v>30</v>
      </c>
      <c r="P142">
        <v>6</v>
      </c>
      <c r="Q142">
        <v>1369.48</v>
      </c>
      <c r="R142">
        <v>0.15</v>
      </c>
      <c r="S142" t="str">
        <f t="shared" si="16"/>
        <v>OK</v>
      </c>
      <c r="T142">
        <v>6984.35</v>
      </c>
      <c r="U142">
        <v>4023.63</v>
      </c>
      <c r="V142">
        <v>2960.72</v>
      </c>
      <c r="W142" t="s">
        <v>31</v>
      </c>
      <c r="X142" t="s">
        <v>32</v>
      </c>
      <c r="Y142">
        <f t="shared" si="17"/>
        <v>0.15</v>
      </c>
      <c r="Z142">
        <f t="shared" si="18"/>
        <v>6984.3480000000009</v>
      </c>
      <c r="AA142">
        <f t="shared" si="19"/>
        <v>2960.7180000000008</v>
      </c>
      <c r="AB142">
        <f t="shared" si="20"/>
        <v>42.390757161584737</v>
      </c>
      <c r="AC142">
        <f t="shared" si="21"/>
        <v>11</v>
      </c>
      <c r="AD142">
        <f t="shared" si="22"/>
        <v>2024</v>
      </c>
      <c r="AE142" t="str">
        <f t="shared" si="23"/>
        <v>CLEAN</v>
      </c>
    </row>
    <row r="143" spans="1:31">
      <c r="A143" t="s">
        <v>1074</v>
      </c>
      <c r="B143" s="2">
        <v>45347</v>
      </c>
      <c r="C143" s="2">
        <v>45351</v>
      </c>
      <c r="D143" s="5">
        <f>C143-B143</f>
        <v>4</v>
      </c>
      <c r="E143" s="5" t="str">
        <f>IF(D143&lt;0,"INVALID","OK")</f>
        <v>OK</v>
      </c>
      <c r="F143" t="s">
        <v>1075</v>
      </c>
      <c r="G143" t="s">
        <v>46</v>
      </c>
      <c r="H143" t="s">
        <v>36</v>
      </c>
      <c r="I143" t="s">
        <v>62</v>
      </c>
      <c r="J143" t="s">
        <v>189</v>
      </c>
      <c r="K143" t="s">
        <v>190</v>
      </c>
      <c r="L143" t="s">
        <v>40</v>
      </c>
      <c r="M143" t="s">
        <v>56</v>
      </c>
      <c r="N143" t="s">
        <v>149</v>
      </c>
      <c r="O143" t="s">
        <v>58</v>
      </c>
      <c r="P143">
        <v>9</v>
      </c>
      <c r="Q143">
        <v>1331.46</v>
      </c>
      <c r="R143">
        <v>0.15</v>
      </c>
      <c r="S143" t="str">
        <f t="shared" si="16"/>
        <v>OK</v>
      </c>
      <c r="T143">
        <v>10185.67</v>
      </c>
      <c r="U143">
        <v>6479.31</v>
      </c>
      <c r="V143">
        <v>3706.36</v>
      </c>
      <c r="W143" t="s">
        <v>31</v>
      </c>
      <c r="X143" t="s">
        <v>32</v>
      </c>
      <c r="Y143">
        <f t="shared" si="17"/>
        <v>0.15</v>
      </c>
      <c r="Z143">
        <f t="shared" si="18"/>
        <v>10185.669</v>
      </c>
      <c r="AA143">
        <f t="shared" si="19"/>
        <v>3706.3589999999995</v>
      </c>
      <c r="AB143">
        <f t="shared" si="20"/>
        <v>36.387978050337189</v>
      </c>
      <c r="AC143">
        <f t="shared" si="21"/>
        <v>2</v>
      </c>
      <c r="AD143">
        <f t="shared" si="22"/>
        <v>2024</v>
      </c>
      <c r="AE143" t="str">
        <f t="shared" si="23"/>
        <v>CLEAN</v>
      </c>
    </row>
    <row r="144" spans="1:31">
      <c r="A144" t="s">
        <v>1097</v>
      </c>
      <c r="B144" s="2">
        <v>45394</v>
      </c>
      <c r="C144" s="2">
        <v>45632</v>
      </c>
      <c r="D144" s="5">
        <f>C144-B144</f>
        <v>238</v>
      </c>
      <c r="E144" s="5" t="str">
        <f>IF(D144&lt;0,"INVALID","OK")</f>
        <v>OK</v>
      </c>
      <c r="F144" t="s">
        <v>1098</v>
      </c>
      <c r="G144" t="s">
        <v>131</v>
      </c>
      <c r="H144" t="s">
        <v>94</v>
      </c>
      <c r="I144" t="s">
        <v>37</v>
      </c>
      <c r="J144" t="s">
        <v>38</v>
      </c>
      <c r="K144" t="s">
        <v>39</v>
      </c>
      <c r="L144" t="s">
        <v>27</v>
      </c>
      <c r="M144" t="s">
        <v>152</v>
      </c>
      <c r="N144" t="s">
        <v>1099</v>
      </c>
      <c r="O144" t="s">
        <v>30</v>
      </c>
      <c r="P144">
        <v>4</v>
      </c>
      <c r="Q144">
        <v>2685.66</v>
      </c>
      <c r="R144">
        <v>0</v>
      </c>
      <c r="S144" t="str">
        <f t="shared" si="16"/>
        <v>OK</v>
      </c>
      <c r="T144">
        <v>10742.64</v>
      </c>
      <c r="U144">
        <v>6477.37</v>
      </c>
      <c r="V144">
        <v>4265.2700000000004</v>
      </c>
      <c r="W144" t="s">
        <v>31</v>
      </c>
      <c r="X144" t="s">
        <v>102</v>
      </c>
      <c r="Y144">
        <f t="shared" si="17"/>
        <v>0</v>
      </c>
      <c r="Z144">
        <f t="shared" si="18"/>
        <v>10742.64</v>
      </c>
      <c r="AA144">
        <f t="shared" si="19"/>
        <v>4265.2699999999995</v>
      </c>
      <c r="AB144">
        <f t="shared" si="20"/>
        <v>39.704113700170538</v>
      </c>
      <c r="AC144">
        <f t="shared" si="21"/>
        <v>4</v>
      </c>
      <c r="AD144">
        <f t="shared" si="22"/>
        <v>2024</v>
      </c>
      <c r="AE144" t="str">
        <f t="shared" si="23"/>
        <v>CLEAN</v>
      </c>
    </row>
    <row r="145" spans="1:31">
      <c r="A145" t="s">
        <v>1097</v>
      </c>
      <c r="B145" s="2">
        <v>45394</v>
      </c>
      <c r="C145" s="2">
        <v>45632</v>
      </c>
      <c r="D145" s="5">
        <f>C145-B145</f>
        <v>238</v>
      </c>
      <c r="E145" s="5" t="str">
        <f>IF(D145&lt;0,"INVALID","OK")</f>
        <v>OK</v>
      </c>
      <c r="F145" t="s">
        <v>1098</v>
      </c>
      <c r="G145" t="s">
        <v>131</v>
      </c>
      <c r="H145" t="s">
        <v>94</v>
      </c>
      <c r="I145" t="s">
        <v>37</v>
      </c>
      <c r="J145" t="s">
        <v>38</v>
      </c>
      <c r="K145" t="s">
        <v>39</v>
      </c>
      <c r="L145" t="s">
        <v>27</v>
      </c>
      <c r="M145" t="s">
        <v>152</v>
      </c>
      <c r="N145" t="s">
        <v>1099</v>
      </c>
      <c r="O145" t="s">
        <v>30</v>
      </c>
      <c r="P145">
        <v>4</v>
      </c>
      <c r="Q145">
        <v>2685.66</v>
      </c>
      <c r="R145">
        <v>0</v>
      </c>
      <c r="S145" t="str">
        <f t="shared" si="16"/>
        <v>OK</v>
      </c>
      <c r="T145">
        <v>10989.89</v>
      </c>
      <c r="U145">
        <v>6477.37</v>
      </c>
      <c r="V145">
        <v>4265.2700000000004</v>
      </c>
      <c r="W145" t="s">
        <v>31</v>
      </c>
      <c r="X145" t="s">
        <v>32</v>
      </c>
      <c r="Y145">
        <f t="shared" si="17"/>
        <v>0</v>
      </c>
      <c r="Z145">
        <f t="shared" si="18"/>
        <v>10742.64</v>
      </c>
      <c r="AA145">
        <f t="shared" si="19"/>
        <v>4265.2699999999995</v>
      </c>
      <c r="AB145">
        <f t="shared" si="20"/>
        <v>39.704113700170538</v>
      </c>
      <c r="AC145">
        <f t="shared" si="21"/>
        <v>4</v>
      </c>
      <c r="AD145">
        <f t="shared" si="22"/>
        <v>2024</v>
      </c>
      <c r="AE145" t="str">
        <f t="shared" si="23"/>
        <v>CLEAN</v>
      </c>
    </row>
    <row r="146" spans="1:31">
      <c r="A146" t="s">
        <v>1106</v>
      </c>
      <c r="B146" s="2">
        <v>45547</v>
      </c>
      <c r="C146" s="2">
        <v>45552</v>
      </c>
      <c r="D146" s="5">
        <f>C146-B146</f>
        <v>5</v>
      </c>
      <c r="E146" s="5" t="str">
        <f>IF(D146&lt;0,"INVALID","OK")</f>
        <v>OK</v>
      </c>
      <c r="F146" t="s">
        <v>1107</v>
      </c>
      <c r="G146" t="s">
        <v>61</v>
      </c>
      <c r="H146" t="s">
        <v>23</v>
      </c>
      <c r="I146" t="s">
        <v>37</v>
      </c>
      <c r="J146" t="s">
        <v>227</v>
      </c>
      <c r="K146" t="s">
        <v>228</v>
      </c>
      <c r="L146" t="s">
        <v>27</v>
      </c>
      <c r="M146" t="s">
        <v>123</v>
      </c>
      <c r="N146" t="s">
        <v>1108</v>
      </c>
      <c r="O146" t="s">
        <v>49</v>
      </c>
      <c r="P146">
        <v>9</v>
      </c>
      <c r="Q146">
        <v>1921.47</v>
      </c>
      <c r="R146">
        <v>0.25</v>
      </c>
      <c r="S146" t="str">
        <f t="shared" si="16"/>
        <v>OK</v>
      </c>
      <c r="T146">
        <v>12969.92</v>
      </c>
      <c r="U146">
        <v>9398.4599999999991</v>
      </c>
      <c r="V146">
        <v>3571.46</v>
      </c>
      <c r="W146" t="s">
        <v>31</v>
      </c>
      <c r="X146" t="s">
        <v>32</v>
      </c>
      <c r="Y146">
        <f t="shared" si="17"/>
        <v>0.25</v>
      </c>
      <c r="Z146">
        <f t="shared" si="18"/>
        <v>12969.922500000001</v>
      </c>
      <c r="AA146">
        <f t="shared" si="19"/>
        <v>3571.4625000000015</v>
      </c>
      <c r="AB146">
        <f t="shared" si="20"/>
        <v>27.536498386941027</v>
      </c>
      <c r="AC146">
        <f t="shared" si="21"/>
        <v>9</v>
      </c>
      <c r="AD146">
        <f t="shared" si="22"/>
        <v>2024</v>
      </c>
      <c r="AE146" t="str">
        <f t="shared" si="23"/>
        <v>CLEAN</v>
      </c>
    </row>
    <row r="147" spans="1:31">
      <c r="A147" t="s">
        <v>1112</v>
      </c>
      <c r="B147" s="2">
        <v>45368</v>
      </c>
      <c r="C147" s="2">
        <v>45372</v>
      </c>
      <c r="D147" s="5">
        <f>C147-B147</f>
        <v>4</v>
      </c>
      <c r="E147" s="5" t="str">
        <f>IF(D147&lt;0,"INVALID","OK")</f>
        <v>OK</v>
      </c>
      <c r="F147" t="s">
        <v>864</v>
      </c>
      <c r="G147" t="s">
        <v>127</v>
      </c>
      <c r="H147" t="s">
        <v>23</v>
      </c>
      <c r="I147" t="s">
        <v>24</v>
      </c>
      <c r="J147" t="s">
        <v>25</v>
      </c>
      <c r="K147" t="s">
        <v>26</v>
      </c>
      <c r="L147" t="s">
        <v>73</v>
      </c>
      <c r="M147" t="s">
        <v>79</v>
      </c>
      <c r="N147" t="s">
        <v>1113</v>
      </c>
      <c r="O147" t="s">
        <v>49</v>
      </c>
      <c r="P147">
        <v>8</v>
      </c>
      <c r="Q147">
        <v>1992.57</v>
      </c>
      <c r="R147">
        <v>0</v>
      </c>
      <c r="S147" t="str">
        <f t="shared" si="16"/>
        <v>OK</v>
      </c>
      <c r="T147">
        <v>15940.56</v>
      </c>
      <c r="U147">
        <v>12347.15</v>
      </c>
      <c r="V147">
        <v>3593.41</v>
      </c>
      <c r="W147" t="s">
        <v>31</v>
      </c>
      <c r="X147" t="s">
        <v>32</v>
      </c>
      <c r="Y147">
        <f t="shared" si="17"/>
        <v>0</v>
      </c>
      <c r="Z147">
        <f t="shared" si="18"/>
        <v>15940.56</v>
      </c>
      <c r="AA147">
        <f t="shared" si="19"/>
        <v>3593.41</v>
      </c>
      <c r="AB147">
        <f t="shared" si="20"/>
        <v>22.542558103353961</v>
      </c>
      <c r="AC147">
        <f t="shared" si="21"/>
        <v>3</v>
      </c>
      <c r="AD147">
        <f t="shared" si="22"/>
        <v>2024</v>
      </c>
      <c r="AE147" t="str">
        <f t="shared" si="23"/>
        <v>CLEAN</v>
      </c>
    </row>
    <row r="148" spans="1:31">
      <c r="A148" t="s">
        <v>1114</v>
      </c>
      <c r="B148" s="2">
        <v>45516</v>
      </c>
      <c r="C148" s="2">
        <v>45522</v>
      </c>
      <c r="D148" s="5">
        <f>C148-B148</f>
        <v>6</v>
      </c>
      <c r="E148" s="5" t="str">
        <f>IF(D148&lt;0,"INVALID","OK")</f>
        <v>OK</v>
      </c>
      <c r="F148" t="s">
        <v>1115</v>
      </c>
      <c r="G148" t="s">
        <v>61</v>
      </c>
      <c r="H148" t="s">
        <v>23</v>
      </c>
      <c r="I148" t="s">
        <v>37</v>
      </c>
      <c r="J148" t="s">
        <v>165</v>
      </c>
      <c r="K148" t="s">
        <v>166</v>
      </c>
      <c r="L148" t="s">
        <v>27</v>
      </c>
      <c r="M148" t="s">
        <v>90</v>
      </c>
      <c r="N148" t="s">
        <v>1116</v>
      </c>
      <c r="O148" t="s">
        <v>43</v>
      </c>
      <c r="P148">
        <v>6</v>
      </c>
      <c r="Q148">
        <v>1181.74</v>
      </c>
      <c r="R148">
        <v>0</v>
      </c>
      <c r="S148" t="str">
        <f t="shared" si="16"/>
        <v>OK</v>
      </c>
      <c r="T148">
        <v>7090.44</v>
      </c>
      <c r="U148">
        <v>5672.27</v>
      </c>
      <c r="V148">
        <v>1262.8699999999999</v>
      </c>
      <c r="W148" t="s">
        <v>31</v>
      </c>
      <c r="X148" t="s">
        <v>32</v>
      </c>
      <c r="Y148">
        <f t="shared" si="17"/>
        <v>0</v>
      </c>
      <c r="Z148">
        <f t="shared" si="18"/>
        <v>7090.4400000000005</v>
      </c>
      <c r="AA148">
        <f t="shared" si="19"/>
        <v>1418.17</v>
      </c>
      <c r="AB148">
        <f t="shared" si="20"/>
        <v>20.001156486762454</v>
      </c>
      <c r="AC148">
        <f t="shared" si="21"/>
        <v>8</v>
      </c>
      <c r="AD148">
        <f t="shared" si="22"/>
        <v>2024</v>
      </c>
      <c r="AE148" t="str">
        <f t="shared" si="23"/>
        <v>CLEAN</v>
      </c>
    </row>
    <row r="149" spans="1:31">
      <c r="A149" t="s">
        <v>1117</v>
      </c>
      <c r="B149" s="2">
        <v>45516</v>
      </c>
      <c r="C149" s="2">
        <v>45634</v>
      </c>
      <c r="D149" s="5">
        <f>C149-B149</f>
        <v>118</v>
      </c>
      <c r="E149" s="5" t="str">
        <f>IF(D149&lt;0,"INVALID","OK")</f>
        <v>OK</v>
      </c>
      <c r="F149" t="s">
        <v>1118</v>
      </c>
      <c r="G149" t="s">
        <v>52</v>
      </c>
      <c r="H149" t="s">
        <v>36</v>
      </c>
      <c r="I149" t="s">
        <v>53</v>
      </c>
      <c r="J149" t="s">
        <v>83</v>
      </c>
      <c r="K149" t="s">
        <v>84</v>
      </c>
      <c r="L149" t="s">
        <v>73</v>
      </c>
      <c r="M149" t="s">
        <v>74</v>
      </c>
      <c r="N149" t="s">
        <v>1119</v>
      </c>
      <c r="O149" t="s">
        <v>49</v>
      </c>
      <c r="P149">
        <v>8</v>
      </c>
      <c r="Q149">
        <v>4402.3599999999997</v>
      </c>
      <c r="R149">
        <v>0.25</v>
      </c>
      <c r="S149" t="str">
        <f t="shared" si="16"/>
        <v>OK</v>
      </c>
      <c r="T149">
        <v>26414.16</v>
      </c>
      <c r="U149">
        <v>21822.53</v>
      </c>
      <c r="V149">
        <v>4591.63</v>
      </c>
      <c r="W149" t="s">
        <v>31</v>
      </c>
      <c r="X149" t="s">
        <v>32</v>
      </c>
      <c r="Y149">
        <f t="shared" si="17"/>
        <v>0.25</v>
      </c>
      <c r="Z149">
        <f t="shared" si="18"/>
        <v>26414.159999999996</v>
      </c>
      <c r="AA149">
        <f t="shared" si="19"/>
        <v>4591.6299999999974</v>
      </c>
      <c r="AB149">
        <f t="shared" si="20"/>
        <v>17.383214154832096</v>
      </c>
      <c r="AC149">
        <f t="shared" si="21"/>
        <v>8</v>
      </c>
      <c r="AD149">
        <f t="shared" si="22"/>
        <v>2024</v>
      </c>
      <c r="AE149" t="str">
        <f t="shared" si="23"/>
        <v>CLEAN</v>
      </c>
    </row>
    <row r="150" spans="1:31">
      <c r="A150" t="s">
        <v>1123</v>
      </c>
      <c r="B150" s="2">
        <v>45312</v>
      </c>
      <c r="C150" s="2">
        <v>45320</v>
      </c>
      <c r="D150" s="5">
        <f>C150-B150</f>
        <v>8</v>
      </c>
      <c r="E150" s="5" t="str">
        <f>IF(D150&lt;0,"INVALID","OK")</f>
        <v>OK</v>
      </c>
      <c r="F150" t="s">
        <v>1124</v>
      </c>
      <c r="G150" t="s">
        <v>78</v>
      </c>
      <c r="H150" t="s">
        <v>23</v>
      </c>
      <c r="I150" t="s">
        <v>53</v>
      </c>
      <c r="J150" t="s">
        <v>174</v>
      </c>
      <c r="K150" t="s">
        <v>175</v>
      </c>
      <c r="L150" t="s">
        <v>27</v>
      </c>
      <c r="M150" t="s">
        <v>152</v>
      </c>
      <c r="N150" t="s">
        <v>1125</v>
      </c>
      <c r="O150" t="s">
        <v>58</v>
      </c>
      <c r="P150">
        <v>5</v>
      </c>
      <c r="Q150">
        <v>4058.08</v>
      </c>
      <c r="R150">
        <v>0.1</v>
      </c>
      <c r="S150" t="str">
        <f t="shared" ref="S150:S199" si="24">IF(R150&lt;0,"INVALID",IF(R150&gt;0.5,"INVALID","OK"))</f>
        <v>OK</v>
      </c>
      <c r="T150">
        <v>18261.36</v>
      </c>
      <c r="U150">
        <v>11399.94</v>
      </c>
      <c r="V150">
        <v>6861.42</v>
      </c>
      <c r="W150" t="s">
        <v>31</v>
      </c>
      <c r="X150" t="s">
        <v>32</v>
      </c>
      <c r="Y150">
        <f t="shared" si="17"/>
        <v>0.1</v>
      </c>
      <c r="Z150">
        <f t="shared" si="18"/>
        <v>18261.36</v>
      </c>
      <c r="AA150">
        <f t="shared" si="19"/>
        <v>6861.42</v>
      </c>
      <c r="AB150">
        <f t="shared" si="20"/>
        <v>37.573433742065212</v>
      </c>
      <c r="AC150">
        <f t="shared" si="21"/>
        <v>1</v>
      </c>
      <c r="AD150">
        <f t="shared" si="22"/>
        <v>2024</v>
      </c>
      <c r="AE150" t="str">
        <f t="shared" si="23"/>
        <v>CLEAN</v>
      </c>
    </row>
    <row r="151" spans="1:31">
      <c r="A151" t="s">
        <v>1135</v>
      </c>
      <c r="B151" s="2">
        <v>45599</v>
      </c>
      <c r="C151" s="2">
        <v>45599</v>
      </c>
      <c r="D151" s="5">
        <f>C151-B151</f>
        <v>0</v>
      </c>
      <c r="E151" s="5" t="str">
        <f>IF(D151&lt;0,"INVALID","OK")</f>
        <v>OK</v>
      </c>
      <c r="F151" t="s">
        <v>1136</v>
      </c>
      <c r="G151" t="s">
        <v>113</v>
      </c>
      <c r="H151" t="s">
        <v>23</v>
      </c>
      <c r="I151" t="s">
        <v>24</v>
      </c>
      <c r="J151" t="s">
        <v>121</v>
      </c>
      <c r="K151" t="s">
        <v>122</v>
      </c>
      <c r="L151" t="s">
        <v>40</v>
      </c>
      <c r="M151" t="s">
        <v>157</v>
      </c>
      <c r="N151" t="s">
        <v>1137</v>
      </c>
      <c r="O151" t="s">
        <v>43</v>
      </c>
      <c r="P151">
        <v>9</v>
      </c>
      <c r="Q151">
        <v>3456.38</v>
      </c>
      <c r="R151">
        <v>0</v>
      </c>
      <c r="S151" t="str">
        <f t="shared" si="24"/>
        <v>OK</v>
      </c>
      <c r="T151">
        <v>31107.42</v>
      </c>
      <c r="U151">
        <v>20146.66</v>
      </c>
      <c r="V151">
        <v>10960.76</v>
      </c>
      <c r="W151" t="s">
        <v>110</v>
      </c>
      <c r="X151" t="s">
        <v>102</v>
      </c>
      <c r="Y151">
        <f t="shared" si="17"/>
        <v>0</v>
      </c>
      <c r="Z151">
        <f t="shared" si="18"/>
        <v>31107.420000000002</v>
      </c>
      <c r="AA151">
        <f t="shared" si="19"/>
        <v>10960.760000000002</v>
      </c>
      <c r="AB151">
        <f t="shared" si="20"/>
        <v>35.235194689884281</v>
      </c>
      <c r="AC151">
        <f t="shared" si="21"/>
        <v>11</v>
      </c>
      <c r="AD151">
        <f t="shared" si="22"/>
        <v>2024</v>
      </c>
      <c r="AE151" t="str">
        <f t="shared" si="23"/>
        <v>CLEAN</v>
      </c>
    </row>
    <row r="152" spans="1:31">
      <c r="A152" t="s">
        <v>1138</v>
      </c>
      <c r="B152" s="2">
        <v>45549</v>
      </c>
      <c r="C152" s="2">
        <v>45557</v>
      </c>
      <c r="D152" s="5">
        <f>C152-B152</f>
        <v>8</v>
      </c>
      <c r="E152" s="5" t="str">
        <f>IF(D152&lt;0,"INVALID","OK")</f>
        <v>OK</v>
      </c>
      <c r="F152" t="s">
        <v>1139</v>
      </c>
      <c r="G152" t="s">
        <v>22</v>
      </c>
      <c r="H152" t="s">
        <v>23</v>
      </c>
      <c r="I152" t="s">
        <v>62</v>
      </c>
      <c r="J152" t="s">
        <v>71</v>
      </c>
      <c r="K152" t="s">
        <v>72</v>
      </c>
      <c r="L152" t="s">
        <v>40</v>
      </c>
      <c r="M152" t="s">
        <v>56</v>
      </c>
      <c r="N152" t="s">
        <v>1140</v>
      </c>
      <c r="O152" t="s">
        <v>30</v>
      </c>
      <c r="P152">
        <v>2</v>
      </c>
      <c r="Q152">
        <v>2765.3</v>
      </c>
      <c r="R152">
        <v>0</v>
      </c>
      <c r="S152" t="str">
        <f t="shared" si="24"/>
        <v>OK</v>
      </c>
      <c r="T152">
        <v>5530.6</v>
      </c>
      <c r="U152">
        <v>4453.1099999999997</v>
      </c>
      <c r="V152">
        <v>1077.49</v>
      </c>
      <c r="W152" t="s">
        <v>31</v>
      </c>
      <c r="X152" t="s">
        <v>32</v>
      </c>
      <c r="Y152">
        <f t="shared" si="17"/>
        <v>0</v>
      </c>
      <c r="Z152">
        <f t="shared" si="18"/>
        <v>5530.6</v>
      </c>
      <c r="AA152">
        <f t="shared" si="19"/>
        <v>1077.4900000000007</v>
      </c>
      <c r="AB152">
        <f t="shared" si="20"/>
        <v>19.48233464723539</v>
      </c>
      <c r="AC152">
        <f t="shared" si="21"/>
        <v>9</v>
      </c>
      <c r="AD152">
        <f t="shared" si="22"/>
        <v>2024</v>
      </c>
      <c r="AE152" t="str">
        <f t="shared" si="23"/>
        <v>CLEAN</v>
      </c>
    </row>
    <row r="153" spans="1:31">
      <c r="A153" t="s">
        <v>1147</v>
      </c>
      <c r="B153" s="2">
        <v>45445</v>
      </c>
      <c r="C153" s="2">
        <v>45450</v>
      </c>
      <c r="D153" s="5">
        <f>C153-B153</f>
        <v>5</v>
      </c>
      <c r="E153" s="5" t="str">
        <f>IF(D153&lt;0,"INVALID","OK")</f>
        <v>OK</v>
      </c>
      <c r="F153" t="s">
        <v>1148</v>
      </c>
      <c r="G153" t="s">
        <v>127</v>
      </c>
      <c r="H153" t="s">
        <v>89</v>
      </c>
      <c r="I153" t="s">
        <v>53</v>
      </c>
      <c r="J153" t="s">
        <v>174</v>
      </c>
      <c r="K153" t="s">
        <v>175</v>
      </c>
      <c r="L153" t="s">
        <v>73</v>
      </c>
      <c r="M153" t="s">
        <v>170</v>
      </c>
      <c r="N153" t="s">
        <v>1149</v>
      </c>
      <c r="O153" t="s">
        <v>43</v>
      </c>
      <c r="P153">
        <v>9</v>
      </c>
      <c r="Q153">
        <v>2860.26</v>
      </c>
      <c r="R153">
        <v>0.25</v>
      </c>
      <c r="S153" t="str">
        <f t="shared" si="24"/>
        <v>OK</v>
      </c>
      <c r="T153">
        <v>19306.759999999998</v>
      </c>
      <c r="U153">
        <v>14442.38</v>
      </c>
      <c r="V153">
        <v>4864.38</v>
      </c>
      <c r="W153" t="s">
        <v>31</v>
      </c>
      <c r="X153" t="s">
        <v>32</v>
      </c>
      <c r="Y153">
        <f t="shared" si="17"/>
        <v>0.25</v>
      </c>
      <c r="Z153">
        <f t="shared" si="18"/>
        <v>19306.755000000005</v>
      </c>
      <c r="AA153">
        <f t="shared" si="19"/>
        <v>4864.3750000000055</v>
      </c>
      <c r="AB153">
        <f t="shared" si="20"/>
        <v>25.195197225012716</v>
      </c>
      <c r="AC153">
        <f t="shared" si="21"/>
        <v>6</v>
      </c>
      <c r="AD153">
        <f t="shared" si="22"/>
        <v>2024</v>
      </c>
      <c r="AE153" t="str">
        <f t="shared" si="23"/>
        <v>CLEAN</v>
      </c>
    </row>
    <row r="154" spans="1:31">
      <c r="A154" t="s">
        <v>1180</v>
      </c>
      <c r="B154" s="2">
        <v>45525</v>
      </c>
      <c r="C154" s="2">
        <v>45526</v>
      </c>
      <c r="D154" s="5">
        <f>C154-B154</f>
        <v>1</v>
      </c>
      <c r="E154" s="5" t="str">
        <f>IF(D154&lt;0,"INVALID","OK")</f>
        <v>OK</v>
      </c>
      <c r="F154" t="s">
        <v>1181</v>
      </c>
      <c r="G154" t="s">
        <v>46</v>
      </c>
      <c r="H154" t="s">
        <v>23</v>
      </c>
      <c r="I154" t="s">
        <v>53</v>
      </c>
      <c r="J154" t="s">
        <v>246</v>
      </c>
      <c r="K154" t="s">
        <v>247</v>
      </c>
      <c r="L154" t="s">
        <v>73</v>
      </c>
      <c r="M154" t="s">
        <v>170</v>
      </c>
      <c r="N154" t="s">
        <v>1182</v>
      </c>
      <c r="O154" t="s">
        <v>43</v>
      </c>
      <c r="P154">
        <v>9</v>
      </c>
      <c r="Q154">
        <v>616.96</v>
      </c>
      <c r="R154">
        <v>0.1</v>
      </c>
      <c r="S154" t="str">
        <f t="shared" si="24"/>
        <v>OK</v>
      </c>
      <c r="T154">
        <v>4997.38</v>
      </c>
      <c r="U154">
        <v>2971.39</v>
      </c>
      <c r="V154">
        <v>2025.99</v>
      </c>
      <c r="W154" t="s">
        <v>31</v>
      </c>
      <c r="X154" t="s">
        <v>32</v>
      </c>
      <c r="Y154">
        <f t="shared" si="17"/>
        <v>0.1</v>
      </c>
      <c r="Z154">
        <f t="shared" si="18"/>
        <v>4997.3760000000002</v>
      </c>
      <c r="AA154">
        <f t="shared" si="19"/>
        <v>2025.9860000000003</v>
      </c>
      <c r="AB154">
        <f t="shared" si="20"/>
        <v>40.540995914656015</v>
      </c>
      <c r="AC154">
        <f t="shared" si="21"/>
        <v>8</v>
      </c>
      <c r="AD154">
        <f t="shared" si="22"/>
        <v>2024</v>
      </c>
      <c r="AE154" t="str">
        <f t="shared" si="23"/>
        <v>CLEAN</v>
      </c>
    </row>
    <row r="155" spans="1:31">
      <c r="A155" t="s">
        <v>1189</v>
      </c>
      <c r="B155" s="2">
        <v>45527</v>
      </c>
      <c r="C155" s="2">
        <v>45529</v>
      </c>
      <c r="D155" s="5">
        <f>C155-B155</f>
        <v>2</v>
      </c>
      <c r="E155" s="5" t="str">
        <f>IF(D155&lt;0,"INVALID","OK")</f>
        <v>OK</v>
      </c>
      <c r="F155" t="s">
        <v>1190</v>
      </c>
      <c r="G155" t="s">
        <v>70</v>
      </c>
      <c r="H155" t="s">
        <v>23</v>
      </c>
      <c r="I155" t="s">
        <v>62</v>
      </c>
      <c r="J155" t="s">
        <v>189</v>
      </c>
      <c r="K155" t="s">
        <v>190</v>
      </c>
      <c r="L155" t="s">
        <v>73</v>
      </c>
      <c r="M155" t="s">
        <v>273</v>
      </c>
      <c r="N155" t="s">
        <v>1191</v>
      </c>
      <c r="O155" t="s">
        <v>43</v>
      </c>
      <c r="P155">
        <v>4</v>
      </c>
      <c r="Q155">
        <v>491.16</v>
      </c>
      <c r="R155">
        <v>0.05</v>
      </c>
      <c r="S155" t="str">
        <f t="shared" si="24"/>
        <v>OK</v>
      </c>
      <c r="T155">
        <v>1866.41</v>
      </c>
      <c r="U155">
        <v>1576.49</v>
      </c>
      <c r="V155">
        <v>289.92</v>
      </c>
      <c r="W155" t="s">
        <v>31</v>
      </c>
      <c r="X155" t="s">
        <v>32</v>
      </c>
      <c r="Y155">
        <f t="shared" si="17"/>
        <v>0.05</v>
      </c>
      <c r="Z155">
        <f t="shared" si="18"/>
        <v>1866.4079999999999</v>
      </c>
      <c r="AA155">
        <f t="shared" si="19"/>
        <v>289.91799999999989</v>
      </c>
      <c r="AB155">
        <f t="shared" si="20"/>
        <v>15.533473924243783</v>
      </c>
      <c r="AC155">
        <f t="shared" si="21"/>
        <v>8</v>
      </c>
      <c r="AD155">
        <f t="shared" si="22"/>
        <v>2024</v>
      </c>
      <c r="AE155" t="str">
        <f t="shared" si="23"/>
        <v>CLEAN</v>
      </c>
    </row>
    <row r="156" spans="1:31">
      <c r="A156" t="s">
        <v>1198</v>
      </c>
      <c r="B156" s="2">
        <v>45458</v>
      </c>
      <c r="C156" s="2">
        <v>45464</v>
      </c>
      <c r="D156" s="5">
        <f>C156-B156</f>
        <v>6</v>
      </c>
      <c r="E156" s="5" t="str">
        <f>IF(D156&lt;0,"INVALID","OK")</f>
        <v>OK</v>
      </c>
      <c r="F156" t="s">
        <v>1199</v>
      </c>
      <c r="G156" t="s">
        <v>88</v>
      </c>
      <c r="H156" t="s">
        <v>89</v>
      </c>
      <c r="I156" t="s">
        <v>62</v>
      </c>
      <c r="J156" t="s">
        <v>189</v>
      </c>
      <c r="K156" t="s">
        <v>190</v>
      </c>
      <c r="L156" t="s">
        <v>73</v>
      </c>
      <c r="M156" t="s">
        <v>74</v>
      </c>
      <c r="N156" t="s">
        <v>1200</v>
      </c>
      <c r="O156" t="s">
        <v>49</v>
      </c>
      <c r="P156">
        <v>8</v>
      </c>
      <c r="Q156">
        <v>1706.4</v>
      </c>
      <c r="R156">
        <v>0</v>
      </c>
      <c r="S156" t="str">
        <f t="shared" si="24"/>
        <v>OK</v>
      </c>
      <c r="T156">
        <v>12968.64</v>
      </c>
      <c r="U156">
        <v>10119.61</v>
      </c>
      <c r="V156">
        <v>2849.03</v>
      </c>
      <c r="W156" t="s">
        <v>31</v>
      </c>
      <c r="X156" t="s">
        <v>32</v>
      </c>
      <c r="Y156">
        <f t="shared" si="17"/>
        <v>0</v>
      </c>
      <c r="Z156">
        <f t="shared" si="18"/>
        <v>13651.2</v>
      </c>
      <c r="AA156">
        <f t="shared" si="19"/>
        <v>3531.59</v>
      </c>
      <c r="AB156">
        <f t="shared" si="20"/>
        <v>25.870179910923579</v>
      </c>
      <c r="AC156">
        <f t="shared" si="21"/>
        <v>6</v>
      </c>
      <c r="AD156">
        <f t="shared" si="22"/>
        <v>2024</v>
      </c>
      <c r="AE156" t="str">
        <f t="shared" si="23"/>
        <v>CLEAN</v>
      </c>
    </row>
    <row r="157" spans="1:31">
      <c r="A157" t="s">
        <v>1213</v>
      </c>
      <c r="B157" s="2">
        <v>45519</v>
      </c>
      <c r="C157" s="2">
        <v>45525</v>
      </c>
      <c r="D157" s="5">
        <f>C157-B157</f>
        <v>6</v>
      </c>
      <c r="E157" s="5" t="str">
        <f>IF(D157&lt;0,"INVALID","OK")</f>
        <v>OK</v>
      </c>
      <c r="F157" t="s">
        <v>1214</v>
      </c>
      <c r="G157" t="s">
        <v>61</v>
      </c>
      <c r="H157" t="s">
        <v>36</v>
      </c>
      <c r="I157" t="s">
        <v>62</v>
      </c>
      <c r="J157" t="s">
        <v>25</v>
      </c>
      <c r="K157" t="s">
        <v>108</v>
      </c>
      <c r="L157" t="s">
        <v>73</v>
      </c>
      <c r="M157" t="s">
        <v>79</v>
      </c>
      <c r="N157" t="s">
        <v>1215</v>
      </c>
      <c r="O157" t="s">
        <v>49</v>
      </c>
      <c r="P157">
        <v>7</v>
      </c>
      <c r="Q157">
        <v>2333.81</v>
      </c>
      <c r="R157">
        <v>0.2</v>
      </c>
      <c r="S157" t="str">
        <f t="shared" si="24"/>
        <v>OK</v>
      </c>
      <c r="T157">
        <v>13069.34</v>
      </c>
      <c r="U157">
        <v>8768.59</v>
      </c>
      <c r="V157">
        <v>4300.75</v>
      </c>
      <c r="W157" t="s">
        <v>31</v>
      </c>
      <c r="X157" t="s">
        <v>32</v>
      </c>
      <c r="Y157">
        <f t="shared" si="17"/>
        <v>0.2</v>
      </c>
      <c r="Z157">
        <f t="shared" si="18"/>
        <v>13069.336000000001</v>
      </c>
      <c r="AA157">
        <f t="shared" si="19"/>
        <v>4300.746000000001</v>
      </c>
      <c r="AB157">
        <f t="shared" si="20"/>
        <v>32.907149988339121</v>
      </c>
      <c r="AC157">
        <f t="shared" si="21"/>
        <v>8</v>
      </c>
      <c r="AD157">
        <f t="shared" si="22"/>
        <v>2024</v>
      </c>
      <c r="AE157" t="str">
        <f t="shared" si="23"/>
        <v>CLEAN</v>
      </c>
    </row>
    <row r="158" spans="1:31">
      <c r="A158" t="s">
        <v>1227</v>
      </c>
      <c r="B158" s="2">
        <v>45657</v>
      </c>
      <c r="C158" s="2">
        <v>45661</v>
      </c>
      <c r="D158" s="5">
        <f>C158-B158</f>
        <v>4</v>
      </c>
      <c r="E158" s="5" t="str">
        <f>IF(D158&lt;0,"INVALID","OK")</f>
        <v>OK</v>
      </c>
      <c r="F158" t="s">
        <v>1228</v>
      </c>
      <c r="G158" t="s">
        <v>70</v>
      </c>
      <c r="H158" t="s">
        <v>23</v>
      </c>
      <c r="I158" t="s">
        <v>24</v>
      </c>
      <c r="J158" t="s">
        <v>349</v>
      </c>
      <c r="K158" t="s">
        <v>350</v>
      </c>
      <c r="L158" t="s">
        <v>40</v>
      </c>
      <c r="M158" t="s">
        <v>65</v>
      </c>
      <c r="N158" t="s">
        <v>1229</v>
      </c>
      <c r="O158" t="s">
        <v>43</v>
      </c>
      <c r="P158">
        <v>3</v>
      </c>
      <c r="Q158">
        <v>1166.6099999999999</v>
      </c>
      <c r="R158">
        <v>0.25</v>
      </c>
      <c r="S158" t="str">
        <f t="shared" si="24"/>
        <v>OK</v>
      </c>
      <c r="T158">
        <v>2624.87</v>
      </c>
      <c r="U158">
        <v>2253.88</v>
      </c>
      <c r="V158">
        <v>370.99</v>
      </c>
      <c r="W158" t="s">
        <v>31</v>
      </c>
      <c r="X158" t="s">
        <v>32</v>
      </c>
      <c r="Y158">
        <f t="shared" si="17"/>
        <v>0.25</v>
      </c>
      <c r="Z158">
        <f t="shared" si="18"/>
        <v>2624.8724999999999</v>
      </c>
      <c r="AA158">
        <f t="shared" si="19"/>
        <v>370.99249999999984</v>
      </c>
      <c r="AB158">
        <f t="shared" si="20"/>
        <v>14.133734114704612</v>
      </c>
      <c r="AC158">
        <f t="shared" si="21"/>
        <v>12</v>
      </c>
      <c r="AD158">
        <f t="shared" si="22"/>
        <v>2024</v>
      </c>
      <c r="AE158" t="str">
        <f t="shared" si="23"/>
        <v>CLEAN</v>
      </c>
    </row>
    <row r="159" spans="1:31">
      <c r="A159" t="s">
        <v>1230</v>
      </c>
      <c r="B159" s="2">
        <v>45655</v>
      </c>
      <c r="C159" s="2">
        <v>45657</v>
      </c>
      <c r="D159" s="5">
        <f>C159-B159</f>
        <v>2</v>
      </c>
      <c r="E159" s="5" t="str">
        <f>IF(D159&lt;0,"INVALID","OK")</f>
        <v>OK</v>
      </c>
      <c r="F159" t="s">
        <v>1231</v>
      </c>
      <c r="G159" t="s">
        <v>46</v>
      </c>
      <c r="H159" t="s">
        <v>36</v>
      </c>
      <c r="I159" t="s">
        <v>37</v>
      </c>
      <c r="J159" t="s">
        <v>144</v>
      </c>
      <c r="K159" t="s">
        <v>145</v>
      </c>
      <c r="L159" t="s">
        <v>40</v>
      </c>
      <c r="M159" t="s">
        <v>65</v>
      </c>
      <c r="N159" t="s">
        <v>1232</v>
      </c>
      <c r="O159" t="s">
        <v>49</v>
      </c>
      <c r="P159">
        <v>6</v>
      </c>
      <c r="Q159">
        <v>1844.78</v>
      </c>
      <c r="R159">
        <v>0.2</v>
      </c>
      <c r="S159" t="str">
        <f t="shared" si="24"/>
        <v>OK</v>
      </c>
      <c r="T159">
        <v>8854.94</v>
      </c>
      <c r="U159">
        <v>7433.95</v>
      </c>
      <c r="V159">
        <v>1420.99</v>
      </c>
      <c r="W159" t="s">
        <v>31</v>
      </c>
      <c r="X159" t="s">
        <v>32</v>
      </c>
      <c r="Y159">
        <f t="shared" si="17"/>
        <v>0.2</v>
      </c>
      <c r="Z159">
        <f t="shared" si="18"/>
        <v>8854.9440000000013</v>
      </c>
      <c r="AA159">
        <f t="shared" si="19"/>
        <v>1420.9940000000015</v>
      </c>
      <c r="AB159">
        <f t="shared" si="20"/>
        <v>16.047464557652781</v>
      </c>
      <c r="AC159">
        <f t="shared" si="21"/>
        <v>12</v>
      </c>
      <c r="AD159">
        <f t="shared" si="22"/>
        <v>2024</v>
      </c>
      <c r="AE159" t="str">
        <f t="shared" si="23"/>
        <v>CLEAN</v>
      </c>
    </row>
    <row r="160" spans="1:31">
      <c r="A160" t="s">
        <v>1239</v>
      </c>
      <c r="B160" s="2">
        <v>45554</v>
      </c>
      <c r="C160" s="2">
        <v>45558</v>
      </c>
      <c r="D160" s="5">
        <f>C160-B160</f>
        <v>4</v>
      </c>
      <c r="E160" s="5" t="str">
        <f>IF(D160&lt;0,"INVALID","OK")</f>
        <v>OK</v>
      </c>
      <c r="F160" t="s">
        <v>1240</v>
      </c>
      <c r="G160" t="s">
        <v>35</v>
      </c>
      <c r="H160" t="s">
        <v>36</v>
      </c>
      <c r="I160" t="s">
        <v>53</v>
      </c>
      <c r="J160" t="s">
        <v>184</v>
      </c>
      <c r="K160" t="s">
        <v>185</v>
      </c>
      <c r="L160" t="s">
        <v>27</v>
      </c>
      <c r="M160" t="s">
        <v>28</v>
      </c>
      <c r="N160" t="s">
        <v>1241</v>
      </c>
      <c r="O160" t="s">
        <v>58</v>
      </c>
      <c r="P160">
        <v>7</v>
      </c>
      <c r="Q160">
        <v>1136.68</v>
      </c>
      <c r="R160">
        <v>0</v>
      </c>
      <c r="S160" t="str">
        <f t="shared" si="24"/>
        <v>OK</v>
      </c>
      <c r="T160">
        <v>7956.76</v>
      </c>
      <c r="U160">
        <v>4799.54</v>
      </c>
      <c r="V160">
        <v>3157.22</v>
      </c>
      <c r="W160" t="s">
        <v>31</v>
      </c>
      <c r="X160" t="s">
        <v>32</v>
      </c>
      <c r="Y160">
        <f t="shared" si="17"/>
        <v>0</v>
      </c>
      <c r="Z160">
        <f t="shared" si="18"/>
        <v>7956.76</v>
      </c>
      <c r="AA160">
        <f t="shared" si="19"/>
        <v>3157.2200000000003</v>
      </c>
      <c r="AB160">
        <f t="shared" si="20"/>
        <v>39.679718880549366</v>
      </c>
      <c r="AC160">
        <f t="shared" si="21"/>
        <v>9</v>
      </c>
      <c r="AD160">
        <f t="shared" si="22"/>
        <v>2024</v>
      </c>
      <c r="AE160" t="str">
        <f t="shared" si="23"/>
        <v>CLEAN</v>
      </c>
    </row>
    <row r="161" spans="1:31">
      <c r="A161" t="s">
        <v>1242</v>
      </c>
      <c r="B161" s="2">
        <v>45389</v>
      </c>
      <c r="C161" s="2">
        <v>45396</v>
      </c>
      <c r="D161" s="5">
        <f>C161-B161</f>
        <v>7</v>
      </c>
      <c r="E161" s="5" t="str">
        <f>IF(D161&lt;0,"INVALID","OK")</f>
        <v>OK</v>
      </c>
      <c r="F161" t="s">
        <v>1243</v>
      </c>
      <c r="G161" t="s">
        <v>70</v>
      </c>
      <c r="H161" t="s">
        <v>23</v>
      </c>
      <c r="I161" t="s">
        <v>62</v>
      </c>
      <c r="J161" t="s">
        <v>63</v>
      </c>
      <c r="K161" t="s">
        <v>64</v>
      </c>
      <c r="L161" t="s">
        <v>40</v>
      </c>
      <c r="M161" t="s">
        <v>157</v>
      </c>
      <c r="N161" t="s">
        <v>1244</v>
      </c>
      <c r="O161" t="s">
        <v>43</v>
      </c>
      <c r="P161">
        <v>5</v>
      </c>
      <c r="Q161">
        <v>2235.85</v>
      </c>
      <c r="R161">
        <v>0.25</v>
      </c>
      <c r="S161" t="str">
        <f t="shared" si="24"/>
        <v>OK</v>
      </c>
      <c r="T161">
        <v>8384.44</v>
      </c>
      <c r="U161">
        <v>4765.96</v>
      </c>
      <c r="V161">
        <v>3618.48</v>
      </c>
      <c r="W161" t="s">
        <v>31</v>
      </c>
      <c r="X161" t="s">
        <v>102</v>
      </c>
      <c r="Y161">
        <f t="shared" si="17"/>
        <v>0.25</v>
      </c>
      <c r="Z161">
        <f t="shared" si="18"/>
        <v>8384.4375</v>
      </c>
      <c r="AA161">
        <f t="shared" si="19"/>
        <v>3618.4775</v>
      </c>
      <c r="AB161">
        <f t="shared" si="20"/>
        <v>43.157069272685256</v>
      </c>
      <c r="AC161">
        <f t="shared" si="21"/>
        <v>4</v>
      </c>
      <c r="AD161">
        <f t="shared" si="22"/>
        <v>2024</v>
      </c>
      <c r="AE161" t="str">
        <f t="shared" si="23"/>
        <v>CLEAN</v>
      </c>
    </row>
    <row r="162" spans="1:31">
      <c r="A162" t="s">
        <v>1253</v>
      </c>
      <c r="B162" s="2">
        <v>45366</v>
      </c>
      <c r="C162" s="2">
        <v>45371</v>
      </c>
      <c r="D162" s="5">
        <f>C162-B162</f>
        <v>5</v>
      </c>
      <c r="E162" s="5" t="str">
        <f>IF(D162&lt;0,"INVALID","OK")</f>
        <v>OK</v>
      </c>
      <c r="F162" t="s">
        <v>1254</v>
      </c>
      <c r="G162" t="s">
        <v>140</v>
      </c>
      <c r="H162" t="s">
        <v>23</v>
      </c>
      <c r="I162" t="s">
        <v>37</v>
      </c>
      <c r="J162" t="s">
        <v>227</v>
      </c>
      <c r="K162" t="s">
        <v>228</v>
      </c>
      <c r="L162" t="s">
        <v>73</v>
      </c>
      <c r="M162" t="s">
        <v>79</v>
      </c>
      <c r="N162" t="s">
        <v>1255</v>
      </c>
      <c r="O162" t="s">
        <v>58</v>
      </c>
      <c r="P162">
        <v>2</v>
      </c>
      <c r="Q162">
        <v>1881.4</v>
      </c>
      <c r="R162">
        <v>0.25</v>
      </c>
      <c r="S162" t="str">
        <f t="shared" si="24"/>
        <v>OK</v>
      </c>
      <c r="T162">
        <v>2822.1</v>
      </c>
      <c r="U162">
        <v>1624.57</v>
      </c>
      <c r="V162">
        <v>1197.53</v>
      </c>
      <c r="W162" t="s">
        <v>31</v>
      </c>
      <c r="X162" t="s">
        <v>102</v>
      </c>
      <c r="Y162">
        <f t="shared" si="17"/>
        <v>0.25</v>
      </c>
      <c r="Z162">
        <f t="shared" si="18"/>
        <v>2822.1000000000004</v>
      </c>
      <c r="AA162">
        <f t="shared" si="19"/>
        <v>1197.5300000000004</v>
      </c>
      <c r="AB162">
        <f t="shared" si="20"/>
        <v>42.434003047376081</v>
      </c>
      <c r="AC162">
        <f t="shared" si="21"/>
        <v>3</v>
      </c>
      <c r="AD162">
        <f t="shared" si="22"/>
        <v>2024</v>
      </c>
      <c r="AE162" t="str">
        <f t="shared" si="23"/>
        <v>CLEAN</v>
      </c>
    </row>
    <row r="163" spans="1:31">
      <c r="A163" t="s">
        <v>1265</v>
      </c>
      <c r="B163" s="2">
        <v>45425</v>
      </c>
      <c r="C163" s="2">
        <v>45430</v>
      </c>
      <c r="D163" s="5">
        <f>C163-B163</f>
        <v>5</v>
      </c>
      <c r="E163" s="5" t="str">
        <f>IF(D163&lt;0,"INVALID","OK")</f>
        <v>OK</v>
      </c>
      <c r="F163" t="s">
        <v>1266</v>
      </c>
      <c r="G163" t="s">
        <v>46</v>
      </c>
      <c r="H163" t="s">
        <v>36</v>
      </c>
      <c r="I163" t="s">
        <v>62</v>
      </c>
      <c r="J163" t="s">
        <v>179</v>
      </c>
      <c r="K163" t="s">
        <v>180</v>
      </c>
      <c r="L163" t="s">
        <v>40</v>
      </c>
      <c r="M163" t="s">
        <v>65</v>
      </c>
      <c r="N163" t="s">
        <v>1267</v>
      </c>
      <c r="O163" t="s">
        <v>58</v>
      </c>
      <c r="P163">
        <v>3</v>
      </c>
      <c r="Q163">
        <v>3128.59</v>
      </c>
      <c r="R163">
        <v>0</v>
      </c>
      <c r="S163" t="str">
        <f t="shared" si="24"/>
        <v>OK</v>
      </c>
      <c r="T163">
        <v>9385.77</v>
      </c>
      <c r="U163">
        <v>6872.44</v>
      </c>
      <c r="V163">
        <v>2783.66</v>
      </c>
      <c r="W163" t="s">
        <v>31</v>
      </c>
      <c r="X163" t="s">
        <v>32</v>
      </c>
      <c r="Y163">
        <f t="shared" si="17"/>
        <v>0</v>
      </c>
      <c r="Z163">
        <f t="shared" si="18"/>
        <v>9385.77</v>
      </c>
      <c r="AA163">
        <f t="shared" si="19"/>
        <v>2513.3300000000008</v>
      </c>
      <c r="AB163">
        <f t="shared" si="20"/>
        <v>26.778090662779942</v>
      </c>
      <c r="AC163">
        <f t="shared" si="21"/>
        <v>5</v>
      </c>
      <c r="AD163">
        <f t="shared" si="22"/>
        <v>2024</v>
      </c>
      <c r="AE163" t="str">
        <f t="shared" si="23"/>
        <v>CLEAN</v>
      </c>
    </row>
    <row r="164" spans="1:31">
      <c r="A164" t="s">
        <v>1271</v>
      </c>
      <c r="B164" s="2">
        <v>45602</v>
      </c>
      <c r="C164" s="2">
        <v>45607</v>
      </c>
      <c r="D164" s="5">
        <f>C164-B164</f>
        <v>5</v>
      </c>
      <c r="E164" s="5" t="str">
        <f>IF(D164&lt;0,"INVALID","OK")</f>
        <v>OK</v>
      </c>
      <c r="F164" t="s">
        <v>1272</v>
      </c>
      <c r="G164" t="s">
        <v>46</v>
      </c>
      <c r="H164" t="s">
        <v>23</v>
      </c>
      <c r="I164" t="s">
        <v>62</v>
      </c>
      <c r="J164" t="s">
        <v>179</v>
      </c>
      <c r="K164" t="s">
        <v>180</v>
      </c>
      <c r="L164" t="s">
        <v>40</v>
      </c>
      <c r="M164" t="s">
        <v>56</v>
      </c>
      <c r="N164" t="s">
        <v>1273</v>
      </c>
      <c r="O164" t="s">
        <v>58</v>
      </c>
      <c r="P164">
        <v>4</v>
      </c>
      <c r="Q164">
        <v>1917.26</v>
      </c>
      <c r="R164">
        <v>0.2</v>
      </c>
      <c r="S164" t="str">
        <f t="shared" si="24"/>
        <v>OK</v>
      </c>
      <c r="T164">
        <v>6135.23</v>
      </c>
      <c r="U164">
        <v>3439.79</v>
      </c>
      <c r="V164">
        <v>2695.44</v>
      </c>
      <c r="W164" t="s">
        <v>31</v>
      </c>
      <c r="X164" t="s">
        <v>32</v>
      </c>
      <c r="Y164">
        <f t="shared" si="17"/>
        <v>0.2</v>
      </c>
      <c r="Z164">
        <f t="shared" si="18"/>
        <v>6135.232</v>
      </c>
      <c r="AA164">
        <f t="shared" si="19"/>
        <v>2695.442</v>
      </c>
      <c r="AB164">
        <f t="shared" si="20"/>
        <v>43.933823529411761</v>
      </c>
      <c r="AC164">
        <f t="shared" si="21"/>
        <v>11</v>
      </c>
      <c r="AD164">
        <f t="shared" si="22"/>
        <v>2024</v>
      </c>
      <c r="AE164" t="str">
        <f t="shared" si="23"/>
        <v>CLEAN</v>
      </c>
    </row>
    <row r="165" spans="1:31">
      <c r="A165" t="s">
        <v>1277</v>
      </c>
      <c r="B165" s="2">
        <v>45341</v>
      </c>
      <c r="C165" s="2">
        <v>45344</v>
      </c>
      <c r="D165" s="5">
        <f>C165-B165</f>
        <v>3</v>
      </c>
      <c r="E165" s="5" t="str">
        <f>IF(D165&lt;0,"INVALID","OK")</f>
        <v>OK</v>
      </c>
      <c r="F165" t="s">
        <v>1278</v>
      </c>
      <c r="G165" t="s">
        <v>88</v>
      </c>
      <c r="H165" t="s">
        <v>36</v>
      </c>
      <c r="I165" t="s">
        <v>53</v>
      </c>
      <c r="J165" t="s">
        <v>184</v>
      </c>
      <c r="K165" t="s">
        <v>185</v>
      </c>
      <c r="L165" t="s">
        <v>40</v>
      </c>
      <c r="M165" t="s">
        <v>56</v>
      </c>
      <c r="N165" t="s">
        <v>1279</v>
      </c>
      <c r="O165" t="s">
        <v>43</v>
      </c>
      <c r="P165">
        <v>9</v>
      </c>
      <c r="Q165">
        <v>4053.01</v>
      </c>
      <c r="R165">
        <v>0</v>
      </c>
      <c r="S165" t="str">
        <f t="shared" si="24"/>
        <v>OK</v>
      </c>
      <c r="T165">
        <v>36477.089999999997</v>
      </c>
      <c r="U165">
        <v>24525.48</v>
      </c>
      <c r="V165">
        <v>11951.61</v>
      </c>
      <c r="W165" t="s">
        <v>31</v>
      </c>
      <c r="X165" t="s">
        <v>32</v>
      </c>
      <c r="Y165">
        <f t="shared" si="17"/>
        <v>0</v>
      </c>
      <c r="Z165">
        <f t="shared" si="18"/>
        <v>36477.090000000004</v>
      </c>
      <c r="AA165">
        <f t="shared" si="19"/>
        <v>11951.610000000004</v>
      </c>
      <c r="AB165">
        <f t="shared" si="20"/>
        <v>32.764702447481426</v>
      </c>
      <c r="AC165">
        <f t="shared" si="21"/>
        <v>2</v>
      </c>
      <c r="AD165">
        <f t="shared" si="22"/>
        <v>2024</v>
      </c>
      <c r="AE165" t="str">
        <f t="shared" si="23"/>
        <v>CLEAN</v>
      </c>
    </row>
    <row r="166" spans="1:31">
      <c r="A166" t="s">
        <v>1280</v>
      </c>
      <c r="B166" s="2">
        <v>45527</v>
      </c>
      <c r="C166" s="2">
        <v>45533</v>
      </c>
      <c r="D166" s="5">
        <f>C166-B166</f>
        <v>6</v>
      </c>
      <c r="E166" s="5" t="str">
        <f>IF(D166&lt;0,"INVALID","OK")</f>
        <v>OK</v>
      </c>
      <c r="F166" t="s">
        <v>1281</v>
      </c>
      <c r="G166" t="s">
        <v>35</v>
      </c>
      <c r="H166" t="s">
        <v>89</v>
      </c>
      <c r="I166" t="s">
        <v>24</v>
      </c>
      <c r="J166" t="s">
        <v>135</v>
      </c>
      <c r="K166" t="s">
        <v>136</v>
      </c>
      <c r="L166" t="s">
        <v>27</v>
      </c>
      <c r="M166" t="s">
        <v>90</v>
      </c>
      <c r="N166" t="s">
        <v>1282</v>
      </c>
      <c r="O166" t="s">
        <v>43</v>
      </c>
      <c r="P166">
        <v>2</v>
      </c>
      <c r="Q166">
        <v>1936.91</v>
      </c>
      <c r="R166">
        <v>0.05</v>
      </c>
      <c r="S166" t="str">
        <f t="shared" si="24"/>
        <v>OK</v>
      </c>
      <c r="T166">
        <v>3680.13</v>
      </c>
      <c r="U166">
        <v>2967.46</v>
      </c>
      <c r="V166">
        <v>712.67</v>
      </c>
      <c r="W166" t="s">
        <v>31</v>
      </c>
      <c r="X166" t="s">
        <v>32</v>
      </c>
      <c r="Y166">
        <f t="shared" si="17"/>
        <v>0.05</v>
      </c>
      <c r="Z166">
        <f t="shared" si="18"/>
        <v>3680.1289999999999</v>
      </c>
      <c r="AA166">
        <f t="shared" si="19"/>
        <v>712.66899999999987</v>
      </c>
      <c r="AB166">
        <f t="shared" si="20"/>
        <v>19.365326595888348</v>
      </c>
      <c r="AC166">
        <f t="shared" si="21"/>
        <v>8</v>
      </c>
      <c r="AD166">
        <f t="shared" si="22"/>
        <v>2024</v>
      </c>
      <c r="AE166" t="str">
        <f t="shared" si="23"/>
        <v>CLEAN</v>
      </c>
    </row>
    <row r="167" spans="1:31">
      <c r="A167" t="s">
        <v>1283</v>
      </c>
      <c r="B167" s="2">
        <v>45355</v>
      </c>
      <c r="C167" s="2">
        <v>45386</v>
      </c>
      <c r="D167" s="5">
        <f>C167-B167</f>
        <v>31</v>
      </c>
      <c r="E167" s="5" t="str">
        <f>IF(D167&lt;0,"INVALID","OK")</f>
        <v>OK</v>
      </c>
      <c r="F167" t="s">
        <v>1284</v>
      </c>
      <c r="G167" t="s">
        <v>263</v>
      </c>
      <c r="H167" t="s">
        <v>23</v>
      </c>
      <c r="I167" t="s">
        <v>62</v>
      </c>
      <c r="J167" t="s">
        <v>63</v>
      </c>
      <c r="K167" t="s">
        <v>64</v>
      </c>
      <c r="L167" t="s">
        <v>40</v>
      </c>
      <c r="M167" t="s">
        <v>56</v>
      </c>
      <c r="N167" t="s">
        <v>1285</v>
      </c>
      <c r="O167" t="s">
        <v>49</v>
      </c>
      <c r="P167">
        <v>7</v>
      </c>
      <c r="Q167">
        <v>3945.21</v>
      </c>
      <c r="R167">
        <v>0</v>
      </c>
      <c r="S167" t="str">
        <f t="shared" si="24"/>
        <v>OK</v>
      </c>
      <c r="T167">
        <v>27616.47</v>
      </c>
      <c r="U167">
        <v>21225.26</v>
      </c>
      <c r="V167">
        <v>6391.21</v>
      </c>
      <c r="W167" t="s">
        <v>31</v>
      </c>
      <c r="X167" t="s">
        <v>32</v>
      </c>
      <c r="Y167">
        <f t="shared" si="17"/>
        <v>0</v>
      </c>
      <c r="Z167">
        <f t="shared" si="18"/>
        <v>27616.47</v>
      </c>
      <c r="AA167">
        <f t="shared" si="19"/>
        <v>6391.2100000000028</v>
      </c>
      <c r="AB167">
        <f t="shared" si="20"/>
        <v>23.142747787823726</v>
      </c>
      <c r="AC167">
        <f t="shared" si="21"/>
        <v>3</v>
      </c>
      <c r="AD167">
        <f t="shared" si="22"/>
        <v>2024</v>
      </c>
      <c r="AE167" t="str">
        <f t="shared" si="23"/>
        <v>CLEAN</v>
      </c>
    </row>
    <row r="168" spans="1:31">
      <c r="A168" t="s">
        <v>1286</v>
      </c>
      <c r="B168" s="2">
        <v>45449</v>
      </c>
      <c r="C168" s="2">
        <v>45450</v>
      </c>
      <c r="D168" s="5">
        <f>C168-B168</f>
        <v>1</v>
      </c>
      <c r="E168" s="5" t="str">
        <f>IF(D168&lt;0,"INVALID","OK")</f>
        <v>OK</v>
      </c>
      <c r="F168" t="s">
        <v>1287</v>
      </c>
      <c r="G168" t="s">
        <v>117</v>
      </c>
      <c r="H168" t="s">
        <v>94</v>
      </c>
      <c r="I168" t="s">
        <v>53</v>
      </c>
      <c r="J168" t="s">
        <v>246</v>
      </c>
      <c r="K168" t="s">
        <v>247</v>
      </c>
      <c r="L168" t="s">
        <v>40</v>
      </c>
      <c r="M168" t="s">
        <v>41</v>
      </c>
      <c r="N168" t="s">
        <v>1288</v>
      </c>
      <c r="O168" t="s">
        <v>43</v>
      </c>
      <c r="P168">
        <v>7</v>
      </c>
      <c r="Q168">
        <v>861.91</v>
      </c>
      <c r="R168">
        <v>0.05</v>
      </c>
      <c r="S168" t="str">
        <f t="shared" si="24"/>
        <v>OK</v>
      </c>
      <c r="T168">
        <v>5731.7</v>
      </c>
      <c r="U168">
        <v>4115.5600000000004</v>
      </c>
      <c r="V168">
        <v>1616.14</v>
      </c>
      <c r="W168" t="s">
        <v>31</v>
      </c>
      <c r="X168" t="s">
        <v>32</v>
      </c>
      <c r="Y168">
        <f t="shared" si="17"/>
        <v>0.05</v>
      </c>
      <c r="Z168">
        <f t="shared" si="18"/>
        <v>5731.7014999999992</v>
      </c>
      <c r="AA168">
        <f t="shared" si="19"/>
        <v>1616.1414999999988</v>
      </c>
      <c r="AB168">
        <f t="shared" si="20"/>
        <v>28.19653989308409</v>
      </c>
      <c r="AC168">
        <f t="shared" si="21"/>
        <v>6</v>
      </c>
      <c r="AD168">
        <f t="shared" si="22"/>
        <v>2024</v>
      </c>
      <c r="AE168" t="str">
        <f t="shared" si="23"/>
        <v>CLEAN</v>
      </c>
    </row>
    <row r="169" spans="1:31">
      <c r="A169" t="s">
        <v>1295</v>
      </c>
      <c r="B169" s="2">
        <v>45492</v>
      </c>
      <c r="C169" s="2">
        <v>45499</v>
      </c>
      <c r="D169" s="5">
        <f>C169-B169</f>
        <v>7</v>
      </c>
      <c r="E169" s="5" t="str">
        <f>IF(D169&lt;0,"INVALID","OK")</f>
        <v>OK</v>
      </c>
      <c r="F169" t="s">
        <v>1296</v>
      </c>
      <c r="G169" t="s">
        <v>70</v>
      </c>
      <c r="H169" t="s">
        <v>89</v>
      </c>
      <c r="I169" t="s">
        <v>24</v>
      </c>
      <c r="J169" t="s">
        <v>121</v>
      </c>
      <c r="K169" t="s">
        <v>122</v>
      </c>
      <c r="L169" t="s">
        <v>73</v>
      </c>
      <c r="M169" t="s">
        <v>273</v>
      </c>
      <c r="N169" t="s">
        <v>1297</v>
      </c>
      <c r="O169" t="s">
        <v>43</v>
      </c>
      <c r="P169">
        <v>2</v>
      </c>
      <c r="Q169">
        <v>1263.6500000000001</v>
      </c>
      <c r="R169">
        <v>0.2</v>
      </c>
      <c r="S169" t="str">
        <f t="shared" si="24"/>
        <v>OK</v>
      </c>
      <c r="T169">
        <v>2021.84</v>
      </c>
      <c r="U169">
        <v>1355.22</v>
      </c>
      <c r="V169">
        <v>666.62</v>
      </c>
      <c r="W169" t="s">
        <v>31</v>
      </c>
      <c r="X169" t="s">
        <v>32</v>
      </c>
      <c r="Y169">
        <f t="shared" si="17"/>
        <v>0.2</v>
      </c>
      <c r="Z169">
        <f t="shared" si="18"/>
        <v>2021.8400000000001</v>
      </c>
      <c r="AA169">
        <f t="shared" si="19"/>
        <v>666.62000000000012</v>
      </c>
      <c r="AB169">
        <f t="shared" si="20"/>
        <v>32.970957147944453</v>
      </c>
      <c r="AC169">
        <f t="shared" si="21"/>
        <v>7</v>
      </c>
      <c r="AD169">
        <f t="shared" si="22"/>
        <v>2024</v>
      </c>
      <c r="AE169" t="str">
        <f t="shared" si="23"/>
        <v>CLEAN</v>
      </c>
    </row>
    <row r="170" spans="1:31">
      <c r="A170" t="s">
        <v>1307</v>
      </c>
      <c r="B170" s="2">
        <v>45373</v>
      </c>
      <c r="C170" s="2">
        <v>45373</v>
      </c>
      <c r="D170" s="5">
        <f>C170-B170</f>
        <v>0</v>
      </c>
      <c r="E170" s="5" t="str">
        <f>IF(D170&lt;0,"INVALID","OK")</f>
        <v>OK</v>
      </c>
      <c r="F170" t="s">
        <v>1308</v>
      </c>
      <c r="G170" t="s">
        <v>113</v>
      </c>
      <c r="H170" t="s">
        <v>36</v>
      </c>
      <c r="I170" t="s">
        <v>53</v>
      </c>
      <c r="J170" t="s">
        <v>174</v>
      </c>
      <c r="K170" t="s">
        <v>175</v>
      </c>
      <c r="L170" t="s">
        <v>40</v>
      </c>
      <c r="M170" t="s">
        <v>41</v>
      </c>
      <c r="N170" t="s">
        <v>1309</v>
      </c>
      <c r="O170" t="s">
        <v>2762</v>
      </c>
      <c r="P170">
        <v>3</v>
      </c>
      <c r="Q170">
        <v>1365.26</v>
      </c>
      <c r="R170">
        <v>0</v>
      </c>
      <c r="S170" t="str">
        <f t="shared" si="24"/>
        <v>OK</v>
      </c>
      <c r="T170">
        <v>4095.78</v>
      </c>
      <c r="U170">
        <v>2807.77</v>
      </c>
      <c r="V170">
        <v>1288.01</v>
      </c>
      <c r="W170" t="s">
        <v>31</v>
      </c>
      <c r="X170" t="s">
        <v>32</v>
      </c>
      <c r="Y170">
        <f t="shared" si="17"/>
        <v>0</v>
      </c>
      <c r="Z170">
        <f t="shared" si="18"/>
        <v>4095.7799999999997</v>
      </c>
      <c r="AA170">
        <f t="shared" si="19"/>
        <v>1288.0099999999998</v>
      </c>
      <c r="AB170">
        <f t="shared" si="20"/>
        <v>31.447245701673427</v>
      </c>
      <c r="AC170">
        <f t="shared" si="21"/>
        <v>3</v>
      </c>
      <c r="AD170">
        <f t="shared" si="22"/>
        <v>2024</v>
      </c>
      <c r="AE170" t="str">
        <f t="shared" si="23"/>
        <v>CLEAN</v>
      </c>
    </row>
    <row r="171" spans="1:31">
      <c r="A171" t="s">
        <v>1310</v>
      </c>
      <c r="B171" s="2">
        <v>45565</v>
      </c>
      <c r="C171" s="2">
        <v>45392</v>
      </c>
      <c r="D171" s="5">
        <f>C171-B171</f>
        <v>-173</v>
      </c>
      <c r="E171" s="5" t="str">
        <f>IF(D171&lt;0,"INVALID","OK")</f>
        <v>INVALID</v>
      </c>
      <c r="F171" t="s">
        <v>1311</v>
      </c>
      <c r="G171" t="s">
        <v>52</v>
      </c>
      <c r="H171" t="s">
        <v>36</v>
      </c>
      <c r="I171" t="s">
        <v>53</v>
      </c>
      <c r="J171" t="s">
        <v>184</v>
      </c>
      <c r="K171" t="s">
        <v>185</v>
      </c>
      <c r="L171" t="s">
        <v>27</v>
      </c>
      <c r="M171" t="s">
        <v>28</v>
      </c>
      <c r="N171" t="s">
        <v>1312</v>
      </c>
      <c r="O171" t="s">
        <v>43</v>
      </c>
      <c r="P171">
        <v>5</v>
      </c>
      <c r="Q171">
        <v>3512.25</v>
      </c>
      <c r="R171">
        <v>0.05</v>
      </c>
      <c r="S171" t="str">
        <f t="shared" si="24"/>
        <v>OK</v>
      </c>
      <c r="T171">
        <v>16683.189999999999</v>
      </c>
      <c r="U171">
        <v>10301.16</v>
      </c>
      <c r="V171">
        <v>6382.03</v>
      </c>
      <c r="W171" t="s">
        <v>31</v>
      </c>
      <c r="X171" t="s">
        <v>102</v>
      </c>
      <c r="Y171">
        <f t="shared" si="17"/>
        <v>0.05</v>
      </c>
      <c r="Z171">
        <f t="shared" si="18"/>
        <v>16683.1875</v>
      </c>
      <c r="AA171">
        <f t="shared" si="19"/>
        <v>6382.0275000000001</v>
      </c>
      <c r="AB171">
        <f t="shared" si="20"/>
        <v>38.254245479168773</v>
      </c>
      <c r="AC171">
        <f t="shared" si="21"/>
        <v>9</v>
      </c>
      <c r="AD171">
        <f t="shared" si="22"/>
        <v>2024</v>
      </c>
      <c r="AE171" t="str">
        <f t="shared" si="23"/>
        <v>INVALID</v>
      </c>
    </row>
    <row r="172" spans="1:31">
      <c r="A172" t="s">
        <v>1313</v>
      </c>
      <c r="B172" s="2">
        <v>45318</v>
      </c>
      <c r="C172" s="2">
        <v>45325</v>
      </c>
      <c r="D172" s="5">
        <f>C172-B172</f>
        <v>7</v>
      </c>
      <c r="E172" s="5" t="str">
        <f>IF(D172&lt;0,"INVALID","OK")</f>
        <v>OK</v>
      </c>
      <c r="F172" t="s">
        <v>1314</v>
      </c>
      <c r="G172" t="s">
        <v>88</v>
      </c>
      <c r="H172" t="s">
        <v>89</v>
      </c>
      <c r="I172" t="s">
        <v>62</v>
      </c>
      <c r="J172" t="s">
        <v>25</v>
      </c>
      <c r="K172" t="s">
        <v>108</v>
      </c>
      <c r="L172" t="s">
        <v>40</v>
      </c>
      <c r="M172" t="s">
        <v>65</v>
      </c>
      <c r="N172" t="s">
        <v>1315</v>
      </c>
      <c r="O172" t="s">
        <v>43</v>
      </c>
      <c r="P172">
        <v>3</v>
      </c>
      <c r="Q172">
        <v>359.61</v>
      </c>
      <c r="R172">
        <v>0</v>
      </c>
      <c r="S172" t="str">
        <f t="shared" si="24"/>
        <v>OK</v>
      </c>
      <c r="T172">
        <v>1078.83</v>
      </c>
      <c r="U172">
        <v>926.35</v>
      </c>
      <c r="V172">
        <v>152.47999999999999</v>
      </c>
      <c r="W172" t="s">
        <v>31</v>
      </c>
      <c r="X172" t="s">
        <v>32</v>
      </c>
      <c r="Y172">
        <f t="shared" si="17"/>
        <v>0</v>
      </c>
      <c r="Z172">
        <f t="shared" si="18"/>
        <v>1078.83</v>
      </c>
      <c r="AA172">
        <f t="shared" si="19"/>
        <v>152.4799999999999</v>
      </c>
      <c r="AB172">
        <f t="shared" si="20"/>
        <v>14.133830167867034</v>
      </c>
      <c r="AC172">
        <f t="shared" si="21"/>
        <v>1</v>
      </c>
      <c r="AD172">
        <f t="shared" si="22"/>
        <v>2024</v>
      </c>
      <c r="AE172" t="str">
        <f t="shared" si="23"/>
        <v>CLEAN</v>
      </c>
    </row>
    <row r="173" spans="1:31">
      <c r="A173" t="s">
        <v>1316</v>
      </c>
      <c r="B173" s="2">
        <v>45558</v>
      </c>
      <c r="C173" s="2">
        <v>45559</v>
      </c>
      <c r="D173" s="5">
        <f>C173-B173</f>
        <v>1</v>
      </c>
      <c r="E173" s="5" t="str">
        <f>IF(D173&lt;0,"INVALID","OK")</f>
        <v>OK</v>
      </c>
      <c r="F173" t="s">
        <v>1317</v>
      </c>
      <c r="G173" t="s">
        <v>88</v>
      </c>
      <c r="H173" t="s">
        <v>94</v>
      </c>
      <c r="I173" t="s">
        <v>62</v>
      </c>
      <c r="J173" t="s">
        <v>179</v>
      </c>
      <c r="K173" t="s">
        <v>180</v>
      </c>
      <c r="L173" t="s">
        <v>40</v>
      </c>
      <c r="M173" t="s">
        <v>157</v>
      </c>
      <c r="N173" t="s">
        <v>1318</v>
      </c>
      <c r="O173" t="s">
        <v>2762</v>
      </c>
      <c r="P173">
        <v>7</v>
      </c>
      <c r="Q173">
        <v>3878.01</v>
      </c>
      <c r="R173">
        <v>0.1</v>
      </c>
      <c r="S173" t="str">
        <f t="shared" si="24"/>
        <v>OK</v>
      </c>
      <c r="T173">
        <v>24431.46</v>
      </c>
      <c r="U173">
        <v>18202.36</v>
      </c>
      <c r="V173">
        <v>6229.1</v>
      </c>
      <c r="W173" t="s">
        <v>31</v>
      </c>
      <c r="X173" t="s">
        <v>32</v>
      </c>
      <c r="Y173">
        <f t="shared" si="17"/>
        <v>0.1</v>
      </c>
      <c r="Z173">
        <f t="shared" si="18"/>
        <v>24431.463</v>
      </c>
      <c r="AA173">
        <f t="shared" si="19"/>
        <v>6229.1029999999992</v>
      </c>
      <c r="AB173">
        <f t="shared" si="20"/>
        <v>25.496234097810678</v>
      </c>
      <c r="AC173">
        <f t="shared" si="21"/>
        <v>9</v>
      </c>
      <c r="AD173">
        <f t="shared" si="22"/>
        <v>2024</v>
      </c>
      <c r="AE173" t="str">
        <f t="shared" si="23"/>
        <v>CLEAN</v>
      </c>
    </row>
    <row r="174" spans="1:31">
      <c r="A174" t="s">
        <v>1322</v>
      </c>
      <c r="B174" s="2">
        <v>45424</v>
      </c>
      <c r="C174" s="2">
        <v>45425</v>
      </c>
      <c r="D174" s="5">
        <f>C174-B174</f>
        <v>1</v>
      </c>
      <c r="E174" s="5" t="str">
        <f>IF(D174&lt;0,"INVALID","OK")</f>
        <v>OK</v>
      </c>
      <c r="F174" t="s">
        <v>1323</v>
      </c>
      <c r="G174" t="s">
        <v>117</v>
      </c>
      <c r="H174" t="s">
        <v>89</v>
      </c>
      <c r="I174" t="s">
        <v>62</v>
      </c>
      <c r="J174" t="s">
        <v>189</v>
      </c>
      <c r="K174" t="s">
        <v>190</v>
      </c>
      <c r="L174" t="s">
        <v>27</v>
      </c>
      <c r="M174" t="s">
        <v>90</v>
      </c>
      <c r="N174" t="s">
        <v>1324</v>
      </c>
      <c r="O174" t="s">
        <v>30</v>
      </c>
      <c r="P174">
        <v>3</v>
      </c>
      <c r="Q174">
        <v>2644.55</v>
      </c>
      <c r="R174">
        <v>0</v>
      </c>
      <c r="S174" t="str">
        <f t="shared" si="24"/>
        <v>OK</v>
      </c>
      <c r="T174">
        <v>7933.65</v>
      </c>
      <c r="U174">
        <v>5698.42</v>
      </c>
      <c r="V174">
        <v>2235.23</v>
      </c>
      <c r="W174" t="s">
        <v>31</v>
      </c>
      <c r="X174" t="s">
        <v>32</v>
      </c>
      <c r="Y174">
        <f t="shared" si="17"/>
        <v>0</v>
      </c>
      <c r="Z174">
        <f t="shared" si="18"/>
        <v>7933.6500000000005</v>
      </c>
      <c r="AA174">
        <f t="shared" si="19"/>
        <v>2235.2300000000005</v>
      </c>
      <c r="AB174">
        <f t="shared" si="20"/>
        <v>28.174043473054649</v>
      </c>
      <c r="AC174">
        <f t="shared" si="21"/>
        <v>5</v>
      </c>
      <c r="AD174">
        <f t="shared" si="22"/>
        <v>2024</v>
      </c>
      <c r="AE174" t="str">
        <f t="shared" si="23"/>
        <v>CLEAN</v>
      </c>
    </row>
    <row r="175" spans="1:31">
      <c r="A175" t="s">
        <v>1331</v>
      </c>
      <c r="B175" s="2">
        <v>45394</v>
      </c>
      <c r="C175" s="2">
        <v>45402</v>
      </c>
      <c r="D175" s="5">
        <f>C175-B175</f>
        <v>8</v>
      </c>
      <c r="E175" s="5" t="str">
        <f>IF(D175&lt;0,"INVALID","OK")</f>
        <v>OK</v>
      </c>
      <c r="F175" t="s">
        <v>1332</v>
      </c>
      <c r="G175" t="s">
        <v>161</v>
      </c>
      <c r="H175" t="s">
        <v>23</v>
      </c>
      <c r="I175" t="s">
        <v>62</v>
      </c>
      <c r="J175" t="s">
        <v>189</v>
      </c>
      <c r="K175" t="s">
        <v>190</v>
      </c>
      <c r="L175" t="s">
        <v>40</v>
      </c>
      <c r="M175" t="s">
        <v>41</v>
      </c>
      <c r="N175" t="s">
        <v>1333</v>
      </c>
      <c r="O175" t="s">
        <v>49</v>
      </c>
      <c r="P175">
        <v>9</v>
      </c>
      <c r="Q175">
        <v>1302.6099999999999</v>
      </c>
      <c r="R175">
        <v>0.2</v>
      </c>
      <c r="S175" t="str">
        <f t="shared" si="24"/>
        <v>OK</v>
      </c>
      <c r="T175">
        <v>9378.7900000000009</v>
      </c>
      <c r="U175">
        <v>6774.48</v>
      </c>
      <c r="V175">
        <v>2604.31</v>
      </c>
      <c r="W175" t="s">
        <v>31</v>
      </c>
      <c r="X175" t="s">
        <v>32</v>
      </c>
      <c r="Y175">
        <f t="shared" si="17"/>
        <v>0.2</v>
      </c>
      <c r="Z175">
        <f t="shared" si="18"/>
        <v>9378.7919999999995</v>
      </c>
      <c r="AA175">
        <f t="shared" si="19"/>
        <v>2604.3119999999999</v>
      </c>
      <c r="AB175">
        <f t="shared" si="20"/>
        <v>27.768096360384153</v>
      </c>
      <c r="AC175">
        <f t="shared" si="21"/>
        <v>4</v>
      </c>
      <c r="AD175">
        <f t="shared" si="22"/>
        <v>2024</v>
      </c>
      <c r="AE175" t="str">
        <f t="shared" si="23"/>
        <v>CLEAN</v>
      </c>
    </row>
    <row r="176" spans="1:31">
      <c r="A176" t="s">
        <v>1337</v>
      </c>
      <c r="B176" s="2">
        <v>45313</v>
      </c>
      <c r="C176" s="2">
        <v>45321</v>
      </c>
      <c r="D176" s="5">
        <f>C176-B176</f>
        <v>8</v>
      </c>
      <c r="E176" s="5" t="str">
        <f>IF(D176&lt;0,"INVALID","OK")</f>
        <v>OK</v>
      </c>
      <c r="F176" t="s">
        <v>1338</v>
      </c>
      <c r="G176" t="s">
        <v>46</v>
      </c>
      <c r="H176" t="s">
        <v>89</v>
      </c>
      <c r="I176" t="s">
        <v>53</v>
      </c>
      <c r="J176" t="s">
        <v>174</v>
      </c>
      <c r="K176" t="s">
        <v>175</v>
      </c>
      <c r="L176" t="s">
        <v>40</v>
      </c>
      <c r="M176" t="s">
        <v>65</v>
      </c>
      <c r="N176" t="s">
        <v>1339</v>
      </c>
      <c r="O176" t="s">
        <v>43</v>
      </c>
      <c r="P176">
        <v>1</v>
      </c>
      <c r="Q176">
        <v>2111.39</v>
      </c>
      <c r="R176">
        <v>0.25</v>
      </c>
      <c r="S176" t="str">
        <f t="shared" si="24"/>
        <v>OK</v>
      </c>
      <c r="T176">
        <v>1583.54</v>
      </c>
      <c r="U176">
        <v>1014.19</v>
      </c>
      <c r="V176">
        <v>569.35</v>
      </c>
      <c r="W176" t="s">
        <v>31</v>
      </c>
      <c r="X176" t="s">
        <v>32</v>
      </c>
      <c r="Y176">
        <f t="shared" si="17"/>
        <v>0.25</v>
      </c>
      <c r="Z176">
        <f t="shared" si="18"/>
        <v>1583.5425</v>
      </c>
      <c r="AA176">
        <f t="shared" si="19"/>
        <v>569.35249999999996</v>
      </c>
      <c r="AB176">
        <f t="shared" si="20"/>
        <v>35.954355503562425</v>
      </c>
      <c r="AC176">
        <f t="shared" si="21"/>
        <v>1</v>
      </c>
      <c r="AD176">
        <f t="shared" si="22"/>
        <v>2024</v>
      </c>
      <c r="AE176" t="str">
        <f t="shared" si="23"/>
        <v>CLEAN</v>
      </c>
    </row>
    <row r="177" spans="1:31">
      <c r="A177" t="s">
        <v>1343</v>
      </c>
      <c r="B177" s="2">
        <v>45533</v>
      </c>
      <c r="C177" s="2">
        <v>45534</v>
      </c>
      <c r="D177" s="5">
        <f>C177-B177</f>
        <v>1</v>
      </c>
      <c r="E177" s="5" t="str">
        <f>IF(D177&lt;0,"INVALID","OK")</f>
        <v>OK</v>
      </c>
      <c r="F177" t="s">
        <v>1344</v>
      </c>
      <c r="G177" t="s">
        <v>52</v>
      </c>
      <c r="H177" t="s">
        <v>94</v>
      </c>
      <c r="I177" t="s">
        <v>37</v>
      </c>
      <c r="J177" t="s">
        <v>165</v>
      </c>
      <c r="K177" t="s">
        <v>166</v>
      </c>
      <c r="L177" t="s">
        <v>27</v>
      </c>
      <c r="M177" t="s">
        <v>123</v>
      </c>
      <c r="N177" t="s">
        <v>1345</v>
      </c>
      <c r="O177" t="s">
        <v>49</v>
      </c>
      <c r="P177">
        <v>4</v>
      </c>
      <c r="Q177">
        <v>2484.08</v>
      </c>
      <c r="R177">
        <v>0.05</v>
      </c>
      <c r="S177" t="str">
        <f t="shared" si="24"/>
        <v>OK</v>
      </c>
      <c r="T177">
        <v>9439.5</v>
      </c>
      <c r="U177">
        <v>5519.39</v>
      </c>
      <c r="V177">
        <v>3920.11</v>
      </c>
      <c r="W177" t="s">
        <v>31</v>
      </c>
      <c r="X177" t="s">
        <v>32</v>
      </c>
      <c r="Y177">
        <f t="shared" si="17"/>
        <v>0.05</v>
      </c>
      <c r="Z177">
        <f t="shared" si="18"/>
        <v>9439.503999999999</v>
      </c>
      <c r="AA177">
        <f t="shared" si="19"/>
        <v>3920.1139999999987</v>
      </c>
      <c r="AB177">
        <f t="shared" si="20"/>
        <v>41.528813378330035</v>
      </c>
      <c r="AC177">
        <f t="shared" si="21"/>
        <v>8</v>
      </c>
      <c r="AD177">
        <f t="shared" si="22"/>
        <v>2024</v>
      </c>
      <c r="AE177" t="str">
        <f t="shared" si="23"/>
        <v>CLEAN</v>
      </c>
    </row>
    <row r="178" spans="1:31">
      <c r="A178" t="s">
        <v>1346</v>
      </c>
      <c r="B178" s="2">
        <v>45316</v>
      </c>
      <c r="C178" s="2">
        <v>45318</v>
      </c>
      <c r="D178" s="5">
        <f>C178-B178</f>
        <v>2</v>
      </c>
      <c r="E178" s="5" t="str">
        <f>IF(D178&lt;0,"INVALID","OK")</f>
        <v>OK</v>
      </c>
      <c r="F178" t="s">
        <v>1347</v>
      </c>
      <c r="G178" t="s">
        <v>127</v>
      </c>
      <c r="H178" t="s">
        <v>89</v>
      </c>
      <c r="I178" t="s">
        <v>53</v>
      </c>
      <c r="J178" t="s">
        <v>174</v>
      </c>
      <c r="K178" t="s">
        <v>175</v>
      </c>
      <c r="L178" t="s">
        <v>27</v>
      </c>
      <c r="M178" t="s">
        <v>123</v>
      </c>
      <c r="N178" t="s">
        <v>1348</v>
      </c>
      <c r="O178" t="s">
        <v>43</v>
      </c>
      <c r="P178">
        <v>7</v>
      </c>
      <c r="Q178">
        <v>1727.26</v>
      </c>
      <c r="R178">
        <v>0.15</v>
      </c>
      <c r="S178" t="str">
        <f t="shared" si="24"/>
        <v>OK</v>
      </c>
      <c r="T178">
        <v>10277.200000000001</v>
      </c>
      <c r="U178">
        <v>7906.5</v>
      </c>
      <c r="V178">
        <v>2370.6999999999998</v>
      </c>
      <c r="W178" t="s">
        <v>31</v>
      </c>
      <c r="X178" t="s">
        <v>102</v>
      </c>
      <c r="Y178">
        <f t="shared" si="17"/>
        <v>0.15</v>
      </c>
      <c r="Z178">
        <f t="shared" si="18"/>
        <v>10277.197</v>
      </c>
      <c r="AA178">
        <f t="shared" si="19"/>
        <v>2370.6970000000001</v>
      </c>
      <c r="AB178">
        <f t="shared" si="20"/>
        <v>23.067544584384244</v>
      </c>
      <c r="AC178">
        <f t="shared" si="21"/>
        <v>1</v>
      </c>
      <c r="AD178">
        <f t="shared" si="22"/>
        <v>2024</v>
      </c>
      <c r="AE178" t="str">
        <f t="shared" si="23"/>
        <v>CLEAN</v>
      </c>
    </row>
    <row r="179" spans="1:31">
      <c r="A179" t="s">
        <v>1370</v>
      </c>
      <c r="B179" s="2">
        <v>45342</v>
      </c>
      <c r="C179" s="2">
        <v>45349</v>
      </c>
      <c r="D179" s="5">
        <f>C179-B179</f>
        <v>7</v>
      </c>
      <c r="E179" s="5" t="str">
        <f>IF(D179&lt;0,"INVALID","OK")</f>
        <v>OK</v>
      </c>
      <c r="F179" t="s">
        <v>1371</v>
      </c>
      <c r="G179" t="s">
        <v>161</v>
      </c>
      <c r="H179" t="s">
        <v>23</v>
      </c>
      <c r="I179" t="s">
        <v>53</v>
      </c>
      <c r="J179" t="s">
        <v>184</v>
      </c>
      <c r="K179" t="s">
        <v>185</v>
      </c>
      <c r="L179" t="s">
        <v>73</v>
      </c>
      <c r="M179" t="s">
        <v>74</v>
      </c>
      <c r="N179" t="s">
        <v>1372</v>
      </c>
      <c r="O179" t="s">
        <v>49</v>
      </c>
      <c r="P179">
        <v>9</v>
      </c>
      <c r="Q179">
        <v>3779.31</v>
      </c>
      <c r="R179">
        <v>0.2</v>
      </c>
      <c r="S179" t="str">
        <f t="shared" si="24"/>
        <v>OK</v>
      </c>
      <c r="T179">
        <v>27211.03</v>
      </c>
      <c r="U179">
        <v>17940.43</v>
      </c>
      <c r="V179">
        <v>9270.6</v>
      </c>
      <c r="W179" t="s">
        <v>31</v>
      </c>
      <c r="X179" t="s">
        <v>32</v>
      </c>
      <c r="Y179">
        <f t="shared" si="17"/>
        <v>0.2</v>
      </c>
      <c r="Z179">
        <f t="shared" si="18"/>
        <v>27211.032000000003</v>
      </c>
      <c r="AA179">
        <f t="shared" si="19"/>
        <v>9270.6020000000026</v>
      </c>
      <c r="AB179">
        <f t="shared" si="20"/>
        <v>34.069277490100347</v>
      </c>
      <c r="AC179">
        <f t="shared" si="21"/>
        <v>2</v>
      </c>
      <c r="AD179">
        <f t="shared" si="22"/>
        <v>2024</v>
      </c>
      <c r="AE179" t="str">
        <f t="shared" si="23"/>
        <v>CLEAN</v>
      </c>
    </row>
    <row r="180" spans="1:31">
      <c r="A180" t="s">
        <v>1370</v>
      </c>
      <c r="B180" s="2">
        <v>45342</v>
      </c>
      <c r="C180" s="2">
        <v>45349</v>
      </c>
      <c r="D180" s="5">
        <f>C180-B180</f>
        <v>7</v>
      </c>
      <c r="E180" s="5" t="str">
        <f>IF(D180&lt;0,"INVALID","OK")</f>
        <v>OK</v>
      </c>
      <c r="F180" t="s">
        <v>1371</v>
      </c>
      <c r="G180" t="s">
        <v>161</v>
      </c>
      <c r="H180" t="s">
        <v>23</v>
      </c>
      <c r="I180" t="s">
        <v>53</v>
      </c>
      <c r="J180" t="s">
        <v>184</v>
      </c>
      <c r="K180" t="s">
        <v>185</v>
      </c>
      <c r="L180" t="s">
        <v>73</v>
      </c>
      <c r="M180" t="s">
        <v>74</v>
      </c>
      <c r="N180" t="s">
        <v>1372</v>
      </c>
      <c r="O180" t="s">
        <v>49</v>
      </c>
      <c r="P180">
        <v>9</v>
      </c>
      <c r="Q180">
        <v>3779.31</v>
      </c>
      <c r="R180">
        <v>0.2</v>
      </c>
      <c r="S180" t="str">
        <f t="shared" si="24"/>
        <v>OK</v>
      </c>
      <c r="T180">
        <v>27322.9</v>
      </c>
      <c r="U180">
        <v>17940.43</v>
      </c>
      <c r="V180">
        <v>9270.6</v>
      </c>
      <c r="W180" t="s">
        <v>31</v>
      </c>
      <c r="X180" t="s">
        <v>102</v>
      </c>
      <c r="Y180">
        <f t="shared" si="17"/>
        <v>0.2</v>
      </c>
      <c r="Z180">
        <f t="shared" si="18"/>
        <v>27211.032000000003</v>
      </c>
      <c r="AA180">
        <f t="shared" si="19"/>
        <v>9270.6020000000026</v>
      </c>
      <c r="AB180">
        <f t="shared" si="20"/>
        <v>34.069277490100347</v>
      </c>
      <c r="AC180">
        <f t="shared" si="21"/>
        <v>2</v>
      </c>
      <c r="AD180">
        <f t="shared" si="22"/>
        <v>2024</v>
      </c>
      <c r="AE180" t="str">
        <f t="shared" si="23"/>
        <v>CLEAN</v>
      </c>
    </row>
    <row r="181" spans="1:31">
      <c r="A181" t="s">
        <v>1373</v>
      </c>
      <c r="B181" s="2">
        <v>45469</v>
      </c>
      <c r="C181" s="2">
        <v>45472</v>
      </c>
      <c r="D181" s="5">
        <f>C181-B181</f>
        <v>3</v>
      </c>
      <c r="E181" s="5" t="str">
        <f>IF(D181&lt;0,"INVALID","OK")</f>
        <v>OK</v>
      </c>
      <c r="F181" t="s">
        <v>1374</v>
      </c>
      <c r="G181" t="s">
        <v>78</v>
      </c>
      <c r="H181" t="s">
        <v>89</v>
      </c>
      <c r="I181" t="s">
        <v>24</v>
      </c>
      <c r="J181" t="s">
        <v>121</v>
      </c>
      <c r="K181" t="s">
        <v>122</v>
      </c>
      <c r="L181" t="s">
        <v>73</v>
      </c>
      <c r="M181" t="s">
        <v>170</v>
      </c>
      <c r="N181" t="s">
        <v>1375</v>
      </c>
      <c r="O181" t="s">
        <v>58</v>
      </c>
      <c r="P181">
        <v>8</v>
      </c>
      <c r="Q181">
        <v>804.52</v>
      </c>
      <c r="R181">
        <v>0</v>
      </c>
      <c r="S181" t="str">
        <f t="shared" si="24"/>
        <v>OK</v>
      </c>
      <c r="T181">
        <v>6436.16</v>
      </c>
      <c r="U181">
        <v>4263.83</v>
      </c>
      <c r="V181">
        <v>2172.33</v>
      </c>
      <c r="W181" t="s">
        <v>31</v>
      </c>
      <c r="X181" t="s">
        <v>32</v>
      </c>
      <c r="Y181">
        <f t="shared" si="17"/>
        <v>0</v>
      </c>
      <c r="Z181">
        <f t="shared" si="18"/>
        <v>6436.16</v>
      </c>
      <c r="AA181">
        <f t="shared" si="19"/>
        <v>2172.33</v>
      </c>
      <c r="AB181">
        <f t="shared" si="20"/>
        <v>33.75195768905683</v>
      </c>
      <c r="AC181">
        <f t="shared" si="21"/>
        <v>6</v>
      </c>
      <c r="AD181">
        <f t="shared" si="22"/>
        <v>2024</v>
      </c>
      <c r="AE181" t="str">
        <f t="shared" si="23"/>
        <v>CLEAN</v>
      </c>
    </row>
    <row r="182" spans="1:31">
      <c r="A182" t="s">
        <v>1379</v>
      </c>
      <c r="B182" s="2">
        <v>45473</v>
      </c>
      <c r="C182" s="2">
        <v>45298</v>
      </c>
      <c r="D182" s="5">
        <f>C182-B182</f>
        <v>-175</v>
      </c>
      <c r="E182" s="5" t="str">
        <f>IF(D182&lt;0,"INVALID","OK")</f>
        <v>INVALID</v>
      </c>
      <c r="F182" t="s">
        <v>1380</v>
      </c>
      <c r="G182" t="s">
        <v>88</v>
      </c>
      <c r="H182" t="s">
        <v>23</v>
      </c>
      <c r="I182" t="s">
        <v>24</v>
      </c>
      <c r="J182" t="s">
        <v>235</v>
      </c>
      <c r="K182" t="s">
        <v>236</v>
      </c>
      <c r="L182" t="s">
        <v>73</v>
      </c>
      <c r="M182" t="s">
        <v>79</v>
      </c>
      <c r="N182" t="s">
        <v>1381</v>
      </c>
      <c r="O182" t="s">
        <v>43</v>
      </c>
      <c r="P182">
        <v>8</v>
      </c>
      <c r="Q182">
        <v>3756.66</v>
      </c>
      <c r="R182">
        <v>0.1</v>
      </c>
      <c r="S182" t="str">
        <f t="shared" si="24"/>
        <v>OK</v>
      </c>
      <c r="T182">
        <v>27047.95</v>
      </c>
      <c r="U182">
        <v>18431.330000000002</v>
      </c>
      <c r="V182">
        <v>8616.6200000000008</v>
      </c>
      <c r="W182" t="s">
        <v>31</v>
      </c>
      <c r="X182" t="s">
        <v>32</v>
      </c>
      <c r="Y182">
        <f t="shared" si="17"/>
        <v>0.1</v>
      </c>
      <c r="Z182">
        <f t="shared" si="18"/>
        <v>27047.952000000001</v>
      </c>
      <c r="AA182">
        <f t="shared" si="19"/>
        <v>8616.6219999999994</v>
      </c>
      <c r="AB182">
        <f t="shared" si="20"/>
        <v>31.856837072174628</v>
      </c>
      <c r="AC182">
        <f t="shared" si="21"/>
        <v>6</v>
      </c>
      <c r="AD182">
        <f t="shared" si="22"/>
        <v>2024</v>
      </c>
      <c r="AE182" t="str">
        <f t="shared" si="23"/>
        <v>INVALID</v>
      </c>
    </row>
    <row r="183" spans="1:31">
      <c r="A183" t="s">
        <v>1391</v>
      </c>
      <c r="B183" s="2">
        <v>45534</v>
      </c>
      <c r="C183" s="2">
        <v>45331</v>
      </c>
      <c r="D183" s="5">
        <f>C183-B183</f>
        <v>-203</v>
      </c>
      <c r="E183" s="5" t="str">
        <f>IF(D183&lt;0,"INVALID","OK")</f>
        <v>INVALID</v>
      </c>
      <c r="F183" t="s">
        <v>1392</v>
      </c>
      <c r="G183" t="s">
        <v>78</v>
      </c>
      <c r="H183" t="s">
        <v>36</v>
      </c>
      <c r="I183" t="s">
        <v>24</v>
      </c>
      <c r="J183" t="s">
        <v>235</v>
      </c>
      <c r="K183" t="s">
        <v>236</v>
      </c>
      <c r="L183" t="s">
        <v>27</v>
      </c>
      <c r="M183" t="s">
        <v>28</v>
      </c>
      <c r="N183" t="s">
        <v>1393</v>
      </c>
      <c r="O183" t="s">
        <v>30</v>
      </c>
      <c r="P183">
        <v>1</v>
      </c>
      <c r="Q183">
        <v>4320.84</v>
      </c>
      <c r="R183">
        <v>0.15</v>
      </c>
      <c r="S183" t="str">
        <f t="shared" si="24"/>
        <v>OK</v>
      </c>
      <c r="T183">
        <v>3672.71</v>
      </c>
      <c r="U183">
        <v>2714.23</v>
      </c>
      <c r="V183">
        <v>763.38</v>
      </c>
      <c r="W183" t="s">
        <v>31</v>
      </c>
      <c r="X183" t="s">
        <v>32</v>
      </c>
      <c r="Y183">
        <f t="shared" si="17"/>
        <v>0.15</v>
      </c>
      <c r="Z183">
        <f t="shared" si="18"/>
        <v>3672.7139999999999</v>
      </c>
      <c r="AA183">
        <f t="shared" si="19"/>
        <v>958.48399999999992</v>
      </c>
      <c r="AB183">
        <f t="shared" si="20"/>
        <v>26.097430946161339</v>
      </c>
      <c r="AC183">
        <f t="shared" si="21"/>
        <v>8</v>
      </c>
      <c r="AD183">
        <f t="shared" si="22"/>
        <v>2024</v>
      </c>
      <c r="AE183" t="str">
        <f t="shared" si="23"/>
        <v>INVALID</v>
      </c>
    </row>
    <row r="184" spans="1:31">
      <c r="A184" t="s">
        <v>1394</v>
      </c>
      <c r="B184" s="2">
        <v>45332</v>
      </c>
      <c r="C184" s="2">
        <v>45335</v>
      </c>
      <c r="D184" s="5">
        <f>C184-B184</f>
        <v>3</v>
      </c>
      <c r="E184" s="5" t="str">
        <f>IF(D184&lt;0,"INVALID","OK")</f>
        <v>OK</v>
      </c>
      <c r="F184" t="s">
        <v>1395</v>
      </c>
      <c r="G184" t="s">
        <v>22</v>
      </c>
      <c r="H184" t="s">
        <v>94</v>
      </c>
      <c r="I184" t="s">
        <v>62</v>
      </c>
      <c r="J184" t="s">
        <v>189</v>
      </c>
      <c r="K184" t="s">
        <v>190</v>
      </c>
      <c r="L184" t="s">
        <v>73</v>
      </c>
      <c r="M184" t="s">
        <v>273</v>
      </c>
      <c r="N184" t="s">
        <v>1396</v>
      </c>
      <c r="O184" t="s">
        <v>43</v>
      </c>
      <c r="P184">
        <v>2</v>
      </c>
      <c r="Q184">
        <v>4118.45</v>
      </c>
      <c r="R184">
        <v>0.25</v>
      </c>
      <c r="S184" t="str">
        <f t="shared" si="24"/>
        <v>OK</v>
      </c>
      <c r="T184">
        <v>6177.67</v>
      </c>
      <c r="U184">
        <v>4520.75</v>
      </c>
      <c r="V184">
        <v>1656.92</v>
      </c>
      <c r="W184" t="s">
        <v>31</v>
      </c>
      <c r="X184" t="s">
        <v>32</v>
      </c>
      <c r="Y184">
        <f t="shared" si="17"/>
        <v>0.25</v>
      </c>
      <c r="Z184">
        <f t="shared" si="18"/>
        <v>6177.6749999999993</v>
      </c>
      <c r="AA184">
        <f t="shared" si="19"/>
        <v>1656.9249999999993</v>
      </c>
      <c r="AB184">
        <f t="shared" si="20"/>
        <v>26.821174632851346</v>
      </c>
      <c r="AC184">
        <f t="shared" si="21"/>
        <v>2</v>
      </c>
      <c r="AD184">
        <f t="shared" si="22"/>
        <v>2024</v>
      </c>
      <c r="AE184" t="str">
        <f t="shared" si="23"/>
        <v>CLEAN</v>
      </c>
    </row>
    <row r="185" spans="1:31">
      <c r="A185" t="s">
        <v>1397</v>
      </c>
      <c r="B185" s="2">
        <v>45533</v>
      </c>
      <c r="C185" s="2">
        <v>45331</v>
      </c>
      <c r="D185" s="5">
        <f>C185-B185</f>
        <v>-202</v>
      </c>
      <c r="E185" s="5" t="str">
        <f>IF(D185&lt;0,"INVALID","OK")</f>
        <v>INVALID</v>
      </c>
      <c r="F185" t="s">
        <v>1398</v>
      </c>
      <c r="G185" t="s">
        <v>113</v>
      </c>
      <c r="H185" t="s">
        <v>36</v>
      </c>
      <c r="I185" t="s">
        <v>62</v>
      </c>
      <c r="J185" t="s">
        <v>63</v>
      </c>
      <c r="K185" t="s">
        <v>64</v>
      </c>
      <c r="L185" t="s">
        <v>40</v>
      </c>
      <c r="M185" t="s">
        <v>157</v>
      </c>
      <c r="N185" t="s">
        <v>1399</v>
      </c>
      <c r="O185" t="s">
        <v>58</v>
      </c>
      <c r="P185">
        <v>6</v>
      </c>
      <c r="Q185">
        <v>172.82</v>
      </c>
      <c r="R185">
        <v>0.05</v>
      </c>
      <c r="S185" t="str">
        <f t="shared" si="24"/>
        <v>OK</v>
      </c>
      <c r="T185">
        <v>985.07</v>
      </c>
      <c r="U185">
        <v>844.48</v>
      </c>
      <c r="V185">
        <v>140.59</v>
      </c>
      <c r="W185" t="s">
        <v>31</v>
      </c>
      <c r="X185" t="s">
        <v>32</v>
      </c>
      <c r="Y185">
        <f t="shared" si="17"/>
        <v>0.05</v>
      </c>
      <c r="Z185">
        <f t="shared" si="18"/>
        <v>985.07400000000007</v>
      </c>
      <c r="AA185">
        <f t="shared" si="19"/>
        <v>140.59400000000005</v>
      </c>
      <c r="AB185">
        <f t="shared" si="20"/>
        <v>14.272430294576857</v>
      </c>
      <c r="AC185">
        <f t="shared" si="21"/>
        <v>8</v>
      </c>
      <c r="AD185">
        <f t="shared" si="22"/>
        <v>2024</v>
      </c>
      <c r="AE185" t="str">
        <f t="shared" si="23"/>
        <v>INVALID</v>
      </c>
    </row>
    <row r="186" spans="1:31">
      <c r="A186" t="s">
        <v>1409</v>
      </c>
      <c r="B186" s="2">
        <v>45459</v>
      </c>
      <c r="C186" s="2">
        <v>45464</v>
      </c>
      <c r="D186" s="5">
        <f>C186-B186</f>
        <v>5</v>
      </c>
      <c r="E186" s="5" t="str">
        <f>IF(D186&lt;0,"INVALID","OK")</f>
        <v>OK</v>
      </c>
      <c r="F186" t="s">
        <v>1410</v>
      </c>
      <c r="G186" t="s">
        <v>78</v>
      </c>
      <c r="H186" t="s">
        <v>23</v>
      </c>
      <c r="I186" t="s">
        <v>53</v>
      </c>
      <c r="J186" t="s">
        <v>184</v>
      </c>
      <c r="K186" t="s">
        <v>185</v>
      </c>
      <c r="L186" t="s">
        <v>40</v>
      </c>
      <c r="M186" t="s">
        <v>56</v>
      </c>
      <c r="N186" t="s">
        <v>1411</v>
      </c>
      <c r="O186" t="s">
        <v>43</v>
      </c>
      <c r="P186">
        <v>6</v>
      </c>
      <c r="Q186">
        <v>1156.78</v>
      </c>
      <c r="R186">
        <v>0.05</v>
      </c>
      <c r="S186" t="str">
        <f t="shared" si="24"/>
        <v>OK</v>
      </c>
      <c r="T186">
        <v>6593.65</v>
      </c>
      <c r="U186">
        <v>4359.3900000000003</v>
      </c>
      <c r="V186">
        <v>2234.2600000000002</v>
      </c>
      <c r="W186" t="s">
        <v>31</v>
      </c>
      <c r="X186" t="s">
        <v>102</v>
      </c>
      <c r="Y186">
        <f t="shared" si="17"/>
        <v>0.05</v>
      </c>
      <c r="Z186">
        <f t="shared" si="18"/>
        <v>6593.6459999999997</v>
      </c>
      <c r="AA186">
        <f t="shared" si="19"/>
        <v>2234.2559999999994</v>
      </c>
      <c r="AB186">
        <f t="shared" si="20"/>
        <v>33.884985636171542</v>
      </c>
      <c r="AC186">
        <f t="shared" si="21"/>
        <v>6</v>
      </c>
      <c r="AD186">
        <f t="shared" si="22"/>
        <v>2024</v>
      </c>
      <c r="AE186" t="str">
        <f t="shared" si="23"/>
        <v>CLEAN</v>
      </c>
    </row>
    <row r="187" spans="1:31">
      <c r="A187" t="s">
        <v>1421</v>
      </c>
      <c r="B187" s="2">
        <v>45384</v>
      </c>
      <c r="C187" s="2">
        <v>45390</v>
      </c>
      <c r="D187" s="5">
        <f>C187-B187</f>
        <v>6</v>
      </c>
      <c r="E187" s="5" t="str">
        <f>IF(D187&lt;0,"INVALID","OK")</f>
        <v>OK</v>
      </c>
      <c r="F187" t="s">
        <v>269</v>
      </c>
      <c r="G187" t="s">
        <v>70</v>
      </c>
      <c r="H187" t="s">
        <v>89</v>
      </c>
      <c r="I187" t="s">
        <v>37</v>
      </c>
      <c r="J187" t="s">
        <v>38</v>
      </c>
      <c r="K187" t="s">
        <v>39</v>
      </c>
      <c r="L187" t="s">
        <v>73</v>
      </c>
      <c r="M187" t="s">
        <v>273</v>
      </c>
      <c r="N187" t="s">
        <v>1422</v>
      </c>
      <c r="O187" t="s">
        <v>30</v>
      </c>
      <c r="P187">
        <v>6</v>
      </c>
      <c r="Q187">
        <v>3722.84</v>
      </c>
      <c r="R187">
        <v>0.2</v>
      </c>
      <c r="S187" t="str">
        <f t="shared" si="24"/>
        <v>OK</v>
      </c>
      <c r="T187">
        <v>17869.63</v>
      </c>
      <c r="U187">
        <v>12163.8</v>
      </c>
      <c r="V187">
        <v>5705.83</v>
      </c>
      <c r="W187" t="s">
        <v>31</v>
      </c>
      <c r="X187" t="s">
        <v>32</v>
      </c>
      <c r="Y187">
        <f t="shared" si="17"/>
        <v>0.2</v>
      </c>
      <c r="Z187">
        <f t="shared" si="18"/>
        <v>17869.632000000001</v>
      </c>
      <c r="AA187">
        <f t="shared" si="19"/>
        <v>5705.8320000000022</v>
      </c>
      <c r="AB187">
        <f t="shared" si="20"/>
        <v>31.93032738446993</v>
      </c>
      <c r="AC187">
        <f t="shared" si="21"/>
        <v>4</v>
      </c>
      <c r="AD187">
        <f t="shared" si="22"/>
        <v>2024</v>
      </c>
      <c r="AE187" t="str">
        <f t="shared" si="23"/>
        <v>CLEAN</v>
      </c>
    </row>
    <row r="188" spans="1:31">
      <c r="A188" t="s">
        <v>1429</v>
      </c>
      <c r="B188" s="2">
        <v>45386</v>
      </c>
      <c r="C188" s="2">
        <v>45389</v>
      </c>
      <c r="D188" s="5">
        <f>C188-B188</f>
        <v>3</v>
      </c>
      <c r="E188" s="5" t="str">
        <f>IF(D188&lt;0,"INVALID","OK")</f>
        <v>OK</v>
      </c>
      <c r="F188" t="s">
        <v>1430</v>
      </c>
      <c r="G188" t="s">
        <v>140</v>
      </c>
      <c r="H188" t="s">
        <v>94</v>
      </c>
      <c r="I188" t="s">
        <v>37</v>
      </c>
      <c r="J188" t="s">
        <v>38</v>
      </c>
      <c r="K188" t="s">
        <v>39</v>
      </c>
      <c r="L188" t="s">
        <v>40</v>
      </c>
      <c r="M188" t="s">
        <v>56</v>
      </c>
      <c r="N188" t="s">
        <v>1431</v>
      </c>
      <c r="O188" t="s">
        <v>49</v>
      </c>
      <c r="P188">
        <v>1</v>
      </c>
      <c r="Q188">
        <v>3683.75</v>
      </c>
      <c r="R188">
        <v>0.1</v>
      </c>
      <c r="S188" t="str">
        <f t="shared" si="24"/>
        <v>OK</v>
      </c>
      <c r="T188">
        <v>3315.38</v>
      </c>
      <c r="U188">
        <v>2347.6799999999998</v>
      </c>
      <c r="V188">
        <v>967.7</v>
      </c>
      <c r="W188" t="s">
        <v>31</v>
      </c>
      <c r="X188" t="s">
        <v>32</v>
      </c>
      <c r="Y188">
        <f t="shared" si="17"/>
        <v>0.1</v>
      </c>
      <c r="Z188">
        <f t="shared" si="18"/>
        <v>3315.375</v>
      </c>
      <c r="AA188">
        <f t="shared" si="19"/>
        <v>967.69500000000016</v>
      </c>
      <c r="AB188">
        <f t="shared" si="20"/>
        <v>29.188100893564084</v>
      </c>
      <c r="AC188">
        <f t="shared" si="21"/>
        <v>4</v>
      </c>
      <c r="AD188">
        <f t="shared" si="22"/>
        <v>2024</v>
      </c>
      <c r="AE188" t="str">
        <f t="shared" si="23"/>
        <v>CLEAN</v>
      </c>
    </row>
    <row r="189" spans="1:31">
      <c r="A189" t="s">
        <v>1435</v>
      </c>
      <c r="B189" s="2">
        <v>45421</v>
      </c>
      <c r="C189" s="2">
        <v>45417</v>
      </c>
      <c r="D189" s="5">
        <f>C189-B189</f>
        <v>-4</v>
      </c>
      <c r="E189" s="5" t="str">
        <f>IF(D189&lt;0,"INVALID","OK")</f>
        <v>INVALID</v>
      </c>
      <c r="F189" t="s">
        <v>1436</v>
      </c>
      <c r="G189" t="s">
        <v>52</v>
      </c>
      <c r="H189" t="s">
        <v>23</v>
      </c>
      <c r="I189" t="s">
        <v>37</v>
      </c>
      <c r="J189" t="s">
        <v>165</v>
      </c>
      <c r="K189" t="s">
        <v>166</v>
      </c>
      <c r="L189" t="s">
        <v>40</v>
      </c>
      <c r="M189" t="s">
        <v>157</v>
      </c>
      <c r="N189" t="s">
        <v>1437</v>
      </c>
      <c r="O189" t="s">
        <v>43</v>
      </c>
      <c r="P189">
        <v>2</v>
      </c>
      <c r="Q189">
        <v>2111.23</v>
      </c>
      <c r="R189">
        <v>0.2</v>
      </c>
      <c r="S189" t="str">
        <f t="shared" si="24"/>
        <v>OK</v>
      </c>
      <c r="T189">
        <v>3377.97</v>
      </c>
      <c r="U189">
        <v>2496.29</v>
      </c>
      <c r="V189">
        <v>881.68</v>
      </c>
      <c r="W189" t="s">
        <v>31</v>
      </c>
      <c r="X189" t="s">
        <v>32</v>
      </c>
      <c r="Y189">
        <f t="shared" si="17"/>
        <v>0.2</v>
      </c>
      <c r="Z189">
        <f t="shared" si="18"/>
        <v>3377.9680000000003</v>
      </c>
      <c r="AA189">
        <f t="shared" si="19"/>
        <v>881.67800000000034</v>
      </c>
      <c r="AB189">
        <f t="shared" si="20"/>
        <v>26.10083932115403</v>
      </c>
      <c r="AC189">
        <f t="shared" si="21"/>
        <v>5</v>
      </c>
      <c r="AD189">
        <f t="shared" si="22"/>
        <v>2024</v>
      </c>
      <c r="AE189" t="str">
        <f t="shared" si="23"/>
        <v>INVALID</v>
      </c>
    </row>
    <row r="190" spans="1:31">
      <c r="A190" t="s">
        <v>1444</v>
      </c>
      <c r="B190" s="2">
        <v>45306</v>
      </c>
      <c r="C190" s="2">
        <v>45309</v>
      </c>
      <c r="D190" s="5">
        <f>C190-B190</f>
        <v>3</v>
      </c>
      <c r="E190" s="5" t="str">
        <f>IF(D190&lt;0,"INVALID","OK")</f>
        <v>OK</v>
      </c>
      <c r="F190" t="s">
        <v>1445</v>
      </c>
      <c r="G190" t="s">
        <v>35</v>
      </c>
      <c r="H190" t="s">
        <v>36</v>
      </c>
      <c r="I190" t="s">
        <v>53</v>
      </c>
      <c r="J190" t="s">
        <v>83</v>
      </c>
      <c r="K190" t="s">
        <v>84</v>
      </c>
      <c r="L190" t="s">
        <v>40</v>
      </c>
      <c r="M190" t="s">
        <v>65</v>
      </c>
      <c r="N190" t="s">
        <v>1446</v>
      </c>
      <c r="O190" t="s">
        <v>49</v>
      </c>
      <c r="P190">
        <v>2</v>
      </c>
      <c r="Q190">
        <v>201.21</v>
      </c>
      <c r="R190">
        <v>0.15</v>
      </c>
      <c r="S190" t="str">
        <f t="shared" si="24"/>
        <v>OK</v>
      </c>
      <c r="T190">
        <v>342.06</v>
      </c>
      <c r="U190">
        <v>244.57</v>
      </c>
      <c r="V190">
        <v>97.49</v>
      </c>
      <c r="W190" t="s">
        <v>31</v>
      </c>
      <c r="X190" t="s">
        <v>32</v>
      </c>
      <c r="Y190">
        <f t="shared" si="17"/>
        <v>0.15</v>
      </c>
      <c r="Z190">
        <f t="shared" si="18"/>
        <v>342.05700000000002</v>
      </c>
      <c r="AA190">
        <f t="shared" si="19"/>
        <v>97.487000000000023</v>
      </c>
      <c r="AB190">
        <f t="shared" si="20"/>
        <v>28.500220723446684</v>
      </c>
      <c r="AC190">
        <f t="shared" si="21"/>
        <v>1</v>
      </c>
      <c r="AD190">
        <f t="shared" si="22"/>
        <v>2024</v>
      </c>
      <c r="AE190" t="str">
        <f t="shared" si="23"/>
        <v>CLEAN</v>
      </c>
    </row>
    <row r="191" spans="1:31">
      <c r="A191" t="s">
        <v>1447</v>
      </c>
      <c r="B191" s="2">
        <v>45449</v>
      </c>
      <c r="C191" s="2">
        <v>45456</v>
      </c>
      <c r="D191" s="5">
        <f>C191-B191</f>
        <v>7</v>
      </c>
      <c r="E191" s="5" t="str">
        <f>IF(D191&lt;0,"INVALID","OK")</f>
        <v>OK</v>
      </c>
      <c r="F191" t="s">
        <v>1341</v>
      </c>
      <c r="G191" t="s">
        <v>88</v>
      </c>
      <c r="H191" t="s">
        <v>89</v>
      </c>
      <c r="I191" t="s">
        <v>37</v>
      </c>
      <c r="J191" t="s">
        <v>165</v>
      </c>
      <c r="K191" t="s">
        <v>166</v>
      </c>
      <c r="L191" t="s">
        <v>73</v>
      </c>
      <c r="M191" t="s">
        <v>273</v>
      </c>
      <c r="N191" t="s">
        <v>1448</v>
      </c>
      <c r="O191" t="s">
        <v>30</v>
      </c>
      <c r="P191">
        <v>6</v>
      </c>
      <c r="Q191">
        <v>3270.36</v>
      </c>
      <c r="R191">
        <v>0</v>
      </c>
      <c r="S191" t="str">
        <f t="shared" si="24"/>
        <v>OK</v>
      </c>
      <c r="T191">
        <v>19622.16</v>
      </c>
      <c r="U191">
        <v>14271.27</v>
      </c>
      <c r="V191">
        <v>5350.89</v>
      </c>
      <c r="W191" t="s">
        <v>31</v>
      </c>
      <c r="X191" t="s">
        <v>32</v>
      </c>
      <c r="Y191">
        <f t="shared" si="17"/>
        <v>0</v>
      </c>
      <c r="Z191">
        <f t="shared" si="18"/>
        <v>19622.16</v>
      </c>
      <c r="AA191">
        <f t="shared" si="19"/>
        <v>5350.8899999999994</v>
      </c>
      <c r="AB191">
        <f t="shared" si="20"/>
        <v>27.269627808559299</v>
      </c>
      <c r="AC191">
        <f t="shared" si="21"/>
        <v>6</v>
      </c>
      <c r="AD191">
        <f t="shared" si="22"/>
        <v>2024</v>
      </c>
      <c r="AE191" t="str">
        <f t="shared" si="23"/>
        <v>CLEAN</v>
      </c>
    </row>
    <row r="192" spans="1:31">
      <c r="A192" t="s">
        <v>1455</v>
      </c>
      <c r="B192" s="2">
        <v>45570</v>
      </c>
      <c r="C192" s="2">
        <v>45428</v>
      </c>
      <c r="D192" s="5">
        <f>C192-B192</f>
        <v>-142</v>
      </c>
      <c r="E192" s="5" t="str">
        <f>IF(D192&lt;0,"INVALID","OK")</f>
        <v>INVALID</v>
      </c>
      <c r="F192" t="s">
        <v>1456</v>
      </c>
      <c r="G192" t="s">
        <v>161</v>
      </c>
      <c r="H192" t="s">
        <v>94</v>
      </c>
      <c r="I192" t="s">
        <v>37</v>
      </c>
      <c r="J192" t="s">
        <v>227</v>
      </c>
      <c r="K192" t="s">
        <v>228</v>
      </c>
      <c r="L192" t="s">
        <v>73</v>
      </c>
      <c r="M192" t="s">
        <v>74</v>
      </c>
      <c r="N192" t="s">
        <v>1457</v>
      </c>
      <c r="O192" t="s">
        <v>30</v>
      </c>
      <c r="P192">
        <v>6</v>
      </c>
      <c r="Q192">
        <v>2013.33</v>
      </c>
      <c r="R192">
        <v>0.2</v>
      </c>
      <c r="S192" t="str">
        <f t="shared" si="24"/>
        <v>OK</v>
      </c>
      <c r="T192">
        <v>9663.98</v>
      </c>
      <c r="U192">
        <v>5628.93</v>
      </c>
      <c r="V192">
        <v>4035.05</v>
      </c>
      <c r="W192" t="s">
        <v>31</v>
      </c>
      <c r="X192" t="s">
        <v>32</v>
      </c>
      <c r="Y192">
        <f t="shared" si="17"/>
        <v>0.2</v>
      </c>
      <c r="Z192">
        <f t="shared" si="18"/>
        <v>9663.9840000000004</v>
      </c>
      <c r="AA192">
        <f t="shared" si="19"/>
        <v>4035.0540000000001</v>
      </c>
      <c r="AB192">
        <f t="shared" si="20"/>
        <v>41.753525254180886</v>
      </c>
      <c r="AC192">
        <f t="shared" si="21"/>
        <v>10</v>
      </c>
      <c r="AD192">
        <f t="shared" si="22"/>
        <v>2024</v>
      </c>
      <c r="AE192" t="str">
        <f t="shared" si="23"/>
        <v>INVALID</v>
      </c>
    </row>
    <row r="193" spans="1:31">
      <c r="A193" t="s">
        <v>1464</v>
      </c>
      <c r="B193" s="2">
        <v>45491</v>
      </c>
      <c r="C193" s="2">
        <v>45495</v>
      </c>
      <c r="D193" s="5">
        <f>C193-B193</f>
        <v>4</v>
      </c>
      <c r="E193" s="5" t="str">
        <f>IF(D193&lt;0,"INVALID","OK")</f>
        <v>OK</v>
      </c>
      <c r="F193" t="s">
        <v>1465</v>
      </c>
      <c r="G193" t="s">
        <v>78</v>
      </c>
      <c r="H193" t="s">
        <v>36</v>
      </c>
      <c r="I193" t="s">
        <v>53</v>
      </c>
      <c r="J193" t="s">
        <v>54</v>
      </c>
      <c r="K193" t="s">
        <v>55</v>
      </c>
      <c r="L193" t="s">
        <v>27</v>
      </c>
      <c r="M193" t="s">
        <v>47</v>
      </c>
      <c r="N193" t="s">
        <v>1466</v>
      </c>
      <c r="O193" t="s">
        <v>58</v>
      </c>
      <c r="P193">
        <v>4</v>
      </c>
      <c r="Q193">
        <v>808.77</v>
      </c>
      <c r="R193">
        <v>0</v>
      </c>
      <c r="S193" t="str">
        <f t="shared" si="24"/>
        <v>OK</v>
      </c>
      <c r="T193">
        <v>3235.08</v>
      </c>
      <c r="U193">
        <v>1848.6</v>
      </c>
      <c r="V193">
        <v>1386.48</v>
      </c>
      <c r="W193" t="s">
        <v>31</v>
      </c>
      <c r="X193" t="s">
        <v>32</v>
      </c>
      <c r="Y193">
        <f t="shared" si="17"/>
        <v>0</v>
      </c>
      <c r="Z193">
        <f t="shared" si="18"/>
        <v>3235.08</v>
      </c>
      <c r="AA193">
        <f t="shared" si="19"/>
        <v>1386.48</v>
      </c>
      <c r="AB193">
        <f t="shared" si="20"/>
        <v>42.857672762342816</v>
      </c>
      <c r="AC193">
        <f t="shared" si="21"/>
        <v>7</v>
      </c>
      <c r="AD193">
        <f t="shared" si="22"/>
        <v>2024</v>
      </c>
      <c r="AE193" t="str">
        <f t="shared" si="23"/>
        <v>CLEAN</v>
      </c>
    </row>
    <row r="194" spans="1:31">
      <c r="A194" t="s">
        <v>1467</v>
      </c>
      <c r="B194" s="2">
        <v>45342</v>
      </c>
      <c r="C194" s="2">
        <v>45342</v>
      </c>
      <c r="D194" s="5">
        <f>C194-B194</f>
        <v>0</v>
      </c>
      <c r="E194" s="5" t="str">
        <f>IF(D194&lt;0,"INVALID","OK")</f>
        <v>OK</v>
      </c>
      <c r="F194" t="s">
        <v>1468</v>
      </c>
      <c r="G194" t="s">
        <v>78</v>
      </c>
      <c r="H194" t="s">
        <v>89</v>
      </c>
      <c r="I194" t="s">
        <v>24</v>
      </c>
      <c r="J194" t="s">
        <v>135</v>
      </c>
      <c r="K194" t="s">
        <v>136</v>
      </c>
      <c r="L194" t="s">
        <v>73</v>
      </c>
      <c r="M194" t="s">
        <v>74</v>
      </c>
      <c r="N194" t="s">
        <v>1469</v>
      </c>
      <c r="O194" t="s">
        <v>43</v>
      </c>
      <c r="P194">
        <v>5</v>
      </c>
      <c r="Q194">
        <v>2604.91</v>
      </c>
      <c r="R194">
        <v>0.15</v>
      </c>
      <c r="S194" t="str">
        <f t="shared" si="24"/>
        <v>OK</v>
      </c>
      <c r="T194">
        <v>11070.87</v>
      </c>
      <c r="U194">
        <v>6623.61</v>
      </c>
      <c r="V194">
        <v>4447.26</v>
      </c>
      <c r="W194" t="s">
        <v>31</v>
      </c>
      <c r="X194" t="s">
        <v>102</v>
      </c>
      <c r="Y194">
        <f t="shared" si="17"/>
        <v>0.15</v>
      </c>
      <c r="Z194">
        <f t="shared" si="18"/>
        <v>11070.867499999998</v>
      </c>
      <c r="AA194">
        <f t="shared" si="19"/>
        <v>4447.2574999999988</v>
      </c>
      <c r="AB194">
        <f t="shared" si="20"/>
        <v>40.170813172499805</v>
      </c>
      <c r="AC194">
        <f t="shared" si="21"/>
        <v>2</v>
      </c>
      <c r="AD194">
        <f t="shared" si="22"/>
        <v>2024</v>
      </c>
      <c r="AE194" t="str">
        <f t="shared" si="23"/>
        <v>CLEAN</v>
      </c>
    </row>
    <row r="195" spans="1:31">
      <c r="A195" t="s">
        <v>1470</v>
      </c>
      <c r="B195" s="2">
        <v>45416</v>
      </c>
      <c r="C195" s="2">
        <v>45416</v>
      </c>
      <c r="D195" s="5">
        <f>C195-B195</f>
        <v>0</v>
      </c>
      <c r="E195" s="5" t="str">
        <f>IF(D195&lt;0,"INVALID","OK")</f>
        <v>OK</v>
      </c>
      <c r="F195" t="s">
        <v>1471</v>
      </c>
      <c r="G195" t="s">
        <v>35</v>
      </c>
      <c r="H195" t="s">
        <v>36</v>
      </c>
      <c r="I195" t="s">
        <v>62</v>
      </c>
      <c r="J195" t="s">
        <v>189</v>
      </c>
      <c r="K195" t="s">
        <v>190</v>
      </c>
      <c r="L195" t="s">
        <v>40</v>
      </c>
      <c r="M195" t="s">
        <v>41</v>
      </c>
      <c r="N195" t="s">
        <v>1472</v>
      </c>
      <c r="O195" t="s">
        <v>58</v>
      </c>
      <c r="P195">
        <v>7</v>
      </c>
      <c r="Q195">
        <v>2851.51</v>
      </c>
      <c r="R195">
        <v>0</v>
      </c>
      <c r="S195" t="str">
        <f t="shared" si="24"/>
        <v>OK</v>
      </c>
      <c r="T195">
        <v>19960.57</v>
      </c>
      <c r="U195">
        <v>16603.599999999999</v>
      </c>
      <c r="V195">
        <v>3356.97</v>
      </c>
      <c r="W195" t="s">
        <v>31</v>
      </c>
      <c r="X195" t="s">
        <v>32</v>
      </c>
      <c r="Y195">
        <f t="shared" ref="Y195:Y258" si="25">IF(R195&lt;0,0,IF(R195&gt;0.5,0,R195))</f>
        <v>0</v>
      </c>
      <c r="Z195">
        <f t="shared" ref="Z195:Z258" si="26">P195*Q195*(1-Y195)</f>
        <v>19960.57</v>
      </c>
      <c r="AA195">
        <f t="shared" ref="AA195:AA258" si="27">Z195-U195</f>
        <v>3356.9700000000012</v>
      </c>
      <c r="AB195">
        <f t="shared" ref="AB195:AB258" si="28">AA195/Z195*100</f>
        <v>16.81800670020947</v>
      </c>
      <c r="AC195">
        <f t="shared" ref="AC195:AC258" si="29">MONTH(B195)</f>
        <v>5</v>
      </c>
      <c r="AD195">
        <f t="shared" ref="AD195:AD258" si="30">YEAR(B195)</f>
        <v>2024</v>
      </c>
      <c r="AE195" t="str">
        <f t="shared" ref="AE195:AE258" si="31">IF(OR(R195&lt;0,NOT(ISNUMBER(R195)),D195&lt;0,W195="Failed"),"INVALID",IF(OR(I195="",O195="",R195="",R195&gt;0.5,AA195&lt;0),"WARNING","CLEAN"))</f>
        <v>CLEAN</v>
      </c>
    </row>
    <row r="196" spans="1:31">
      <c r="A196" t="s">
        <v>1473</v>
      </c>
      <c r="B196" s="2">
        <v>45332</v>
      </c>
      <c r="C196" s="2">
        <v>45333</v>
      </c>
      <c r="D196" s="5">
        <f>C196-B196</f>
        <v>1</v>
      </c>
      <c r="E196" s="5" t="str">
        <f>IF(D196&lt;0,"INVALID","OK")</f>
        <v>OK</v>
      </c>
      <c r="F196" t="s">
        <v>1474</v>
      </c>
      <c r="G196" t="s">
        <v>22</v>
      </c>
      <c r="H196" t="s">
        <v>89</v>
      </c>
      <c r="I196" t="s">
        <v>24</v>
      </c>
      <c r="J196" t="s">
        <v>25</v>
      </c>
      <c r="K196" t="s">
        <v>26</v>
      </c>
      <c r="L196" t="s">
        <v>73</v>
      </c>
      <c r="M196" t="s">
        <v>170</v>
      </c>
      <c r="N196" t="s">
        <v>1475</v>
      </c>
      <c r="O196" t="s">
        <v>30</v>
      </c>
      <c r="P196">
        <v>3</v>
      </c>
      <c r="Q196">
        <v>3183.72</v>
      </c>
      <c r="R196">
        <v>0.1</v>
      </c>
      <c r="S196" t="str">
        <f t="shared" si="24"/>
        <v>OK</v>
      </c>
      <c r="T196">
        <v>8596.0400000000009</v>
      </c>
      <c r="U196">
        <v>5378.16</v>
      </c>
      <c r="V196">
        <v>3217.88</v>
      </c>
      <c r="W196" t="s">
        <v>31</v>
      </c>
      <c r="X196" t="s">
        <v>32</v>
      </c>
      <c r="Y196">
        <f t="shared" si="25"/>
        <v>0.1</v>
      </c>
      <c r="Z196">
        <f t="shared" si="26"/>
        <v>8596.0439999999999</v>
      </c>
      <c r="AA196">
        <f t="shared" si="27"/>
        <v>3217.884</v>
      </c>
      <c r="AB196">
        <f t="shared" si="28"/>
        <v>37.434475672762964</v>
      </c>
      <c r="AC196">
        <f t="shared" si="29"/>
        <v>2</v>
      </c>
      <c r="AD196">
        <f t="shared" si="30"/>
        <v>2024</v>
      </c>
      <c r="AE196" t="str">
        <f t="shared" si="31"/>
        <v>CLEAN</v>
      </c>
    </row>
    <row r="197" spans="1:31">
      <c r="A197" t="s">
        <v>1476</v>
      </c>
      <c r="B197" s="2">
        <v>45379</v>
      </c>
      <c r="C197" s="2">
        <v>45386</v>
      </c>
      <c r="D197" s="5">
        <f>C197-B197</f>
        <v>7</v>
      </c>
      <c r="E197" s="5" t="str">
        <f>IF(D197&lt;0,"INVALID","OK")</f>
        <v>OK</v>
      </c>
      <c r="F197" t="s">
        <v>1477</v>
      </c>
      <c r="G197" t="s">
        <v>61</v>
      </c>
      <c r="H197" t="s">
        <v>94</v>
      </c>
      <c r="I197" t="s">
        <v>62</v>
      </c>
      <c r="J197" t="s">
        <v>189</v>
      </c>
      <c r="K197" t="s">
        <v>190</v>
      </c>
      <c r="L197" t="s">
        <v>27</v>
      </c>
      <c r="M197" t="s">
        <v>28</v>
      </c>
      <c r="N197" t="s">
        <v>1478</v>
      </c>
      <c r="O197" t="s">
        <v>49</v>
      </c>
      <c r="P197">
        <v>3</v>
      </c>
      <c r="Q197">
        <v>1150.92</v>
      </c>
      <c r="R197">
        <v>0</v>
      </c>
      <c r="S197" t="str">
        <f t="shared" si="24"/>
        <v>OK</v>
      </c>
      <c r="T197">
        <v>3452.76</v>
      </c>
      <c r="U197">
        <v>2077.96</v>
      </c>
      <c r="V197">
        <v>1374.8</v>
      </c>
      <c r="W197" t="s">
        <v>31</v>
      </c>
      <c r="X197" t="s">
        <v>32</v>
      </c>
      <c r="Y197">
        <f t="shared" si="25"/>
        <v>0</v>
      </c>
      <c r="Z197">
        <f t="shared" si="26"/>
        <v>3452.76</v>
      </c>
      <c r="AA197">
        <f t="shared" si="27"/>
        <v>1374.8000000000002</v>
      </c>
      <c r="AB197">
        <f t="shared" si="28"/>
        <v>39.817421425178701</v>
      </c>
      <c r="AC197">
        <f t="shared" si="29"/>
        <v>3</v>
      </c>
      <c r="AD197">
        <f t="shared" si="30"/>
        <v>2024</v>
      </c>
      <c r="AE197" t="str">
        <f t="shared" si="31"/>
        <v>CLEAN</v>
      </c>
    </row>
    <row r="198" spans="1:31">
      <c r="A198" t="s">
        <v>1485</v>
      </c>
      <c r="B198" s="2">
        <v>45558</v>
      </c>
      <c r="C198" s="2">
        <v>45560</v>
      </c>
      <c r="D198" s="5">
        <f>C198-B198</f>
        <v>2</v>
      </c>
      <c r="E198" s="5" t="str">
        <f>IF(D198&lt;0,"INVALID","OK")</f>
        <v>OK</v>
      </c>
      <c r="F198" t="s">
        <v>1486</v>
      </c>
      <c r="G198" t="s">
        <v>127</v>
      </c>
      <c r="H198" t="s">
        <v>94</v>
      </c>
      <c r="I198" t="s">
        <v>24</v>
      </c>
      <c r="J198" t="s">
        <v>349</v>
      </c>
      <c r="K198" t="s">
        <v>350</v>
      </c>
      <c r="L198" t="s">
        <v>27</v>
      </c>
      <c r="M198" t="s">
        <v>152</v>
      </c>
      <c r="N198" t="s">
        <v>1487</v>
      </c>
      <c r="O198" t="s">
        <v>49</v>
      </c>
      <c r="P198">
        <v>2</v>
      </c>
      <c r="Q198">
        <v>1275.1400000000001</v>
      </c>
      <c r="R198">
        <v>0.2</v>
      </c>
      <c r="S198" t="str">
        <f t="shared" si="24"/>
        <v>OK</v>
      </c>
      <c r="T198">
        <v>2040.22</v>
      </c>
      <c r="U198">
        <v>1395.71</v>
      </c>
      <c r="V198">
        <v>644.51</v>
      </c>
      <c r="W198" t="s">
        <v>31</v>
      </c>
      <c r="X198" t="s">
        <v>32</v>
      </c>
      <c r="Y198">
        <f t="shared" si="25"/>
        <v>0.2</v>
      </c>
      <c r="Z198">
        <f t="shared" si="26"/>
        <v>2040.2240000000002</v>
      </c>
      <c r="AA198">
        <f t="shared" si="27"/>
        <v>644.51400000000012</v>
      </c>
      <c r="AB198">
        <f t="shared" si="28"/>
        <v>31.590354784572678</v>
      </c>
      <c r="AC198">
        <f t="shared" si="29"/>
        <v>9</v>
      </c>
      <c r="AD198">
        <f t="shared" si="30"/>
        <v>2024</v>
      </c>
      <c r="AE198" t="str">
        <f t="shared" si="31"/>
        <v>CLEAN</v>
      </c>
    </row>
    <row r="199" spans="1:31">
      <c r="A199" t="s">
        <v>1494</v>
      </c>
      <c r="B199" s="2">
        <v>45320</v>
      </c>
      <c r="C199" s="2">
        <v>45328</v>
      </c>
      <c r="D199" s="5">
        <f>C199-B199</f>
        <v>8</v>
      </c>
      <c r="E199" s="5" t="str">
        <f>IF(D199&lt;0,"INVALID","OK")</f>
        <v>OK</v>
      </c>
      <c r="F199" t="s">
        <v>1495</v>
      </c>
      <c r="G199" t="s">
        <v>127</v>
      </c>
      <c r="H199" t="s">
        <v>36</v>
      </c>
      <c r="I199" t="s">
        <v>62</v>
      </c>
      <c r="J199" t="s">
        <v>71</v>
      </c>
      <c r="K199" t="s">
        <v>72</v>
      </c>
      <c r="L199" t="s">
        <v>27</v>
      </c>
      <c r="M199" t="s">
        <v>90</v>
      </c>
      <c r="N199" t="s">
        <v>1496</v>
      </c>
      <c r="O199" t="s">
        <v>58</v>
      </c>
      <c r="P199">
        <v>2</v>
      </c>
      <c r="Q199">
        <v>1258.9000000000001</v>
      </c>
      <c r="R199">
        <v>0</v>
      </c>
      <c r="S199" t="str">
        <f t="shared" si="24"/>
        <v>OK</v>
      </c>
      <c r="T199">
        <v>2517.8000000000002</v>
      </c>
      <c r="U199">
        <v>1478.54</v>
      </c>
      <c r="V199">
        <v>1039.26</v>
      </c>
      <c r="W199" t="s">
        <v>31</v>
      </c>
      <c r="X199" t="s">
        <v>32</v>
      </c>
      <c r="Y199">
        <f t="shared" si="25"/>
        <v>0</v>
      </c>
      <c r="Z199">
        <f t="shared" si="26"/>
        <v>2517.8000000000002</v>
      </c>
      <c r="AA199">
        <f t="shared" si="27"/>
        <v>1039.2600000000002</v>
      </c>
      <c r="AB199">
        <f t="shared" si="28"/>
        <v>41.276511239971406</v>
      </c>
      <c r="AC199">
        <f t="shared" si="29"/>
        <v>1</v>
      </c>
      <c r="AD199">
        <f t="shared" si="30"/>
        <v>2024</v>
      </c>
      <c r="AE199" t="str">
        <f t="shared" si="31"/>
        <v>CLEAN</v>
      </c>
    </row>
    <row r="200" spans="1:31">
      <c r="A200" t="s">
        <v>1497</v>
      </c>
      <c r="B200" s="2">
        <v>45383</v>
      </c>
      <c r="C200" s="2">
        <v>45299</v>
      </c>
      <c r="D200" s="5">
        <f>C200-B200</f>
        <v>-84</v>
      </c>
      <c r="E200" s="5" t="str">
        <f>IF(D200&lt;0,"INVALID","OK")</f>
        <v>INVALID</v>
      </c>
      <c r="F200" t="s">
        <v>1498</v>
      </c>
      <c r="G200" t="s">
        <v>35</v>
      </c>
      <c r="H200" t="s">
        <v>36</v>
      </c>
      <c r="I200" t="s">
        <v>37</v>
      </c>
      <c r="J200" t="s">
        <v>144</v>
      </c>
      <c r="K200" t="s">
        <v>145</v>
      </c>
      <c r="L200" t="s">
        <v>73</v>
      </c>
      <c r="M200" t="s">
        <v>74</v>
      </c>
      <c r="N200" t="s">
        <v>1499</v>
      </c>
      <c r="O200" t="s">
        <v>43</v>
      </c>
      <c r="P200">
        <v>9</v>
      </c>
      <c r="Q200">
        <v>1591.96</v>
      </c>
      <c r="R200">
        <v>0.2</v>
      </c>
      <c r="S200" t="str">
        <f t="shared" ref="S200:S245" si="32">IF(R200&lt;0,"INVALID",IF(R200&gt;0.5,"INVALID","OK"))</f>
        <v>OK</v>
      </c>
      <c r="T200">
        <v>11462.11</v>
      </c>
      <c r="U200">
        <v>7105.48</v>
      </c>
      <c r="V200">
        <v>4356.63</v>
      </c>
      <c r="W200" t="s">
        <v>31</v>
      </c>
      <c r="X200" t="s">
        <v>32</v>
      </c>
      <c r="Y200">
        <f t="shared" si="25"/>
        <v>0.2</v>
      </c>
      <c r="Z200">
        <f t="shared" si="26"/>
        <v>11462.112000000001</v>
      </c>
      <c r="AA200">
        <f t="shared" si="27"/>
        <v>4356.6320000000014</v>
      </c>
      <c r="AB200">
        <f t="shared" si="28"/>
        <v>38.008981241851423</v>
      </c>
      <c r="AC200">
        <f t="shared" si="29"/>
        <v>4</v>
      </c>
      <c r="AD200">
        <f t="shared" si="30"/>
        <v>2024</v>
      </c>
      <c r="AE200" t="str">
        <f t="shared" si="31"/>
        <v>INVALID</v>
      </c>
    </row>
    <row r="201" spans="1:31">
      <c r="A201" t="s">
        <v>1506</v>
      </c>
      <c r="B201" s="2">
        <v>45310</v>
      </c>
      <c r="C201" s="2">
        <v>45316</v>
      </c>
      <c r="D201" s="5">
        <f>C201-B201</f>
        <v>6</v>
      </c>
      <c r="E201" s="5" t="str">
        <f>IF(D201&lt;0,"INVALID","OK")</f>
        <v>OK</v>
      </c>
      <c r="F201" t="s">
        <v>1507</v>
      </c>
      <c r="G201" t="s">
        <v>88</v>
      </c>
      <c r="H201" t="s">
        <v>89</v>
      </c>
      <c r="I201" t="s">
        <v>62</v>
      </c>
      <c r="J201" t="s">
        <v>189</v>
      </c>
      <c r="K201" t="s">
        <v>190</v>
      </c>
      <c r="L201" t="s">
        <v>73</v>
      </c>
      <c r="M201" t="s">
        <v>79</v>
      </c>
      <c r="N201" t="s">
        <v>1508</v>
      </c>
      <c r="O201" t="s">
        <v>49</v>
      </c>
      <c r="P201">
        <v>3</v>
      </c>
      <c r="Q201">
        <v>1041.6600000000001</v>
      </c>
      <c r="R201">
        <v>0.1</v>
      </c>
      <c r="S201" t="str">
        <f t="shared" si="32"/>
        <v>OK</v>
      </c>
      <c r="T201">
        <v>2812.48</v>
      </c>
      <c r="U201">
        <v>2282.12</v>
      </c>
      <c r="V201">
        <v>530.36</v>
      </c>
      <c r="W201" t="s">
        <v>31</v>
      </c>
      <c r="X201" t="s">
        <v>32</v>
      </c>
      <c r="Y201">
        <f t="shared" si="25"/>
        <v>0.1</v>
      </c>
      <c r="Z201">
        <f t="shared" si="26"/>
        <v>2812.4820000000004</v>
      </c>
      <c r="AA201">
        <f t="shared" si="27"/>
        <v>530.36200000000053</v>
      </c>
      <c r="AB201">
        <f t="shared" si="28"/>
        <v>18.857436243147525</v>
      </c>
      <c r="AC201">
        <f t="shared" si="29"/>
        <v>1</v>
      </c>
      <c r="AD201">
        <f t="shared" si="30"/>
        <v>2024</v>
      </c>
      <c r="AE201" t="str">
        <f t="shared" si="31"/>
        <v>CLEAN</v>
      </c>
    </row>
    <row r="202" spans="1:31">
      <c r="A202" t="s">
        <v>1509</v>
      </c>
      <c r="B202" s="2">
        <v>45501</v>
      </c>
      <c r="C202" s="2">
        <v>45504</v>
      </c>
      <c r="D202" s="5">
        <f>C202-B202</f>
        <v>3</v>
      </c>
      <c r="E202" s="5" t="str">
        <f>IF(D202&lt;0,"INVALID","OK")</f>
        <v>OK</v>
      </c>
      <c r="F202" t="s">
        <v>1510</v>
      </c>
      <c r="G202" t="s">
        <v>88</v>
      </c>
      <c r="H202" t="s">
        <v>23</v>
      </c>
      <c r="I202" t="s">
        <v>24</v>
      </c>
      <c r="J202" t="s">
        <v>25</v>
      </c>
      <c r="K202" t="s">
        <v>26</v>
      </c>
      <c r="L202" t="s">
        <v>40</v>
      </c>
      <c r="M202" t="s">
        <v>41</v>
      </c>
      <c r="N202" t="s">
        <v>1511</v>
      </c>
      <c r="O202" t="s">
        <v>43</v>
      </c>
      <c r="P202">
        <v>2</v>
      </c>
      <c r="Q202">
        <v>4424.78</v>
      </c>
      <c r="R202">
        <v>0.2</v>
      </c>
      <c r="S202" t="str">
        <f t="shared" si="32"/>
        <v>OK</v>
      </c>
      <c r="T202">
        <v>7079.65</v>
      </c>
      <c r="U202">
        <v>4465.91</v>
      </c>
      <c r="V202">
        <v>2613.7399999999998</v>
      </c>
      <c r="W202" t="s">
        <v>31</v>
      </c>
      <c r="X202" t="s">
        <v>32</v>
      </c>
      <c r="Y202">
        <f t="shared" si="25"/>
        <v>0.2</v>
      </c>
      <c r="Z202">
        <f t="shared" si="26"/>
        <v>7079.6480000000001</v>
      </c>
      <c r="AA202">
        <f t="shared" si="27"/>
        <v>2613.7380000000003</v>
      </c>
      <c r="AB202">
        <f t="shared" si="28"/>
        <v>36.919038912669109</v>
      </c>
      <c r="AC202">
        <f t="shared" si="29"/>
        <v>7</v>
      </c>
      <c r="AD202">
        <f t="shared" si="30"/>
        <v>2024</v>
      </c>
      <c r="AE202" t="str">
        <f t="shared" si="31"/>
        <v>CLEAN</v>
      </c>
    </row>
    <row r="203" spans="1:31">
      <c r="A203" t="s">
        <v>1512</v>
      </c>
      <c r="B203" s="2">
        <v>45598</v>
      </c>
      <c r="C203" s="2">
        <v>45337</v>
      </c>
      <c r="D203" s="5">
        <f>C203-B203</f>
        <v>-261</v>
      </c>
      <c r="E203" s="5" t="str">
        <f>IF(D203&lt;0,"INVALID","OK")</f>
        <v>INVALID</v>
      </c>
      <c r="F203" t="s">
        <v>1513</v>
      </c>
      <c r="G203" t="s">
        <v>263</v>
      </c>
      <c r="H203" t="s">
        <v>23</v>
      </c>
      <c r="I203" t="s">
        <v>53</v>
      </c>
      <c r="J203" t="s">
        <v>54</v>
      </c>
      <c r="K203" t="s">
        <v>55</v>
      </c>
      <c r="L203" t="s">
        <v>27</v>
      </c>
      <c r="M203" t="s">
        <v>152</v>
      </c>
      <c r="N203" t="s">
        <v>1514</v>
      </c>
      <c r="O203" t="s">
        <v>58</v>
      </c>
      <c r="P203">
        <v>3</v>
      </c>
      <c r="Q203">
        <v>3019.14</v>
      </c>
      <c r="R203">
        <v>0.25</v>
      </c>
      <c r="S203" t="str">
        <f t="shared" si="32"/>
        <v>OK</v>
      </c>
      <c r="T203">
        <v>6793.07</v>
      </c>
      <c r="U203">
        <v>4985.22</v>
      </c>
      <c r="V203">
        <v>1807.85</v>
      </c>
      <c r="W203" t="s">
        <v>31</v>
      </c>
      <c r="X203" t="s">
        <v>32</v>
      </c>
      <c r="Y203">
        <f t="shared" si="25"/>
        <v>0.25</v>
      </c>
      <c r="Z203">
        <f t="shared" si="26"/>
        <v>6793.0650000000005</v>
      </c>
      <c r="AA203">
        <f t="shared" si="27"/>
        <v>1807.8450000000003</v>
      </c>
      <c r="AB203">
        <f t="shared" si="28"/>
        <v>26.613097327936654</v>
      </c>
      <c r="AC203">
        <f t="shared" si="29"/>
        <v>11</v>
      </c>
      <c r="AD203">
        <f t="shared" si="30"/>
        <v>2024</v>
      </c>
      <c r="AE203" t="str">
        <f t="shared" si="31"/>
        <v>INVALID</v>
      </c>
    </row>
    <row r="204" spans="1:31">
      <c r="A204" t="s">
        <v>1515</v>
      </c>
      <c r="B204" s="2">
        <v>45325</v>
      </c>
      <c r="C204" s="2">
        <v>45358</v>
      </c>
      <c r="D204" s="5">
        <f>C204-B204</f>
        <v>33</v>
      </c>
      <c r="E204" s="5" t="str">
        <f>IF(D204&lt;0,"INVALID","OK")</f>
        <v>OK</v>
      </c>
      <c r="F204" t="s">
        <v>1516</v>
      </c>
      <c r="G204" t="s">
        <v>140</v>
      </c>
      <c r="H204" t="s">
        <v>89</v>
      </c>
      <c r="I204" t="s">
        <v>37</v>
      </c>
      <c r="J204" t="s">
        <v>38</v>
      </c>
      <c r="K204" t="s">
        <v>39</v>
      </c>
      <c r="L204" t="s">
        <v>27</v>
      </c>
      <c r="M204" t="s">
        <v>123</v>
      </c>
      <c r="N204" t="s">
        <v>1517</v>
      </c>
      <c r="O204" t="s">
        <v>58</v>
      </c>
      <c r="P204">
        <v>7</v>
      </c>
      <c r="Q204">
        <v>263.45999999999998</v>
      </c>
      <c r="R204">
        <v>0</v>
      </c>
      <c r="S204" t="str">
        <f t="shared" si="32"/>
        <v>OK</v>
      </c>
      <c r="T204">
        <v>1844.22</v>
      </c>
      <c r="U204">
        <v>1094.21</v>
      </c>
      <c r="V204">
        <v>750.01</v>
      </c>
      <c r="W204" t="s">
        <v>31</v>
      </c>
      <c r="X204" t="s">
        <v>32</v>
      </c>
      <c r="Y204">
        <f t="shared" si="25"/>
        <v>0</v>
      </c>
      <c r="Z204">
        <f t="shared" si="26"/>
        <v>1844.2199999999998</v>
      </c>
      <c r="AA204">
        <f t="shared" si="27"/>
        <v>750.00999999999976</v>
      </c>
      <c r="AB204">
        <f t="shared" si="28"/>
        <v>40.668141544934976</v>
      </c>
      <c r="AC204">
        <f t="shared" si="29"/>
        <v>2</v>
      </c>
      <c r="AD204">
        <f t="shared" si="30"/>
        <v>2024</v>
      </c>
      <c r="AE204" t="str">
        <f t="shared" si="31"/>
        <v>CLEAN</v>
      </c>
    </row>
    <row r="205" spans="1:31">
      <c r="A205" t="s">
        <v>1518</v>
      </c>
      <c r="B205" s="2">
        <v>45609</v>
      </c>
      <c r="C205" s="2">
        <v>45609</v>
      </c>
      <c r="D205" s="5">
        <f>C205-B205</f>
        <v>0</v>
      </c>
      <c r="E205" s="5" t="str">
        <f>IF(D205&lt;0,"INVALID","OK")</f>
        <v>OK</v>
      </c>
      <c r="F205" t="s">
        <v>1519</v>
      </c>
      <c r="G205" t="s">
        <v>113</v>
      </c>
      <c r="H205" t="s">
        <v>23</v>
      </c>
      <c r="I205" t="s">
        <v>62</v>
      </c>
      <c r="J205" t="s">
        <v>189</v>
      </c>
      <c r="K205" t="s">
        <v>190</v>
      </c>
      <c r="L205" t="s">
        <v>73</v>
      </c>
      <c r="M205" t="s">
        <v>79</v>
      </c>
      <c r="N205" t="s">
        <v>1520</v>
      </c>
      <c r="O205" t="s">
        <v>58</v>
      </c>
      <c r="P205">
        <v>6</v>
      </c>
      <c r="Q205">
        <v>191.45</v>
      </c>
      <c r="R205">
        <v>0.2</v>
      </c>
      <c r="S205" t="str">
        <f t="shared" si="32"/>
        <v>OK</v>
      </c>
      <c r="T205">
        <v>918.96</v>
      </c>
      <c r="U205">
        <v>554.17999999999995</v>
      </c>
      <c r="V205">
        <v>364.78</v>
      </c>
      <c r="W205" t="s">
        <v>31</v>
      </c>
      <c r="X205" t="s">
        <v>32</v>
      </c>
      <c r="Y205">
        <f t="shared" si="25"/>
        <v>0.2</v>
      </c>
      <c r="Z205">
        <f t="shared" si="26"/>
        <v>918.95999999999992</v>
      </c>
      <c r="AA205">
        <f t="shared" si="27"/>
        <v>364.78</v>
      </c>
      <c r="AB205">
        <f t="shared" si="28"/>
        <v>39.694872464525119</v>
      </c>
      <c r="AC205">
        <f t="shared" si="29"/>
        <v>11</v>
      </c>
      <c r="AD205">
        <f t="shared" si="30"/>
        <v>2024</v>
      </c>
      <c r="AE205" t="str">
        <f t="shared" si="31"/>
        <v>CLEAN</v>
      </c>
    </row>
    <row r="206" spans="1:31">
      <c r="A206" t="s">
        <v>1521</v>
      </c>
      <c r="B206" s="2">
        <v>45357</v>
      </c>
      <c r="C206" s="2">
        <v>45453</v>
      </c>
      <c r="D206" s="5">
        <f>C206-B206</f>
        <v>96</v>
      </c>
      <c r="E206" s="5" t="str">
        <f>IF(D206&lt;0,"INVALID","OK")</f>
        <v>OK</v>
      </c>
      <c r="F206" t="s">
        <v>1522</v>
      </c>
      <c r="G206" t="s">
        <v>161</v>
      </c>
      <c r="H206" t="s">
        <v>89</v>
      </c>
      <c r="I206" t="s">
        <v>24</v>
      </c>
      <c r="J206" t="s">
        <v>121</v>
      </c>
      <c r="K206" t="s">
        <v>122</v>
      </c>
      <c r="L206" t="s">
        <v>40</v>
      </c>
      <c r="M206" t="s">
        <v>56</v>
      </c>
      <c r="N206" t="s">
        <v>1523</v>
      </c>
      <c r="O206" t="s">
        <v>58</v>
      </c>
      <c r="P206">
        <v>3</v>
      </c>
      <c r="Q206">
        <v>1633.57</v>
      </c>
      <c r="R206">
        <v>0</v>
      </c>
      <c r="S206" t="str">
        <f t="shared" si="32"/>
        <v>OK</v>
      </c>
      <c r="T206">
        <v>4900.71</v>
      </c>
      <c r="U206">
        <v>2713.9</v>
      </c>
      <c r="V206">
        <v>2186.81</v>
      </c>
      <c r="W206" t="s">
        <v>31</v>
      </c>
      <c r="X206" t="s">
        <v>32</v>
      </c>
      <c r="Y206">
        <f t="shared" si="25"/>
        <v>0</v>
      </c>
      <c r="Z206">
        <f t="shared" si="26"/>
        <v>4900.71</v>
      </c>
      <c r="AA206">
        <f t="shared" si="27"/>
        <v>2186.81</v>
      </c>
      <c r="AB206">
        <f t="shared" si="28"/>
        <v>44.622309828575858</v>
      </c>
      <c r="AC206">
        <f t="shared" si="29"/>
        <v>3</v>
      </c>
      <c r="AD206">
        <f t="shared" si="30"/>
        <v>2024</v>
      </c>
      <c r="AE206" t="str">
        <f t="shared" si="31"/>
        <v>CLEAN</v>
      </c>
    </row>
    <row r="207" spans="1:31">
      <c r="A207" t="s">
        <v>1527</v>
      </c>
      <c r="B207" s="2">
        <v>45419</v>
      </c>
      <c r="C207" s="2">
        <v>45426</v>
      </c>
      <c r="D207" s="5">
        <f>C207-B207</f>
        <v>7</v>
      </c>
      <c r="E207" s="5" t="str">
        <f>IF(D207&lt;0,"INVALID","OK")</f>
        <v>OK</v>
      </c>
      <c r="F207" t="s">
        <v>1528</v>
      </c>
      <c r="G207" t="s">
        <v>131</v>
      </c>
      <c r="H207" t="s">
        <v>36</v>
      </c>
      <c r="I207" t="s">
        <v>24</v>
      </c>
      <c r="J207" t="s">
        <v>25</v>
      </c>
      <c r="K207" t="s">
        <v>26</v>
      </c>
      <c r="L207" t="s">
        <v>27</v>
      </c>
      <c r="M207" t="s">
        <v>123</v>
      </c>
      <c r="N207" t="s">
        <v>1529</v>
      </c>
      <c r="O207" t="s">
        <v>49</v>
      </c>
      <c r="P207">
        <v>3</v>
      </c>
      <c r="Q207">
        <v>383.58</v>
      </c>
      <c r="R207">
        <v>0.1</v>
      </c>
      <c r="S207" t="str">
        <f t="shared" si="32"/>
        <v>OK</v>
      </c>
      <c r="T207">
        <v>1035.67</v>
      </c>
      <c r="U207">
        <v>595.41999999999996</v>
      </c>
      <c r="V207">
        <v>440.25</v>
      </c>
      <c r="W207" t="s">
        <v>31</v>
      </c>
      <c r="X207" t="s">
        <v>32</v>
      </c>
      <c r="Y207">
        <f t="shared" si="25"/>
        <v>0.1</v>
      </c>
      <c r="Z207">
        <f t="shared" si="26"/>
        <v>1035.6659999999999</v>
      </c>
      <c r="AA207">
        <f t="shared" si="27"/>
        <v>440.24599999999998</v>
      </c>
      <c r="AB207">
        <f t="shared" si="28"/>
        <v>42.508492120046427</v>
      </c>
      <c r="AC207">
        <f t="shared" si="29"/>
        <v>5</v>
      </c>
      <c r="AD207">
        <f t="shared" si="30"/>
        <v>2024</v>
      </c>
      <c r="AE207" t="str">
        <f t="shared" si="31"/>
        <v>CLEAN</v>
      </c>
    </row>
    <row r="208" spans="1:31">
      <c r="A208" t="s">
        <v>1536</v>
      </c>
      <c r="B208" s="2">
        <v>45345</v>
      </c>
      <c r="C208" s="2">
        <v>45342</v>
      </c>
      <c r="D208" s="5">
        <f>C208-B208</f>
        <v>-3</v>
      </c>
      <c r="E208" s="5" t="str">
        <f>IF(D208&lt;0,"INVALID","OK")</f>
        <v>INVALID</v>
      </c>
      <c r="F208" t="s">
        <v>1537</v>
      </c>
      <c r="G208" t="s">
        <v>52</v>
      </c>
      <c r="H208" t="s">
        <v>89</v>
      </c>
      <c r="I208" t="s">
        <v>37</v>
      </c>
      <c r="J208" t="s">
        <v>38</v>
      </c>
      <c r="K208" t="s">
        <v>39</v>
      </c>
      <c r="L208" t="s">
        <v>40</v>
      </c>
      <c r="M208" t="s">
        <v>65</v>
      </c>
      <c r="N208" t="s">
        <v>1538</v>
      </c>
      <c r="O208" t="s">
        <v>30</v>
      </c>
      <c r="P208">
        <v>1</v>
      </c>
      <c r="Q208">
        <v>2202.5500000000002</v>
      </c>
      <c r="R208">
        <v>0</v>
      </c>
      <c r="S208" t="str">
        <f t="shared" si="32"/>
        <v>OK</v>
      </c>
      <c r="T208">
        <v>1651.91</v>
      </c>
      <c r="U208">
        <v>1034.57</v>
      </c>
      <c r="V208">
        <v>617.34</v>
      </c>
      <c r="W208" t="s">
        <v>31</v>
      </c>
      <c r="X208" t="s">
        <v>32</v>
      </c>
      <c r="Y208">
        <f t="shared" si="25"/>
        <v>0</v>
      </c>
      <c r="Z208">
        <f t="shared" si="26"/>
        <v>2202.5500000000002</v>
      </c>
      <c r="AA208">
        <f t="shared" si="27"/>
        <v>1167.9800000000002</v>
      </c>
      <c r="AB208">
        <f t="shared" si="28"/>
        <v>53.028535107035033</v>
      </c>
      <c r="AC208">
        <f t="shared" si="29"/>
        <v>2</v>
      </c>
      <c r="AD208">
        <f t="shared" si="30"/>
        <v>2024</v>
      </c>
      <c r="AE208" t="str">
        <f t="shared" si="31"/>
        <v>INVALID</v>
      </c>
    </row>
    <row r="209" spans="1:31">
      <c r="A209" t="s">
        <v>1545</v>
      </c>
      <c r="B209" s="2">
        <v>45495</v>
      </c>
      <c r="C209" s="2">
        <v>45495</v>
      </c>
      <c r="D209" s="5">
        <f>C209-B209</f>
        <v>0</v>
      </c>
      <c r="E209" s="5" t="str">
        <f>IF(D209&lt;0,"INVALID","OK")</f>
        <v>OK</v>
      </c>
      <c r="F209" t="s">
        <v>1546</v>
      </c>
      <c r="G209" t="s">
        <v>113</v>
      </c>
      <c r="H209" t="s">
        <v>23</v>
      </c>
      <c r="I209" t="s">
        <v>53</v>
      </c>
      <c r="J209" t="s">
        <v>174</v>
      </c>
      <c r="K209" t="s">
        <v>175</v>
      </c>
      <c r="L209" t="s">
        <v>73</v>
      </c>
      <c r="M209" t="s">
        <v>74</v>
      </c>
      <c r="N209" t="s">
        <v>1547</v>
      </c>
      <c r="O209" t="s">
        <v>30</v>
      </c>
      <c r="P209">
        <v>3</v>
      </c>
      <c r="Q209">
        <v>1286.22</v>
      </c>
      <c r="R209">
        <v>0.25</v>
      </c>
      <c r="S209" t="str">
        <f t="shared" si="32"/>
        <v>OK</v>
      </c>
      <c r="T209">
        <v>2893.99</v>
      </c>
      <c r="U209">
        <v>1856.03</v>
      </c>
      <c r="V209">
        <v>1037.96</v>
      </c>
      <c r="W209" t="s">
        <v>31</v>
      </c>
      <c r="X209" t="s">
        <v>32</v>
      </c>
      <c r="Y209">
        <f t="shared" si="25"/>
        <v>0.25</v>
      </c>
      <c r="Z209">
        <f t="shared" si="26"/>
        <v>2893.9949999999999</v>
      </c>
      <c r="AA209">
        <f t="shared" si="27"/>
        <v>1037.9649999999999</v>
      </c>
      <c r="AB209">
        <f t="shared" si="28"/>
        <v>35.866164247001116</v>
      </c>
      <c r="AC209">
        <f t="shared" si="29"/>
        <v>7</v>
      </c>
      <c r="AD209">
        <f t="shared" si="30"/>
        <v>2024</v>
      </c>
      <c r="AE209" t="str">
        <f t="shared" si="31"/>
        <v>CLEAN</v>
      </c>
    </row>
    <row r="210" spans="1:31">
      <c r="A210" t="s">
        <v>1548</v>
      </c>
      <c r="B210" s="2">
        <v>45651</v>
      </c>
      <c r="C210" s="2">
        <v>45651</v>
      </c>
      <c r="D210" s="5">
        <f>C210-B210</f>
        <v>0</v>
      </c>
      <c r="E210" s="5" t="str">
        <f>IF(D210&lt;0,"INVALID","OK")</f>
        <v>OK</v>
      </c>
      <c r="F210" t="s">
        <v>1549</v>
      </c>
      <c r="G210" t="s">
        <v>35</v>
      </c>
      <c r="H210" t="s">
        <v>89</v>
      </c>
      <c r="I210" t="s">
        <v>37</v>
      </c>
      <c r="J210" t="s">
        <v>144</v>
      </c>
      <c r="K210" t="s">
        <v>145</v>
      </c>
      <c r="L210" t="s">
        <v>73</v>
      </c>
      <c r="M210" t="s">
        <v>79</v>
      </c>
      <c r="N210" t="s">
        <v>1550</v>
      </c>
      <c r="O210" t="s">
        <v>58</v>
      </c>
      <c r="P210">
        <v>1</v>
      </c>
      <c r="Q210">
        <v>829.66</v>
      </c>
      <c r="R210">
        <v>0.15</v>
      </c>
      <c r="S210" t="str">
        <f t="shared" si="32"/>
        <v>OK</v>
      </c>
      <c r="T210">
        <v>705.21</v>
      </c>
      <c r="U210">
        <v>438.32</v>
      </c>
      <c r="V210">
        <v>266.89</v>
      </c>
      <c r="W210" t="s">
        <v>31</v>
      </c>
      <c r="X210" t="s">
        <v>32</v>
      </c>
      <c r="Y210">
        <f t="shared" si="25"/>
        <v>0.15</v>
      </c>
      <c r="Z210">
        <f t="shared" si="26"/>
        <v>705.2109999999999</v>
      </c>
      <c r="AA210">
        <f t="shared" si="27"/>
        <v>266.89099999999991</v>
      </c>
      <c r="AB210">
        <f t="shared" si="28"/>
        <v>37.845552607659258</v>
      </c>
      <c r="AC210">
        <f t="shared" si="29"/>
        <v>12</v>
      </c>
      <c r="AD210">
        <f t="shared" si="30"/>
        <v>2024</v>
      </c>
      <c r="AE210" t="str">
        <f t="shared" si="31"/>
        <v>CLEAN</v>
      </c>
    </row>
    <row r="211" spans="1:31">
      <c r="A211" t="s">
        <v>1551</v>
      </c>
      <c r="B211" s="2">
        <v>45654</v>
      </c>
      <c r="C211" s="2">
        <v>45657</v>
      </c>
      <c r="D211" s="5">
        <f>C211-B211</f>
        <v>3</v>
      </c>
      <c r="E211" s="5" t="str">
        <f>IF(D211&lt;0,"INVALID","OK")</f>
        <v>OK</v>
      </c>
      <c r="F211" t="s">
        <v>1552</v>
      </c>
      <c r="G211" t="s">
        <v>35</v>
      </c>
      <c r="H211" t="s">
        <v>36</v>
      </c>
      <c r="I211" t="s">
        <v>53</v>
      </c>
      <c r="J211" t="s">
        <v>83</v>
      </c>
      <c r="K211" t="s">
        <v>84</v>
      </c>
      <c r="L211" t="s">
        <v>40</v>
      </c>
      <c r="M211" t="s">
        <v>56</v>
      </c>
      <c r="N211" t="s">
        <v>1553</v>
      </c>
      <c r="O211" t="s">
        <v>49</v>
      </c>
      <c r="P211">
        <v>6</v>
      </c>
      <c r="Q211">
        <v>3641.22</v>
      </c>
      <c r="R211">
        <v>0.25</v>
      </c>
      <c r="S211" t="str">
        <f t="shared" si="32"/>
        <v>OK</v>
      </c>
      <c r="T211">
        <v>16385.490000000002</v>
      </c>
      <c r="U211">
        <v>13679.24</v>
      </c>
      <c r="V211">
        <v>2706.25</v>
      </c>
      <c r="W211" t="s">
        <v>31</v>
      </c>
      <c r="X211" t="s">
        <v>32</v>
      </c>
      <c r="Y211">
        <f t="shared" si="25"/>
        <v>0.25</v>
      </c>
      <c r="Z211">
        <f t="shared" si="26"/>
        <v>16385.489999999998</v>
      </c>
      <c r="AA211">
        <f t="shared" si="27"/>
        <v>2706.2499999999982</v>
      </c>
      <c r="AB211">
        <f t="shared" si="28"/>
        <v>16.516137143289573</v>
      </c>
      <c r="AC211">
        <f t="shared" si="29"/>
        <v>12</v>
      </c>
      <c r="AD211">
        <f t="shared" si="30"/>
        <v>2024</v>
      </c>
      <c r="AE211" t="str">
        <f t="shared" si="31"/>
        <v>CLEAN</v>
      </c>
    </row>
    <row r="212" spans="1:31">
      <c r="A212" t="s">
        <v>1563</v>
      </c>
      <c r="B212" s="2">
        <v>45579</v>
      </c>
      <c r="C212" s="2">
        <v>45585</v>
      </c>
      <c r="D212" s="5">
        <f>C212-B212</f>
        <v>6</v>
      </c>
      <c r="E212" s="5" t="str">
        <f>IF(D212&lt;0,"INVALID","OK")</f>
        <v>OK</v>
      </c>
      <c r="F212" t="s">
        <v>1564</v>
      </c>
      <c r="G212" t="s">
        <v>88</v>
      </c>
      <c r="H212" t="s">
        <v>36</v>
      </c>
      <c r="I212" t="s">
        <v>24</v>
      </c>
      <c r="J212" t="s">
        <v>25</v>
      </c>
      <c r="K212" t="s">
        <v>26</v>
      </c>
      <c r="L212" t="s">
        <v>40</v>
      </c>
      <c r="M212" t="s">
        <v>41</v>
      </c>
      <c r="N212" t="s">
        <v>1565</v>
      </c>
      <c r="O212" t="s">
        <v>43</v>
      </c>
      <c r="P212">
        <v>7</v>
      </c>
      <c r="Q212">
        <v>1547.6</v>
      </c>
      <c r="R212">
        <v>0.2</v>
      </c>
      <c r="S212" t="str">
        <f t="shared" si="32"/>
        <v>OK</v>
      </c>
      <c r="T212">
        <v>8666.56</v>
      </c>
      <c r="U212">
        <v>5967.44</v>
      </c>
      <c r="V212">
        <v>2699.12</v>
      </c>
      <c r="W212" t="s">
        <v>31</v>
      </c>
      <c r="X212" t="s">
        <v>32</v>
      </c>
      <c r="Y212">
        <f t="shared" si="25"/>
        <v>0.2</v>
      </c>
      <c r="Z212">
        <f t="shared" si="26"/>
        <v>8666.56</v>
      </c>
      <c r="AA212">
        <f t="shared" si="27"/>
        <v>2699.12</v>
      </c>
      <c r="AB212">
        <f t="shared" si="28"/>
        <v>31.144075619392243</v>
      </c>
      <c r="AC212">
        <f t="shared" si="29"/>
        <v>10</v>
      </c>
      <c r="AD212">
        <f t="shared" si="30"/>
        <v>2024</v>
      </c>
      <c r="AE212" t="str">
        <f t="shared" si="31"/>
        <v>CLEAN</v>
      </c>
    </row>
    <row r="213" spans="1:31">
      <c r="A213" t="s">
        <v>1566</v>
      </c>
      <c r="B213" s="2">
        <v>45329</v>
      </c>
      <c r="C213" s="2">
        <v>45334</v>
      </c>
      <c r="D213" s="5">
        <f>C213-B213</f>
        <v>5</v>
      </c>
      <c r="E213" s="5" t="str">
        <f>IF(D213&lt;0,"INVALID","OK")</f>
        <v>OK</v>
      </c>
      <c r="F213" t="s">
        <v>1567</v>
      </c>
      <c r="G213" t="s">
        <v>52</v>
      </c>
      <c r="H213" t="s">
        <v>94</v>
      </c>
      <c r="I213" t="s">
        <v>37</v>
      </c>
      <c r="J213" t="s">
        <v>98</v>
      </c>
      <c r="K213" t="s">
        <v>99</v>
      </c>
      <c r="L213" t="s">
        <v>73</v>
      </c>
      <c r="M213" t="s">
        <v>74</v>
      </c>
      <c r="N213" t="s">
        <v>1568</v>
      </c>
      <c r="O213" t="s">
        <v>30</v>
      </c>
      <c r="P213">
        <v>1</v>
      </c>
      <c r="Q213">
        <v>452.19</v>
      </c>
      <c r="R213">
        <v>0.2</v>
      </c>
      <c r="S213" t="str">
        <f t="shared" si="32"/>
        <v>OK</v>
      </c>
      <c r="T213">
        <v>361.75</v>
      </c>
      <c r="U213">
        <v>262.52999999999997</v>
      </c>
      <c r="V213">
        <v>99.22</v>
      </c>
      <c r="W213" t="s">
        <v>31</v>
      </c>
      <c r="X213" t="s">
        <v>32</v>
      </c>
      <c r="Y213">
        <f t="shared" si="25"/>
        <v>0.2</v>
      </c>
      <c r="Z213">
        <f t="shared" si="26"/>
        <v>361.75200000000001</v>
      </c>
      <c r="AA213">
        <f t="shared" si="27"/>
        <v>99.222000000000037</v>
      </c>
      <c r="AB213">
        <f t="shared" si="28"/>
        <v>27.428182843495001</v>
      </c>
      <c r="AC213">
        <f t="shared" si="29"/>
        <v>2</v>
      </c>
      <c r="AD213">
        <f t="shared" si="30"/>
        <v>2024</v>
      </c>
      <c r="AE213" t="str">
        <f t="shared" si="31"/>
        <v>CLEAN</v>
      </c>
    </row>
    <row r="214" spans="1:31">
      <c r="A214" t="s">
        <v>1569</v>
      </c>
      <c r="B214" s="2">
        <v>45551</v>
      </c>
      <c r="C214" s="2">
        <v>45554</v>
      </c>
      <c r="D214" s="5">
        <f>C214-B214</f>
        <v>3</v>
      </c>
      <c r="E214" s="5" t="str">
        <f>IF(D214&lt;0,"INVALID","OK")</f>
        <v>OK</v>
      </c>
      <c r="F214" t="s">
        <v>1570</v>
      </c>
      <c r="G214" t="s">
        <v>88</v>
      </c>
      <c r="H214" t="s">
        <v>23</v>
      </c>
      <c r="I214" t="s">
        <v>62</v>
      </c>
      <c r="J214" t="s">
        <v>25</v>
      </c>
      <c r="K214" t="s">
        <v>108</v>
      </c>
      <c r="L214" t="s">
        <v>27</v>
      </c>
      <c r="M214" t="s">
        <v>152</v>
      </c>
      <c r="N214" t="s">
        <v>1571</v>
      </c>
      <c r="O214" t="s">
        <v>49</v>
      </c>
      <c r="P214">
        <v>7</v>
      </c>
      <c r="Q214">
        <v>406.42</v>
      </c>
      <c r="R214">
        <v>0.15</v>
      </c>
      <c r="S214" t="str">
        <f t="shared" si="32"/>
        <v>OK</v>
      </c>
      <c r="T214">
        <v>2418.1999999999998</v>
      </c>
      <c r="U214">
        <v>1613.82</v>
      </c>
      <c r="V214">
        <v>804.38</v>
      </c>
      <c r="W214" t="s">
        <v>31</v>
      </c>
      <c r="X214" t="s">
        <v>32</v>
      </c>
      <c r="Y214">
        <f t="shared" si="25"/>
        <v>0.15</v>
      </c>
      <c r="Z214">
        <f t="shared" si="26"/>
        <v>2418.1990000000001</v>
      </c>
      <c r="AA214">
        <f t="shared" si="27"/>
        <v>804.37900000000013</v>
      </c>
      <c r="AB214">
        <f t="shared" si="28"/>
        <v>33.263556886757463</v>
      </c>
      <c r="AC214">
        <f t="shared" si="29"/>
        <v>9</v>
      </c>
      <c r="AD214">
        <f t="shared" si="30"/>
        <v>2024</v>
      </c>
      <c r="AE214" t="str">
        <f t="shared" si="31"/>
        <v>CLEAN</v>
      </c>
    </row>
    <row r="215" spans="1:31">
      <c r="A215" t="s">
        <v>1599</v>
      </c>
      <c r="B215" s="2">
        <v>45429</v>
      </c>
      <c r="C215" s="2">
        <v>45434</v>
      </c>
      <c r="D215" s="5">
        <f>C215-B215</f>
        <v>5</v>
      </c>
      <c r="E215" s="5" t="str">
        <f>IF(D215&lt;0,"INVALID","OK")</f>
        <v>OK</v>
      </c>
      <c r="F215" t="s">
        <v>1600</v>
      </c>
      <c r="G215" t="s">
        <v>131</v>
      </c>
      <c r="H215" t="s">
        <v>23</v>
      </c>
      <c r="I215" t="s">
        <v>53</v>
      </c>
      <c r="J215" t="s">
        <v>184</v>
      </c>
      <c r="K215" t="s">
        <v>185</v>
      </c>
      <c r="L215" t="s">
        <v>73</v>
      </c>
      <c r="M215" t="s">
        <v>170</v>
      </c>
      <c r="N215" t="s">
        <v>1601</v>
      </c>
      <c r="O215" t="s">
        <v>43</v>
      </c>
      <c r="P215">
        <v>9</v>
      </c>
      <c r="Q215">
        <v>3795.99</v>
      </c>
      <c r="R215" t="s">
        <v>766</v>
      </c>
      <c r="S215" t="str">
        <f t="shared" si="32"/>
        <v>INVALID</v>
      </c>
      <c r="T215">
        <v>34163.910000000003</v>
      </c>
      <c r="U215">
        <v>28577.15</v>
      </c>
      <c r="V215">
        <v>5586.76</v>
      </c>
      <c r="W215" t="s">
        <v>31</v>
      </c>
      <c r="X215" t="s">
        <v>32</v>
      </c>
      <c r="Y215">
        <f t="shared" si="25"/>
        <v>0</v>
      </c>
      <c r="Z215">
        <f t="shared" si="26"/>
        <v>34163.909999999996</v>
      </c>
      <c r="AA215">
        <f t="shared" si="27"/>
        <v>5586.7599999999948</v>
      </c>
      <c r="AB215">
        <f t="shared" si="28"/>
        <v>16.352812075666971</v>
      </c>
      <c r="AC215">
        <f t="shared" si="29"/>
        <v>5</v>
      </c>
      <c r="AD215">
        <f t="shared" si="30"/>
        <v>2024</v>
      </c>
      <c r="AE215" t="str">
        <f t="shared" si="31"/>
        <v>INVALID</v>
      </c>
    </row>
    <row r="216" spans="1:31">
      <c r="A216" t="s">
        <v>1602</v>
      </c>
      <c r="B216" s="2">
        <v>45515</v>
      </c>
      <c r="C216" s="2">
        <v>45521</v>
      </c>
      <c r="D216" s="5">
        <f>C216-B216</f>
        <v>6</v>
      </c>
      <c r="E216" s="5" t="str">
        <f>IF(D216&lt;0,"INVALID","OK")</f>
        <v>OK</v>
      </c>
      <c r="F216" t="s">
        <v>807</v>
      </c>
      <c r="G216" t="s">
        <v>78</v>
      </c>
      <c r="H216" t="s">
        <v>23</v>
      </c>
      <c r="I216" t="s">
        <v>37</v>
      </c>
      <c r="J216" t="s">
        <v>227</v>
      </c>
      <c r="K216" t="s">
        <v>228</v>
      </c>
      <c r="L216" t="s">
        <v>27</v>
      </c>
      <c r="M216" t="s">
        <v>47</v>
      </c>
      <c r="N216" t="s">
        <v>1603</v>
      </c>
      <c r="O216" t="s">
        <v>30</v>
      </c>
      <c r="P216">
        <v>6</v>
      </c>
      <c r="Q216">
        <v>3497.54</v>
      </c>
      <c r="R216">
        <v>0.15</v>
      </c>
      <c r="S216" t="str">
        <f t="shared" si="32"/>
        <v>OK</v>
      </c>
      <c r="T216">
        <v>17837.45</v>
      </c>
      <c r="U216">
        <v>13627.02</v>
      </c>
      <c r="V216">
        <v>4210.43</v>
      </c>
      <c r="W216" t="s">
        <v>31</v>
      </c>
      <c r="X216" t="s">
        <v>32</v>
      </c>
      <c r="Y216">
        <f t="shared" si="25"/>
        <v>0.15</v>
      </c>
      <c r="Z216">
        <f t="shared" si="26"/>
        <v>17837.453999999998</v>
      </c>
      <c r="AA216">
        <f t="shared" si="27"/>
        <v>4210.4339999999975</v>
      </c>
      <c r="AB216">
        <f t="shared" si="28"/>
        <v>23.604456106796395</v>
      </c>
      <c r="AC216">
        <f t="shared" si="29"/>
        <v>8</v>
      </c>
      <c r="AD216">
        <f t="shared" si="30"/>
        <v>2024</v>
      </c>
      <c r="AE216" t="str">
        <f t="shared" si="31"/>
        <v>CLEAN</v>
      </c>
    </row>
    <row r="217" spans="1:31">
      <c r="A217" t="s">
        <v>1604</v>
      </c>
      <c r="B217" s="2">
        <v>45383</v>
      </c>
      <c r="C217" s="2">
        <v>45391</v>
      </c>
      <c r="D217" s="5">
        <f>C217-B217</f>
        <v>8</v>
      </c>
      <c r="E217" s="5" t="str">
        <f>IF(D217&lt;0,"INVALID","OK")</f>
        <v>OK</v>
      </c>
      <c r="F217" t="s">
        <v>1605</v>
      </c>
      <c r="G217" t="s">
        <v>113</v>
      </c>
      <c r="H217" t="s">
        <v>36</v>
      </c>
      <c r="I217" t="s">
        <v>37</v>
      </c>
      <c r="J217" t="s">
        <v>38</v>
      </c>
      <c r="K217" t="s">
        <v>39</v>
      </c>
      <c r="L217" t="s">
        <v>73</v>
      </c>
      <c r="M217" t="s">
        <v>79</v>
      </c>
      <c r="N217" t="s">
        <v>1606</v>
      </c>
      <c r="O217" t="s">
        <v>30</v>
      </c>
      <c r="P217">
        <v>6</v>
      </c>
      <c r="Q217">
        <v>826.93</v>
      </c>
      <c r="R217">
        <v>0.1</v>
      </c>
      <c r="S217" t="str">
        <f t="shared" si="32"/>
        <v>OK</v>
      </c>
      <c r="T217">
        <v>4465.42</v>
      </c>
      <c r="U217">
        <v>3377.1</v>
      </c>
      <c r="V217">
        <v>1088.32</v>
      </c>
      <c r="W217" t="s">
        <v>31</v>
      </c>
      <c r="X217" t="s">
        <v>32</v>
      </c>
      <c r="Y217">
        <f t="shared" si="25"/>
        <v>0.1</v>
      </c>
      <c r="Z217">
        <f t="shared" si="26"/>
        <v>4465.4220000000005</v>
      </c>
      <c r="AA217">
        <f t="shared" si="27"/>
        <v>1088.3220000000006</v>
      </c>
      <c r="AB217">
        <f t="shared" si="28"/>
        <v>24.372209390288319</v>
      </c>
      <c r="AC217">
        <f t="shared" si="29"/>
        <v>4</v>
      </c>
      <c r="AD217">
        <f t="shared" si="30"/>
        <v>2024</v>
      </c>
      <c r="AE217" t="str">
        <f t="shared" si="31"/>
        <v>CLEAN</v>
      </c>
    </row>
    <row r="218" spans="1:31">
      <c r="A218" t="s">
        <v>1607</v>
      </c>
      <c r="B218" s="2">
        <v>45563</v>
      </c>
      <c r="C218" s="2">
        <v>45570</v>
      </c>
      <c r="D218" s="5">
        <f>C218-B218</f>
        <v>7</v>
      </c>
      <c r="E218" s="5" t="str">
        <f>IF(D218&lt;0,"INVALID","OK")</f>
        <v>OK</v>
      </c>
      <c r="F218" t="s">
        <v>1608</v>
      </c>
      <c r="G218" t="s">
        <v>127</v>
      </c>
      <c r="H218" t="s">
        <v>23</v>
      </c>
      <c r="I218" t="s">
        <v>53</v>
      </c>
      <c r="J218" t="s">
        <v>246</v>
      </c>
      <c r="K218" t="s">
        <v>247</v>
      </c>
      <c r="L218" t="s">
        <v>73</v>
      </c>
      <c r="M218" t="s">
        <v>170</v>
      </c>
      <c r="N218" t="s">
        <v>1609</v>
      </c>
      <c r="O218" t="s">
        <v>58</v>
      </c>
      <c r="P218">
        <v>7</v>
      </c>
      <c r="Q218">
        <v>1681.6</v>
      </c>
      <c r="R218">
        <v>0.1</v>
      </c>
      <c r="S218" t="str">
        <f t="shared" si="32"/>
        <v>OK</v>
      </c>
      <c r="T218">
        <v>10594.08</v>
      </c>
      <c r="U218">
        <v>7160.31</v>
      </c>
      <c r="V218">
        <v>3433.77</v>
      </c>
      <c r="W218" t="s">
        <v>31</v>
      </c>
      <c r="X218" t="s">
        <v>32</v>
      </c>
      <c r="Y218">
        <f t="shared" si="25"/>
        <v>0.1</v>
      </c>
      <c r="Z218">
        <f t="shared" si="26"/>
        <v>10594.08</v>
      </c>
      <c r="AA218">
        <f t="shared" si="27"/>
        <v>3433.7699999999995</v>
      </c>
      <c r="AB218">
        <f t="shared" si="28"/>
        <v>32.412158488514336</v>
      </c>
      <c r="AC218">
        <f t="shared" si="29"/>
        <v>9</v>
      </c>
      <c r="AD218">
        <f t="shared" si="30"/>
        <v>2024</v>
      </c>
      <c r="AE218" t="str">
        <f t="shared" si="31"/>
        <v>CLEAN</v>
      </c>
    </row>
    <row r="219" spans="1:31">
      <c r="A219" t="s">
        <v>1622</v>
      </c>
      <c r="B219" s="2">
        <v>45382</v>
      </c>
      <c r="C219" s="2">
        <v>45477</v>
      </c>
      <c r="D219" s="5">
        <f>C219-B219</f>
        <v>95</v>
      </c>
      <c r="E219" s="5" t="str">
        <f>IF(D219&lt;0,"INVALID","OK")</f>
        <v>OK</v>
      </c>
      <c r="F219" t="s">
        <v>1623</v>
      </c>
      <c r="G219" t="s">
        <v>46</v>
      </c>
      <c r="H219" t="s">
        <v>36</v>
      </c>
      <c r="I219" t="s">
        <v>24</v>
      </c>
      <c r="J219" t="s">
        <v>235</v>
      </c>
      <c r="K219" t="s">
        <v>236</v>
      </c>
      <c r="L219" t="s">
        <v>73</v>
      </c>
      <c r="M219" t="s">
        <v>273</v>
      </c>
      <c r="N219" t="s">
        <v>1624</v>
      </c>
      <c r="O219" t="s">
        <v>30</v>
      </c>
      <c r="P219">
        <v>4</v>
      </c>
      <c r="Q219">
        <v>1831</v>
      </c>
      <c r="R219">
        <v>0</v>
      </c>
      <c r="S219" t="str">
        <f t="shared" si="32"/>
        <v>OK</v>
      </c>
      <c r="T219">
        <v>7324</v>
      </c>
      <c r="U219">
        <v>4179.63</v>
      </c>
      <c r="V219">
        <v>3144.37</v>
      </c>
      <c r="W219" t="s">
        <v>31</v>
      </c>
      <c r="X219" t="s">
        <v>32</v>
      </c>
      <c r="Y219">
        <f t="shared" si="25"/>
        <v>0</v>
      </c>
      <c r="Z219">
        <f t="shared" si="26"/>
        <v>7324</v>
      </c>
      <c r="AA219">
        <f t="shared" si="27"/>
        <v>3144.37</v>
      </c>
      <c r="AB219">
        <f t="shared" si="28"/>
        <v>42.932413981430912</v>
      </c>
      <c r="AC219">
        <f t="shared" si="29"/>
        <v>3</v>
      </c>
      <c r="AD219">
        <f t="shared" si="30"/>
        <v>2024</v>
      </c>
      <c r="AE219" t="str">
        <f t="shared" si="31"/>
        <v>CLEAN</v>
      </c>
    </row>
    <row r="220" spans="1:31">
      <c r="A220" t="s">
        <v>1628</v>
      </c>
      <c r="B220" s="2">
        <v>45583</v>
      </c>
      <c r="C220" s="2">
        <v>45586</v>
      </c>
      <c r="D220" s="5">
        <f>C220-B220</f>
        <v>3</v>
      </c>
      <c r="E220" s="5" t="str">
        <f>IF(D220&lt;0,"INVALID","OK")</f>
        <v>OK</v>
      </c>
      <c r="F220" t="s">
        <v>1629</v>
      </c>
      <c r="G220" t="s">
        <v>127</v>
      </c>
      <c r="H220" t="s">
        <v>23</v>
      </c>
      <c r="I220" t="s">
        <v>53</v>
      </c>
      <c r="J220" t="s">
        <v>174</v>
      </c>
      <c r="K220" t="s">
        <v>175</v>
      </c>
      <c r="L220" t="s">
        <v>27</v>
      </c>
      <c r="M220" t="s">
        <v>123</v>
      </c>
      <c r="N220" t="s">
        <v>1630</v>
      </c>
      <c r="O220" t="s">
        <v>30</v>
      </c>
      <c r="P220">
        <v>2</v>
      </c>
      <c r="Q220">
        <v>4238.51</v>
      </c>
      <c r="R220">
        <v>0</v>
      </c>
      <c r="S220" t="str">
        <f t="shared" si="32"/>
        <v>OK</v>
      </c>
      <c r="T220">
        <v>8477.02</v>
      </c>
      <c r="U220">
        <v>6884.96</v>
      </c>
      <c r="V220">
        <v>1592.06</v>
      </c>
      <c r="W220" t="s">
        <v>31</v>
      </c>
      <c r="X220" t="s">
        <v>32</v>
      </c>
      <c r="Y220">
        <f t="shared" si="25"/>
        <v>0</v>
      </c>
      <c r="Z220">
        <f t="shared" si="26"/>
        <v>8477.02</v>
      </c>
      <c r="AA220">
        <f t="shared" si="27"/>
        <v>1592.0600000000004</v>
      </c>
      <c r="AB220">
        <f t="shared" si="28"/>
        <v>18.780892341884297</v>
      </c>
      <c r="AC220">
        <f t="shared" si="29"/>
        <v>10</v>
      </c>
      <c r="AD220">
        <f t="shared" si="30"/>
        <v>2024</v>
      </c>
      <c r="AE220" t="str">
        <f t="shared" si="31"/>
        <v>CLEAN</v>
      </c>
    </row>
    <row r="221" spans="1:31">
      <c r="A221" t="s">
        <v>1631</v>
      </c>
      <c r="B221" s="2">
        <v>45588</v>
      </c>
      <c r="C221" s="2">
        <v>45591</v>
      </c>
      <c r="D221" s="5">
        <f>C221-B221</f>
        <v>3</v>
      </c>
      <c r="E221" s="5" t="str">
        <f>IF(D221&lt;0,"INVALID","OK")</f>
        <v>OK</v>
      </c>
      <c r="F221" t="s">
        <v>1632</v>
      </c>
      <c r="G221" t="s">
        <v>131</v>
      </c>
      <c r="H221" t="s">
        <v>23</v>
      </c>
      <c r="I221" t="s">
        <v>62</v>
      </c>
      <c r="J221" t="s">
        <v>71</v>
      </c>
      <c r="K221" t="s">
        <v>72</v>
      </c>
      <c r="L221" t="s">
        <v>40</v>
      </c>
      <c r="M221" t="s">
        <v>157</v>
      </c>
      <c r="N221" t="s">
        <v>1633</v>
      </c>
      <c r="O221" t="s">
        <v>58</v>
      </c>
      <c r="P221">
        <v>9</v>
      </c>
      <c r="Q221">
        <v>544.27</v>
      </c>
      <c r="R221">
        <v>0.25</v>
      </c>
      <c r="S221" t="str">
        <f t="shared" si="32"/>
        <v>OK</v>
      </c>
      <c r="T221">
        <v>3673.82</v>
      </c>
      <c r="U221">
        <v>2088.15</v>
      </c>
      <c r="V221">
        <v>1585.67</v>
      </c>
      <c r="W221" t="s">
        <v>31</v>
      </c>
      <c r="X221" t="s">
        <v>32</v>
      </c>
      <c r="Y221">
        <f t="shared" si="25"/>
        <v>0.25</v>
      </c>
      <c r="Z221">
        <f t="shared" si="26"/>
        <v>3673.8225000000002</v>
      </c>
      <c r="AA221">
        <f t="shared" si="27"/>
        <v>1585.6725000000001</v>
      </c>
      <c r="AB221">
        <f t="shared" si="28"/>
        <v>43.161380278987352</v>
      </c>
      <c r="AC221">
        <f t="shared" si="29"/>
        <v>10</v>
      </c>
      <c r="AD221">
        <f t="shared" si="30"/>
        <v>2024</v>
      </c>
      <c r="AE221" t="str">
        <f t="shared" si="31"/>
        <v>CLEAN</v>
      </c>
    </row>
    <row r="222" spans="1:31">
      <c r="A222" t="s">
        <v>1639</v>
      </c>
      <c r="B222" s="2">
        <v>45614</v>
      </c>
      <c r="C222" s="2">
        <v>45618</v>
      </c>
      <c r="D222" s="5">
        <f>C222-B222</f>
        <v>4</v>
      </c>
      <c r="E222" s="5" t="str">
        <f>IF(D222&lt;0,"INVALID","OK")</f>
        <v>OK</v>
      </c>
      <c r="F222" t="s">
        <v>1640</v>
      </c>
      <c r="G222" t="s">
        <v>22</v>
      </c>
      <c r="H222" t="s">
        <v>94</v>
      </c>
      <c r="I222" t="s">
        <v>53</v>
      </c>
      <c r="J222" t="s">
        <v>184</v>
      </c>
      <c r="K222" t="s">
        <v>185</v>
      </c>
      <c r="L222" t="s">
        <v>73</v>
      </c>
      <c r="M222" t="s">
        <v>74</v>
      </c>
      <c r="N222" t="s">
        <v>1641</v>
      </c>
      <c r="O222" t="s">
        <v>58</v>
      </c>
      <c r="P222">
        <v>6</v>
      </c>
      <c r="Q222">
        <v>3872.94</v>
      </c>
      <c r="R222">
        <v>0.1</v>
      </c>
      <c r="S222" t="str">
        <f t="shared" si="32"/>
        <v>OK</v>
      </c>
      <c r="T222">
        <v>20913.88</v>
      </c>
      <c r="U222">
        <v>11684.68</v>
      </c>
      <c r="V222">
        <v>9229.2000000000007</v>
      </c>
      <c r="W222" t="s">
        <v>31</v>
      </c>
      <c r="X222" t="s">
        <v>32</v>
      </c>
      <c r="Y222">
        <f t="shared" si="25"/>
        <v>0.1</v>
      </c>
      <c r="Z222">
        <f t="shared" si="26"/>
        <v>20913.876</v>
      </c>
      <c r="AA222">
        <f t="shared" si="27"/>
        <v>9229.1959999999999</v>
      </c>
      <c r="AB222">
        <f t="shared" si="28"/>
        <v>44.12953390371063</v>
      </c>
      <c r="AC222">
        <f t="shared" si="29"/>
        <v>11</v>
      </c>
      <c r="AD222">
        <f t="shared" si="30"/>
        <v>2024</v>
      </c>
      <c r="AE222" t="str">
        <f t="shared" si="31"/>
        <v>CLEAN</v>
      </c>
    </row>
    <row r="223" spans="1:31">
      <c r="A223" t="s">
        <v>1657</v>
      </c>
      <c r="B223" s="2">
        <v>45489</v>
      </c>
      <c r="C223" s="2">
        <v>45496</v>
      </c>
      <c r="D223" s="5">
        <f>C223-B223</f>
        <v>7</v>
      </c>
      <c r="E223" s="5" t="str">
        <f>IF(D223&lt;0,"INVALID","OK")</f>
        <v>OK</v>
      </c>
      <c r="F223" t="s">
        <v>1658</v>
      </c>
      <c r="G223" t="s">
        <v>127</v>
      </c>
      <c r="H223" t="s">
        <v>94</v>
      </c>
      <c r="I223" t="s">
        <v>53</v>
      </c>
      <c r="J223" t="s">
        <v>174</v>
      </c>
      <c r="K223" t="s">
        <v>175</v>
      </c>
      <c r="L223" t="s">
        <v>73</v>
      </c>
      <c r="M223" t="s">
        <v>273</v>
      </c>
      <c r="N223" t="s">
        <v>1659</v>
      </c>
      <c r="O223" t="s">
        <v>43</v>
      </c>
      <c r="P223">
        <v>1</v>
      </c>
      <c r="Q223">
        <v>1695.91</v>
      </c>
      <c r="R223">
        <v>0.05</v>
      </c>
      <c r="S223" t="str">
        <f t="shared" si="32"/>
        <v>OK</v>
      </c>
      <c r="T223">
        <v>1611.11</v>
      </c>
      <c r="U223">
        <v>895.15</v>
      </c>
      <c r="V223">
        <v>715.96</v>
      </c>
      <c r="W223" t="s">
        <v>31</v>
      </c>
      <c r="X223" t="s">
        <v>32</v>
      </c>
      <c r="Y223">
        <f t="shared" si="25"/>
        <v>0.05</v>
      </c>
      <c r="Z223">
        <f t="shared" si="26"/>
        <v>1611.1144999999999</v>
      </c>
      <c r="AA223">
        <f t="shared" si="27"/>
        <v>715.96449999999993</v>
      </c>
      <c r="AB223">
        <f t="shared" si="28"/>
        <v>44.43908238675774</v>
      </c>
      <c r="AC223">
        <f t="shared" si="29"/>
        <v>7</v>
      </c>
      <c r="AD223">
        <f t="shared" si="30"/>
        <v>2024</v>
      </c>
      <c r="AE223" t="str">
        <f t="shared" si="31"/>
        <v>CLEAN</v>
      </c>
    </row>
    <row r="224" spans="1:31">
      <c r="A224" t="s">
        <v>1666</v>
      </c>
      <c r="B224" s="2">
        <v>45326</v>
      </c>
      <c r="C224" s="2">
        <v>45385</v>
      </c>
      <c r="D224" s="5">
        <f>C224-B224</f>
        <v>59</v>
      </c>
      <c r="E224" s="5" t="str">
        <f>IF(D224&lt;0,"INVALID","OK")</f>
        <v>OK</v>
      </c>
      <c r="F224" t="s">
        <v>1667</v>
      </c>
      <c r="G224" t="s">
        <v>263</v>
      </c>
      <c r="H224" t="s">
        <v>94</v>
      </c>
      <c r="I224" t="s">
        <v>62</v>
      </c>
      <c r="J224" t="s">
        <v>189</v>
      </c>
      <c r="K224" t="s">
        <v>190</v>
      </c>
      <c r="L224" t="s">
        <v>27</v>
      </c>
      <c r="M224" t="s">
        <v>28</v>
      </c>
      <c r="N224" t="s">
        <v>1668</v>
      </c>
      <c r="O224" t="s">
        <v>30</v>
      </c>
      <c r="P224">
        <v>2</v>
      </c>
      <c r="Q224">
        <v>2902.63</v>
      </c>
      <c r="R224">
        <v>0</v>
      </c>
      <c r="S224" t="str">
        <f t="shared" si="32"/>
        <v>OK</v>
      </c>
      <c r="T224">
        <v>5805.26</v>
      </c>
      <c r="U224">
        <v>4654.3599999999997</v>
      </c>
      <c r="V224">
        <v>1150.9000000000001</v>
      </c>
      <c r="W224" t="s">
        <v>31</v>
      </c>
      <c r="X224" t="s">
        <v>102</v>
      </c>
      <c r="Y224">
        <f t="shared" si="25"/>
        <v>0</v>
      </c>
      <c r="Z224">
        <f t="shared" si="26"/>
        <v>5805.26</v>
      </c>
      <c r="AA224">
        <f t="shared" si="27"/>
        <v>1150.9000000000005</v>
      </c>
      <c r="AB224">
        <f t="shared" si="28"/>
        <v>19.825124111581573</v>
      </c>
      <c r="AC224">
        <f t="shared" si="29"/>
        <v>2</v>
      </c>
      <c r="AD224">
        <f t="shared" si="30"/>
        <v>2024</v>
      </c>
      <c r="AE224" t="str">
        <f t="shared" si="31"/>
        <v>CLEAN</v>
      </c>
    </row>
    <row r="225" spans="1:31">
      <c r="A225" t="s">
        <v>1669</v>
      </c>
      <c r="B225" s="2">
        <v>45626</v>
      </c>
      <c r="C225" s="2">
        <v>45627</v>
      </c>
      <c r="D225" s="5">
        <f>C225-B225</f>
        <v>1</v>
      </c>
      <c r="E225" s="5" t="str">
        <f>IF(D225&lt;0,"INVALID","OK")</f>
        <v>OK</v>
      </c>
      <c r="F225" t="s">
        <v>1670</v>
      </c>
      <c r="G225" t="s">
        <v>61</v>
      </c>
      <c r="H225" t="s">
        <v>89</v>
      </c>
      <c r="I225" t="s">
        <v>62</v>
      </c>
      <c r="J225" t="s">
        <v>179</v>
      </c>
      <c r="K225" t="s">
        <v>180</v>
      </c>
      <c r="L225" t="s">
        <v>40</v>
      </c>
      <c r="M225" t="s">
        <v>65</v>
      </c>
      <c r="N225" t="s">
        <v>1671</v>
      </c>
      <c r="O225" t="s">
        <v>49</v>
      </c>
      <c r="P225">
        <v>9</v>
      </c>
      <c r="Q225">
        <v>4207.3599999999997</v>
      </c>
      <c r="R225">
        <v>0.1</v>
      </c>
      <c r="S225" t="str">
        <f t="shared" si="32"/>
        <v>OK</v>
      </c>
      <c r="T225">
        <v>34079.620000000003</v>
      </c>
      <c r="U225">
        <v>21871.39</v>
      </c>
      <c r="V225">
        <v>12208.23</v>
      </c>
      <c r="W225" t="s">
        <v>31</v>
      </c>
      <c r="X225" t="s">
        <v>32</v>
      </c>
      <c r="Y225">
        <f t="shared" si="25"/>
        <v>0.1</v>
      </c>
      <c r="Z225">
        <f t="shared" si="26"/>
        <v>34079.616000000002</v>
      </c>
      <c r="AA225">
        <f t="shared" si="27"/>
        <v>12208.226000000002</v>
      </c>
      <c r="AB225">
        <f t="shared" si="28"/>
        <v>35.822663025311094</v>
      </c>
      <c r="AC225">
        <f t="shared" si="29"/>
        <v>11</v>
      </c>
      <c r="AD225">
        <f t="shared" si="30"/>
        <v>2024</v>
      </c>
      <c r="AE225" t="str">
        <f t="shared" si="31"/>
        <v>CLEAN</v>
      </c>
    </row>
    <row r="226" spans="1:31">
      <c r="A226" t="s">
        <v>1672</v>
      </c>
      <c r="B226" s="2">
        <v>45582</v>
      </c>
      <c r="C226" s="2">
        <v>45582</v>
      </c>
      <c r="D226" s="5">
        <f>C226-B226</f>
        <v>0</v>
      </c>
      <c r="E226" s="5" t="str">
        <f>IF(D226&lt;0,"INVALID","OK")</f>
        <v>OK</v>
      </c>
      <c r="F226" t="s">
        <v>1673</v>
      </c>
      <c r="G226" t="s">
        <v>113</v>
      </c>
      <c r="H226" t="s">
        <v>94</v>
      </c>
      <c r="I226" t="s">
        <v>37</v>
      </c>
      <c r="J226" t="s">
        <v>98</v>
      </c>
      <c r="K226" t="s">
        <v>99</v>
      </c>
      <c r="L226" t="s">
        <v>40</v>
      </c>
      <c r="M226" t="s">
        <v>65</v>
      </c>
      <c r="N226" t="s">
        <v>1674</v>
      </c>
      <c r="O226" t="s">
        <v>58</v>
      </c>
      <c r="P226">
        <v>5</v>
      </c>
      <c r="Q226">
        <v>2524.4</v>
      </c>
      <c r="R226">
        <v>0.1</v>
      </c>
      <c r="S226" t="str">
        <f t="shared" si="32"/>
        <v>OK</v>
      </c>
      <c r="T226">
        <v>11359.8</v>
      </c>
      <c r="U226">
        <v>7062.44</v>
      </c>
      <c r="V226">
        <v>4297.3599999999997</v>
      </c>
      <c r="W226" t="s">
        <v>31</v>
      </c>
      <c r="X226" t="s">
        <v>32</v>
      </c>
      <c r="Y226">
        <f t="shared" si="25"/>
        <v>0.1</v>
      </c>
      <c r="Z226">
        <f t="shared" si="26"/>
        <v>11359.800000000001</v>
      </c>
      <c r="AA226">
        <f t="shared" si="27"/>
        <v>4297.3600000000015</v>
      </c>
      <c r="AB226">
        <f t="shared" si="28"/>
        <v>37.829539252451639</v>
      </c>
      <c r="AC226">
        <f t="shared" si="29"/>
        <v>10</v>
      </c>
      <c r="AD226">
        <f t="shared" si="30"/>
        <v>2024</v>
      </c>
      <c r="AE226" t="str">
        <f t="shared" si="31"/>
        <v>CLEAN</v>
      </c>
    </row>
    <row r="227" spans="1:31">
      <c r="A227" t="s">
        <v>1681</v>
      </c>
      <c r="B227" s="2">
        <v>45572</v>
      </c>
      <c r="C227" s="2">
        <v>45545</v>
      </c>
      <c r="D227" s="5">
        <f>C227-B227</f>
        <v>-27</v>
      </c>
      <c r="E227" s="5" t="str">
        <f>IF(D227&lt;0,"INVALID","OK")</f>
        <v>INVALID</v>
      </c>
      <c r="F227" t="s">
        <v>1682</v>
      </c>
      <c r="G227" t="s">
        <v>161</v>
      </c>
      <c r="H227" t="s">
        <v>23</v>
      </c>
      <c r="I227" t="s">
        <v>53</v>
      </c>
      <c r="J227" t="s">
        <v>246</v>
      </c>
      <c r="K227" t="s">
        <v>247</v>
      </c>
      <c r="L227" t="s">
        <v>27</v>
      </c>
      <c r="M227" t="s">
        <v>152</v>
      </c>
      <c r="N227" t="s">
        <v>1683</v>
      </c>
      <c r="O227" t="s">
        <v>58</v>
      </c>
      <c r="P227">
        <v>9</v>
      </c>
      <c r="Q227">
        <v>3457.09</v>
      </c>
      <c r="R227">
        <v>0.05</v>
      </c>
      <c r="S227" t="str">
        <f t="shared" si="32"/>
        <v>OK</v>
      </c>
      <c r="T227">
        <v>29558.12</v>
      </c>
      <c r="U227">
        <v>21302.13</v>
      </c>
      <c r="V227">
        <v>8255.99</v>
      </c>
      <c r="W227" t="s">
        <v>110</v>
      </c>
      <c r="X227" t="s">
        <v>102</v>
      </c>
      <c r="Y227">
        <f t="shared" si="25"/>
        <v>0.05</v>
      </c>
      <c r="Z227">
        <f t="shared" si="26"/>
        <v>29558.119500000001</v>
      </c>
      <c r="AA227">
        <f t="shared" si="27"/>
        <v>8255.9894999999997</v>
      </c>
      <c r="AB227">
        <f t="shared" si="28"/>
        <v>27.931376013281223</v>
      </c>
      <c r="AC227">
        <f t="shared" si="29"/>
        <v>10</v>
      </c>
      <c r="AD227">
        <f t="shared" si="30"/>
        <v>2024</v>
      </c>
      <c r="AE227" t="str">
        <f t="shared" si="31"/>
        <v>INVALID</v>
      </c>
    </row>
    <row r="228" spans="1:31">
      <c r="A228" t="s">
        <v>1684</v>
      </c>
      <c r="B228" s="2">
        <v>45328</v>
      </c>
      <c r="C228" s="2">
        <v>45330</v>
      </c>
      <c r="D228" s="5">
        <f>C228-B228</f>
        <v>2</v>
      </c>
      <c r="E228" s="5" t="str">
        <f>IF(D228&lt;0,"INVALID","OK")</f>
        <v>OK</v>
      </c>
      <c r="F228" t="s">
        <v>728</v>
      </c>
      <c r="G228" t="s">
        <v>22</v>
      </c>
      <c r="H228" t="s">
        <v>23</v>
      </c>
      <c r="I228" t="s">
        <v>37</v>
      </c>
      <c r="J228" t="s">
        <v>227</v>
      </c>
      <c r="K228" t="s">
        <v>228</v>
      </c>
      <c r="L228" t="s">
        <v>40</v>
      </c>
      <c r="M228" t="s">
        <v>157</v>
      </c>
      <c r="N228" t="s">
        <v>1685</v>
      </c>
      <c r="O228" t="s">
        <v>30</v>
      </c>
      <c r="P228">
        <v>9</v>
      </c>
      <c r="Q228">
        <v>1822.25</v>
      </c>
      <c r="R228">
        <v>0</v>
      </c>
      <c r="S228" t="str">
        <f t="shared" si="32"/>
        <v>OK</v>
      </c>
      <c r="T228">
        <v>16400.25</v>
      </c>
      <c r="U228">
        <v>12146.96</v>
      </c>
      <c r="V228">
        <v>4253.29</v>
      </c>
      <c r="W228" t="s">
        <v>31</v>
      </c>
      <c r="X228" t="s">
        <v>32</v>
      </c>
      <c r="Y228">
        <f t="shared" si="25"/>
        <v>0</v>
      </c>
      <c r="Z228">
        <f t="shared" si="26"/>
        <v>16400.25</v>
      </c>
      <c r="AA228">
        <f t="shared" si="27"/>
        <v>4253.2900000000009</v>
      </c>
      <c r="AB228">
        <f t="shared" si="28"/>
        <v>25.934299782015525</v>
      </c>
      <c r="AC228">
        <f t="shared" si="29"/>
        <v>2</v>
      </c>
      <c r="AD228">
        <f t="shared" si="30"/>
        <v>2024</v>
      </c>
      <c r="AE228" t="str">
        <f t="shared" si="31"/>
        <v>CLEAN</v>
      </c>
    </row>
    <row r="229" spans="1:31">
      <c r="A229" t="s">
        <v>1689</v>
      </c>
      <c r="B229" s="2">
        <v>45505</v>
      </c>
      <c r="C229" s="2">
        <v>45512</v>
      </c>
      <c r="D229" s="5">
        <f>C229-B229</f>
        <v>7</v>
      </c>
      <c r="E229" s="5" t="str">
        <f>IF(D229&lt;0,"INVALID","OK")</f>
        <v>OK</v>
      </c>
      <c r="F229" t="s">
        <v>1690</v>
      </c>
      <c r="G229" t="s">
        <v>161</v>
      </c>
      <c r="H229" t="s">
        <v>36</v>
      </c>
      <c r="I229" t="s">
        <v>62</v>
      </c>
      <c r="J229" t="s">
        <v>63</v>
      </c>
      <c r="K229" t="s">
        <v>64</v>
      </c>
      <c r="L229" t="s">
        <v>27</v>
      </c>
      <c r="M229" t="s">
        <v>123</v>
      </c>
      <c r="N229" t="s">
        <v>1691</v>
      </c>
      <c r="O229" t="s">
        <v>2762</v>
      </c>
      <c r="P229">
        <v>1</v>
      </c>
      <c r="Q229">
        <v>442.97</v>
      </c>
      <c r="R229">
        <v>0.1</v>
      </c>
      <c r="S229" t="str">
        <f t="shared" si="32"/>
        <v>OK</v>
      </c>
      <c r="T229">
        <v>398.67</v>
      </c>
      <c r="U229">
        <v>311.66000000000003</v>
      </c>
      <c r="V229">
        <v>87.01</v>
      </c>
      <c r="W229" t="s">
        <v>31</v>
      </c>
      <c r="X229" t="s">
        <v>32</v>
      </c>
      <c r="Y229">
        <f t="shared" si="25"/>
        <v>0.1</v>
      </c>
      <c r="Z229">
        <f t="shared" si="26"/>
        <v>398.67300000000006</v>
      </c>
      <c r="AA229">
        <f t="shared" si="27"/>
        <v>87.013000000000034</v>
      </c>
      <c r="AB229">
        <f t="shared" si="28"/>
        <v>21.825656615822997</v>
      </c>
      <c r="AC229">
        <f t="shared" si="29"/>
        <v>8</v>
      </c>
      <c r="AD229">
        <f t="shared" si="30"/>
        <v>2024</v>
      </c>
      <c r="AE229" t="str">
        <f t="shared" si="31"/>
        <v>CLEAN</v>
      </c>
    </row>
    <row r="230" spans="1:31">
      <c r="A230" t="s">
        <v>1695</v>
      </c>
      <c r="B230" s="2">
        <v>45529</v>
      </c>
      <c r="C230" s="2">
        <v>45536</v>
      </c>
      <c r="D230" s="5">
        <f>C230-B230</f>
        <v>7</v>
      </c>
      <c r="E230" s="5" t="str">
        <f>IF(D230&lt;0,"INVALID","OK")</f>
        <v>OK</v>
      </c>
      <c r="F230" t="s">
        <v>1696</v>
      </c>
      <c r="G230" t="s">
        <v>46</v>
      </c>
      <c r="H230" t="s">
        <v>94</v>
      </c>
      <c r="I230" t="s">
        <v>24</v>
      </c>
      <c r="J230" t="s">
        <v>25</v>
      </c>
      <c r="K230" t="s">
        <v>26</v>
      </c>
      <c r="L230" t="s">
        <v>40</v>
      </c>
      <c r="M230" t="s">
        <v>41</v>
      </c>
      <c r="N230" t="s">
        <v>1697</v>
      </c>
      <c r="O230" t="s">
        <v>43</v>
      </c>
      <c r="P230">
        <v>6</v>
      </c>
      <c r="Q230">
        <v>481.3</v>
      </c>
      <c r="R230">
        <v>0.25</v>
      </c>
      <c r="S230" t="str">
        <f t="shared" si="32"/>
        <v>OK</v>
      </c>
      <c r="T230">
        <v>2165.85</v>
      </c>
      <c r="U230">
        <v>2124.48</v>
      </c>
      <c r="V230">
        <v>430.45</v>
      </c>
      <c r="W230" t="s">
        <v>31</v>
      </c>
      <c r="X230" t="s">
        <v>32</v>
      </c>
      <c r="Y230">
        <f t="shared" si="25"/>
        <v>0.25</v>
      </c>
      <c r="Z230">
        <f t="shared" si="26"/>
        <v>2165.8500000000004</v>
      </c>
      <c r="AA230">
        <f t="shared" si="27"/>
        <v>41.370000000000346</v>
      </c>
      <c r="AB230">
        <f t="shared" si="28"/>
        <v>1.9101045778793699</v>
      </c>
      <c r="AC230">
        <f t="shared" si="29"/>
        <v>8</v>
      </c>
      <c r="AD230">
        <f t="shared" si="30"/>
        <v>2024</v>
      </c>
      <c r="AE230" t="str">
        <f t="shared" si="31"/>
        <v>CLEAN</v>
      </c>
    </row>
    <row r="231" spans="1:31">
      <c r="A231" t="s">
        <v>1701</v>
      </c>
      <c r="B231" s="2">
        <v>45431</v>
      </c>
      <c r="C231" s="2">
        <v>45433</v>
      </c>
      <c r="D231" s="5">
        <f>C231-B231</f>
        <v>2</v>
      </c>
      <c r="E231" s="5" t="str">
        <f>IF(D231&lt;0,"INVALID","OK")</f>
        <v>OK</v>
      </c>
      <c r="F231" t="s">
        <v>1702</v>
      </c>
      <c r="G231" t="s">
        <v>161</v>
      </c>
      <c r="H231" t="s">
        <v>36</v>
      </c>
      <c r="I231" t="s">
        <v>62</v>
      </c>
      <c r="J231" t="s">
        <v>63</v>
      </c>
      <c r="K231" t="s">
        <v>64</v>
      </c>
      <c r="L231" t="s">
        <v>73</v>
      </c>
      <c r="M231" t="s">
        <v>79</v>
      </c>
      <c r="N231" t="s">
        <v>1703</v>
      </c>
      <c r="O231" t="s">
        <v>49</v>
      </c>
      <c r="P231">
        <v>3</v>
      </c>
      <c r="Q231">
        <v>4000.98</v>
      </c>
      <c r="R231">
        <v>0.2</v>
      </c>
      <c r="S231" t="str">
        <f t="shared" si="32"/>
        <v>OK</v>
      </c>
      <c r="T231">
        <v>9602.35</v>
      </c>
      <c r="U231">
        <v>7387.57</v>
      </c>
      <c r="V231">
        <v>2214.7800000000002</v>
      </c>
      <c r="W231" t="s">
        <v>31</v>
      </c>
      <c r="X231" t="s">
        <v>32</v>
      </c>
      <c r="Y231">
        <f t="shared" si="25"/>
        <v>0.2</v>
      </c>
      <c r="Z231">
        <f t="shared" si="26"/>
        <v>9602.3520000000008</v>
      </c>
      <c r="AA231">
        <f t="shared" si="27"/>
        <v>2214.7820000000011</v>
      </c>
      <c r="AB231">
        <f t="shared" si="28"/>
        <v>23.064994909580495</v>
      </c>
      <c r="AC231">
        <f t="shared" si="29"/>
        <v>5</v>
      </c>
      <c r="AD231">
        <f t="shared" si="30"/>
        <v>2024</v>
      </c>
      <c r="AE231" t="str">
        <f t="shared" si="31"/>
        <v>CLEAN</v>
      </c>
    </row>
    <row r="232" spans="1:31">
      <c r="A232" t="s">
        <v>1710</v>
      </c>
      <c r="B232" s="2">
        <v>45560</v>
      </c>
      <c r="C232" s="2">
        <v>45301</v>
      </c>
      <c r="D232" s="5">
        <f>C232-B232</f>
        <v>-259</v>
      </c>
      <c r="E232" s="5" t="str">
        <f>IF(D232&lt;0,"INVALID","OK")</f>
        <v>INVALID</v>
      </c>
      <c r="F232" t="s">
        <v>1711</v>
      </c>
      <c r="G232" t="s">
        <v>161</v>
      </c>
      <c r="H232" t="s">
        <v>36</v>
      </c>
      <c r="I232" t="s">
        <v>37</v>
      </c>
      <c r="J232" t="s">
        <v>227</v>
      </c>
      <c r="K232" t="s">
        <v>228</v>
      </c>
      <c r="L232" t="s">
        <v>40</v>
      </c>
      <c r="M232" t="s">
        <v>41</v>
      </c>
      <c r="N232" t="s">
        <v>1712</v>
      </c>
      <c r="O232" t="s">
        <v>30</v>
      </c>
      <c r="P232">
        <v>9</v>
      </c>
      <c r="Q232">
        <v>3908.6</v>
      </c>
      <c r="R232">
        <v>0.15</v>
      </c>
      <c r="S232" t="str">
        <f t="shared" si="32"/>
        <v>OK</v>
      </c>
      <c r="T232">
        <v>29900.79</v>
      </c>
      <c r="U232">
        <v>24650.67</v>
      </c>
      <c r="V232">
        <v>5250.12</v>
      </c>
      <c r="W232" t="s">
        <v>31</v>
      </c>
      <c r="X232" t="s">
        <v>32</v>
      </c>
      <c r="Y232">
        <f t="shared" si="25"/>
        <v>0.15</v>
      </c>
      <c r="Z232">
        <f t="shared" si="26"/>
        <v>29900.79</v>
      </c>
      <c r="AA232">
        <f t="shared" si="27"/>
        <v>5250.1200000000026</v>
      </c>
      <c r="AB232">
        <f t="shared" si="28"/>
        <v>17.558465846554565</v>
      </c>
      <c r="AC232">
        <f t="shared" si="29"/>
        <v>9</v>
      </c>
      <c r="AD232">
        <f t="shared" si="30"/>
        <v>2024</v>
      </c>
      <c r="AE232" t="str">
        <f t="shared" si="31"/>
        <v>INVALID</v>
      </c>
    </row>
    <row r="233" spans="1:31">
      <c r="A233" t="s">
        <v>1716</v>
      </c>
      <c r="B233" s="2">
        <v>45348</v>
      </c>
      <c r="C233" s="2">
        <v>45345</v>
      </c>
      <c r="D233" s="5">
        <f>C233-B233</f>
        <v>-3</v>
      </c>
      <c r="E233" s="5" t="str">
        <f>IF(D233&lt;0,"INVALID","OK")</f>
        <v>INVALID</v>
      </c>
      <c r="F233" t="s">
        <v>1717</v>
      </c>
      <c r="G233" t="s">
        <v>263</v>
      </c>
      <c r="H233" t="s">
        <v>23</v>
      </c>
      <c r="I233" t="s">
        <v>62</v>
      </c>
      <c r="J233" t="s">
        <v>179</v>
      </c>
      <c r="K233" t="s">
        <v>180</v>
      </c>
      <c r="L233" t="s">
        <v>40</v>
      </c>
      <c r="M233" t="s">
        <v>56</v>
      </c>
      <c r="N233" t="s">
        <v>1718</v>
      </c>
      <c r="O233" t="s">
        <v>58</v>
      </c>
      <c r="P233">
        <v>7</v>
      </c>
      <c r="Q233">
        <v>3852.07</v>
      </c>
      <c r="R233">
        <v>0.2</v>
      </c>
      <c r="S233" t="str">
        <f t="shared" si="32"/>
        <v>OK</v>
      </c>
      <c r="T233">
        <v>21571.59</v>
      </c>
      <c r="U233">
        <v>17118.07</v>
      </c>
      <c r="V233">
        <v>4453.5200000000004</v>
      </c>
      <c r="W233" t="s">
        <v>31</v>
      </c>
      <c r="X233" t="s">
        <v>32</v>
      </c>
      <c r="Y233">
        <f t="shared" si="25"/>
        <v>0.2</v>
      </c>
      <c r="Z233">
        <f t="shared" si="26"/>
        <v>21571.592000000004</v>
      </c>
      <c r="AA233">
        <f t="shared" si="27"/>
        <v>4453.5220000000045</v>
      </c>
      <c r="AB233">
        <f t="shared" si="28"/>
        <v>20.645309813017061</v>
      </c>
      <c r="AC233">
        <f t="shared" si="29"/>
        <v>2</v>
      </c>
      <c r="AD233">
        <f t="shared" si="30"/>
        <v>2024</v>
      </c>
      <c r="AE233" t="str">
        <f t="shared" si="31"/>
        <v>INVALID</v>
      </c>
    </row>
    <row r="234" spans="1:31">
      <c r="A234" t="s">
        <v>1725</v>
      </c>
      <c r="B234" s="2">
        <v>45487</v>
      </c>
      <c r="C234" s="2">
        <v>45493</v>
      </c>
      <c r="D234" s="5">
        <f>C234-B234</f>
        <v>6</v>
      </c>
      <c r="E234" s="5" t="str">
        <f>IF(D234&lt;0,"INVALID","OK")</f>
        <v>OK</v>
      </c>
      <c r="F234" t="s">
        <v>1726</v>
      </c>
      <c r="G234" t="s">
        <v>35</v>
      </c>
      <c r="H234" t="s">
        <v>23</v>
      </c>
      <c r="I234" t="s">
        <v>37</v>
      </c>
      <c r="J234" t="s">
        <v>144</v>
      </c>
      <c r="K234" t="s">
        <v>145</v>
      </c>
      <c r="L234" t="s">
        <v>73</v>
      </c>
      <c r="M234" t="s">
        <v>79</v>
      </c>
      <c r="N234" t="s">
        <v>1727</v>
      </c>
      <c r="O234" t="s">
        <v>43</v>
      </c>
      <c r="P234">
        <v>1</v>
      </c>
      <c r="Q234">
        <v>492.67</v>
      </c>
      <c r="R234">
        <v>0.15</v>
      </c>
      <c r="S234" t="str">
        <f t="shared" si="32"/>
        <v>OK</v>
      </c>
      <c r="T234">
        <v>418.77</v>
      </c>
      <c r="U234">
        <v>313.72000000000003</v>
      </c>
      <c r="V234">
        <v>105.05</v>
      </c>
      <c r="W234" t="s">
        <v>31</v>
      </c>
      <c r="X234" t="s">
        <v>32</v>
      </c>
      <c r="Y234">
        <f t="shared" si="25"/>
        <v>0.15</v>
      </c>
      <c r="Z234">
        <f t="shared" si="26"/>
        <v>418.76949999999999</v>
      </c>
      <c r="AA234">
        <f t="shared" si="27"/>
        <v>105.04949999999997</v>
      </c>
      <c r="AB234">
        <f t="shared" si="28"/>
        <v>25.085279610859907</v>
      </c>
      <c r="AC234">
        <f t="shared" si="29"/>
        <v>7</v>
      </c>
      <c r="AD234">
        <f t="shared" si="30"/>
        <v>2024</v>
      </c>
      <c r="AE234" t="str">
        <f t="shared" si="31"/>
        <v>CLEAN</v>
      </c>
    </row>
    <row r="235" spans="1:31">
      <c r="A235" t="s">
        <v>1731</v>
      </c>
      <c r="B235" s="2">
        <v>45439</v>
      </c>
      <c r="C235" s="2">
        <v>45442</v>
      </c>
      <c r="D235" s="5">
        <f>C235-B235</f>
        <v>3</v>
      </c>
      <c r="E235" s="5" t="str">
        <f>IF(D235&lt;0,"INVALID","OK")</f>
        <v>OK</v>
      </c>
      <c r="F235" t="s">
        <v>1732</v>
      </c>
      <c r="G235" t="s">
        <v>263</v>
      </c>
      <c r="H235" t="s">
        <v>36</v>
      </c>
      <c r="I235" t="s">
        <v>37</v>
      </c>
      <c r="J235" t="s">
        <v>227</v>
      </c>
      <c r="K235" t="s">
        <v>228</v>
      </c>
      <c r="L235" t="s">
        <v>27</v>
      </c>
      <c r="M235" t="s">
        <v>123</v>
      </c>
      <c r="N235" t="s">
        <v>1733</v>
      </c>
      <c r="O235" t="s">
        <v>43</v>
      </c>
      <c r="P235">
        <v>7</v>
      </c>
      <c r="Q235">
        <v>2900.86</v>
      </c>
      <c r="R235">
        <v>0.15</v>
      </c>
      <c r="S235" t="str">
        <f t="shared" si="32"/>
        <v>OK</v>
      </c>
      <c r="T235">
        <v>17260.12</v>
      </c>
      <c r="U235">
        <v>13513.51</v>
      </c>
      <c r="V235">
        <v>3746.61</v>
      </c>
      <c r="W235" t="s">
        <v>31</v>
      </c>
      <c r="X235" t="s">
        <v>32</v>
      </c>
      <c r="Y235">
        <f t="shared" si="25"/>
        <v>0.15</v>
      </c>
      <c r="Z235">
        <f t="shared" si="26"/>
        <v>17260.116999999998</v>
      </c>
      <c r="AA235">
        <f t="shared" si="27"/>
        <v>3746.6069999999982</v>
      </c>
      <c r="AB235">
        <f t="shared" si="28"/>
        <v>21.706730029697933</v>
      </c>
      <c r="AC235">
        <f t="shared" si="29"/>
        <v>5</v>
      </c>
      <c r="AD235">
        <f t="shared" si="30"/>
        <v>2024</v>
      </c>
      <c r="AE235" t="str">
        <f t="shared" si="31"/>
        <v>CLEAN</v>
      </c>
    </row>
    <row r="236" spans="1:31">
      <c r="A236" t="s">
        <v>1737</v>
      </c>
      <c r="B236" s="2">
        <v>45428</v>
      </c>
      <c r="C236" s="2">
        <v>45435</v>
      </c>
      <c r="D236" s="5">
        <f>C236-B236</f>
        <v>7</v>
      </c>
      <c r="E236" s="5" t="str">
        <f>IF(D236&lt;0,"INVALID","OK")</f>
        <v>OK</v>
      </c>
      <c r="F236" t="s">
        <v>1738</v>
      </c>
      <c r="G236" t="s">
        <v>78</v>
      </c>
      <c r="H236" t="s">
        <v>36</v>
      </c>
      <c r="I236" t="s">
        <v>24</v>
      </c>
      <c r="J236" t="s">
        <v>135</v>
      </c>
      <c r="K236" t="s">
        <v>136</v>
      </c>
      <c r="L236" t="s">
        <v>73</v>
      </c>
      <c r="M236" t="s">
        <v>79</v>
      </c>
      <c r="N236" t="s">
        <v>1739</v>
      </c>
      <c r="O236" t="s">
        <v>58</v>
      </c>
      <c r="P236">
        <v>9</v>
      </c>
      <c r="Q236">
        <v>3722.09</v>
      </c>
      <c r="R236">
        <v>0.1</v>
      </c>
      <c r="S236" t="str">
        <f t="shared" si="32"/>
        <v>OK</v>
      </c>
      <c r="T236">
        <v>30148.93</v>
      </c>
      <c r="U236">
        <v>25155.07</v>
      </c>
      <c r="V236">
        <v>4993.8599999999997</v>
      </c>
      <c r="W236" t="s">
        <v>31</v>
      </c>
      <c r="X236" t="s">
        <v>32</v>
      </c>
      <c r="Y236">
        <f t="shared" si="25"/>
        <v>0.1</v>
      </c>
      <c r="Z236">
        <f t="shared" si="26"/>
        <v>30148.929</v>
      </c>
      <c r="AA236">
        <f t="shared" si="27"/>
        <v>4993.8590000000004</v>
      </c>
      <c r="AB236">
        <f t="shared" si="28"/>
        <v>16.563968159532301</v>
      </c>
      <c r="AC236">
        <f t="shared" si="29"/>
        <v>5</v>
      </c>
      <c r="AD236">
        <f t="shared" si="30"/>
        <v>2024</v>
      </c>
      <c r="AE236" t="str">
        <f t="shared" si="31"/>
        <v>CLEAN</v>
      </c>
    </row>
    <row r="237" spans="1:31">
      <c r="A237" t="s">
        <v>1746</v>
      </c>
      <c r="B237" s="2">
        <v>45330</v>
      </c>
      <c r="C237" s="2">
        <v>45514</v>
      </c>
      <c r="D237" s="5">
        <f>C237-B237</f>
        <v>184</v>
      </c>
      <c r="E237" s="5" t="str">
        <f>IF(D237&lt;0,"INVALID","OK")</f>
        <v>OK</v>
      </c>
      <c r="F237" t="s">
        <v>1747</v>
      </c>
      <c r="G237" t="s">
        <v>35</v>
      </c>
      <c r="H237" t="s">
        <v>94</v>
      </c>
      <c r="I237" t="s">
        <v>37</v>
      </c>
      <c r="J237" t="s">
        <v>38</v>
      </c>
      <c r="K237" t="s">
        <v>39</v>
      </c>
      <c r="L237" t="s">
        <v>73</v>
      </c>
      <c r="M237" t="s">
        <v>74</v>
      </c>
      <c r="N237" t="s">
        <v>1748</v>
      </c>
      <c r="O237" t="s">
        <v>58</v>
      </c>
      <c r="P237">
        <v>6</v>
      </c>
      <c r="Q237">
        <v>2126.44</v>
      </c>
      <c r="R237">
        <v>0.2</v>
      </c>
      <c r="S237" t="str">
        <f t="shared" si="32"/>
        <v>OK</v>
      </c>
      <c r="T237">
        <v>10206.91</v>
      </c>
      <c r="U237">
        <v>6764.53</v>
      </c>
      <c r="V237">
        <v>3442.38</v>
      </c>
      <c r="W237" t="s">
        <v>31</v>
      </c>
      <c r="X237" t="s">
        <v>32</v>
      </c>
      <c r="Y237">
        <f t="shared" si="25"/>
        <v>0.2</v>
      </c>
      <c r="Z237">
        <f t="shared" si="26"/>
        <v>10206.912</v>
      </c>
      <c r="AA237">
        <f t="shared" si="27"/>
        <v>3442.3820000000005</v>
      </c>
      <c r="AB237">
        <f t="shared" si="28"/>
        <v>33.725988820125039</v>
      </c>
      <c r="AC237">
        <f t="shared" si="29"/>
        <v>2</v>
      </c>
      <c r="AD237">
        <f t="shared" si="30"/>
        <v>2024</v>
      </c>
      <c r="AE237" t="str">
        <f t="shared" si="31"/>
        <v>CLEAN</v>
      </c>
    </row>
    <row r="238" spans="1:31">
      <c r="A238" t="s">
        <v>1749</v>
      </c>
      <c r="B238" s="2">
        <v>45349</v>
      </c>
      <c r="C238" s="2">
        <v>45349</v>
      </c>
      <c r="D238" s="5">
        <f>C238-B238</f>
        <v>0</v>
      </c>
      <c r="E238" s="5" t="str">
        <f>IF(D238&lt;0,"INVALID","OK")</f>
        <v>OK</v>
      </c>
      <c r="F238" t="s">
        <v>1750</v>
      </c>
      <c r="G238" t="s">
        <v>131</v>
      </c>
      <c r="H238" t="s">
        <v>23</v>
      </c>
      <c r="I238" t="s">
        <v>37</v>
      </c>
      <c r="J238" t="s">
        <v>227</v>
      </c>
      <c r="K238" t="s">
        <v>228</v>
      </c>
      <c r="L238" t="s">
        <v>40</v>
      </c>
      <c r="M238" t="s">
        <v>65</v>
      </c>
      <c r="N238" t="s">
        <v>1751</v>
      </c>
      <c r="O238" t="s">
        <v>30</v>
      </c>
      <c r="P238">
        <v>3</v>
      </c>
      <c r="Q238">
        <v>3148.09</v>
      </c>
      <c r="R238">
        <v>0.15</v>
      </c>
      <c r="S238" t="str">
        <f t="shared" si="32"/>
        <v>OK</v>
      </c>
      <c r="T238">
        <v>8027.63</v>
      </c>
      <c r="U238">
        <v>5496.09</v>
      </c>
      <c r="V238">
        <v>2531.54</v>
      </c>
      <c r="W238" t="s">
        <v>31</v>
      </c>
      <c r="X238" t="s">
        <v>32</v>
      </c>
      <c r="Y238">
        <f t="shared" si="25"/>
        <v>0.15</v>
      </c>
      <c r="Z238">
        <f t="shared" si="26"/>
        <v>8027.6295</v>
      </c>
      <c r="AA238">
        <f t="shared" si="27"/>
        <v>2531.5394999999999</v>
      </c>
      <c r="AB238">
        <f t="shared" si="28"/>
        <v>31.535330572991686</v>
      </c>
      <c r="AC238">
        <f t="shared" si="29"/>
        <v>2</v>
      </c>
      <c r="AD238">
        <f t="shared" si="30"/>
        <v>2024</v>
      </c>
      <c r="AE238" t="str">
        <f t="shared" si="31"/>
        <v>CLEAN</v>
      </c>
    </row>
    <row r="239" spans="1:31">
      <c r="A239" t="s">
        <v>1758</v>
      </c>
      <c r="B239" s="2">
        <v>45577</v>
      </c>
      <c r="C239" s="2">
        <v>45582</v>
      </c>
      <c r="D239" s="5">
        <f>C239-B239</f>
        <v>5</v>
      </c>
      <c r="E239" s="5" t="str">
        <f>IF(D239&lt;0,"INVALID","OK")</f>
        <v>OK</v>
      </c>
      <c r="F239" t="s">
        <v>1759</v>
      </c>
      <c r="G239" t="s">
        <v>52</v>
      </c>
      <c r="H239" t="s">
        <v>23</v>
      </c>
      <c r="I239" t="s">
        <v>2762</v>
      </c>
      <c r="J239" t="s">
        <v>227</v>
      </c>
      <c r="K239" t="s">
        <v>228</v>
      </c>
      <c r="L239" t="s">
        <v>40</v>
      </c>
      <c r="M239" t="s">
        <v>56</v>
      </c>
      <c r="N239" t="s">
        <v>1760</v>
      </c>
      <c r="O239" t="s">
        <v>58</v>
      </c>
      <c r="P239">
        <v>4</v>
      </c>
      <c r="Q239">
        <v>1071.22</v>
      </c>
      <c r="R239">
        <v>0.05</v>
      </c>
      <c r="S239" t="str">
        <f t="shared" si="32"/>
        <v>OK</v>
      </c>
      <c r="T239">
        <v>4070.64</v>
      </c>
      <c r="U239">
        <v>2831.62</v>
      </c>
      <c r="V239">
        <v>1239.02</v>
      </c>
      <c r="W239" t="s">
        <v>31</v>
      </c>
      <c r="X239" t="s">
        <v>32</v>
      </c>
      <c r="Y239">
        <f t="shared" si="25"/>
        <v>0.05</v>
      </c>
      <c r="Z239">
        <f t="shared" si="26"/>
        <v>4070.636</v>
      </c>
      <c r="AA239">
        <f t="shared" si="27"/>
        <v>1239.0160000000001</v>
      </c>
      <c r="AB239">
        <f t="shared" si="28"/>
        <v>30.43789717380773</v>
      </c>
      <c r="AC239">
        <f t="shared" si="29"/>
        <v>10</v>
      </c>
      <c r="AD239">
        <f t="shared" si="30"/>
        <v>2024</v>
      </c>
      <c r="AE239" t="str">
        <f t="shared" si="31"/>
        <v>CLEAN</v>
      </c>
    </row>
    <row r="240" spans="1:31">
      <c r="A240" t="s">
        <v>1764</v>
      </c>
      <c r="B240" s="2">
        <v>45466</v>
      </c>
      <c r="C240" s="2">
        <v>45472</v>
      </c>
      <c r="D240" s="5">
        <f>C240-B240</f>
        <v>6</v>
      </c>
      <c r="E240" s="5" t="str">
        <f>IF(D240&lt;0,"INVALID","OK")</f>
        <v>OK</v>
      </c>
      <c r="F240" t="s">
        <v>1765</v>
      </c>
      <c r="G240" t="s">
        <v>78</v>
      </c>
      <c r="H240" t="s">
        <v>23</v>
      </c>
      <c r="I240" t="s">
        <v>24</v>
      </c>
      <c r="J240" t="s">
        <v>235</v>
      </c>
      <c r="K240" t="s">
        <v>236</v>
      </c>
      <c r="L240" t="s">
        <v>40</v>
      </c>
      <c r="M240" t="s">
        <v>41</v>
      </c>
      <c r="N240" t="s">
        <v>1766</v>
      </c>
      <c r="O240" t="s">
        <v>49</v>
      </c>
      <c r="P240">
        <v>1</v>
      </c>
      <c r="Q240">
        <v>4426.66</v>
      </c>
      <c r="R240">
        <v>0</v>
      </c>
      <c r="S240" t="str">
        <f t="shared" si="32"/>
        <v>OK</v>
      </c>
      <c r="T240">
        <v>4426.66</v>
      </c>
      <c r="U240">
        <v>3035.2</v>
      </c>
      <c r="V240">
        <v>1816.23</v>
      </c>
      <c r="W240" t="s">
        <v>31</v>
      </c>
      <c r="X240" t="s">
        <v>102</v>
      </c>
      <c r="Y240">
        <f t="shared" si="25"/>
        <v>0</v>
      </c>
      <c r="Z240">
        <f t="shared" si="26"/>
        <v>4426.66</v>
      </c>
      <c r="AA240">
        <f t="shared" si="27"/>
        <v>1391.46</v>
      </c>
      <c r="AB240">
        <f t="shared" si="28"/>
        <v>31.433631677156143</v>
      </c>
      <c r="AC240">
        <f t="shared" si="29"/>
        <v>6</v>
      </c>
      <c r="AD240">
        <f t="shared" si="30"/>
        <v>2024</v>
      </c>
      <c r="AE240" t="str">
        <f t="shared" si="31"/>
        <v>CLEAN</v>
      </c>
    </row>
    <row r="241" spans="1:31">
      <c r="A241" t="s">
        <v>1788</v>
      </c>
      <c r="B241" s="2">
        <v>45606</v>
      </c>
      <c r="C241" s="2">
        <v>45610</v>
      </c>
      <c r="D241" s="5">
        <f>C241-B241</f>
        <v>4</v>
      </c>
      <c r="E241" s="5" t="str">
        <f>IF(D241&lt;0,"INVALID","OK")</f>
        <v>OK</v>
      </c>
      <c r="F241" t="s">
        <v>1789</v>
      </c>
      <c r="G241" t="s">
        <v>131</v>
      </c>
      <c r="H241" t="s">
        <v>89</v>
      </c>
      <c r="I241" t="s">
        <v>53</v>
      </c>
      <c r="J241" t="s">
        <v>83</v>
      </c>
      <c r="K241" t="s">
        <v>84</v>
      </c>
      <c r="L241" t="s">
        <v>40</v>
      </c>
      <c r="M241" t="s">
        <v>41</v>
      </c>
      <c r="N241" t="s">
        <v>1790</v>
      </c>
      <c r="O241" t="s">
        <v>49</v>
      </c>
      <c r="P241">
        <v>2</v>
      </c>
      <c r="Q241">
        <v>921.34</v>
      </c>
      <c r="R241">
        <v>0.2</v>
      </c>
      <c r="S241" t="str">
        <f t="shared" si="32"/>
        <v>OK</v>
      </c>
      <c r="T241">
        <v>1474.14</v>
      </c>
      <c r="U241">
        <v>968.46</v>
      </c>
      <c r="V241">
        <v>505.68</v>
      </c>
      <c r="W241" t="s">
        <v>31</v>
      </c>
      <c r="X241" t="s">
        <v>32</v>
      </c>
      <c r="Y241">
        <f t="shared" si="25"/>
        <v>0.2</v>
      </c>
      <c r="Z241">
        <f t="shared" si="26"/>
        <v>1474.1440000000002</v>
      </c>
      <c r="AA241">
        <f t="shared" si="27"/>
        <v>505.6840000000002</v>
      </c>
      <c r="AB241">
        <f t="shared" si="28"/>
        <v>34.303568715132315</v>
      </c>
      <c r="AC241">
        <f t="shared" si="29"/>
        <v>11</v>
      </c>
      <c r="AD241">
        <f t="shared" si="30"/>
        <v>2024</v>
      </c>
      <c r="AE241" t="str">
        <f t="shared" si="31"/>
        <v>CLEAN</v>
      </c>
    </row>
    <row r="242" spans="1:31">
      <c r="A242" t="s">
        <v>1797</v>
      </c>
      <c r="B242" s="2">
        <v>45328</v>
      </c>
      <c r="C242" s="2">
        <v>45567</v>
      </c>
      <c r="D242" s="5">
        <f>C242-B242</f>
        <v>239</v>
      </c>
      <c r="E242" s="5" t="str">
        <f>IF(D242&lt;0,"INVALID","OK")</f>
        <v>OK</v>
      </c>
      <c r="F242" t="s">
        <v>1798</v>
      </c>
      <c r="G242" t="s">
        <v>52</v>
      </c>
      <c r="H242" t="s">
        <v>94</v>
      </c>
      <c r="I242" t="s">
        <v>24</v>
      </c>
      <c r="J242" t="s">
        <v>135</v>
      </c>
      <c r="K242" t="s">
        <v>136</v>
      </c>
      <c r="L242" t="s">
        <v>40</v>
      </c>
      <c r="M242" t="s">
        <v>56</v>
      </c>
      <c r="N242" t="s">
        <v>596</v>
      </c>
      <c r="O242" t="s">
        <v>43</v>
      </c>
      <c r="P242">
        <v>1</v>
      </c>
      <c r="Q242">
        <v>1374.06</v>
      </c>
      <c r="R242">
        <v>0.05</v>
      </c>
      <c r="S242" t="str">
        <f t="shared" si="32"/>
        <v>OK</v>
      </c>
      <c r="T242">
        <v>1305.3599999999999</v>
      </c>
      <c r="U242">
        <v>731.89</v>
      </c>
      <c r="V242">
        <v>573.47</v>
      </c>
      <c r="W242" t="s">
        <v>31</v>
      </c>
      <c r="X242" t="s">
        <v>32</v>
      </c>
      <c r="Y242">
        <f t="shared" si="25"/>
        <v>0.05</v>
      </c>
      <c r="Z242">
        <f t="shared" si="26"/>
        <v>1305.357</v>
      </c>
      <c r="AA242">
        <f t="shared" si="27"/>
        <v>573.46699999999998</v>
      </c>
      <c r="AB242">
        <f t="shared" si="28"/>
        <v>43.931813289391329</v>
      </c>
      <c r="AC242">
        <f t="shared" si="29"/>
        <v>2</v>
      </c>
      <c r="AD242">
        <f t="shared" si="30"/>
        <v>2024</v>
      </c>
      <c r="AE242" t="str">
        <f t="shared" si="31"/>
        <v>CLEAN</v>
      </c>
    </row>
    <row r="243" spans="1:31">
      <c r="A243" t="s">
        <v>1799</v>
      </c>
      <c r="B243" s="2">
        <v>45312</v>
      </c>
      <c r="C243" s="2">
        <v>45315</v>
      </c>
      <c r="D243" s="5">
        <f>C243-B243</f>
        <v>3</v>
      </c>
      <c r="E243" s="5" t="str">
        <f>IF(D243&lt;0,"INVALID","OK")</f>
        <v>OK</v>
      </c>
      <c r="F243" t="s">
        <v>1800</v>
      </c>
      <c r="G243" t="s">
        <v>263</v>
      </c>
      <c r="H243" t="s">
        <v>89</v>
      </c>
      <c r="I243" t="s">
        <v>24</v>
      </c>
      <c r="J243" t="s">
        <v>121</v>
      </c>
      <c r="K243" t="s">
        <v>122</v>
      </c>
      <c r="L243" t="s">
        <v>73</v>
      </c>
      <c r="M243" t="s">
        <v>273</v>
      </c>
      <c r="N243" t="s">
        <v>1801</v>
      </c>
      <c r="O243" t="s">
        <v>43</v>
      </c>
      <c r="P243">
        <v>1</v>
      </c>
      <c r="Q243">
        <v>3806.3</v>
      </c>
      <c r="R243">
        <v>0.25</v>
      </c>
      <c r="S243" t="str">
        <f t="shared" si="32"/>
        <v>OK</v>
      </c>
      <c r="T243">
        <v>2854.73</v>
      </c>
      <c r="U243">
        <v>1968.12</v>
      </c>
      <c r="V243">
        <v>886.61</v>
      </c>
      <c r="W243" t="s">
        <v>31</v>
      </c>
      <c r="X243" t="s">
        <v>32</v>
      </c>
      <c r="Y243">
        <f t="shared" si="25"/>
        <v>0.25</v>
      </c>
      <c r="Z243">
        <f t="shared" si="26"/>
        <v>2854.7250000000004</v>
      </c>
      <c r="AA243">
        <f t="shared" si="27"/>
        <v>886.60500000000047</v>
      </c>
      <c r="AB243">
        <f t="shared" si="28"/>
        <v>31.057457373302171</v>
      </c>
      <c r="AC243">
        <f t="shared" si="29"/>
        <v>1</v>
      </c>
      <c r="AD243">
        <f t="shared" si="30"/>
        <v>2024</v>
      </c>
      <c r="AE243" t="str">
        <f t="shared" si="31"/>
        <v>CLEAN</v>
      </c>
    </row>
    <row r="244" spans="1:31">
      <c r="A244" t="s">
        <v>1811</v>
      </c>
      <c r="B244" s="2">
        <v>45293</v>
      </c>
      <c r="C244" s="2">
        <v>45536</v>
      </c>
      <c r="D244" s="5">
        <f>C244-B244</f>
        <v>243</v>
      </c>
      <c r="E244" s="5" t="str">
        <f>IF(D244&lt;0,"INVALID","OK")</f>
        <v>OK</v>
      </c>
      <c r="F244" t="s">
        <v>1812</v>
      </c>
      <c r="G244" t="s">
        <v>161</v>
      </c>
      <c r="H244" t="s">
        <v>89</v>
      </c>
      <c r="I244" t="s">
        <v>24</v>
      </c>
      <c r="J244" t="s">
        <v>349</v>
      </c>
      <c r="K244" t="s">
        <v>350</v>
      </c>
      <c r="L244" t="s">
        <v>73</v>
      </c>
      <c r="M244" t="s">
        <v>170</v>
      </c>
      <c r="N244" t="s">
        <v>1813</v>
      </c>
      <c r="O244" t="s">
        <v>58</v>
      </c>
      <c r="P244">
        <v>3</v>
      </c>
      <c r="Q244">
        <v>739.56</v>
      </c>
      <c r="R244">
        <v>0.2</v>
      </c>
      <c r="S244" t="str">
        <f t="shared" si="32"/>
        <v>OK</v>
      </c>
      <c r="T244">
        <v>1774.94</v>
      </c>
      <c r="U244">
        <v>1007.4</v>
      </c>
      <c r="V244">
        <v>767.54</v>
      </c>
      <c r="W244" t="s">
        <v>31</v>
      </c>
      <c r="X244" t="s">
        <v>32</v>
      </c>
      <c r="Y244">
        <f t="shared" si="25"/>
        <v>0.2</v>
      </c>
      <c r="Z244">
        <f t="shared" si="26"/>
        <v>1774.944</v>
      </c>
      <c r="AA244">
        <f t="shared" si="27"/>
        <v>767.54399999999998</v>
      </c>
      <c r="AB244">
        <f t="shared" si="28"/>
        <v>43.24327978798204</v>
      </c>
      <c r="AC244">
        <f t="shared" si="29"/>
        <v>1</v>
      </c>
      <c r="AD244">
        <f t="shared" si="30"/>
        <v>2024</v>
      </c>
      <c r="AE244" t="str">
        <f t="shared" si="31"/>
        <v>CLEAN</v>
      </c>
    </row>
    <row r="245" spans="1:31">
      <c r="A245" t="s">
        <v>1817</v>
      </c>
      <c r="B245" s="2">
        <v>45342</v>
      </c>
      <c r="C245" s="2">
        <v>45347</v>
      </c>
      <c r="D245" s="5">
        <f>C245-B245</f>
        <v>5</v>
      </c>
      <c r="E245" s="5" t="str">
        <f>IF(D245&lt;0,"INVALID","OK")</f>
        <v>OK</v>
      </c>
      <c r="F245" t="s">
        <v>801</v>
      </c>
      <c r="G245" t="s">
        <v>161</v>
      </c>
      <c r="H245" t="s">
        <v>94</v>
      </c>
      <c r="I245" t="s">
        <v>24</v>
      </c>
      <c r="J245" t="s">
        <v>121</v>
      </c>
      <c r="K245" t="s">
        <v>122</v>
      </c>
      <c r="L245" t="s">
        <v>73</v>
      </c>
      <c r="M245" t="s">
        <v>273</v>
      </c>
      <c r="N245" t="s">
        <v>1818</v>
      </c>
      <c r="O245" t="s">
        <v>58</v>
      </c>
      <c r="P245">
        <v>4</v>
      </c>
      <c r="Q245">
        <v>1355.8</v>
      </c>
      <c r="R245">
        <v>0</v>
      </c>
      <c r="S245" t="str">
        <f t="shared" si="32"/>
        <v>OK</v>
      </c>
      <c r="T245">
        <v>5423.2</v>
      </c>
      <c r="U245">
        <v>4072.44</v>
      </c>
      <c r="V245">
        <v>1350.76</v>
      </c>
      <c r="W245" t="s">
        <v>31</v>
      </c>
      <c r="X245" t="s">
        <v>32</v>
      </c>
      <c r="Y245">
        <f t="shared" si="25"/>
        <v>0</v>
      </c>
      <c r="Z245">
        <f t="shared" si="26"/>
        <v>5423.2</v>
      </c>
      <c r="AA245">
        <f t="shared" si="27"/>
        <v>1350.7599999999998</v>
      </c>
      <c r="AB245">
        <f t="shared" si="28"/>
        <v>24.907065938929044</v>
      </c>
      <c r="AC245">
        <f t="shared" si="29"/>
        <v>2</v>
      </c>
      <c r="AD245">
        <f t="shared" si="30"/>
        <v>2024</v>
      </c>
      <c r="AE245" t="str">
        <f t="shared" si="31"/>
        <v>CLEAN</v>
      </c>
    </row>
    <row r="246" spans="1:31">
      <c r="A246" t="s">
        <v>1828</v>
      </c>
      <c r="B246" s="2">
        <v>45343</v>
      </c>
      <c r="C246" s="2">
        <v>45345</v>
      </c>
      <c r="D246" s="5">
        <f>C246-B246</f>
        <v>2</v>
      </c>
      <c r="E246" s="5" t="str">
        <f>IF(D246&lt;0,"INVALID","OK")</f>
        <v>OK</v>
      </c>
      <c r="F246" t="s">
        <v>294</v>
      </c>
      <c r="G246" t="s">
        <v>78</v>
      </c>
      <c r="H246" t="s">
        <v>36</v>
      </c>
      <c r="I246" t="s">
        <v>62</v>
      </c>
      <c r="J246" t="s">
        <v>179</v>
      </c>
      <c r="K246" t="s">
        <v>180</v>
      </c>
      <c r="L246" t="s">
        <v>73</v>
      </c>
      <c r="M246" t="s">
        <v>79</v>
      </c>
      <c r="N246" t="s">
        <v>1829</v>
      </c>
      <c r="O246" t="s">
        <v>49</v>
      </c>
      <c r="P246">
        <v>6</v>
      </c>
      <c r="Q246">
        <v>2633.65</v>
      </c>
      <c r="R246">
        <v>0.05</v>
      </c>
      <c r="S246" t="str">
        <f t="shared" ref="S246:S295" si="33">IF(R246&lt;0,"INVALID",IF(R246&gt;0.5,"INVALID","OK"))</f>
        <v>OK</v>
      </c>
      <c r="T246">
        <v>15011.81</v>
      </c>
      <c r="U246">
        <v>9660.36</v>
      </c>
      <c r="V246">
        <v>5351.45</v>
      </c>
      <c r="W246" t="s">
        <v>31</v>
      </c>
      <c r="X246" t="s">
        <v>32</v>
      </c>
      <c r="Y246">
        <f t="shared" si="25"/>
        <v>0.05</v>
      </c>
      <c r="Z246">
        <f t="shared" si="26"/>
        <v>15011.805</v>
      </c>
      <c r="AA246">
        <f t="shared" si="27"/>
        <v>5351.4449999999997</v>
      </c>
      <c r="AB246">
        <f t="shared" si="28"/>
        <v>35.648244831317747</v>
      </c>
      <c r="AC246">
        <f t="shared" si="29"/>
        <v>2</v>
      </c>
      <c r="AD246">
        <f t="shared" si="30"/>
        <v>2024</v>
      </c>
      <c r="AE246" t="str">
        <f t="shared" si="31"/>
        <v>CLEAN</v>
      </c>
    </row>
    <row r="247" spans="1:31">
      <c r="A247" t="s">
        <v>1830</v>
      </c>
      <c r="B247" s="2">
        <v>45462</v>
      </c>
      <c r="C247" s="2">
        <v>45467</v>
      </c>
      <c r="D247" s="5">
        <f>C247-B247</f>
        <v>5</v>
      </c>
      <c r="E247" s="5" t="str">
        <f>IF(D247&lt;0,"INVALID","OK")</f>
        <v>OK</v>
      </c>
      <c r="F247" t="s">
        <v>1831</v>
      </c>
      <c r="G247" t="s">
        <v>127</v>
      </c>
      <c r="H247" t="s">
        <v>36</v>
      </c>
      <c r="I247" t="s">
        <v>53</v>
      </c>
      <c r="J247" t="s">
        <v>246</v>
      </c>
      <c r="K247" t="s">
        <v>247</v>
      </c>
      <c r="L247" t="s">
        <v>27</v>
      </c>
      <c r="M247" t="s">
        <v>123</v>
      </c>
      <c r="N247" t="s">
        <v>1832</v>
      </c>
      <c r="O247" t="s">
        <v>43</v>
      </c>
      <c r="P247">
        <v>1</v>
      </c>
      <c r="Q247">
        <v>3202.41</v>
      </c>
      <c r="R247">
        <v>0</v>
      </c>
      <c r="S247" t="str">
        <f t="shared" si="33"/>
        <v>OK</v>
      </c>
      <c r="T247">
        <v>3202.41</v>
      </c>
      <c r="U247">
        <v>2608.44</v>
      </c>
      <c r="V247">
        <v>593.97</v>
      </c>
      <c r="W247" t="s">
        <v>31</v>
      </c>
      <c r="X247" t="s">
        <v>32</v>
      </c>
      <c r="Y247">
        <f t="shared" si="25"/>
        <v>0</v>
      </c>
      <c r="Z247">
        <f t="shared" si="26"/>
        <v>3202.41</v>
      </c>
      <c r="AA247">
        <f t="shared" si="27"/>
        <v>593.9699999999998</v>
      </c>
      <c r="AB247">
        <f t="shared" si="28"/>
        <v>18.547593843386696</v>
      </c>
      <c r="AC247">
        <f t="shared" si="29"/>
        <v>6</v>
      </c>
      <c r="AD247">
        <f t="shared" si="30"/>
        <v>2024</v>
      </c>
      <c r="AE247" t="str">
        <f t="shared" si="31"/>
        <v>CLEAN</v>
      </c>
    </row>
    <row r="248" spans="1:31">
      <c r="A248" t="s">
        <v>1839</v>
      </c>
      <c r="B248" s="2">
        <v>45580</v>
      </c>
      <c r="C248" s="2">
        <v>45585</v>
      </c>
      <c r="D248" s="5">
        <f>C248-B248</f>
        <v>5</v>
      </c>
      <c r="E248" s="5" t="str">
        <f>IF(D248&lt;0,"INVALID","OK")</f>
        <v>OK</v>
      </c>
      <c r="F248" t="s">
        <v>1840</v>
      </c>
      <c r="G248" t="s">
        <v>61</v>
      </c>
      <c r="H248" t="s">
        <v>23</v>
      </c>
      <c r="I248" t="s">
        <v>37</v>
      </c>
      <c r="J248" t="s">
        <v>38</v>
      </c>
      <c r="K248" t="s">
        <v>39</v>
      </c>
      <c r="L248" t="s">
        <v>27</v>
      </c>
      <c r="M248" t="s">
        <v>47</v>
      </c>
      <c r="N248" t="s">
        <v>1841</v>
      </c>
      <c r="O248" t="s">
        <v>49</v>
      </c>
      <c r="P248">
        <v>5</v>
      </c>
      <c r="Q248">
        <v>671.24</v>
      </c>
      <c r="R248">
        <v>0</v>
      </c>
      <c r="S248" t="str">
        <f t="shared" si="33"/>
        <v>OK</v>
      </c>
      <c r="T248">
        <v>3356.2</v>
      </c>
      <c r="U248">
        <v>2205.7199999999998</v>
      </c>
      <c r="V248">
        <v>1150.48</v>
      </c>
      <c r="W248" t="s">
        <v>110</v>
      </c>
      <c r="X248" t="s">
        <v>102</v>
      </c>
      <c r="Y248">
        <f t="shared" si="25"/>
        <v>0</v>
      </c>
      <c r="Z248">
        <f t="shared" si="26"/>
        <v>3356.2</v>
      </c>
      <c r="AA248">
        <f t="shared" si="27"/>
        <v>1150.48</v>
      </c>
      <c r="AB248">
        <f t="shared" si="28"/>
        <v>34.279244383528997</v>
      </c>
      <c r="AC248">
        <f t="shared" si="29"/>
        <v>10</v>
      </c>
      <c r="AD248">
        <f t="shared" si="30"/>
        <v>2024</v>
      </c>
      <c r="AE248" t="str">
        <f t="shared" si="31"/>
        <v>CLEAN</v>
      </c>
    </row>
    <row r="249" spans="1:31">
      <c r="A249" t="s">
        <v>1845</v>
      </c>
      <c r="B249" s="2">
        <v>45508</v>
      </c>
      <c r="C249" s="2">
        <v>45573</v>
      </c>
      <c r="D249" s="5">
        <f>C249-B249</f>
        <v>65</v>
      </c>
      <c r="E249" s="5" t="str">
        <f>IF(D249&lt;0,"INVALID","OK")</f>
        <v>OK</v>
      </c>
      <c r="F249" t="s">
        <v>1846</v>
      </c>
      <c r="G249" t="s">
        <v>70</v>
      </c>
      <c r="H249" t="s">
        <v>23</v>
      </c>
      <c r="I249" t="s">
        <v>37</v>
      </c>
      <c r="J249" t="s">
        <v>144</v>
      </c>
      <c r="K249" t="s">
        <v>145</v>
      </c>
      <c r="L249" t="s">
        <v>27</v>
      </c>
      <c r="M249" t="s">
        <v>47</v>
      </c>
      <c r="N249" t="s">
        <v>1847</v>
      </c>
      <c r="O249" t="s">
        <v>43</v>
      </c>
      <c r="P249">
        <v>1</v>
      </c>
      <c r="Q249">
        <v>984.93</v>
      </c>
      <c r="R249">
        <v>0.15</v>
      </c>
      <c r="S249" t="str">
        <f t="shared" si="33"/>
        <v>OK</v>
      </c>
      <c r="T249">
        <v>837.19</v>
      </c>
      <c r="U249">
        <v>583.79</v>
      </c>
      <c r="V249">
        <v>253.4</v>
      </c>
      <c r="W249" t="s">
        <v>110</v>
      </c>
      <c r="X249" t="s">
        <v>102</v>
      </c>
      <c r="Y249">
        <f t="shared" si="25"/>
        <v>0.15</v>
      </c>
      <c r="Z249">
        <f t="shared" si="26"/>
        <v>837.19049999999993</v>
      </c>
      <c r="AA249">
        <f t="shared" si="27"/>
        <v>253.40049999999997</v>
      </c>
      <c r="AB249">
        <f t="shared" si="28"/>
        <v>30.2679617124179</v>
      </c>
      <c r="AC249">
        <f t="shared" si="29"/>
        <v>8</v>
      </c>
      <c r="AD249">
        <f t="shared" si="30"/>
        <v>2024</v>
      </c>
      <c r="AE249" t="str">
        <f t="shared" si="31"/>
        <v>CLEAN</v>
      </c>
    </row>
    <row r="250" spans="1:31">
      <c r="A250" t="s">
        <v>1860</v>
      </c>
      <c r="B250" s="2">
        <v>45632</v>
      </c>
      <c r="C250" s="2">
        <v>45638</v>
      </c>
      <c r="D250" s="5">
        <f>C250-B250</f>
        <v>6</v>
      </c>
      <c r="E250" s="5" t="str">
        <f>IF(D250&lt;0,"INVALID","OK")</f>
        <v>OK</v>
      </c>
      <c r="F250" t="s">
        <v>1861</v>
      </c>
      <c r="G250" t="s">
        <v>140</v>
      </c>
      <c r="H250" t="s">
        <v>89</v>
      </c>
      <c r="I250" t="s">
        <v>24</v>
      </c>
      <c r="J250" t="s">
        <v>135</v>
      </c>
      <c r="K250" t="s">
        <v>136</v>
      </c>
      <c r="L250" t="s">
        <v>73</v>
      </c>
      <c r="M250" t="s">
        <v>170</v>
      </c>
      <c r="N250" t="s">
        <v>1862</v>
      </c>
      <c r="O250" t="s">
        <v>49</v>
      </c>
      <c r="P250">
        <v>3</v>
      </c>
      <c r="Q250">
        <v>524.75</v>
      </c>
      <c r="R250">
        <v>0</v>
      </c>
      <c r="S250" t="str">
        <f t="shared" si="33"/>
        <v>OK</v>
      </c>
      <c r="T250">
        <v>1574.25</v>
      </c>
      <c r="U250">
        <v>1326.12</v>
      </c>
      <c r="V250">
        <v>248.13</v>
      </c>
      <c r="W250" t="s">
        <v>31</v>
      </c>
      <c r="X250" t="s">
        <v>32</v>
      </c>
      <c r="Y250">
        <f t="shared" si="25"/>
        <v>0</v>
      </c>
      <c r="Z250">
        <f t="shared" si="26"/>
        <v>1574.25</v>
      </c>
      <c r="AA250">
        <f t="shared" si="27"/>
        <v>248.13000000000011</v>
      </c>
      <c r="AB250">
        <f t="shared" si="28"/>
        <v>15.761791329204389</v>
      </c>
      <c r="AC250">
        <f t="shared" si="29"/>
        <v>12</v>
      </c>
      <c r="AD250">
        <f t="shared" si="30"/>
        <v>2024</v>
      </c>
      <c r="AE250" t="str">
        <f t="shared" si="31"/>
        <v>CLEAN</v>
      </c>
    </row>
    <row r="251" spans="1:31">
      <c r="A251" t="s">
        <v>1869</v>
      </c>
      <c r="B251" s="2">
        <v>45385</v>
      </c>
      <c r="C251" s="2">
        <v>45360</v>
      </c>
      <c r="D251" s="5">
        <f>C251-B251</f>
        <v>-25</v>
      </c>
      <c r="E251" s="5" t="str">
        <f>IF(D251&lt;0,"INVALID","OK")</f>
        <v>INVALID</v>
      </c>
      <c r="F251" t="s">
        <v>1870</v>
      </c>
      <c r="G251" t="s">
        <v>35</v>
      </c>
      <c r="H251" t="s">
        <v>23</v>
      </c>
      <c r="I251" t="s">
        <v>37</v>
      </c>
      <c r="J251" t="s">
        <v>98</v>
      </c>
      <c r="K251" t="s">
        <v>99</v>
      </c>
      <c r="L251" t="s">
        <v>73</v>
      </c>
      <c r="M251" t="s">
        <v>74</v>
      </c>
      <c r="N251" t="s">
        <v>1871</v>
      </c>
      <c r="O251" t="s">
        <v>43</v>
      </c>
      <c r="P251">
        <v>8</v>
      </c>
      <c r="Q251">
        <v>4401.41</v>
      </c>
      <c r="R251">
        <v>0.15</v>
      </c>
      <c r="S251" t="str">
        <f t="shared" si="33"/>
        <v>OK</v>
      </c>
      <c r="T251">
        <v>29929.59</v>
      </c>
      <c r="U251">
        <v>22436.03</v>
      </c>
      <c r="V251">
        <v>7493.56</v>
      </c>
      <c r="W251" t="s">
        <v>31</v>
      </c>
      <c r="X251" t="s">
        <v>32</v>
      </c>
      <c r="Y251">
        <f t="shared" si="25"/>
        <v>0.15</v>
      </c>
      <c r="Z251">
        <f t="shared" si="26"/>
        <v>29929.588</v>
      </c>
      <c r="AA251">
        <f t="shared" si="27"/>
        <v>7493.5580000000009</v>
      </c>
      <c r="AB251">
        <f t="shared" si="28"/>
        <v>25.037290857461858</v>
      </c>
      <c r="AC251">
        <f t="shared" si="29"/>
        <v>4</v>
      </c>
      <c r="AD251">
        <f t="shared" si="30"/>
        <v>2024</v>
      </c>
      <c r="AE251" t="str">
        <f t="shared" si="31"/>
        <v>INVALID</v>
      </c>
    </row>
    <row r="252" spans="1:31">
      <c r="A252" t="s">
        <v>1874</v>
      </c>
      <c r="B252" s="2">
        <v>45554</v>
      </c>
      <c r="C252" s="2">
        <v>45556</v>
      </c>
      <c r="D252" s="5">
        <f>C252-B252</f>
        <v>2</v>
      </c>
      <c r="E252" s="5" t="str">
        <f>IF(D252&lt;0,"INVALID","OK")</f>
        <v>OK</v>
      </c>
      <c r="F252" t="s">
        <v>1875</v>
      </c>
      <c r="G252" t="s">
        <v>22</v>
      </c>
      <c r="H252" t="s">
        <v>36</v>
      </c>
      <c r="I252" t="s">
        <v>37</v>
      </c>
      <c r="J252" t="s">
        <v>98</v>
      </c>
      <c r="K252" t="s">
        <v>99</v>
      </c>
      <c r="L252" t="s">
        <v>40</v>
      </c>
      <c r="M252" t="s">
        <v>65</v>
      </c>
      <c r="N252" t="s">
        <v>1876</v>
      </c>
      <c r="O252" t="s">
        <v>49</v>
      </c>
      <c r="P252">
        <v>3</v>
      </c>
      <c r="Q252">
        <v>3981.76</v>
      </c>
      <c r="R252">
        <v>0</v>
      </c>
      <c r="S252" t="str">
        <f t="shared" si="33"/>
        <v>OK</v>
      </c>
      <c r="T252">
        <v>11945.28</v>
      </c>
      <c r="U252">
        <v>9700.31</v>
      </c>
      <c r="V252">
        <v>2244.9699999999998</v>
      </c>
      <c r="W252" t="s">
        <v>31</v>
      </c>
      <c r="X252" t="s">
        <v>32</v>
      </c>
      <c r="Y252">
        <f t="shared" si="25"/>
        <v>0</v>
      </c>
      <c r="Z252">
        <f t="shared" si="26"/>
        <v>11945.28</v>
      </c>
      <c r="AA252">
        <f t="shared" si="27"/>
        <v>2244.9700000000012</v>
      </c>
      <c r="AB252">
        <f t="shared" si="28"/>
        <v>18.793782983739192</v>
      </c>
      <c r="AC252">
        <f t="shared" si="29"/>
        <v>9</v>
      </c>
      <c r="AD252">
        <f t="shared" si="30"/>
        <v>2024</v>
      </c>
      <c r="AE252" t="str">
        <f t="shared" si="31"/>
        <v>CLEAN</v>
      </c>
    </row>
    <row r="253" spans="1:31">
      <c r="A253" t="s">
        <v>1880</v>
      </c>
      <c r="B253" s="2">
        <v>45392</v>
      </c>
      <c r="C253" s="2">
        <v>45398</v>
      </c>
      <c r="D253" s="5">
        <f>C253-B253</f>
        <v>6</v>
      </c>
      <c r="E253" s="5" t="str">
        <f>IF(D253&lt;0,"INVALID","OK")</f>
        <v>OK</v>
      </c>
      <c r="F253" t="s">
        <v>1881</v>
      </c>
      <c r="G253" t="s">
        <v>88</v>
      </c>
      <c r="H253" t="s">
        <v>23</v>
      </c>
      <c r="I253" t="s">
        <v>53</v>
      </c>
      <c r="J253" t="s">
        <v>184</v>
      </c>
      <c r="K253" t="s">
        <v>185</v>
      </c>
      <c r="L253" t="s">
        <v>40</v>
      </c>
      <c r="M253" t="s">
        <v>65</v>
      </c>
      <c r="N253" t="s">
        <v>1882</v>
      </c>
      <c r="O253" t="s">
        <v>30</v>
      </c>
      <c r="P253">
        <v>9</v>
      </c>
      <c r="Q253">
        <v>2723.26</v>
      </c>
      <c r="R253">
        <v>0.25</v>
      </c>
      <c r="S253" t="str">
        <f t="shared" si="33"/>
        <v>OK</v>
      </c>
      <c r="T253">
        <v>18382.009999999998</v>
      </c>
      <c r="U253">
        <v>13108.2</v>
      </c>
      <c r="V253">
        <v>5273.81</v>
      </c>
      <c r="W253" t="s">
        <v>31</v>
      </c>
      <c r="X253" t="s">
        <v>32</v>
      </c>
      <c r="Y253">
        <f t="shared" si="25"/>
        <v>0.25</v>
      </c>
      <c r="Z253">
        <f t="shared" si="26"/>
        <v>18382.005000000005</v>
      </c>
      <c r="AA253">
        <f t="shared" si="27"/>
        <v>5273.8050000000039</v>
      </c>
      <c r="AB253">
        <f t="shared" si="28"/>
        <v>28.690042245119628</v>
      </c>
      <c r="AC253">
        <f t="shared" si="29"/>
        <v>4</v>
      </c>
      <c r="AD253">
        <f t="shared" si="30"/>
        <v>2024</v>
      </c>
      <c r="AE253" t="str">
        <f t="shared" si="31"/>
        <v>CLEAN</v>
      </c>
    </row>
    <row r="254" spans="1:31">
      <c r="A254" t="s">
        <v>1886</v>
      </c>
      <c r="B254" s="2">
        <v>45521</v>
      </c>
      <c r="C254" s="2">
        <v>45528</v>
      </c>
      <c r="D254" s="5">
        <f>C254-B254</f>
        <v>7</v>
      </c>
      <c r="E254" s="5" t="str">
        <f>IF(D254&lt;0,"INVALID","OK")</f>
        <v>OK</v>
      </c>
      <c r="F254" t="s">
        <v>1887</v>
      </c>
      <c r="G254" t="s">
        <v>61</v>
      </c>
      <c r="H254" t="s">
        <v>89</v>
      </c>
      <c r="I254" t="s">
        <v>37</v>
      </c>
      <c r="J254" t="s">
        <v>98</v>
      </c>
      <c r="K254" t="s">
        <v>99</v>
      </c>
      <c r="L254" t="s">
        <v>73</v>
      </c>
      <c r="M254" t="s">
        <v>79</v>
      </c>
      <c r="N254" t="s">
        <v>1888</v>
      </c>
      <c r="O254" t="s">
        <v>43</v>
      </c>
      <c r="P254">
        <v>3</v>
      </c>
      <c r="Q254">
        <v>1490.69</v>
      </c>
      <c r="R254">
        <v>0.25</v>
      </c>
      <c r="S254" t="str">
        <f t="shared" si="33"/>
        <v>OK</v>
      </c>
      <c r="T254">
        <v>3354.05</v>
      </c>
      <c r="U254">
        <v>2672.67</v>
      </c>
      <c r="V254">
        <v>681.38</v>
      </c>
      <c r="W254" t="s">
        <v>31</v>
      </c>
      <c r="X254" t="s">
        <v>32</v>
      </c>
      <c r="Y254">
        <f t="shared" si="25"/>
        <v>0.25</v>
      </c>
      <c r="Z254">
        <f t="shared" si="26"/>
        <v>3354.0524999999998</v>
      </c>
      <c r="AA254">
        <f t="shared" si="27"/>
        <v>681.38249999999971</v>
      </c>
      <c r="AB254">
        <f t="shared" si="28"/>
        <v>20.315200790685289</v>
      </c>
      <c r="AC254">
        <f t="shared" si="29"/>
        <v>8</v>
      </c>
      <c r="AD254">
        <f t="shared" si="30"/>
        <v>2024</v>
      </c>
      <c r="AE254" t="str">
        <f t="shared" si="31"/>
        <v>CLEAN</v>
      </c>
    </row>
    <row r="255" spans="1:31">
      <c r="A255" t="s">
        <v>1889</v>
      </c>
      <c r="B255" s="2">
        <v>45523</v>
      </c>
      <c r="C255" s="2">
        <v>45525</v>
      </c>
      <c r="D255" s="5">
        <f>C255-B255</f>
        <v>2</v>
      </c>
      <c r="E255" s="5" t="str">
        <f>IF(D255&lt;0,"INVALID","OK")</f>
        <v>OK</v>
      </c>
      <c r="F255" t="s">
        <v>1890</v>
      </c>
      <c r="G255" t="s">
        <v>52</v>
      </c>
      <c r="H255" t="s">
        <v>23</v>
      </c>
      <c r="I255" t="s">
        <v>24</v>
      </c>
      <c r="J255" t="s">
        <v>121</v>
      </c>
      <c r="K255" t="s">
        <v>122</v>
      </c>
      <c r="L255" t="s">
        <v>73</v>
      </c>
      <c r="M255" t="s">
        <v>170</v>
      </c>
      <c r="N255" t="s">
        <v>1891</v>
      </c>
      <c r="O255" t="s">
        <v>49</v>
      </c>
      <c r="P255">
        <v>3</v>
      </c>
      <c r="Q255">
        <v>1103.54</v>
      </c>
      <c r="R255">
        <v>0.25</v>
      </c>
      <c r="S255" t="str">
        <f t="shared" si="33"/>
        <v>OK</v>
      </c>
      <c r="T255">
        <v>2482.9699999999998</v>
      </c>
      <c r="U255">
        <v>1621.72</v>
      </c>
      <c r="V255">
        <v>861.25</v>
      </c>
      <c r="W255" t="s">
        <v>31</v>
      </c>
      <c r="X255" t="s">
        <v>32</v>
      </c>
      <c r="Y255">
        <f t="shared" si="25"/>
        <v>0.25</v>
      </c>
      <c r="Z255">
        <f t="shared" si="26"/>
        <v>2482.9650000000001</v>
      </c>
      <c r="AA255">
        <f t="shared" si="27"/>
        <v>861.24500000000012</v>
      </c>
      <c r="AB255">
        <f t="shared" si="28"/>
        <v>34.686151435884113</v>
      </c>
      <c r="AC255">
        <f t="shared" si="29"/>
        <v>8</v>
      </c>
      <c r="AD255">
        <f t="shared" si="30"/>
        <v>2024</v>
      </c>
      <c r="AE255" t="str">
        <f t="shared" si="31"/>
        <v>CLEAN</v>
      </c>
    </row>
    <row r="256" spans="1:31">
      <c r="A256" t="s">
        <v>1895</v>
      </c>
      <c r="B256" s="2">
        <v>45317</v>
      </c>
      <c r="C256" s="2">
        <v>45322</v>
      </c>
      <c r="D256" s="5">
        <f>C256-B256</f>
        <v>5</v>
      </c>
      <c r="E256" s="5" t="str">
        <f>IF(D256&lt;0,"INVALID","OK")</f>
        <v>OK</v>
      </c>
      <c r="F256" t="s">
        <v>1896</v>
      </c>
      <c r="G256" t="s">
        <v>61</v>
      </c>
      <c r="H256" t="s">
        <v>94</v>
      </c>
      <c r="I256" t="s">
        <v>37</v>
      </c>
      <c r="J256" t="s">
        <v>98</v>
      </c>
      <c r="K256" t="s">
        <v>99</v>
      </c>
      <c r="L256" t="s">
        <v>27</v>
      </c>
      <c r="M256" t="s">
        <v>28</v>
      </c>
      <c r="N256" t="s">
        <v>1897</v>
      </c>
      <c r="O256" t="s">
        <v>30</v>
      </c>
      <c r="P256">
        <v>5</v>
      </c>
      <c r="Q256">
        <v>1615.03</v>
      </c>
      <c r="R256">
        <v>0.2</v>
      </c>
      <c r="S256" t="str">
        <f t="shared" si="33"/>
        <v>OK</v>
      </c>
      <c r="T256">
        <v>6460.12</v>
      </c>
      <c r="U256">
        <v>3604.03</v>
      </c>
      <c r="V256">
        <v>2856.09</v>
      </c>
      <c r="W256" t="s">
        <v>31</v>
      </c>
      <c r="X256" t="s">
        <v>32</v>
      </c>
      <c r="Y256">
        <f t="shared" si="25"/>
        <v>0.2</v>
      </c>
      <c r="Z256">
        <f t="shared" si="26"/>
        <v>6460.12</v>
      </c>
      <c r="AA256">
        <f t="shared" si="27"/>
        <v>2856.0899999999997</v>
      </c>
      <c r="AB256">
        <f t="shared" si="28"/>
        <v>44.211098245853016</v>
      </c>
      <c r="AC256">
        <f t="shared" si="29"/>
        <v>1</v>
      </c>
      <c r="AD256">
        <f t="shared" si="30"/>
        <v>2024</v>
      </c>
      <c r="AE256" t="str">
        <f t="shared" si="31"/>
        <v>CLEAN</v>
      </c>
    </row>
    <row r="257" spans="1:31">
      <c r="A257" t="s">
        <v>1898</v>
      </c>
      <c r="B257" s="2">
        <v>45588</v>
      </c>
      <c r="C257" s="2">
        <v>45595</v>
      </c>
      <c r="D257" s="5">
        <f>C257-B257</f>
        <v>7</v>
      </c>
      <c r="E257" s="5" t="str">
        <f>IF(D257&lt;0,"INVALID","OK")</f>
        <v>OK</v>
      </c>
      <c r="F257" t="s">
        <v>1899</v>
      </c>
      <c r="G257" t="s">
        <v>127</v>
      </c>
      <c r="H257" t="s">
        <v>23</v>
      </c>
      <c r="I257" t="s">
        <v>37</v>
      </c>
      <c r="J257" t="s">
        <v>227</v>
      </c>
      <c r="K257" t="s">
        <v>228</v>
      </c>
      <c r="L257" t="s">
        <v>73</v>
      </c>
      <c r="M257" t="s">
        <v>79</v>
      </c>
      <c r="N257" t="s">
        <v>1900</v>
      </c>
      <c r="O257" t="s">
        <v>30</v>
      </c>
      <c r="P257">
        <v>9</v>
      </c>
      <c r="Q257">
        <v>3423.82</v>
      </c>
      <c r="R257">
        <v>0.15</v>
      </c>
      <c r="S257" t="str">
        <f t="shared" si="33"/>
        <v>OK</v>
      </c>
      <c r="T257">
        <v>26192.22</v>
      </c>
      <c r="U257">
        <v>20795.55</v>
      </c>
      <c r="V257">
        <v>5396.67</v>
      </c>
      <c r="W257" t="s">
        <v>31</v>
      </c>
      <c r="X257" t="s">
        <v>32</v>
      </c>
      <c r="Y257">
        <f t="shared" si="25"/>
        <v>0.15</v>
      </c>
      <c r="Z257">
        <f t="shared" si="26"/>
        <v>26192.223000000002</v>
      </c>
      <c r="AA257">
        <f t="shared" si="27"/>
        <v>5396.6730000000025</v>
      </c>
      <c r="AB257">
        <f t="shared" si="28"/>
        <v>20.60410450842604</v>
      </c>
      <c r="AC257">
        <f t="shared" si="29"/>
        <v>10</v>
      </c>
      <c r="AD257">
        <f t="shared" si="30"/>
        <v>2024</v>
      </c>
      <c r="AE257" t="str">
        <f t="shared" si="31"/>
        <v>CLEAN</v>
      </c>
    </row>
    <row r="258" spans="1:31">
      <c r="A258" t="s">
        <v>1915</v>
      </c>
      <c r="B258" s="2">
        <v>45464</v>
      </c>
      <c r="C258" s="2">
        <v>45466</v>
      </c>
      <c r="D258" s="5">
        <f>C258-B258</f>
        <v>2</v>
      </c>
      <c r="E258" s="5" t="str">
        <f>IF(D258&lt;0,"INVALID","OK")</f>
        <v>OK</v>
      </c>
      <c r="F258" t="s">
        <v>1693</v>
      </c>
      <c r="G258" t="s">
        <v>22</v>
      </c>
      <c r="H258" t="s">
        <v>94</v>
      </c>
      <c r="I258" t="s">
        <v>62</v>
      </c>
      <c r="J258" t="s">
        <v>189</v>
      </c>
      <c r="K258" t="s">
        <v>190</v>
      </c>
      <c r="L258" t="s">
        <v>40</v>
      </c>
      <c r="M258" t="s">
        <v>56</v>
      </c>
      <c r="N258" t="s">
        <v>1916</v>
      </c>
      <c r="O258" t="s">
        <v>30</v>
      </c>
      <c r="P258">
        <v>9</v>
      </c>
      <c r="Q258">
        <v>2153.75</v>
      </c>
      <c r="R258">
        <v>0</v>
      </c>
      <c r="S258" t="str">
        <f t="shared" si="33"/>
        <v>OK</v>
      </c>
      <c r="T258">
        <v>19383.75</v>
      </c>
      <c r="U258">
        <v>11667.43</v>
      </c>
      <c r="V258">
        <v>7716.32</v>
      </c>
      <c r="W258" t="s">
        <v>31</v>
      </c>
      <c r="X258" t="s">
        <v>32</v>
      </c>
      <c r="Y258">
        <f t="shared" si="25"/>
        <v>0</v>
      </c>
      <c r="Z258">
        <f t="shared" si="26"/>
        <v>19383.75</v>
      </c>
      <c r="AA258">
        <f t="shared" si="27"/>
        <v>7716.32</v>
      </c>
      <c r="AB258">
        <f t="shared" si="28"/>
        <v>39.808189849745276</v>
      </c>
      <c r="AC258">
        <f t="shared" si="29"/>
        <v>6</v>
      </c>
      <c r="AD258">
        <f t="shared" si="30"/>
        <v>2024</v>
      </c>
      <c r="AE258" t="str">
        <f t="shared" si="31"/>
        <v>CLEAN</v>
      </c>
    </row>
    <row r="259" spans="1:31">
      <c r="A259" t="s">
        <v>1920</v>
      </c>
      <c r="B259" s="2">
        <v>45432</v>
      </c>
      <c r="C259" s="2">
        <v>45432</v>
      </c>
      <c r="D259" s="5">
        <f>C259-B259</f>
        <v>0</v>
      </c>
      <c r="E259" s="5" t="str">
        <f>IF(D259&lt;0,"INVALID","OK")</f>
        <v>OK</v>
      </c>
      <c r="F259" t="s">
        <v>1365</v>
      </c>
      <c r="G259" t="s">
        <v>22</v>
      </c>
      <c r="H259" t="s">
        <v>94</v>
      </c>
      <c r="I259" t="s">
        <v>62</v>
      </c>
      <c r="J259" t="s">
        <v>71</v>
      </c>
      <c r="K259" t="s">
        <v>72</v>
      </c>
      <c r="L259" t="s">
        <v>40</v>
      </c>
      <c r="M259" t="s">
        <v>65</v>
      </c>
      <c r="N259" t="s">
        <v>1921</v>
      </c>
      <c r="O259" t="s">
        <v>58</v>
      </c>
      <c r="P259">
        <v>1</v>
      </c>
      <c r="Q259">
        <v>3032.95</v>
      </c>
      <c r="R259">
        <v>0.1</v>
      </c>
      <c r="S259" t="str">
        <f t="shared" si="33"/>
        <v>OK</v>
      </c>
      <c r="T259">
        <v>2729.65</v>
      </c>
      <c r="U259">
        <v>1715.36</v>
      </c>
      <c r="V259">
        <v>1014.29</v>
      </c>
      <c r="W259" t="s">
        <v>31</v>
      </c>
      <c r="X259" t="s">
        <v>32</v>
      </c>
      <c r="Y259">
        <f t="shared" ref="Y259:Y322" si="34">IF(R259&lt;0,0,IF(R259&gt;0.5,0,R259))</f>
        <v>0.1</v>
      </c>
      <c r="Z259">
        <f t="shared" ref="Z259:Z322" si="35">P259*Q259*(1-Y259)</f>
        <v>2729.6549999999997</v>
      </c>
      <c r="AA259">
        <f t="shared" ref="AA259:AA322" si="36">Z259-U259</f>
        <v>1014.2949999999998</v>
      </c>
      <c r="AB259">
        <f t="shared" ref="AB259:AB322" si="37">AA259/Z259*100</f>
        <v>37.158358840219734</v>
      </c>
      <c r="AC259">
        <f t="shared" ref="AC259:AC322" si="38">MONTH(B259)</f>
        <v>5</v>
      </c>
      <c r="AD259">
        <f t="shared" ref="AD259:AD322" si="39">YEAR(B259)</f>
        <v>2024</v>
      </c>
      <c r="AE259" t="str">
        <f t="shared" ref="AE259:AE322" si="40">IF(OR(R259&lt;0,NOT(ISNUMBER(R259)),D259&lt;0,W259="Failed"),"INVALID",IF(OR(I259="",O259="",R259="",R259&gt;0.5,AA259&lt;0),"WARNING","CLEAN"))</f>
        <v>CLEAN</v>
      </c>
    </row>
    <row r="260" spans="1:31">
      <c r="A260" t="s">
        <v>1928</v>
      </c>
      <c r="B260" s="2">
        <v>45570</v>
      </c>
      <c r="C260" s="2">
        <v>45575</v>
      </c>
      <c r="D260" s="5">
        <f>C260-B260</f>
        <v>5</v>
      </c>
      <c r="E260" s="5" t="str">
        <f>IF(D260&lt;0,"INVALID","OK")</f>
        <v>OK</v>
      </c>
      <c r="F260" t="s">
        <v>1929</v>
      </c>
      <c r="G260" t="s">
        <v>161</v>
      </c>
      <c r="H260" t="s">
        <v>94</v>
      </c>
      <c r="I260" t="s">
        <v>62</v>
      </c>
      <c r="J260" t="s">
        <v>179</v>
      </c>
      <c r="K260" t="s">
        <v>180</v>
      </c>
      <c r="L260" t="s">
        <v>73</v>
      </c>
      <c r="M260" t="s">
        <v>273</v>
      </c>
      <c r="N260" t="s">
        <v>1930</v>
      </c>
      <c r="O260" t="s">
        <v>43</v>
      </c>
      <c r="P260">
        <v>9</v>
      </c>
      <c r="Q260">
        <v>3361.3</v>
      </c>
      <c r="R260">
        <v>0.25</v>
      </c>
      <c r="S260" t="str">
        <f t="shared" si="33"/>
        <v>OK</v>
      </c>
      <c r="T260">
        <v>22688.78</v>
      </c>
      <c r="U260">
        <v>14672.41</v>
      </c>
      <c r="V260">
        <v>8016.37</v>
      </c>
      <c r="W260" t="s">
        <v>31</v>
      </c>
      <c r="X260" t="s">
        <v>32</v>
      </c>
      <c r="Y260">
        <f t="shared" si="34"/>
        <v>0.25</v>
      </c>
      <c r="Z260">
        <f t="shared" si="35"/>
        <v>22688.775000000001</v>
      </c>
      <c r="AA260">
        <f t="shared" si="36"/>
        <v>8016.3650000000016</v>
      </c>
      <c r="AB260">
        <f t="shared" si="37"/>
        <v>35.331854628555313</v>
      </c>
      <c r="AC260">
        <f t="shared" si="38"/>
        <v>10</v>
      </c>
      <c r="AD260">
        <f t="shared" si="39"/>
        <v>2024</v>
      </c>
      <c r="AE260" t="str">
        <f t="shared" si="40"/>
        <v>CLEAN</v>
      </c>
    </row>
    <row r="261" spans="1:31">
      <c r="A261" t="s">
        <v>1934</v>
      </c>
      <c r="B261" s="2">
        <v>45569</v>
      </c>
      <c r="C261" s="2">
        <v>45572</v>
      </c>
      <c r="D261" s="5">
        <f>C261-B261</f>
        <v>3</v>
      </c>
      <c r="E261" s="5" t="str">
        <f>IF(D261&lt;0,"INVALID","OK")</f>
        <v>OK</v>
      </c>
      <c r="F261" t="s">
        <v>1935</v>
      </c>
      <c r="G261" t="s">
        <v>117</v>
      </c>
      <c r="H261" t="s">
        <v>89</v>
      </c>
      <c r="I261" t="s">
        <v>53</v>
      </c>
      <c r="J261" t="s">
        <v>184</v>
      </c>
      <c r="K261" t="s">
        <v>185</v>
      </c>
      <c r="L261" t="s">
        <v>27</v>
      </c>
      <c r="M261" t="s">
        <v>47</v>
      </c>
      <c r="N261" t="s">
        <v>1936</v>
      </c>
      <c r="O261" t="s">
        <v>30</v>
      </c>
      <c r="P261">
        <v>2</v>
      </c>
      <c r="Q261">
        <v>3144.38</v>
      </c>
      <c r="R261">
        <v>0.1</v>
      </c>
      <c r="S261" t="str">
        <f t="shared" si="33"/>
        <v>OK</v>
      </c>
      <c r="T261">
        <v>5904.57</v>
      </c>
      <c r="U261">
        <v>4337.79</v>
      </c>
      <c r="V261">
        <v>1322.09</v>
      </c>
      <c r="W261" t="s">
        <v>31</v>
      </c>
      <c r="X261" t="s">
        <v>32</v>
      </c>
      <c r="Y261">
        <f t="shared" si="34"/>
        <v>0.1</v>
      </c>
      <c r="Z261">
        <f t="shared" si="35"/>
        <v>5659.884</v>
      </c>
      <c r="AA261">
        <f t="shared" si="36"/>
        <v>1322.0940000000001</v>
      </c>
      <c r="AB261">
        <f t="shared" si="37"/>
        <v>23.359029973052454</v>
      </c>
      <c r="AC261">
        <f t="shared" si="38"/>
        <v>10</v>
      </c>
      <c r="AD261">
        <f t="shared" si="39"/>
        <v>2024</v>
      </c>
      <c r="AE261" t="str">
        <f t="shared" si="40"/>
        <v>CLEAN</v>
      </c>
    </row>
    <row r="262" spans="1:31">
      <c r="A262" t="s">
        <v>1937</v>
      </c>
      <c r="B262" s="2">
        <v>45520</v>
      </c>
      <c r="C262" s="2">
        <v>45523</v>
      </c>
      <c r="D262" s="5">
        <f>C262-B262</f>
        <v>3</v>
      </c>
      <c r="E262" s="5" t="str">
        <f>IF(D262&lt;0,"INVALID","OK")</f>
        <v>OK</v>
      </c>
      <c r="F262" t="s">
        <v>1938</v>
      </c>
      <c r="G262" t="s">
        <v>263</v>
      </c>
      <c r="H262" t="s">
        <v>23</v>
      </c>
      <c r="I262" t="s">
        <v>53</v>
      </c>
      <c r="J262" t="s">
        <v>54</v>
      </c>
      <c r="K262" t="s">
        <v>55</v>
      </c>
      <c r="L262" t="s">
        <v>27</v>
      </c>
      <c r="M262" t="s">
        <v>28</v>
      </c>
      <c r="N262" t="s">
        <v>1939</v>
      </c>
      <c r="O262" t="s">
        <v>58</v>
      </c>
      <c r="P262">
        <v>6</v>
      </c>
      <c r="Q262">
        <v>3925.55</v>
      </c>
      <c r="R262">
        <v>0.2</v>
      </c>
      <c r="S262" t="str">
        <f t="shared" si="33"/>
        <v>OK</v>
      </c>
      <c r="T262">
        <v>18842.64</v>
      </c>
      <c r="U262">
        <v>11840.58</v>
      </c>
      <c r="V262">
        <v>7002.06</v>
      </c>
      <c r="W262" t="s">
        <v>31</v>
      </c>
      <c r="X262" t="s">
        <v>32</v>
      </c>
      <c r="Y262">
        <f t="shared" si="34"/>
        <v>0.2</v>
      </c>
      <c r="Z262">
        <f t="shared" si="35"/>
        <v>18842.640000000003</v>
      </c>
      <c r="AA262">
        <f t="shared" si="36"/>
        <v>7002.0600000000031</v>
      </c>
      <c r="AB262">
        <f t="shared" si="37"/>
        <v>37.160716332743192</v>
      </c>
      <c r="AC262">
        <f t="shared" si="38"/>
        <v>8</v>
      </c>
      <c r="AD262">
        <f t="shared" si="39"/>
        <v>2024</v>
      </c>
      <c r="AE262" t="str">
        <f t="shared" si="40"/>
        <v>CLEAN</v>
      </c>
    </row>
    <row r="263" spans="1:31">
      <c r="A263" t="s">
        <v>1940</v>
      </c>
      <c r="B263" s="2">
        <v>45564</v>
      </c>
      <c r="C263" s="2">
        <v>45565</v>
      </c>
      <c r="D263" s="5">
        <f>C263-B263</f>
        <v>1</v>
      </c>
      <c r="E263" s="5" t="str">
        <f>IF(D263&lt;0,"INVALID","OK")</f>
        <v>OK</v>
      </c>
      <c r="F263" t="s">
        <v>1941</v>
      </c>
      <c r="G263" t="s">
        <v>35</v>
      </c>
      <c r="H263" t="s">
        <v>94</v>
      </c>
      <c r="I263" t="s">
        <v>53</v>
      </c>
      <c r="J263" t="s">
        <v>54</v>
      </c>
      <c r="K263" t="s">
        <v>55</v>
      </c>
      <c r="L263" t="s">
        <v>73</v>
      </c>
      <c r="M263" t="s">
        <v>170</v>
      </c>
      <c r="N263" t="s">
        <v>1942</v>
      </c>
      <c r="O263" t="s">
        <v>58</v>
      </c>
      <c r="P263">
        <v>9</v>
      </c>
      <c r="Q263">
        <v>2741.91</v>
      </c>
      <c r="R263">
        <v>0</v>
      </c>
      <c r="S263" t="str">
        <f t="shared" si="33"/>
        <v>OK</v>
      </c>
      <c r="T263">
        <v>24677.19</v>
      </c>
      <c r="U263">
        <v>20350.849999999999</v>
      </c>
      <c r="V263">
        <v>4326.34</v>
      </c>
      <c r="W263" t="s">
        <v>31</v>
      </c>
      <c r="X263" t="s">
        <v>32</v>
      </c>
      <c r="Y263">
        <f t="shared" si="34"/>
        <v>0</v>
      </c>
      <c r="Z263">
        <f t="shared" si="35"/>
        <v>24677.19</v>
      </c>
      <c r="AA263">
        <f t="shared" si="36"/>
        <v>4326.34</v>
      </c>
      <c r="AB263">
        <f t="shared" si="37"/>
        <v>17.531736798233513</v>
      </c>
      <c r="AC263">
        <f t="shared" si="38"/>
        <v>9</v>
      </c>
      <c r="AD263">
        <f t="shared" si="39"/>
        <v>2024</v>
      </c>
      <c r="AE263" t="str">
        <f t="shared" si="40"/>
        <v>CLEAN</v>
      </c>
    </row>
    <row r="264" spans="1:31">
      <c r="A264" t="s">
        <v>1949</v>
      </c>
      <c r="B264" s="2">
        <v>45522</v>
      </c>
      <c r="C264" s="2">
        <v>45525</v>
      </c>
      <c r="D264" s="5">
        <f>C264-B264</f>
        <v>3</v>
      </c>
      <c r="E264" s="5" t="str">
        <f>IF(D264&lt;0,"INVALID","OK")</f>
        <v>OK</v>
      </c>
      <c r="F264" t="s">
        <v>1950</v>
      </c>
      <c r="G264" t="s">
        <v>70</v>
      </c>
      <c r="H264" t="s">
        <v>23</v>
      </c>
      <c r="I264" t="s">
        <v>24</v>
      </c>
      <c r="J264" t="s">
        <v>135</v>
      </c>
      <c r="K264" t="s">
        <v>136</v>
      </c>
      <c r="L264" t="s">
        <v>73</v>
      </c>
      <c r="M264" t="s">
        <v>273</v>
      </c>
      <c r="N264" t="s">
        <v>1951</v>
      </c>
      <c r="O264" t="s">
        <v>58</v>
      </c>
      <c r="P264">
        <v>9</v>
      </c>
      <c r="Q264">
        <v>734.34</v>
      </c>
      <c r="R264">
        <v>0</v>
      </c>
      <c r="S264" t="str">
        <f t="shared" si="33"/>
        <v>OK</v>
      </c>
      <c r="T264">
        <v>6609.06</v>
      </c>
      <c r="U264">
        <v>4946.78</v>
      </c>
      <c r="V264">
        <v>1662.28</v>
      </c>
      <c r="W264" t="s">
        <v>31</v>
      </c>
      <c r="X264" t="s">
        <v>32</v>
      </c>
      <c r="Y264">
        <f t="shared" si="34"/>
        <v>0</v>
      </c>
      <c r="Z264">
        <f t="shared" si="35"/>
        <v>6609.06</v>
      </c>
      <c r="AA264">
        <f t="shared" si="36"/>
        <v>1662.2800000000007</v>
      </c>
      <c r="AB264">
        <f t="shared" si="37"/>
        <v>25.151534408826681</v>
      </c>
      <c r="AC264">
        <f t="shared" si="38"/>
        <v>8</v>
      </c>
      <c r="AD264">
        <f t="shared" si="39"/>
        <v>2024</v>
      </c>
      <c r="AE264" t="str">
        <f t="shared" si="40"/>
        <v>CLEAN</v>
      </c>
    </row>
    <row r="265" spans="1:31">
      <c r="A265" t="s">
        <v>1952</v>
      </c>
      <c r="B265" s="2">
        <v>45624</v>
      </c>
      <c r="C265" s="2">
        <v>45455</v>
      </c>
      <c r="D265" s="5">
        <f>C265-B265</f>
        <v>-169</v>
      </c>
      <c r="E265" s="5" t="str">
        <f>IF(D265&lt;0,"INVALID","OK")</f>
        <v>INVALID</v>
      </c>
      <c r="F265" t="s">
        <v>1953</v>
      </c>
      <c r="G265" t="s">
        <v>88</v>
      </c>
      <c r="H265" t="s">
        <v>23</v>
      </c>
      <c r="I265" t="s">
        <v>62</v>
      </c>
      <c r="J265" t="s">
        <v>63</v>
      </c>
      <c r="K265" t="s">
        <v>64</v>
      </c>
      <c r="L265" t="s">
        <v>40</v>
      </c>
      <c r="M265" t="s">
        <v>65</v>
      </c>
      <c r="N265" t="s">
        <v>1954</v>
      </c>
      <c r="O265" t="s">
        <v>43</v>
      </c>
      <c r="P265">
        <v>5</v>
      </c>
      <c r="Q265">
        <v>1092.8399999999999</v>
      </c>
      <c r="R265">
        <v>0</v>
      </c>
      <c r="S265" t="str">
        <f t="shared" si="33"/>
        <v>OK</v>
      </c>
      <c r="T265">
        <v>5464.2</v>
      </c>
      <c r="U265">
        <v>3318.09</v>
      </c>
      <c r="V265">
        <v>2146.11</v>
      </c>
      <c r="W265" t="s">
        <v>31</v>
      </c>
      <c r="X265" t="s">
        <v>32</v>
      </c>
      <c r="Y265">
        <f t="shared" si="34"/>
        <v>0</v>
      </c>
      <c r="Z265">
        <f t="shared" si="35"/>
        <v>5464.2</v>
      </c>
      <c r="AA265">
        <f t="shared" si="36"/>
        <v>2146.1099999999997</v>
      </c>
      <c r="AB265">
        <f t="shared" si="37"/>
        <v>39.275831777753375</v>
      </c>
      <c r="AC265">
        <f t="shared" si="38"/>
        <v>11</v>
      </c>
      <c r="AD265">
        <f t="shared" si="39"/>
        <v>2024</v>
      </c>
      <c r="AE265" t="str">
        <f t="shared" si="40"/>
        <v>INVALID</v>
      </c>
    </row>
    <row r="266" spans="1:31">
      <c r="A266" t="s">
        <v>1958</v>
      </c>
      <c r="B266" s="2">
        <v>45512</v>
      </c>
      <c r="C266" s="2">
        <v>45518</v>
      </c>
      <c r="D266" s="5">
        <f>C266-B266</f>
        <v>6</v>
      </c>
      <c r="E266" s="5" t="str">
        <f>IF(D266&lt;0,"INVALID","OK")</f>
        <v>OK</v>
      </c>
      <c r="F266" t="s">
        <v>1959</v>
      </c>
      <c r="G266" t="s">
        <v>70</v>
      </c>
      <c r="H266" t="s">
        <v>94</v>
      </c>
      <c r="I266" t="s">
        <v>24</v>
      </c>
      <c r="J266" t="s">
        <v>121</v>
      </c>
      <c r="K266" t="s">
        <v>122</v>
      </c>
      <c r="L266" t="s">
        <v>27</v>
      </c>
      <c r="M266" t="s">
        <v>123</v>
      </c>
      <c r="N266" t="s">
        <v>1960</v>
      </c>
      <c r="O266" t="s">
        <v>30</v>
      </c>
      <c r="P266">
        <v>8</v>
      </c>
      <c r="Q266">
        <v>1359.19</v>
      </c>
      <c r="R266">
        <v>0.05</v>
      </c>
      <c r="S266" t="str">
        <f t="shared" si="33"/>
        <v>OK</v>
      </c>
      <c r="T266">
        <v>10329.84</v>
      </c>
      <c r="U266">
        <v>7512.22</v>
      </c>
      <c r="V266">
        <v>2817.62</v>
      </c>
      <c r="W266" t="s">
        <v>31</v>
      </c>
      <c r="X266" t="s">
        <v>32</v>
      </c>
      <c r="Y266">
        <f t="shared" si="34"/>
        <v>0.05</v>
      </c>
      <c r="Z266">
        <f t="shared" si="35"/>
        <v>10329.843999999999</v>
      </c>
      <c r="AA266">
        <f t="shared" si="36"/>
        <v>2817.6239999999989</v>
      </c>
      <c r="AB266">
        <f t="shared" si="37"/>
        <v>27.27653970379416</v>
      </c>
      <c r="AC266">
        <f t="shared" si="38"/>
        <v>8</v>
      </c>
      <c r="AD266">
        <f t="shared" si="39"/>
        <v>2024</v>
      </c>
      <c r="AE266" t="str">
        <f t="shared" si="40"/>
        <v>CLEAN</v>
      </c>
    </row>
    <row r="267" spans="1:31">
      <c r="A267" t="s">
        <v>1961</v>
      </c>
      <c r="B267" s="2">
        <v>45321</v>
      </c>
      <c r="C267" s="2">
        <v>45323</v>
      </c>
      <c r="D267" s="5">
        <f>C267-B267</f>
        <v>2</v>
      </c>
      <c r="E267" s="5" t="str">
        <f>IF(D267&lt;0,"INVALID","OK")</f>
        <v>OK</v>
      </c>
      <c r="F267" t="s">
        <v>1962</v>
      </c>
      <c r="G267" t="s">
        <v>78</v>
      </c>
      <c r="H267" t="s">
        <v>94</v>
      </c>
      <c r="I267" t="s">
        <v>37</v>
      </c>
      <c r="J267" t="s">
        <v>165</v>
      </c>
      <c r="K267" t="s">
        <v>166</v>
      </c>
      <c r="L267" t="s">
        <v>40</v>
      </c>
      <c r="M267" t="s">
        <v>65</v>
      </c>
      <c r="N267" t="s">
        <v>1963</v>
      </c>
      <c r="O267" t="s">
        <v>49</v>
      </c>
      <c r="P267">
        <v>2</v>
      </c>
      <c r="Q267">
        <v>4451.03</v>
      </c>
      <c r="R267">
        <v>0.05</v>
      </c>
      <c r="S267" t="str">
        <f t="shared" si="33"/>
        <v>OK</v>
      </c>
      <c r="T267">
        <v>8456.9599999999991</v>
      </c>
      <c r="U267">
        <v>5462.85</v>
      </c>
      <c r="V267">
        <v>2994.11</v>
      </c>
      <c r="W267" t="s">
        <v>31</v>
      </c>
      <c r="X267" t="s">
        <v>32</v>
      </c>
      <c r="Y267">
        <f t="shared" si="34"/>
        <v>0.05</v>
      </c>
      <c r="Z267">
        <f t="shared" si="35"/>
        <v>8456.9569999999985</v>
      </c>
      <c r="AA267">
        <f t="shared" si="36"/>
        <v>2994.1069999999982</v>
      </c>
      <c r="AB267">
        <f t="shared" si="37"/>
        <v>35.4040702820175</v>
      </c>
      <c r="AC267">
        <f t="shared" si="38"/>
        <v>1</v>
      </c>
      <c r="AD267">
        <f t="shared" si="39"/>
        <v>2024</v>
      </c>
      <c r="AE267" t="str">
        <f t="shared" si="40"/>
        <v>CLEAN</v>
      </c>
    </row>
    <row r="268" spans="1:31">
      <c r="A268" t="s">
        <v>1964</v>
      </c>
      <c r="B268" s="2">
        <v>45641</v>
      </c>
      <c r="C268" s="2">
        <v>45647</v>
      </c>
      <c r="D268" s="5">
        <f>C268-B268</f>
        <v>6</v>
      </c>
      <c r="E268" s="5" t="str">
        <f>IF(D268&lt;0,"INVALID","OK")</f>
        <v>OK</v>
      </c>
      <c r="F268" t="s">
        <v>1965</v>
      </c>
      <c r="G268" t="s">
        <v>161</v>
      </c>
      <c r="H268" t="s">
        <v>89</v>
      </c>
      <c r="I268" t="s">
        <v>62</v>
      </c>
      <c r="J268" t="s">
        <v>25</v>
      </c>
      <c r="K268" t="s">
        <v>108</v>
      </c>
      <c r="L268" t="s">
        <v>40</v>
      </c>
      <c r="M268" t="s">
        <v>65</v>
      </c>
      <c r="N268" t="s">
        <v>1966</v>
      </c>
      <c r="O268" t="s">
        <v>43</v>
      </c>
      <c r="P268">
        <v>3</v>
      </c>
      <c r="Q268">
        <v>527.66999999999996</v>
      </c>
      <c r="R268">
        <v>0.2</v>
      </c>
      <c r="S268" t="str">
        <f t="shared" si="33"/>
        <v>OK</v>
      </c>
      <c r="T268">
        <v>1266.4100000000001</v>
      </c>
      <c r="U268">
        <v>983.92</v>
      </c>
      <c r="V268">
        <v>282.49</v>
      </c>
      <c r="W268" t="s">
        <v>31</v>
      </c>
      <c r="X268" t="s">
        <v>32</v>
      </c>
      <c r="Y268">
        <f t="shared" si="34"/>
        <v>0.2</v>
      </c>
      <c r="Z268">
        <f t="shared" si="35"/>
        <v>1266.4079999999999</v>
      </c>
      <c r="AA268">
        <f t="shared" si="36"/>
        <v>282.48799999999994</v>
      </c>
      <c r="AB268">
        <f t="shared" si="37"/>
        <v>22.306239379410108</v>
      </c>
      <c r="AC268">
        <f t="shared" si="38"/>
        <v>12</v>
      </c>
      <c r="AD268">
        <f t="shared" si="39"/>
        <v>2024</v>
      </c>
      <c r="AE268" t="str">
        <f t="shared" si="40"/>
        <v>CLEAN</v>
      </c>
    </row>
    <row r="269" spans="1:31">
      <c r="A269" t="s">
        <v>1979</v>
      </c>
      <c r="B269" s="2">
        <v>45391</v>
      </c>
      <c r="C269" s="2">
        <v>45392</v>
      </c>
      <c r="D269" s="5">
        <f>C269-B269</f>
        <v>1</v>
      </c>
      <c r="E269" s="5" t="str">
        <f>IF(D269&lt;0,"INVALID","OK")</f>
        <v>OK</v>
      </c>
      <c r="F269" t="s">
        <v>1980</v>
      </c>
      <c r="G269" t="s">
        <v>113</v>
      </c>
      <c r="H269" t="s">
        <v>89</v>
      </c>
      <c r="I269" t="s">
        <v>37</v>
      </c>
      <c r="J269" t="s">
        <v>165</v>
      </c>
      <c r="K269" t="s">
        <v>166</v>
      </c>
      <c r="L269" t="s">
        <v>27</v>
      </c>
      <c r="M269" t="s">
        <v>28</v>
      </c>
      <c r="N269" t="s">
        <v>1981</v>
      </c>
      <c r="O269" t="s">
        <v>58</v>
      </c>
      <c r="P269">
        <v>4</v>
      </c>
      <c r="Q269">
        <v>3047.05</v>
      </c>
      <c r="R269">
        <v>0.1</v>
      </c>
      <c r="S269" t="str">
        <f t="shared" si="33"/>
        <v>OK</v>
      </c>
      <c r="T269">
        <v>10969.38</v>
      </c>
      <c r="U269">
        <v>9254.4599999999991</v>
      </c>
      <c r="V269">
        <v>1714.92</v>
      </c>
      <c r="W269" t="s">
        <v>31</v>
      </c>
      <c r="X269" t="s">
        <v>32</v>
      </c>
      <c r="Y269">
        <f t="shared" si="34"/>
        <v>0.1</v>
      </c>
      <c r="Z269">
        <f t="shared" si="35"/>
        <v>10969.380000000001</v>
      </c>
      <c r="AA269">
        <f t="shared" si="36"/>
        <v>1714.9200000000019</v>
      </c>
      <c r="AB269">
        <f t="shared" si="37"/>
        <v>15.633700354988173</v>
      </c>
      <c r="AC269">
        <f t="shared" si="38"/>
        <v>4</v>
      </c>
      <c r="AD269">
        <f t="shared" si="39"/>
        <v>2024</v>
      </c>
      <c r="AE269" t="str">
        <f t="shared" si="40"/>
        <v>CLEAN</v>
      </c>
    </row>
    <row r="270" spans="1:31">
      <c r="A270" t="s">
        <v>1982</v>
      </c>
      <c r="B270" s="2">
        <v>45392</v>
      </c>
      <c r="C270" s="2">
        <v>45397</v>
      </c>
      <c r="D270" s="5">
        <f>C270-B270</f>
        <v>5</v>
      </c>
      <c r="E270" s="5" t="str">
        <f>IF(D270&lt;0,"INVALID","OK")</f>
        <v>OK</v>
      </c>
      <c r="F270" t="s">
        <v>1983</v>
      </c>
      <c r="G270" t="s">
        <v>127</v>
      </c>
      <c r="H270" t="s">
        <v>94</v>
      </c>
      <c r="I270" t="s">
        <v>62</v>
      </c>
      <c r="J270" t="s">
        <v>25</v>
      </c>
      <c r="K270" t="s">
        <v>108</v>
      </c>
      <c r="L270" t="s">
        <v>40</v>
      </c>
      <c r="M270" t="s">
        <v>65</v>
      </c>
      <c r="N270" t="s">
        <v>1984</v>
      </c>
      <c r="O270" t="s">
        <v>58</v>
      </c>
      <c r="P270">
        <v>8</v>
      </c>
      <c r="Q270">
        <v>4362.4799999999996</v>
      </c>
      <c r="R270">
        <v>0.1</v>
      </c>
      <c r="S270" t="str">
        <f t="shared" si="33"/>
        <v>OK</v>
      </c>
      <c r="T270">
        <v>31409.86</v>
      </c>
      <c r="U270">
        <v>22523.54</v>
      </c>
      <c r="V270">
        <v>8886.32</v>
      </c>
      <c r="W270" t="s">
        <v>31</v>
      </c>
      <c r="X270" t="s">
        <v>32</v>
      </c>
      <c r="Y270">
        <f t="shared" si="34"/>
        <v>0.1</v>
      </c>
      <c r="Z270">
        <f t="shared" si="35"/>
        <v>31409.855999999996</v>
      </c>
      <c r="AA270">
        <f t="shared" si="36"/>
        <v>8886.3159999999953</v>
      </c>
      <c r="AB270">
        <f t="shared" si="37"/>
        <v>28.29148914277097</v>
      </c>
      <c r="AC270">
        <f t="shared" si="38"/>
        <v>4</v>
      </c>
      <c r="AD270">
        <f t="shared" si="39"/>
        <v>2024</v>
      </c>
      <c r="AE270" t="str">
        <f t="shared" si="40"/>
        <v>CLEAN</v>
      </c>
    </row>
    <row r="271" spans="1:31">
      <c r="A271" t="s">
        <v>1994</v>
      </c>
      <c r="B271" s="2">
        <v>45432</v>
      </c>
      <c r="C271" s="2">
        <v>45437</v>
      </c>
      <c r="D271" s="5">
        <f>C271-B271</f>
        <v>5</v>
      </c>
      <c r="E271" s="5" t="str">
        <f>IF(D271&lt;0,"INVALID","OK")</f>
        <v>OK</v>
      </c>
      <c r="F271" t="s">
        <v>1995</v>
      </c>
      <c r="G271" t="s">
        <v>35</v>
      </c>
      <c r="H271" t="s">
        <v>89</v>
      </c>
      <c r="I271" t="s">
        <v>53</v>
      </c>
      <c r="J271" t="s">
        <v>83</v>
      </c>
      <c r="K271" t="s">
        <v>84</v>
      </c>
      <c r="L271" t="s">
        <v>40</v>
      </c>
      <c r="M271" t="s">
        <v>65</v>
      </c>
      <c r="N271" t="s">
        <v>1996</v>
      </c>
      <c r="O271" t="s">
        <v>43</v>
      </c>
      <c r="P271">
        <v>7</v>
      </c>
      <c r="Q271">
        <v>3122.85</v>
      </c>
      <c r="R271">
        <v>0.25</v>
      </c>
      <c r="S271" t="str">
        <f t="shared" si="33"/>
        <v>OK</v>
      </c>
      <c r="T271">
        <v>16394.96</v>
      </c>
      <c r="U271">
        <v>10404.17</v>
      </c>
      <c r="V271">
        <v>5990.79</v>
      </c>
      <c r="W271" t="s">
        <v>31</v>
      </c>
      <c r="X271" t="s">
        <v>32</v>
      </c>
      <c r="Y271">
        <f t="shared" si="34"/>
        <v>0.25</v>
      </c>
      <c r="Z271">
        <f t="shared" si="35"/>
        <v>16394.962500000001</v>
      </c>
      <c r="AA271">
        <f t="shared" si="36"/>
        <v>5990.7925000000014</v>
      </c>
      <c r="AB271">
        <f t="shared" si="37"/>
        <v>36.540446493854446</v>
      </c>
      <c r="AC271">
        <f t="shared" si="38"/>
        <v>5</v>
      </c>
      <c r="AD271">
        <f t="shared" si="39"/>
        <v>2024</v>
      </c>
      <c r="AE271" t="str">
        <f t="shared" si="40"/>
        <v>CLEAN</v>
      </c>
    </row>
    <row r="272" spans="1:31">
      <c r="A272" t="s">
        <v>1997</v>
      </c>
      <c r="B272" s="2">
        <v>45567</v>
      </c>
      <c r="C272" s="2">
        <v>45574</v>
      </c>
      <c r="D272" s="5">
        <f>C272-B272</f>
        <v>7</v>
      </c>
      <c r="E272" s="5" t="str">
        <f>IF(D272&lt;0,"INVALID","OK")</f>
        <v>OK</v>
      </c>
      <c r="F272" t="s">
        <v>1998</v>
      </c>
      <c r="G272" t="s">
        <v>61</v>
      </c>
      <c r="H272" t="s">
        <v>23</v>
      </c>
      <c r="I272" t="s">
        <v>53</v>
      </c>
      <c r="J272" t="s">
        <v>246</v>
      </c>
      <c r="K272" t="s">
        <v>247</v>
      </c>
      <c r="L272" t="s">
        <v>27</v>
      </c>
      <c r="M272" t="s">
        <v>28</v>
      </c>
      <c r="N272" t="s">
        <v>1999</v>
      </c>
      <c r="O272" t="s">
        <v>58</v>
      </c>
      <c r="P272">
        <v>8</v>
      </c>
      <c r="Q272">
        <v>1910.31</v>
      </c>
      <c r="R272">
        <v>0.15</v>
      </c>
      <c r="S272" t="str">
        <f t="shared" si="33"/>
        <v>OK</v>
      </c>
      <c r="T272">
        <v>12990.11</v>
      </c>
      <c r="U272">
        <v>10200.799999999999</v>
      </c>
      <c r="V272">
        <v>2789.31</v>
      </c>
      <c r="W272" t="s">
        <v>31</v>
      </c>
      <c r="X272" t="s">
        <v>32</v>
      </c>
      <c r="Y272">
        <f t="shared" si="34"/>
        <v>0.15</v>
      </c>
      <c r="Z272">
        <f t="shared" si="35"/>
        <v>12990.108</v>
      </c>
      <c r="AA272">
        <f t="shared" si="36"/>
        <v>2789.3080000000009</v>
      </c>
      <c r="AB272">
        <f t="shared" si="37"/>
        <v>21.47255434673831</v>
      </c>
      <c r="AC272">
        <f t="shared" si="38"/>
        <v>10</v>
      </c>
      <c r="AD272">
        <f t="shared" si="39"/>
        <v>2024</v>
      </c>
      <c r="AE272" t="str">
        <f t="shared" si="40"/>
        <v>CLEAN</v>
      </c>
    </row>
    <row r="273" spans="1:31">
      <c r="A273" t="s">
        <v>2000</v>
      </c>
      <c r="B273" s="2">
        <v>45438</v>
      </c>
      <c r="C273" s="2">
        <v>45438</v>
      </c>
      <c r="D273" s="5">
        <f>C273-B273</f>
        <v>0</v>
      </c>
      <c r="E273" s="5" t="str">
        <f>IF(D273&lt;0,"INVALID","OK")</f>
        <v>OK</v>
      </c>
      <c r="F273" t="s">
        <v>2001</v>
      </c>
      <c r="G273" t="s">
        <v>117</v>
      </c>
      <c r="H273" t="s">
        <v>36</v>
      </c>
      <c r="I273" t="s">
        <v>62</v>
      </c>
      <c r="J273" t="s">
        <v>189</v>
      </c>
      <c r="K273" t="s">
        <v>190</v>
      </c>
      <c r="L273" t="s">
        <v>73</v>
      </c>
      <c r="M273" t="s">
        <v>79</v>
      </c>
      <c r="N273" t="s">
        <v>2002</v>
      </c>
      <c r="O273" t="s">
        <v>49</v>
      </c>
      <c r="P273">
        <v>2</v>
      </c>
      <c r="Q273">
        <v>3192.47</v>
      </c>
      <c r="R273">
        <v>0.2</v>
      </c>
      <c r="S273" t="str">
        <f t="shared" si="33"/>
        <v>OK</v>
      </c>
      <c r="T273">
        <v>5107.95</v>
      </c>
      <c r="U273">
        <v>3133.08</v>
      </c>
      <c r="V273">
        <v>1974.87</v>
      </c>
      <c r="W273" t="s">
        <v>31</v>
      </c>
      <c r="X273" t="s">
        <v>32</v>
      </c>
      <c r="Y273">
        <f t="shared" si="34"/>
        <v>0.2</v>
      </c>
      <c r="Z273">
        <f t="shared" si="35"/>
        <v>5107.9520000000002</v>
      </c>
      <c r="AA273">
        <f t="shared" si="36"/>
        <v>1974.8720000000003</v>
      </c>
      <c r="AB273">
        <f t="shared" si="37"/>
        <v>38.6626969086632</v>
      </c>
      <c r="AC273">
        <f t="shared" si="38"/>
        <v>5</v>
      </c>
      <c r="AD273">
        <f t="shared" si="39"/>
        <v>2024</v>
      </c>
      <c r="AE273" t="str">
        <f t="shared" si="40"/>
        <v>CLEAN</v>
      </c>
    </row>
    <row r="274" spans="1:31">
      <c r="A274" t="s">
        <v>2006</v>
      </c>
      <c r="B274" s="2">
        <v>45653</v>
      </c>
      <c r="C274" s="2">
        <v>45657</v>
      </c>
      <c r="D274" s="5">
        <f>C274-B274</f>
        <v>4</v>
      </c>
      <c r="E274" s="5" t="str">
        <f>IF(D274&lt;0,"INVALID","OK")</f>
        <v>OK</v>
      </c>
      <c r="F274" t="s">
        <v>2007</v>
      </c>
      <c r="G274" t="s">
        <v>46</v>
      </c>
      <c r="H274" t="s">
        <v>36</v>
      </c>
      <c r="I274" t="s">
        <v>37</v>
      </c>
      <c r="J274" t="s">
        <v>38</v>
      </c>
      <c r="K274" t="s">
        <v>39</v>
      </c>
      <c r="L274" t="s">
        <v>40</v>
      </c>
      <c r="M274" t="s">
        <v>65</v>
      </c>
      <c r="N274" t="s">
        <v>2008</v>
      </c>
      <c r="O274" t="s">
        <v>30</v>
      </c>
      <c r="P274">
        <v>1</v>
      </c>
      <c r="Q274">
        <v>1594.7</v>
      </c>
      <c r="R274">
        <v>0.05</v>
      </c>
      <c r="S274" t="str">
        <f t="shared" si="33"/>
        <v>OK</v>
      </c>
      <c r="T274">
        <v>1514.96</v>
      </c>
      <c r="U274">
        <v>1046.17</v>
      </c>
      <c r="V274">
        <v>468.79</v>
      </c>
      <c r="W274" t="s">
        <v>31</v>
      </c>
      <c r="X274" t="s">
        <v>32</v>
      </c>
      <c r="Y274">
        <f t="shared" si="34"/>
        <v>0.05</v>
      </c>
      <c r="Z274">
        <f t="shared" si="35"/>
        <v>1514.9649999999999</v>
      </c>
      <c r="AA274">
        <f t="shared" si="36"/>
        <v>468.79499999999985</v>
      </c>
      <c r="AB274">
        <f t="shared" si="37"/>
        <v>30.944279240774531</v>
      </c>
      <c r="AC274">
        <f t="shared" si="38"/>
        <v>12</v>
      </c>
      <c r="AD274">
        <f t="shared" si="39"/>
        <v>2024</v>
      </c>
      <c r="AE274" t="str">
        <f t="shared" si="40"/>
        <v>CLEAN</v>
      </c>
    </row>
    <row r="275" spans="1:31">
      <c r="A275" t="s">
        <v>2023</v>
      </c>
      <c r="B275" s="2">
        <v>45295</v>
      </c>
      <c r="C275" s="2">
        <v>45536</v>
      </c>
      <c r="D275" s="5">
        <f>C275-B275</f>
        <v>241</v>
      </c>
      <c r="E275" s="5" t="str">
        <f>IF(D275&lt;0,"INVALID","OK")</f>
        <v>OK</v>
      </c>
      <c r="F275" t="s">
        <v>2024</v>
      </c>
      <c r="G275" t="s">
        <v>263</v>
      </c>
      <c r="H275" t="s">
        <v>23</v>
      </c>
      <c r="I275" t="s">
        <v>37</v>
      </c>
      <c r="J275" t="s">
        <v>144</v>
      </c>
      <c r="K275" t="s">
        <v>145</v>
      </c>
      <c r="L275" t="s">
        <v>40</v>
      </c>
      <c r="M275" t="s">
        <v>65</v>
      </c>
      <c r="N275" t="s">
        <v>2025</v>
      </c>
      <c r="O275" t="s">
        <v>30</v>
      </c>
      <c r="P275">
        <v>6</v>
      </c>
      <c r="Q275">
        <v>2423.61</v>
      </c>
      <c r="R275">
        <v>0.1</v>
      </c>
      <c r="S275" t="str">
        <f t="shared" si="33"/>
        <v>OK</v>
      </c>
      <c r="T275">
        <v>13087.49</v>
      </c>
      <c r="U275">
        <v>7608.89</v>
      </c>
      <c r="V275">
        <v>5133.22</v>
      </c>
      <c r="W275" t="s">
        <v>31</v>
      </c>
      <c r="X275" t="s">
        <v>32</v>
      </c>
      <c r="Y275">
        <f t="shared" si="34"/>
        <v>0.1</v>
      </c>
      <c r="Z275">
        <f t="shared" si="35"/>
        <v>13087.494000000001</v>
      </c>
      <c r="AA275">
        <f t="shared" si="36"/>
        <v>5478.6040000000003</v>
      </c>
      <c r="AB275">
        <f t="shared" si="37"/>
        <v>41.861367806548756</v>
      </c>
      <c r="AC275">
        <f t="shared" si="38"/>
        <v>1</v>
      </c>
      <c r="AD275">
        <f t="shared" si="39"/>
        <v>2024</v>
      </c>
      <c r="AE275" t="str">
        <f t="shared" si="40"/>
        <v>CLEAN</v>
      </c>
    </row>
    <row r="276" spans="1:31">
      <c r="A276" t="s">
        <v>2026</v>
      </c>
      <c r="B276" s="2">
        <v>45553</v>
      </c>
      <c r="C276" s="2">
        <v>45559</v>
      </c>
      <c r="D276" s="5">
        <f>C276-B276</f>
        <v>6</v>
      </c>
      <c r="E276" s="5" t="str">
        <f>IF(D276&lt;0,"INVALID","OK")</f>
        <v>OK</v>
      </c>
      <c r="F276" t="s">
        <v>2027</v>
      </c>
      <c r="G276" t="s">
        <v>70</v>
      </c>
      <c r="H276" t="s">
        <v>36</v>
      </c>
      <c r="I276" t="s">
        <v>37</v>
      </c>
      <c r="J276" t="s">
        <v>227</v>
      </c>
      <c r="K276" t="s">
        <v>228</v>
      </c>
      <c r="L276" t="s">
        <v>73</v>
      </c>
      <c r="M276" t="s">
        <v>273</v>
      </c>
      <c r="N276" t="s">
        <v>2028</v>
      </c>
      <c r="O276" t="s">
        <v>49</v>
      </c>
      <c r="P276">
        <v>3</v>
      </c>
      <c r="Q276">
        <v>729.14</v>
      </c>
      <c r="R276">
        <v>0.25</v>
      </c>
      <c r="S276" t="str">
        <f t="shared" si="33"/>
        <v>OK</v>
      </c>
      <c r="T276">
        <v>1640.57</v>
      </c>
      <c r="U276">
        <v>1136.98</v>
      </c>
      <c r="V276">
        <v>503.59</v>
      </c>
      <c r="W276" t="s">
        <v>31</v>
      </c>
      <c r="X276" t="s">
        <v>32</v>
      </c>
      <c r="Y276">
        <f t="shared" si="34"/>
        <v>0.25</v>
      </c>
      <c r="Z276">
        <f t="shared" si="35"/>
        <v>1640.5650000000001</v>
      </c>
      <c r="AA276">
        <f t="shared" si="36"/>
        <v>503.58500000000004</v>
      </c>
      <c r="AB276">
        <f t="shared" si="37"/>
        <v>30.695827352162215</v>
      </c>
      <c r="AC276">
        <f t="shared" si="38"/>
        <v>9</v>
      </c>
      <c r="AD276">
        <f t="shared" si="39"/>
        <v>2024</v>
      </c>
      <c r="AE276" t="str">
        <f t="shared" si="40"/>
        <v>CLEAN</v>
      </c>
    </row>
    <row r="277" spans="1:31">
      <c r="A277" t="s">
        <v>2053</v>
      </c>
      <c r="B277" s="2">
        <v>45478</v>
      </c>
      <c r="C277" s="2">
        <v>45426</v>
      </c>
      <c r="D277" s="5">
        <f>C277-B277</f>
        <v>-52</v>
      </c>
      <c r="E277" s="5" t="str">
        <f>IF(D277&lt;0,"INVALID","OK")</f>
        <v>INVALID</v>
      </c>
      <c r="F277" t="s">
        <v>2054</v>
      </c>
      <c r="G277" t="s">
        <v>78</v>
      </c>
      <c r="H277" t="s">
        <v>36</v>
      </c>
      <c r="I277" t="s">
        <v>24</v>
      </c>
      <c r="J277" t="s">
        <v>235</v>
      </c>
      <c r="K277" t="s">
        <v>236</v>
      </c>
      <c r="L277" t="s">
        <v>73</v>
      </c>
      <c r="M277" t="s">
        <v>273</v>
      </c>
      <c r="N277" t="s">
        <v>2055</v>
      </c>
      <c r="O277" t="s">
        <v>43</v>
      </c>
      <c r="P277">
        <v>4</v>
      </c>
      <c r="Q277">
        <v>2751.1</v>
      </c>
      <c r="R277">
        <v>-0.05</v>
      </c>
      <c r="S277" t="str">
        <f t="shared" si="33"/>
        <v>INVALID</v>
      </c>
      <c r="T277">
        <v>9903.9599999999991</v>
      </c>
      <c r="U277">
        <v>7696.28</v>
      </c>
      <c r="V277">
        <v>2207.6799999999998</v>
      </c>
      <c r="W277" t="s">
        <v>31</v>
      </c>
      <c r="X277" t="s">
        <v>32</v>
      </c>
      <c r="Y277">
        <f t="shared" si="34"/>
        <v>0</v>
      </c>
      <c r="Z277">
        <f t="shared" si="35"/>
        <v>11004.4</v>
      </c>
      <c r="AA277">
        <f t="shared" si="36"/>
        <v>3308.12</v>
      </c>
      <c r="AB277">
        <f t="shared" si="37"/>
        <v>30.061793464432405</v>
      </c>
      <c r="AC277">
        <f t="shared" si="38"/>
        <v>7</v>
      </c>
      <c r="AD277">
        <f t="shared" si="39"/>
        <v>2024</v>
      </c>
      <c r="AE277" t="str">
        <f t="shared" si="40"/>
        <v>INVALID</v>
      </c>
    </row>
    <row r="278" spans="1:31">
      <c r="A278" t="s">
        <v>2068</v>
      </c>
      <c r="B278" s="2">
        <v>45429</v>
      </c>
      <c r="C278" s="2">
        <v>45434</v>
      </c>
      <c r="D278" s="5">
        <f>C278-B278</f>
        <v>5</v>
      </c>
      <c r="E278" s="5" t="str">
        <f>IF(D278&lt;0,"INVALID","OK")</f>
        <v>OK</v>
      </c>
      <c r="F278" t="s">
        <v>2069</v>
      </c>
      <c r="G278" t="s">
        <v>131</v>
      </c>
      <c r="H278" t="s">
        <v>23</v>
      </c>
      <c r="I278" t="s">
        <v>53</v>
      </c>
      <c r="J278" t="s">
        <v>83</v>
      </c>
      <c r="K278" t="s">
        <v>84</v>
      </c>
      <c r="L278" t="s">
        <v>73</v>
      </c>
      <c r="M278" t="s">
        <v>273</v>
      </c>
      <c r="N278" t="s">
        <v>2070</v>
      </c>
      <c r="O278" t="s">
        <v>30</v>
      </c>
      <c r="P278">
        <v>7</v>
      </c>
      <c r="Q278">
        <v>232.5</v>
      </c>
      <c r="R278">
        <v>0</v>
      </c>
      <c r="S278" t="str">
        <f t="shared" si="33"/>
        <v>OK</v>
      </c>
      <c r="T278">
        <v>1627.5</v>
      </c>
      <c r="U278">
        <v>939.9</v>
      </c>
      <c r="V278">
        <v>687.6</v>
      </c>
      <c r="W278" t="s">
        <v>31</v>
      </c>
      <c r="X278" t="s">
        <v>32</v>
      </c>
      <c r="Y278">
        <f t="shared" si="34"/>
        <v>0</v>
      </c>
      <c r="Z278">
        <f t="shared" si="35"/>
        <v>1627.5</v>
      </c>
      <c r="AA278">
        <f t="shared" si="36"/>
        <v>687.6</v>
      </c>
      <c r="AB278">
        <f t="shared" si="37"/>
        <v>42.248847926267281</v>
      </c>
      <c r="AC278">
        <f t="shared" si="38"/>
        <v>5</v>
      </c>
      <c r="AD278">
        <f t="shared" si="39"/>
        <v>2024</v>
      </c>
      <c r="AE278" t="str">
        <f t="shared" si="40"/>
        <v>CLEAN</v>
      </c>
    </row>
    <row r="279" spans="1:31">
      <c r="A279" t="s">
        <v>2071</v>
      </c>
      <c r="B279" s="2">
        <v>45305</v>
      </c>
      <c r="C279" s="2">
        <v>45309</v>
      </c>
      <c r="D279" s="5">
        <f>C279-B279</f>
        <v>4</v>
      </c>
      <c r="E279" s="5" t="str">
        <f>IF(D279&lt;0,"INVALID","OK")</f>
        <v>OK</v>
      </c>
      <c r="F279" t="s">
        <v>2072</v>
      </c>
      <c r="G279" t="s">
        <v>35</v>
      </c>
      <c r="H279" t="s">
        <v>94</v>
      </c>
      <c r="I279" t="s">
        <v>62</v>
      </c>
      <c r="J279" t="s">
        <v>25</v>
      </c>
      <c r="K279" t="s">
        <v>108</v>
      </c>
      <c r="L279" t="s">
        <v>73</v>
      </c>
      <c r="M279" t="s">
        <v>273</v>
      </c>
      <c r="N279" t="s">
        <v>2073</v>
      </c>
      <c r="O279" t="s">
        <v>43</v>
      </c>
      <c r="P279">
        <v>6</v>
      </c>
      <c r="Q279">
        <v>1784.8</v>
      </c>
      <c r="R279">
        <v>0.1</v>
      </c>
      <c r="S279" t="str">
        <f t="shared" si="33"/>
        <v>OK</v>
      </c>
      <c r="T279">
        <v>9637.92</v>
      </c>
      <c r="U279">
        <v>7329.29</v>
      </c>
      <c r="V279">
        <v>2308.63</v>
      </c>
      <c r="W279" t="s">
        <v>31</v>
      </c>
      <c r="X279" t="s">
        <v>32</v>
      </c>
      <c r="Y279">
        <f t="shared" si="34"/>
        <v>0.1</v>
      </c>
      <c r="Z279">
        <f t="shared" si="35"/>
        <v>9637.92</v>
      </c>
      <c r="AA279">
        <f t="shared" si="36"/>
        <v>2308.63</v>
      </c>
      <c r="AB279">
        <f t="shared" si="37"/>
        <v>23.953612397695771</v>
      </c>
      <c r="AC279">
        <f t="shared" si="38"/>
        <v>1</v>
      </c>
      <c r="AD279">
        <f t="shared" si="39"/>
        <v>2024</v>
      </c>
      <c r="AE279" t="str">
        <f t="shared" si="40"/>
        <v>CLEAN</v>
      </c>
    </row>
    <row r="280" spans="1:31">
      <c r="A280" t="s">
        <v>2074</v>
      </c>
      <c r="B280" s="2">
        <v>45414</v>
      </c>
      <c r="C280" s="2">
        <v>45420</v>
      </c>
      <c r="D280" s="5">
        <f>C280-B280</f>
        <v>6</v>
      </c>
      <c r="E280" s="5" t="str">
        <f>IF(D280&lt;0,"INVALID","OK")</f>
        <v>OK</v>
      </c>
      <c r="F280" t="s">
        <v>2075</v>
      </c>
      <c r="G280" t="s">
        <v>117</v>
      </c>
      <c r="H280" t="s">
        <v>94</v>
      </c>
      <c r="I280" t="s">
        <v>37</v>
      </c>
      <c r="J280" t="s">
        <v>227</v>
      </c>
      <c r="K280" t="s">
        <v>228</v>
      </c>
      <c r="L280" t="s">
        <v>73</v>
      </c>
      <c r="M280" t="s">
        <v>79</v>
      </c>
      <c r="N280" t="s">
        <v>2076</v>
      </c>
      <c r="O280" t="s">
        <v>30</v>
      </c>
      <c r="P280">
        <v>2</v>
      </c>
      <c r="Q280">
        <v>3185.01</v>
      </c>
      <c r="R280">
        <v>-0.24</v>
      </c>
      <c r="S280" t="str">
        <f t="shared" si="33"/>
        <v>INVALID</v>
      </c>
      <c r="T280">
        <v>4777.5200000000004</v>
      </c>
      <c r="U280">
        <v>3152.98</v>
      </c>
      <c r="V280">
        <v>1624.54</v>
      </c>
      <c r="W280" t="s">
        <v>31</v>
      </c>
      <c r="X280" t="s">
        <v>32</v>
      </c>
      <c r="Y280">
        <f t="shared" si="34"/>
        <v>0</v>
      </c>
      <c r="Z280">
        <f t="shared" si="35"/>
        <v>6370.02</v>
      </c>
      <c r="AA280">
        <f t="shared" si="36"/>
        <v>3217.0400000000004</v>
      </c>
      <c r="AB280">
        <f t="shared" si="37"/>
        <v>50.502824166957097</v>
      </c>
      <c r="AC280">
        <f t="shared" si="38"/>
        <v>5</v>
      </c>
      <c r="AD280">
        <f t="shared" si="39"/>
        <v>2024</v>
      </c>
      <c r="AE280" t="str">
        <f t="shared" si="40"/>
        <v>INVALID</v>
      </c>
    </row>
    <row r="281" spans="1:31">
      <c r="A281" t="s">
        <v>2077</v>
      </c>
      <c r="B281" s="2">
        <v>45633</v>
      </c>
      <c r="C281" s="2">
        <v>45636</v>
      </c>
      <c r="D281" s="5">
        <f>C281-B281</f>
        <v>3</v>
      </c>
      <c r="E281" s="5" t="str">
        <f>IF(D281&lt;0,"INVALID","OK")</f>
        <v>OK</v>
      </c>
      <c r="F281" t="s">
        <v>2078</v>
      </c>
      <c r="G281" t="s">
        <v>35</v>
      </c>
      <c r="H281" t="s">
        <v>94</v>
      </c>
      <c r="I281" t="s">
        <v>53</v>
      </c>
      <c r="J281" t="s">
        <v>54</v>
      </c>
      <c r="K281" t="s">
        <v>55</v>
      </c>
      <c r="L281" t="s">
        <v>73</v>
      </c>
      <c r="M281" t="s">
        <v>74</v>
      </c>
      <c r="N281" t="s">
        <v>2079</v>
      </c>
      <c r="O281" t="s">
        <v>58</v>
      </c>
      <c r="P281">
        <v>1</v>
      </c>
      <c r="Q281">
        <v>1908.83</v>
      </c>
      <c r="R281">
        <v>0.2</v>
      </c>
      <c r="S281" t="str">
        <f t="shared" si="33"/>
        <v>OK</v>
      </c>
      <c r="T281">
        <v>1527.06</v>
      </c>
      <c r="U281">
        <v>1055.8900000000001</v>
      </c>
      <c r="V281">
        <v>471.17</v>
      </c>
      <c r="W281" t="s">
        <v>31</v>
      </c>
      <c r="X281" t="s">
        <v>32</v>
      </c>
      <c r="Y281">
        <f t="shared" si="34"/>
        <v>0.2</v>
      </c>
      <c r="Z281">
        <f t="shared" si="35"/>
        <v>1527.0640000000001</v>
      </c>
      <c r="AA281">
        <f t="shared" si="36"/>
        <v>471.17399999999998</v>
      </c>
      <c r="AB281">
        <f t="shared" si="37"/>
        <v>30.854895407134208</v>
      </c>
      <c r="AC281">
        <f t="shared" si="38"/>
        <v>12</v>
      </c>
      <c r="AD281">
        <f t="shared" si="39"/>
        <v>2024</v>
      </c>
      <c r="AE281" t="str">
        <f t="shared" si="40"/>
        <v>CLEAN</v>
      </c>
    </row>
    <row r="282" spans="1:31">
      <c r="A282" t="s">
        <v>2083</v>
      </c>
      <c r="B282" s="2">
        <v>45464</v>
      </c>
      <c r="C282" s="2">
        <v>45469</v>
      </c>
      <c r="D282" s="5">
        <f>C282-B282</f>
        <v>5</v>
      </c>
      <c r="E282" s="5" t="str">
        <f>IF(D282&lt;0,"INVALID","OK")</f>
        <v>OK</v>
      </c>
      <c r="F282" t="s">
        <v>2084</v>
      </c>
      <c r="G282" t="s">
        <v>140</v>
      </c>
      <c r="H282" t="s">
        <v>36</v>
      </c>
      <c r="I282" t="s">
        <v>24</v>
      </c>
      <c r="J282" t="s">
        <v>121</v>
      </c>
      <c r="K282" t="s">
        <v>122</v>
      </c>
      <c r="L282" t="s">
        <v>73</v>
      </c>
      <c r="M282" t="s">
        <v>79</v>
      </c>
      <c r="N282" t="s">
        <v>2085</v>
      </c>
      <c r="O282" t="s">
        <v>43</v>
      </c>
      <c r="P282">
        <v>1</v>
      </c>
      <c r="Q282">
        <v>279.83</v>
      </c>
      <c r="R282">
        <v>0.05</v>
      </c>
      <c r="S282" t="str">
        <f t="shared" si="33"/>
        <v>OK</v>
      </c>
      <c r="T282">
        <v>265.83999999999997</v>
      </c>
      <c r="U282">
        <v>223.49</v>
      </c>
      <c r="V282">
        <v>42.35</v>
      </c>
      <c r="W282" t="s">
        <v>31</v>
      </c>
      <c r="X282" t="s">
        <v>32</v>
      </c>
      <c r="Y282">
        <f t="shared" si="34"/>
        <v>0.05</v>
      </c>
      <c r="Z282">
        <f t="shared" si="35"/>
        <v>265.83849999999995</v>
      </c>
      <c r="AA282">
        <f t="shared" si="36"/>
        <v>42.348499999999945</v>
      </c>
      <c r="AB282">
        <f t="shared" si="37"/>
        <v>15.930160605028975</v>
      </c>
      <c r="AC282">
        <f t="shared" si="38"/>
        <v>6</v>
      </c>
      <c r="AD282">
        <f t="shared" si="39"/>
        <v>2024</v>
      </c>
      <c r="AE282" t="str">
        <f t="shared" si="40"/>
        <v>CLEAN</v>
      </c>
    </row>
    <row r="283" spans="1:31">
      <c r="A283" t="s">
        <v>2089</v>
      </c>
      <c r="B283" s="2">
        <v>45617</v>
      </c>
      <c r="C283" s="2">
        <v>45619</v>
      </c>
      <c r="D283" s="5">
        <f>C283-B283</f>
        <v>2</v>
      </c>
      <c r="E283" s="5" t="str">
        <f>IF(D283&lt;0,"INVALID","OK")</f>
        <v>OK</v>
      </c>
      <c r="F283" t="s">
        <v>2090</v>
      </c>
      <c r="G283" t="s">
        <v>35</v>
      </c>
      <c r="H283" t="s">
        <v>89</v>
      </c>
      <c r="I283" t="s">
        <v>62</v>
      </c>
      <c r="J283" t="s">
        <v>179</v>
      </c>
      <c r="K283" t="s">
        <v>180</v>
      </c>
      <c r="L283" t="s">
        <v>27</v>
      </c>
      <c r="M283" t="s">
        <v>28</v>
      </c>
      <c r="N283" t="s">
        <v>2091</v>
      </c>
      <c r="O283" t="s">
        <v>30</v>
      </c>
      <c r="P283">
        <v>5</v>
      </c>
      <c r="Q283">
        <v>600.46</v>
      </c>
      <c r="R283">
        <v>0.2</v>
      </c>
      <c r="S283" t="str">
        <f t="shared" si="33"/>
        <v>OK</v>
      </c>
      <c r="T283">
        <v>2401.84</v>
      </c>
      <c r="U283">
        <v>1873.11</v>
      </c>
      <c r="V283">
        <v>528.73</v>
      </c>
      <c r="W283" t="s">
        <v>31</v>
      </c>
      <c r="X283" t="s">
        <v>32</v>
      </c>
      <c r="Y283">
        <f t="shared" si="34"/>
        <v>0.2</v>
      </c>
      <c r="Z283">
        <f t="shared" si="35"/>
        <v>2401.84</v>
      </c>
      <c r="AA283">
        <f t="shared" si="36"/>
        <v>528.73000000000025</v>
      </c>
      <c r="AB283">
        <f t="shared" si="37"/>
        <v>22.013539619624964</v>
      </c>
      <c r="AC283">
        <f t="shared" si="38"/>
        <v>11</v>
      </c>
      <c r="AD283">
        <f t="shared" si="39"/>
        <v>2024</v>
      </c>
      <c r="AE283" t="str">
        <f t="shared" si="40"/>
        <v>CLEAN</v>
      </c>
    </row>
    <row r="284" spans="1:31">
      <c r="A284" t="s">
        <v>2092</v>
      </c>
      <c r="B284" s="2">
        <v>45375</v>
      </c>
      <c r="C284" s="2">
        <v>45383</v>
      </c>
      <c r="D284" s="5">
        <f>C284-B284</f>
        <v>8</v>
      </c>
      <c r="E284" s="5" t="str">
        <f>IF(D284&lt;0,"INVALID","OK")</f>
        <v>OK</v>
      </c>
      <c r="F284" t="s">
        <v>2093</v>
      </c>
      <c r="G284" t="s">
        <v>61</v>
      </c>
      <c r="H284" t="s">
        <v>94</v>
      </c>
      <c r="I284" t="s">
        <v>62</v>
      </c>
      <c r="J284" t="s">
        <v>63</v>
      </c>
      <c r="K284" t="s">
        <v>64</v>
      </c>
      <c r="L284" t="s">
        <v>40</v>
      </c>
      <c r="M284" t="s">
        <v>41</v>
      </c>
      <c r="N284" t="s">
        <v>2094</v>
      </c>
      <c r="O284" t="s">
        <v>30</v>
      </c>
      <c r="P284">
        <v>4</v>
      </c>
      <c r="Q284">
        <v>1700.72</v>
      </c>
      <c r="R284">
        <v>0.25</v>
      </c>
      <c r="S284" t="str">
        <f t="shared" si="33"/>
        <v>OK</v>
      </c>
      <c r="T284">
        <v>5102.16</v>
      </c>
      <c r="U284">
        <v>3226.45</v>
      </c>
      <c r="V284">
        <v>1875.71</v>
      </c>
      <c r="W284" t="s">
        <v>31</v>
      </c>
      <c r="X284" t="s">
        <v>32</v>
      </c>
      <c r="Y284">
        <f t="shared" si="34"/>
        <v>0.25</v>
      </c>
      <c r="Z284">
        <f t="shared" si="35"/>
        <v>5102.16</v>
      </c>
      <c r="AA284">
        <f t="shared" si="36"/>
        <v>1875.71</v>
      </c>
      <c r="AB284">
        <f t="shared" si="37"/>
        <v>36.763057214983455</v>
      </c>
      <c r="AC284">
        <f t="shared" si="38"/>
        <v>3</v>
      </c>
      <c r="AD284">
        <f t="shared" si="39"/>
        <v>2024</v>
      </c>
      <c r="AE284" t="str">
        <f t="shared" si="40"/>
        <v>CLEAN</v>
      </c>
    </row>
    <row r="285" spans="1:31">
      <c r="A285" t="s">
        <v>2097</v>
      </c>
      <c r="B285" s="2">
        <v>45373</v>
      </c>
      <c r="C285" s="2">
        <v>45378</v>
      </c>
      <c r="D285" s="5">
        <f>C285-B285</f>
        <v>5</v>
      </c>
      <c r="E285" s="5" t="str">
        <f>IF(D285&lt;0,"INVALID","OK")</f>
        <v>OK</v>
      </c>
      <c r="F285" t="s">
        <v>2098</v>
      </c>
      <c r="G285" t="s">
        <v>88</v>
      </c>
      <c r="H285" t="s">
        <v>94</v>
      </c>
      <c r="I285" t="s">
        <v>62</v>
      </c>
      <c r="J285" t="s">
        <v>189</v>
      </c>
      <c r="K285" t="s">
        <v>190</v>
      </c>
      <c r="L285" t="s">
        <v>73</v>
      </c>
      <c r="M285" t="s">
        <v>79</v>
      </c>
      <c r="N285" t="s">
        <v>2099</v>
      </c>
      <c r="O285" t="s">
        <v>30</v>
      </c>
      <c r="P285">
        <v>9</v>
      </c>
      <c r="Q285">
        <v>3649.51</v>
      </c>
      <c r="R285">
        <v>0.05</v>
      </c>
      <c r="S285" t="str">
        <f t="shared" si="33"/>
        <v>OK</v>
      </c>
      <c r="T285">
        <v>31203.31</v>
      </c>
      <c r="U285">
        <v>17738.13</v>
      </c>
      <c r="V285">
        <v>13465.18</v>
      </c>
      <c r="W285" t="s">
        <v>31</v>
      </c>
      <c r="X285" t="s">
        <v>32</v>
      </c>
      <c r="Y285">
        <f t="shared" si="34"/>
        <v>0.05</v>
      </c>
      <c r="Z285">
        <f t="shared" si="35"/>
        <v>31203.310500000003</v>
      </c>
      <c r="AA285">
        <f t="shared" si="36"/>
        <v>13465.180500000002</v>
      </c>
      <c r="AB285">
        <f t="shared" si="37"/>
        <v>43.153051020019177</v>
      </c>
      <c r="AC285">
        <f t="shared" si="38"/>
        <v>3</v>
      </c>
      <c r="AD285">
        <f t="shared" si="39"/>
        <v>2024</v>
      </c>
      <c r="AE285" t="str">
        <f t="shared" si="40"/>
        <v>CLEAN</v>
      </c>
    </row>
    <row r="286" spans="1:31">
      <c r="A286" t="s">
        <v>2100</v>
      </c>
      <c r="B286" s="2">
        <v>45539</v>
      </c>
      <c r="C286" s="2">
        <v>45540</v>
      </c>
      <c r="D286" s="5">
        <f>C286-B286</f>
        <v>1</v>
      </c>
      <c r="E286" s="5" t="str">
        <f>IF(D286&lt;0,"INVALID","OK")</f>
        <v>OK</v>
      </c>
      <c r="F286" t="s">
        <v>2101</v>
      </c>
      <c r="G286" t="s">
        <v>88</v>
      </c>
      <c r="H286" t="s">
        <v>89</v>
      </c>
      <c r="I286" t="s">
        <v>62</v>
      </c>
      <c r="J286" t="s">
        <v>71</v>
      </c>
      <c r="K286" t="s">
        <v>72</v>
      </c>
      <c r="L286" t="s">
        <v>40</v>
      </c>
      <c r="M286" t="s">
        <v>65</v>
      </c>
      <c r="N286" t="s">
        <v>2102</v>
      </c>
      <c r="O286" t="s">
        <v>58</v>
      </c>
      <c r="P286">
        <v>5</v>
      </c>
      <c r="Q286">
        <v>2528.5300000000002</v>
      </c>
      <c r="R286">
        <v>0.05</v>
      </c>
      <c r="S286" t="str">
        <f t="shared" si="33"/>
        <v>OK</v>
      </c>
      <c r="T286">
        <v>12010.52</v>
      </c>
      <c r="U286">
        <v>7864.61</v>
      </c>
      <c r="V286">
        <v>4145.91</v>
      </c>
      <c r="W286" t="s">
        <v>31</v>
      </c>
      <c r="X286" t="s">
        <v>102</v>
      </c>
      <c r="Y286">
        <f t="shared" si="34"/>
        <v>0.05</v>
      </c>
      <c r="Z286">
        <f t="shared" si="35"/>
        <v>12010.5175</v>
      </c>
      <c r="AA286">
        <f t="shared" si="36"/>
        <v>4145.9075000000003</v>
      </c>
      <c r="AB286">
        <f t="shared" si="37"/>
        <v>34.51897472361204</v>
      </c>
      <c r="AC286">
        <f t="shared" si="38"/>
        <v>9</v>
      </c>
      <c r="AD286">
        <f t="shared" si="39"/>
        <v>2024</v>
      </c>
      <c r="AE286" t="str">
        <f t="shared" si="40"/>
        <v>CLEAN</v>
      </c>
    </row>
    <row r="287" spans="1:31">
      <c r="A287" t="s">
        <v>2106</v>
      </c>
      <c r="B287" s="2">
        <v>45430</v>
      </c>
      <c r="C287" s="2">
        <v>45433</v>
      </c>
      <c r="D287" s="5">
        <f>C287-B287</f>
        <v>3</v>
      </c>
      <c r="E287" s="5" t="str">
        <f>IF(D287&lt;0,"INVALID","OK")</f>
        <v>OK</v>
      </c>
      <c r="F287" t="s">
        <v>2107</v>
      </c>
      <c r="G287" t="s">
        <v>70</v>
      </c>
      <c r="H287" t="s">
        <v>89</v>
      </c>
      <c r="I287" t="s">
        <v>37</v>
      </c>
      <c r="J287" t="s">
        <v>227</v>
      </c>
      <c r="K287" t="s">
        <v>228</v>
      </c>
      <c r="L287" t="s">
        <v>73</v>
      </c>
      <c r="M287" t="s">
        <v>74</v>
      </c>
      <c r="N287" t="s">
        <v>2108</v>
      </c>
      <c r="O287" t="s">
        <v>30</v>
      </c>
      <c r="P287">
        <v>1</v>
      </c>
      <c r="Q287">
        <v>1033.71</v>
      </c>
      <c r="R287">
        <v>0</v>
      </c>
      <c r="S287" t="str">
        <f t="shared" si="33"/>
        <v>OK</v>
      </c>
      <c r="T287">
        <v>1033.71</v>
      </c>
      <c r="U287">
        <v>630.82000000000005</v>
      </c>
      <c r="V287">
        <v>402.89</v>
      </c>
      <c r="W287" t="s">
        <v>110</v>
      </c>
      <c r="X287" t="s">
        <v>102</v>
      </c>
      <c r="Y287">
        <f t="shared" si="34"/>
        <v>0</v>
      </c>
      <c r="Z287">
        <f t="shared" si="35"/>
        <v>1033.71</v>
      </c>
      <c r="AA287">
        <f t="shared" si="36"/>
        <v>402.89</v>
      </c>
      <c r="AB287">
        <f t="shared" si="37"/>
        <v>38.97514776871656</v>
      </c>
      <c r="AC287">
        <f t="shared" si="38"/>
        <v>5</v>
      </c>
      <c r="AD287">
        <f t="shared" si="39"/>
        <v>2024</v>
      </c>
      <c r="AE287" t="str">
        <f t="shared" si="40"/>
        <v>CLEAN</v>
      </c>
    </row>
    <row r="288" spans="1:31">
      <c r="A288" t="s">
        <v>2114</v>
      </c>
      <c r="B288" s="2">
        <v>45465</v>
      </c>
      <c r="C288" s="2">
        <v>45470</v>
      </c>
      <c r="D288" s="5">
        <f>C288-B288</f>
        <v>5</v>
      </c>
      <c r="E288" s="5" t="str">
        <f>IF(D288&lt;0,"INVALID","OK")</f>
        <v>OK</v>
      </c>
      <c r="F288" t="s">
        <v>21</v>
      </c>
      <c r="G288" t="s">
        <v>46</v>
      </c>
      <c r="H288" t="s">
        <v>94</v>
      </c>
      <c r="I288" t="s">
        <v>53</v>
      </c>
      <c r="J288" t="s">
        <v>174</v>
      </c>
      <c r="K288" t="s">
        <v>175</v>
      </c>
      <c r="L288" t="s">
        <v>40</v>
      </c>
      <c r="M288" t="s">
        <v>65</v>
      </c>
      <c r="N288" t="s">
        <v>2115</v>
      </c>
      <c r="O288" t="s">
        <v>43</v>
      </c>
      <c r="P288">
        <v>7</v>
      </c>
      <c r="Q288">
        <v>2623.48</v>
      </c>
      <c r="R288">
        <v>0</v>
      </c>
      <c r="S288" t="str">
        <f t="shared" si="33"/>
        <v>OK</v>
      </c>
      <c r="T288">
        <v>18364.36</v>
      </c>
      <c r="U288">
        <v>15445.81</v>
      </c>
      <c r="V288">
        <v>2918.55</v>
      </c>
      <c r="W288" t="s">
        <v>31</v>
      </c>
      <c r="X288" t="s">
        <v>32</v>
      </c>
      <c r="Y288">
        <f t="shared" si="34"/>
        <v>0</v>
      </c>
      <c r="Z288">
        <f t="shared" si="35"/>
        <v>18364.36</v>
      </c>
      <c r="AA288">
        <f t="shared" si="36"/>
        <v>2918.5500000000011</v>
      </c>
      <c r="AB288">
        <f t="shared" si="37"/>
        <v>15.892467801763857</v>
      </c>
      <c r="AC288">
        <f t="shared" si="38"/>
        <v>6</v>
      </c>
      <c r="AD288">
        <f t="shared" si="39"/>
        <v>2024</v>
      </c>
      <c r="AE288" t="str">
        <f t="shared" si="40"/>
        <v>CLEAN</v>
      </c>
    </row>
    <row r="289" spans="1:31">
      <c r="A289" t="s">
        <v>2116</v>
      </c>
      <c r="B289" s="2">
        <v>45620</v>
      </c>
      <c r="C289" s="2">
        <v>45627</v>
      </c>
      <c r="D289" s="5">
        <f>C289-B289</f>
        <v>7</v>
      </c>
      <c r="E289" s="5" t="str">
        <f>IF(D289&lt;0,"INVALID","OK")</f>
        <v>OK</v>
      </c>
      <c r="F289" t="s">
        <v>2117</v>
      </c>
      <c r="G289" t="s">
        <v>263</v>
      </c>
      <c r="H289" t="s">
        <v>89</v>
      </c>
      <c r="I289" t="s">
        <v>53</v>
      </c>
      <c r="J289" t="s">
        <v>174</v>
      </c>
      <c r="K289" t="s">
        <v>175</v>
      </c>
      <c r="L289" t="s">
        <v>40</v>
      </c>
      <c r="M289" t="s">
        <v>41</v>
      </c>
      <c r="N289" t="s">
        <v>2118</v>
      </c>
      <c r="O289" t="s">
        <v>30</v>
      </c>
      <c r="P289">
        <v>9</v>
      </c>
      <c r="Q289">
        <v>2763.61</v>
      </c>
      <c r="R289">
        <v>0.15</v>
      </c>
      <c r="S289" t="str">
        <f t="shared" si="33"/>
        <v>OK</v>
      </c>
      <c r="T289">
        <v>21141.62</v>
      </c>
      <c r="U289">
        <v>11676.33</v>
      </c>
      <c r="V289">
        <v>9465.2900000000009</v>
      </c>
      <c r="W289" t="s">
        <v>31</v>
      </c>
      <c r="X289" t="s">
        <v>32</v>
      </c>
      <c r="Y289">
        <f t="shared" si="34"/>
        <v>0.15</v>
      </c>
      <c r="Z289">
        <f t="shared" si="35"/>
        <v>21141.6165</v>
      </c>
      <c r="AA289">
        <f t="shared" si="36"/>
        <v>9465.2865000000002</v>
      </c>
      <c r="AB289">
        <f t="shared" si="37"/>
        <v>44.770874071999181</v>
      </c>
      <c r="AC289">
        <f t="shared" si="38"/>
        <v>11</v>
      </c>
      <c r="AD289">
        <f t="shared" si="39"/>
        <v>2024</v>
      </c>
      <c r="AE289" t="str">
        <f t="shared" si="40"/>
        <v>CLEAN</v>
      </c>
    </row>
    <row r="290" spans="1:31">
      <c r="A290" t="s">
        <v>2122</v>
      </c>
      <c r="B290" s="2">
        <v>45441</v>
      </c>
      <c r="C290" s="2">
        <v>45448</v>
      </c>
      <c r="D290" s="5">
        <f>C290-B290</f>
        <v>7</v>
      </c>
      <c r="E290" s="5" t="str">
        <f>IF(D290&lt;0,"INVALID","OK")</f>
        <v>OK</v>
      </c>
      <c r="F290" t="s">
        <v>2123</v>
      </c>
      <c r="G290" t="s">
        <v>263</v>
      </c>
      <c r="H290" t="s">
        <v>89</v>
      </c>
      <c r="I290" t="s">
        <v>53</v>
      </c>
      <c r="J290" t="s">
        <v>246</v>
      </c>
      <c r="K290" t="s">
        <v>247</v>
      </c>
      <c r="L290" t="s">
        <v>73</v>
      </c>
      <c r="M290" t="s">
        <v>74</v>
      </c>
      <c r="N290" t="s">
        <v>2124</v>
      </c>
      <c r="O290" t="s">
        <v>49</v>
      </c>
      <c r="P290">
        <v>4</v>
      </c>
      <c r="Q290">
        <v>3700.24</v>
      </c>
      <c r="R290">
        <v>0</v>
      </c>
      <c r="S290" t="str">
        <f t="shared" si="33"/>
        <v>OK</v>
      </c>
      <c r="T290">
        <v>14800.96</v>
      </c>
      <c r="U290">
        <v>12048.39</v>
      </c>
      <c r="V290">
        <v>2752.57</v>
      </c>
      <c r="W290" t="s">
        <v>31</v>
      </c>
      <c r="X290" t="s">
        <v>32</v>
      </c>
      <c r="Y290">
        <f t="shared" si="34"/>
        <v>0</v>
      </c>
      <c r="Z290">
        <f t="shared" si="35"/>
        <v>14800.96</v>
      </c>
      <c r="AA290">
        <f t="shared" si="36"/>
        <v>2752.5699999999997</v>
      </c>
      <c r="AB290">
        <f t="shared" si="37"/>
        <v>18.597239638509933</v>
      </c>
      <c r="AC290">
        <f t="shared" si="38"/>
        <v>5</v>
      </c>
      <c r="AD290">
        <f t="shared" si="39"/>
        <v>2024</v>
      </c>
      <c r="AE290" t="str">
        <f t="shared" si="40"/>
        <v>CLEAN</v>
      </c>
    </row>
    <row r="291" spans="1:31">
      <c r="A291" t="s">
        <v>2139</v>
      </c>
      <c r="B291" s="2">
        <v>45376</v>
      </c>
      <c r="C291" s="2">
        <v>45384</v>
      </c>
      <c r="D291" s="5">
        <f>C291-B291</f>
        <v>8</v>
      </c>
      <c r="E291" s="5" t="str">
        <f>IF(D291&lt;0,"INVALID","OK")</f>
        <v>OK</v>
      </c>
      <c r="F291" t="s">
        <v>2140</v>
      </c>
      <c r="G291" t="s">
        <v>131</v>
      </c>
      <c r="H291" t="s">
        <v>94</v>
      </c>
      <c r="I291" t="s">
        <v>53</v>
      </c>
      <c r="J291" t="s">
        <v>246</v>
      </c>
      <c r="K291" t="s">
        <v>247</v>
      </c>
      <c r="L291" t="s">
        <v>73</v>
      </c>
      <c r="M291" t="s">
        <v>79</v>
      </c>
      <c r="N291" t="s">
        <v>2141</v>
      </c>
      <c r="O291" t="s">
        <v>58</v>
      </c>
      <c r="P291">
        <v>2</v>
      </c>
      <c r="Q291">
        <v>2349.13</v>
      </c>
      <c r="R291">
        <v>0</v>
      </c>
      <c r="S291" t="str">
        <f t="shared" si="33"/>
        <v>OK</v>
      </c>
      <c r="T291">
        <v>4698.26</v>
      </c>
      <c r="U291">
        <v>2654.92</v>
      </c>
      <c r="V291">
        <v>2043.34</v>
      </c>
      <c r="W291" t="s">
        <v>31</v>
      </c>
      <c r="X291" t="s">
        <v>32</v>
      </c>
      <c r="Y291">
        <f t="shared" si="34"/>
        <v>0</v>
      </c>
      <c r="Z291">
        <f t="shared" si="35"/>
        <v>4698.26</v>
      </c>
      <c r="AA291">
        <f t="shared" si="36"/>
        <v>2043.3400000000001</v>
      </c>
      <c r="AB291">
        <f t="shared" si="37"/>
        <v>43.491420227914162</v>
      </c>
      <c r="AC291">
        <f t="shared" si="38"/>
        <v>3</v>
      </c>
      <c r="AD291">
        <f t="shared" si="39"/>
        <v>2024</v>
      </c>
      <c r="AE291" t="str">
        <f t="shared" si="40"/>
        <v>CLEAN</v>
      </c>
    </row>
    <row r="292" spans="1:31">
      <c r="A292" t="s">
        <v>2154</v>
      </c>
      <c r="B292" s="2">
        <v>45641</v>
      </c>
      <c r="C292" s="2">
        <v>45642</v>
      </c>
      <c r="D292" s="5">
        <f>C292-B292</f>
        <v>1</v>
      </c>
      <c r="E292" s="5" t="str">
        <f>IF(D292&lt;0,"INVALID","OK")</f>
        <v>OK</v>
      </c>
      <c r="F292" t="s">
        <v>2155</v>
      </c>
      <c r="G292" t="s">
        <v>140</v>
      </c>
      <c r="H292" t="s">
        <v>23</v>
      </c>
      <c r="I292" t="s">
        <v>37</v>
      </c>
      <c r="J292" t="s">
        <v>38</v>
      </c>
      <c r="K292" t="s">
        <v>39</v>
      </c>
      <c r="L292" t="s">
        <v>73</v>
      </c>
      <c r="M292" t="s">
        <v>79</v>
      </c>
      <c r="N292" t="s">
        <v>2156</v>
      </c>
      <c r="O292" t="s">
        <v>30</v>
      </c>
      <c r="P292">
        <v>6</v>
      </c>
      <c r="Q292">
        <v>1538.1</v>
      </c>
      <c r="R292">
        <v>0.05</v>
      </c>
      <c r="S292" t="str">
        <f t="shared" si="33"/>
        <v>OK</v>
      </c>
      <c r="T292">
        <v>8767.17</v>
      </c>
      <c r="U292">
        <v>5098.2</v>
      </c>
      <c r="V292">
        <v>3668.97</v>
      </c>
      <c r="W292" t="s">
        <v>31</v>
      </c>
      <c r="X292" t="s">
        <v>32</v>
      </c>
      <c r="Y292">
        <f t="shared" si="34"/>
        <v>0.05</v>
      </c>
      <c r="Z292">
        <f t="shared" si="35"/>
        <v>8767.1699999999983</v>
      </c>
      <c r="AA292">
        <f t="shared" si="36"/>
        <v>3668.9699999999984</v>
      </c>
      <c r="AB292">
        <f t="shared" si="37"/>
        <v>41.848966085977565</v>
      </c>
      <c r="AC292">
        <f t="shared" si="38"/>
        <v>12</v>
      </c>
      <c r="AD292">
        <f t="shared" si="39"/>
        <v>2024</v>
      </c>
      <c r="AE292" t="str">
        <f t="shared" si="40"/>
        <v>CLEAN</v>
      </c>
    </row>
    <row r="293" spans="1:31">
      <c r="A293" t="s">
        <v>2165</v>
      </c>
      <c r="B293" s="2">
        <v>45474</v>
      </c>
      <c r="C293" s="2">
        <v>45298</v>
      </c>
      <c r="D293" s="5">
        <f>C293-B293</f>
        <v>-176</v>
      </c>
      <c r="E293" s="5" t="str">
        <f>IF(D293&lt;0,"INVALID","OK")</f>
        <v>INVALID</v>
      </c>
      <c r="F293" t="s">
        <v>2166</v>
      </c>
      <c r="G293" t="s">
        <v>127</v>
      </c>
      <c r="H293" t="s">
        <v>23</v>
      </c>
      <c r="I293" t="s">
        <v>62</v>
      </c>
      <c r="J293" t="s">
        <v>71</v>
      </c>
      <c r="K293" t="s">
        <v>72</v>
      </c>
      <c r="L293" t="s">
        <v>73</v>
      </c>
      <c r="M293" t="s">
        <v>273</v>
      </c>
      <c r="N293" t="s">
        <v>2167</v>
      </c>
      <c r="O293" t="s">
        <v>58</v>
      </c>
      <c r="P293">
        <v>4</v>
      </c>
      <c r="Q293">
        <v>257.39</v>
      </c>
      <c r="R293">
        <v>0</v>
      </c>
      <c r="S293" t="str">
        <f t="shared" si="33"/>
        <v>OK</v>
      </c>
      <c r="T293">
        <v>1029.56</v>
      </c>
      <c r="U293">
        <v>626.33000000000004</v>
      </c>
      <c r="V293">
        <v>403.23</v>
      </c>
      <c r="W293" t="s">
        <v>31</v>
      </c>
      <c r="X293" t="s">
        <v>32</v>
      </c>
      <c r="Y293">
        <f t="shared" si="34"/>
        <v>0</v>
      </c>
      <c r="Z293">
        <f t="shared" si="35"/>
        <v>1029.56</v>
      </c>
      <c r="AA293">
        <f t="shared" si="36"/>
        <v>403.2299999999999</v>
      </c>
      <c r="AB293">
        <f t="shared" si="37"/>
        <v>39.165274486188267</v>
      </c>
      <c r="AC293">
        <f t="shared" si="38"/>
        <v>7</v>
      </c>
      <c r="AD293">
        <f t="shared" si="39"/>
        <v>2024</v>
      </c>
      <c r="AE293" t="str">
        <f t="shared" si="40"/>
        <v>INVALID</v>
      </c>
    </row>
    <row r="294" spans="1:31">
      <c r="A294" t="s">
        <v>2174</v>
      </c>
      <c r="B294" s="2">
        <v>45549</v>
      </c>
      <c r="C294" s="2">
        <v>45549</v>
      </c>
      <c r="D294" s="5">
        <f>C294-B294</f>
        <v>0</v>
      </c>
      <c r="E294" s="5" t="str">
        <f>IF(D294&lt;0,"INVALID","OK")</f>
        <v>OK</v>
      </c>
      <c r="F294" t="s">
        <v>2175</v>
      </c>
      <c r="G294" t="s">
        <v>35</v>
      </c>
      <c r="H294" t="s">
        <v>89</v>
      </c>
      <c r="I294" t="s">
        <v>24</v>
      </c>
      <c r="J294" t="s">
        <v>25</v>
      </c>
      <c r="K294" t="s">
        <v>26</v>
      </c>
      <c r="L294" t="s">
        <v>73</v>
      </c>
      <c r="M294" t="s">
        <v>273</v>
      </c>
      <c r="N294" t="s">
        <v>2176</v>
      </c>
      <c r="O294" t="s">
        <v>58</v>
      </c>
      <c r="P294">
        <v>8</v>
      </c>
      <c r="Q294">
        <v>4081.66</v>
      </c>
      <c r="R294">
        <v>0.15</v>
      </c>
      <c r="S294" t="str">
        <f t="shared" si="33"/>
        <v>OK</v>
      </c>
      <c r="T294">
        <v>28208.1</v>
      </c>
      <c r="U294">
        <v>23751.91</v>
      </c>
      <c r="V294">
        <v>4003.38</v>
      </c>
      <c r="W294" t="s">
        <v>31</v>
      </c>
      <c r="X294" t="s">
        <v>102</v>
      </c>
      <c r="Y294">
        <f t="shared" si="34"/>
        <v>0.15</v>
      </c>
      <c r="Z294">
        <f t="shared" si="35"/>
        <v>27755.287999999997</v>
      </c>
      <c r="AA294">
        <f t="shared" si="36"/>
        <v>4003.377999999997</v>
      </c>
      <c r="AB294">
        <f t="shared" si="37"/>
        <v>14.423838801456492</v>
      </c>
      <c r="AC294">
        <f t="shared" si="38"/>
        <v>9</v>
      </c>
      <c r="AD294">
        <f t="shared" si="39"/>
        <v>2024</v>
      </c>
      <c r="AE294" t="str">
        <f t="shared" si="40"/>
        <v>CLEAN</v>
      </c>
    </row>
    <row r="295" spans="1:31">
      <c r="A295" t="s">
        <v>2177</v>
      </c>
      <c r="B295" s="2">
        <v>45454</v>
      </c>
      <c r="C295" s="2">
        <v>45454</v>
      </c>
      <c r="D295" s="5">
        <f>C295-B295</f>
        <v>0</v>
      </c>
      <c r="E295" s="5" t="str">
        <f>IF(D295&lt;0,"INVALID","OK")</f>
        <v>OK</v>
      </c>
      <c r="F295" t="s">
        <v>2178</v>
      </c>
      <c r="G295" t="s">
        <v>52</v>
      </c>
      <c r="H295" t="s">
        <v>36</v>
      </c>
      <c r="I295" t="s">
        <v>53</v>
      </c>
      <c r="J295" t="s">
        <v>174</v>
      </c>
      <c r="K295" t="s">
        <v>175</v>
      </c>
      <c r="L295" t="s">
        <v>40</v>
      </c>
      <c r="M295" t="s">
        <v>157</v>
      </c>
      <c r="N295" t="s">
        <v>2179</v>
      </c>
      <c r="O295" t="s">
        <v>58</v>
      </c>
      <c r="P295">
        <v>9</v>
      </c>
      <c r="Q295">
        <v>1400.11</v>
      </c>
      <c r="R295">
        <v>0.25</v>
      </c>
      <c r="S295" t="str">
        <f t="shared" si="33"/>
        <v>OK</v>
      </c>
      <c r="T295">
        <v>9450.74</v>
      </c>
      <c r="U295">
        <v>7798.56</v>
      </c>
      <c r="V295">
        <v>1652.18</v>
      </c>
      <c r="W295" t="s">
        <v>31</v>
      </c>
      <c r="X295" t="s">
        <v>32</v>
      </c>
      <c r="Y295">
        <f t="shared" si="34"/>
        <v>0.25</v>
      </c>
      <c r="Z295">
        <f t="shared" si="35"/>
        <v>9450.7425000000003</v>
      </c>
      <c r="AA295">
        <f t="shared" si="36"/>
        <v>1652.1824999999999</v>
      </c>
      <c r="AB295">
        <f t="shared" si="37"/>
        <v>17.482039109625511</v>
      </c>
      <c r="AC295">
        <f t="shared" si="38"/>
        <v>6</v>
      </c>
      <c r="AD295">
        <f t="shared" si="39"/>
        <v>2024</v>
      </c>
      <c r="AE295" t="str">
        <f t="shared" si="40"/>
        <v>CLEAN</v>
      </c>
    </row>
    <row r="296" spans="1:31">
      <c r="A296" t="s">
        <v>2180</v>
      </c>
      <c r="B296" s="2">
        <v>45553</v>
      </c>
      <c r="C296" s="2">
        <v>45556</v>
      </c>
      <c r="D296" s="5">
        <f>C296-B296</f>
        <v>3</v>
      </c>
      <c r="E296" s="5" t="str">
        <f>IF(D296&lt;0,"INVALID","OK")</f>
        <v>OK</v>
      </c>
      <c r="F296" t="s">
        <v>2181</v>
      </c>
      <c r="G296" t="s">
        <v>78</v>
      </c>
      <c r="H296" t="s">
        <v>89</v>
      </c>
      <c r="I296" t="s">
        <v>37</v>
      </c>
      <c r="J296" t="s">
        <v>98</v>
      </c>
      <c r="K296" t="s">
        <v>99</v>
      </c>
      <c r="L296" t="s">
        <v>73</v>
      </c>
      <c r="M296" t="s">
        <v>273</v>
      </c>
      <c r="N296" t="s">
        <v>2182</v>
      </c>
      <c r="O296" t="s">
        <v>58</v>
      </c>
      <c r="P296">
        <v>3</v>
      </c>
      <c r="Q296">
        <v>3055.9</v>
      </c>
      <c r="R296">
        <v>0.15</v>
      </c>
      <c r="S296" t="str">
        <f t="shared" ref="S296:S349" si="41">IF(R296&lt;0,"INVALID",IF(R296&gt;0.5,"INVALID","OK"))</f>
        <v>OK</v>
      </c>
      <c r="T296">
        <v>7792.55</v>
      </c>
      <c r="U296">
        <v>4691.7299999999996</v>
      </c>
      <c r="V296">
        <v>3100.82</v>
      </c>
      <c r="W296" t="s">
        <v>31</v>
      </c>
      <c r="X296" t="s">
        <v>32</v>
      </c>
      <c r="Y296">
        <f t="shared" si="34"/>
        <v>0.15</v>
      </c>
      <c r="Z296">
        <f t="shared" si="35"/>
        <v>7792.5450000000001</v>
      </c>
      <c r="AA296">
        <f t="shared" si="36"/>
        <v>3100.8150000000005</v>
      </c>
      <c r="AB296">
        <f t="shared" si="37"/>
        <v>39.792070498149201</v>
      </c>
      <c r="AC296">
        <f t="shared" si="38"/>
        <v>9</v>
      </c>
      <c r="AD296">
        <f t="shared" si="39"/>
        <v>2024</v>
      </c>
      <c r="AE296" t="str">
        <f t="shared" si="40"/>
        <v>CLEAN</v>
      </c>
    </row>
    <row r="297" spans="1:31">
      <c r="A297" t="s">
        <v>2183</v>
      </c>
      <c r="B297" s="2">
        <v>45412</v>
      </c>
      <c r="C297" s="2">
        <v>45416</v>
      </c>
      <c r="D297" s="5">
        <f>C297-B297</f>
        <v>4</v>
      </c>
      <c r="E297" s="5" t="str">
        <f>IF(D297&lt;0,"INVALID","OK")</f>
        <v>OK</v>
      </c>
      <c r="F297" t="s">
        <v>2184</v>
      </c>
      <c r="G297" t="s">
        <v>140</v>
      </c>
      <c r="H297" t="s">
        <v>36</v>
      </c>
      <c r="I297" t="s">
        <v>62</v>
      </c>
      <c r="J297" t="s">
        <v>179</v>
      </c>
      <c r="K297" t="s">
        <v>180</v>
      </c>
      <c r="L297" t="s">
        <v>27</v>
      </c>
      <c r="M297" t="s">
        <v>47</v>
      </c>
      <c r="N297" t="s">
        <v>2185</v>
      </c>
      <c r="O297" t="s">
        <v>43</v>
      </c>
      <c r="P297">
        <v>7</v>
      </c>
      <c r="Q297">
        <v>1224.94</v>
      </c>
      <c r="R297">
        <v>0</v>
      </c>
      <c r="S297" t="str">
        <f t="shared" si="41"/>
        <v>OK</v>
      </c>
      <c r="T297">
        <v>8574.58</v>
      </c>
      <c r="U297">
        <v>6685.81</v>
      </c>
      <c r="V297">
        <v>1888.77</v>
      </c>
      <c r="W297" t="s">
        <v>31</v>
      </c>
      <c r="X297" t="s">
        <v>102</v>
      </c>
      <c r="Y297">
        <f t="shared" si="34"/>
        <v>0</v>
      </c>
      <c r="Z297">
        <f t="shared" si="35"/>
        <v>8574.58</v>
      </c>
      <c r="AA297">
        <f t="shared" si="36"/>
        <v>1888.7699999999995</v>
      </c>
      <c r="AB297">
        <f t="shared" si="37"/>
        <v>22.027551203674111</v>
      </c>
      <c r="AC297">
        <f t="shared" si="38"/>
        <v>4</v>
      </c>
      <c r="AD297">
        <f t="shared" si="39"/>
        <v>2024</v>
      </c>
      <c r="AE297" t="str">
        <f t="shared" si="40"/>
        <v>CLEAN</v>
      </c>
    </row>
    <row r="298" spans="1:31">
      <c r="A298" t="s">
        <v>2189</v>
      </c>
      <c r="B298" s="2">
        <v>45584</v>
      </c>
      <c r="C298" s="2">
        <v>45585</v>
      </c>
      <c r="D298" s="5">
        <f>C298-B298</f>
        <v>1</v>
      </c>
      <c r="E298" s="5" t="str">
        <f>IF(D298&lt;0,"INVALID","OK")</f>
        <v>OK</v>
      </c>
      <c r="F298" t="s">
        <v>2190</v>
      </c>
      <c r="G298" t="s">
        <v>88</v>
      </c>
      <c r="H298" t="s">
        <v>89</v>
      </c>
      <c r="I298" t="s">
        <v>24</v>
      </c>
      <c r="J298" t="s">
        <v>25</v>
      </c>
      <c r="K298" t="s">
        <v>26</v>
      </c>
      <c r="L298" t="s">
        <v>40</v>
      </c>
      <c r="M298" t="s">
        <v>41</v>
      </c>
      <c r="N298" t="s">
        <v>2191</v>
      </c>
      <c r="O298" t="s">
        <v>49</v>
      </c>
      <c r="P298">
        <v>1</v>
      </c>
      <c r="Q298">
        <v>1150.03</v>
      </c>
      <c r="R298">
        <v>0.1</v>
      </c>
      <c r="S298" t="str">
        <f t="shared" si="41"/>
        <v>OK</v>
      </c>
      <c r="T298">
        <v>1035.03</v>
      </c>
      <c r="U298">
        <v>854.35</v>
      </c>
      <c r="V298">
        <v>180.68</v>
      </c>
      <c r="W298" t="s">
        <v>31</v>
      </c>
      <c r="X298" t="s">
        <v>32</v>
      </c>
      <c r="Y298">
        <f t="shared" si="34"/>
        <v>0.1</v>
      </c>
      <c r="Z298">
        <f t="shared" si="35"/>
        <v>1035.027</v>
      </c>
      <c r="AA298">
        <f t="shared" si="36"/>
        <v>180.67700000000002</v>
      </c>
      <c r="AB298">
        <f t="shared" si="37"/>
        <v>17.456259595160319</v>
      </c>
      <c r="AC298">
        <f t="shared" si="38"/>
        <v>10</v>
      </c>
      <c r="AD298">
        <f t="shared" si="39"/>
        <v>2024</v>
      </c>
      <c r="AE298" t="str">
        <f t="shared" si="40"/>
        <v>CLEAN</v>
      </c>
    </row>
    <row r="299" spans="1:31">
      <c r="A299" t="s">
        <v>2192</v>
      </c>
      <c r="B299" s="2">
        <v>45364</v>
      </c>
      <c r="C299" s="2">
        <v>45371</v>
      </c>
      <c r="D299" s="5">
        <f>C299-B299</f>
        <v>7</v>
      </c>
      <c r="E299" s="5" t="str">
        <f>IF(D299&lt;0,"INVALID","OK")</f>
        <v>OK</v>
      </c>
      <c r="F299" t="s">
        <v>2193</v>
      </c>
      <c r="G299" t="s">
        <v>113</v>
      </c>
      <c r="H299" t="s">
        <v>94</v>
      </c>
      <c r="I299" t="s">
        <v>53</v>
      </c>
      <c r="J299" t="s">
        <v>246</v>
      </c>
      <c r="K299" t="s">
        <v>247</v>
      </c>
      <c r="L299" t="s">
        <v>40</v>
      </c>
      <c r="M299" t="s">
        <v>157</v>
      </c>
      <c r="N299" t="s">
        <v>2194</v>
      </c>
      <c r="O299" t="s">
        <v>2762</v>
      </c>
      <c r="P299">
        <v>1</v>
      </c>
      <c r="Q299">
        <v>2825.63</v>
      </c>
      <c r="R299">
        <v>0.15</v>
      </c>
      <c r="S299" t="str">
        <f t="shared" si="41"/>
        <v>OK</v>
      </c>
      <c r="T299">
        <v>2401.79</v>
      </c>
      <c r="U299">
        <v>1820.34</v>
      </c>
      <c r="V299">
        <v>581.45000000000005</v>
      </c>
      <c r="W299" t="s">
        <v>31</v>
      </c>
      <c r="X299" t="s">
        <v>32</v>
      </c>
      <c r="Y299">
        <f t="shared" si="34"/>
        <v>0.15</v>
      </c>
      <c r="Z299">
        <f t="shared" si="35"/>
        <v>2401.7855</v>
      </c>
      <c r="AA299">
        <f t="shared" si="36"/>
        <v>581.44550000000004</v>
      </c>
      <c r="AB299">
        <f t="shared" si="37"/>
        <v>24.208885431276027</v>
      </c>
      <c r="AC299">
        <f t="shared" si="38"/>
        <v>3</v>
      </c>
      <c r="AD299">
        <f t="shared" si="39"/>
        <v>2024</v>
      </c>
      <c r="AE299" t="str">
        <f t="shared" si="40"/>
        <v>CLEAN</v>
      </c>
    </row>
    <row r="300" spans="1:31">
      <c r="A300" t="s">
        <v>2195</v>
      </c>
      <c r="B300" s="2">
        <v>45543</v>
      </c>
      <c r="C300" s="2">
        <v>45549</v>
      </c>
      <c r="D300" s="5">
        <f>C300-B300</f>
        <v>6</v>
      </c>
      <c r="E300" s="5" t="str">
        <f>IF(D300&lt;0,"INVALID","OK")</f>
        <v>OK</v>
      </c>
      <c r="F300" t="s">
        <v>2196</v>
      </c>
      <c r="G300" t="s">
        <v>140</v>
      </c>
      <c r="H300" t="s">
        <v>23</v>
      </c>
      <c r="I300" t="s">
        <v>24</v>
      </c>
      <c r="J300" t="s">
        <v>25</v>
      </c>
      <c r="K300" t="s">
        <v>26</v>
      </c>
      <c r="L300" t="s">
        <v>27</v>
      </c>
      <c r="M300" t="s">
        <v>152</v>
      </c>
      <c r="N300" t="s">
        <v>2197</v>
      </c>
      <c r="O300" t="s">
        <v>58</v>
      </c>
      <c r="P300">
        <v>5</v>
      </c>
      <c r="Q300">
        <v>3371.75</v>
      </c>
      <c r="R300">
        <v>0.05</v>
      </c>
      <c r="S300" t="str">
        <f t="shared" si="41"/>
        <v>OK</v>
      </c>
      <c r="T300">
        <v>16015.81</v>
      </c>
      <c r="U300">
        <v>11352.38</v>
      </c>
      <c r="V300">
        <v>4663.43</v>
      </c>
      <c r="W300" t="s">
        <v>31</v>
      </c>
      <c r="X300" t="s">
        <v>32</v>
      </c>
      <c r="Y300">
        <f t="shared" si="34"/>
        <v>0.05</v>
      </c>
      <c r="Z300">
        <f t="shared" si="35"/>
        <v>16015.8125</v>
      </c>
      <c r="AA300">
        <f t="shared" si="36"/>
        <v>4663.4325000000008</v>
      </c>
      <c r="AB300">
        <f t="shared" si="37"/>
        <v>29.117676671102394</v>
      </c>
      <c r="AC300">
        <f t="shared" si="38"/>
        <v>9</v>
      </c>
      <c r="AD300">
        <f t="shared" si="39"/>
        <v>2024</v>
      </c>
      <c r="AE300" t="str">
        <f t="shared" si="40"/>
        <v>CLEAN</v>
      </c>
    </row>
    <row r="301" spans="1:31">
      <c r="A301" t="s">
        <v>2198</v>
      </c>
      <c r="B301" s="2">
        <v>45467</v>
      </c>
      <c r="C301" s="2">
        <v>45471</v>
      </c>
      <c r="D301" s="5">
        <f>C301-B301</f>
        <v>4</v>
      </c>
      <c r="E301" s="5" t="str">
        <f>IF(D301&lt;0,"INVALID","OK")</f>
        <v>OK</v>
      </c>
      <c r="F301" t="s">
        <v>2199</v>
      </c>
      <c r="G301" t="s">
        <v>46</v>
      </c>
      <c r="H301" t="s">
        <v>36</v>
      </c>
      <c r="I301" t="s">
        <v>37</v>
      </c>
      <c r="J301" t="s">
        <v>38</v>
      </c>
      <c r="K301" t="s">
        <v>39</v>
      </c>
      <c r="L301" t="s">
        <v>27</v>
      </c>
      <c r="M301" t="s">
        <v>28</v>
      </c>
      <c r="N301" t="s">
        <v>2200</v>
      </c>
      <c r="O301" t="s">
        <v>43</v>
      </c>
      <c r="P301">
        <v>1</v>
      </c>
      <c r="Q301">
        <v>2112.75</v>
      </c>
      <c r="R301">
        <v>0.1</v>
      </c>
      <c r="S301" t="str">
        <f t="shared" si="41"/>
        <v>OK</v>
      </c>
      <c r="T301">
        <v>1901.48</v>
      </c>
      <c r="U301">
        <v>1354.28</v>
      </c>
      <c r="V301">
        <v>547.20000000000005</v>
      </c>
      <c r="W301" t="s">
        <v>31</v>
      </c>
      <c r="X301" t="s">
        <v>32</v>
      </c>
      <c r="Y301">
        <f t="shared" si="34"/>
        <v>0.1</v>
      </c>
      <c r="Z301">
        <f t="shared" si="35"/>
        <v>1901.4750000000001</v>
      </c>
      <c r="AA301">
        <f t="shared" si="36"/>
        <v>547.19500000000016</v>
      </c>
      <c r="AB301">
        <f t="shared" si="37"/>
        <v>28.777396494826391</v>
      </c>
      <c r="AC301">
        <f t="shared" si="38"/>
        <v>6</v>
      </c>
      <c r="AD301">
        <f t="shared" si="39"/>
        <v>2024</v>
      </c>
      <c r="AE301" t="str">
        <f t="shared" si="40"/>
        <v>CLEAN</v>
      </c>
    </row>
    <row r="302" spans="1:31">
      <c r="A302" t="s">
        <v>2210</v>
      </c>
      <c r="B302" s="2">
        <v>45485</v>
      </c>
      <c r="C302" s="2">
        <v>45492</v>
      </c>
      <c r="D302" s="5">
        <f>C302-B302</f>
        <v>7</v>
      </c>
      <c r="E302" s="5" t="str">
        <f>IF(D302&lt;0,"INVALID","OK")</f>
        <v>OK</v>
      </c>
      <c r="F302" t="s">
        <v>2211</v>
      </c>
      <c r="G302" t="s">
        <v>70</v>
      </c>
      <c r="H302" t="s">
        <v>89</v>
      </c>
      <c r="I302" t="s">
        <v>24</v>
      </c>
      <c r="J302" t="s">
        <v>121</v>
      </c>
      <c r="K302" t="s">
        <v>122</v>
      </c>
      <c r="L302" t="s">
        <v>27</v>
      </c>
      <c r="M302" t="s">
        <v>47</v>
      </c>
      <c r="N302" t="s">
        <v>2212</v>
      </c>
      <c r="O302" t="s">
        <v>30</v>
      </c>
      <c r="P302">
        <v>5</v>
      </c>
      <c r="Q302">
        <v>1559.16</v>
      </c>
      <c r="R302">
        <v>0.05</v>
      </c>
      <c r="S302" t="str">
        <f t="shared" si="41"/>
        <v>OK</v>
      </c>
      <c r="T302">
        <v>7406.01</v>
      </c>
      <c r="U302">
        <v>5941.74</v>
      </c>
      <c r="V302">
        <v>1464.27</v>
      </c>
      <c r="W302" t="s">
        <v>31</v>
      </c>
      <c r="X302" t="s">
        <v>32</v>
      </c>
      <c r="Y302">
        <f t="shared" si="34"/>
        <v>0.05</v>
      </c>
      <c r="Z302">
        <f t="shared" si="35"/>
        <v>7406.01</v>
      </c>
      <c r="AA302">
        <f t="shared" si="36"/>
        <v>1464.2700000000004</v>
      </c>
      <c r="AB302">
        <f t="shared" si="37"/>
        <v>19.771374869869206</v>
      </c>
      <c r="AC302">
        <f t="shared" si="38"/>
        <v>7</v>
      </c>
      <c r="AD302">
        <f t="shared" si="39"/>
        <v>2024</v>
      </c>
      <c r="AE302" t="str">
        <f t="shared" si="40"/>
        <v>CLEAN</v>
      </c>
    </row>
    <row r="303" spans="1:31">
      <c r="A303" t="s">
        <v>2216</v>
      </c>
      <c r="B303" s="2">
        <v>45332</v>
      </c>
      <c r="C303" s="2">
        <v>45340</v>
      </c>
      <c r="D303" s="5">
        <f>C303-B303</f>
        <v>8</v>
      </c>
      <c r="E303" s="5" t="str">
        <f>IF(D303&lt;0,"INVALID","OK")</f>
        <v>OK</v>
      </c>
      <c r="F303" t="s">
        <v>2217</v>
      </c>
      <c r="G303" t="s">
        <v>46</v>
      </c>
      <c r="H303" t="s">
        <v>94</v>
      </c>
      <c r="I303" t="s">
        <v>62</v>
      </c>
      <c r="J303" t="s">
        <v>71</v>
      </c>
      <c r="K303" t="s">
        <v>72</v>
      </c>
      <c r="L303" t="s">
        <v>40</v>
      </c>
      <c r="M303" t="s">
        <v>65</v>
      </c>
      <c r="N303" t="s">
        <v>2218</v>
      </c>
      <c r="O303" t="s">
        <v>49</v>
      </c>
      <c r="P303">
        <v>7</v>
      </c>
      <c r="Q303">
        <v>1382.86</v>
      </c>
      <c r="R303">
        <v>0</v>
      </c>
      <c r="S303" t="str">
        <f t="shared" si="41"/>
        <v>OK</v>
      </c>
      <c r="T303">
        <v>9680.02</v>
      </c>
      <c r="U303">
        <v>6876.66</v>
      </c>
      <c r="V303">
        <v>2803.36</v>
      </c>
      <c r="W303" t="s">
        <v>31</v>
      </c>
      <c r="X303" t="s">
        <v>32</v>
      </c>
      <c r="Y303">
        <f t="shared" si="34"/>
        <v>0</v>
      </c>
      <c r="Z303">
        <f t="shared" si="35"/>
        <v>9680.0199999999986</v>
      </c>
      <c r="AA303">
        <f t="shared" si="36"/>
        <v>2803.3599999999988</v>
      </c>
      <c r="AB303">
        <f t="shared" si="37"/>
        <v>28.960270743242255</v>
      </c>
      <c r="AC303">
        <f t="shared" si="38"/>
        <v>2</v>
      </c>
      <c r="AD303">
        <f t="shared" si="39"/>
        <v>2024</v>
      </c>
      <c r="AE303" t="str">
        <f t="shared" si="40"/>
        <v>CLEAN</v>
      </c>
    </row>
    <row r="304" spans="1:31">
      <c r="A304" t="s">
        <v>2233</v>
      </c>
      <c r="B304" s="2">
        <v>45541</v>
      </c>
      <c r="C304" s="2">
        <v>45544</v>
      </c>
      <c r="D304" s="5">
        <f>C304-B304</f>
        <v>3</v>
      </c>
      <c r="E304" s="5" t="str">
        <f>IF(D304&lt;0,"INVALID","OK")</f>
        <v>OK</v>
      </c>
      <c r="F304" t="s">
        <v>2234</v>
      </c>
      <c r="G304" t="s">
        <v>35</v>
      </c>
      <c r="H304" t="s">
        <v>23</v>
      </c>
      <c r="I304" t="s">
        <v>62</v>
      </c>
      <c r="J304" t="s">
        <v>63</v>
      </c>
      <c r="K304" t="s">
        <v>64</v>
      </c>
      <c r="L304" t="s">
        <v>27</v>
      </c>
      <c r="M304" t="s">
        <v>47</v>
      </c>
      <c r="N304" t="s">
        <v>2235</v>
      </c>
      <c r="O304" t="s">
        <v>43</v>
      </c>
      <c r="P304">
        <v>3</v>
      </c>
      <c r="Q304">
        <v>1972.27</v>
      </c>
      <c r="R304">
        <v>0.2</v>
      </c>
      <c r="S304" t="str">
        <f t="shared" si="41"/>
        <v>OK</v>
      </c>
      <c r="T304">
        <v>4733.45</v>
      </c>
      <c r="U304">
        <v>3672.32</v>
      </c>
      <c r="V304">
        <v>1061.1300000000001</v>
      </c>
      <c r="W304" t="s">
        <v>31</v>
      </c>
      <c r="X304" t="s">
        <v>32</v>
      </c>
      <c r="Y304">
        <f t="shared" si="34"/>
        <v>0.2</v>
      </c>
      <c r="Z304">
        <f t="shared" si="35"/>
        <v>4733.4479999999994</v>
      </c>
      <c r="AA304">
        <f t="shared" si="36"/>
        <v>1061.1279999999992</v>
      </c>
      <c r="AB304">
        <f t="shared" si="37"/>
        <v>22.417654107534283</v>
      </c>
      <c r="AC304">
        <f t="shared" si="38"/>
        <v>9</v>
      </c>
      <c r="AD304">
        <f t="shared" si="39"/>
        <v>2024</v>
      </c>
      <c r="AE304" t="str">
        <f t="shared" si="40"/>
        <v>CLEAN</v>
      </c>
    </row>
    <row r="305" spans="1:31">
      <c r="A305" t="s">
        <v>2238</v>
      </c>
      <c r="B305" s="2">
        <v>45489</v>
      </c>
      <c r="C305" s="2">
        <v>45489</v>
      </c>
      <c r="D305" s="5">
        <f>C305-B305</f>
        <v>0</v>
      </c>
      <c r="E305" s="5" t="str">
        <f>IF(D305&lt;0,"INVALID","OK")</f>
        <v>OK</v>
      </c>
      <c r="F305" t="s">
        <v>2239</v>
      </c>
      <c r="G305" t="s">
        <v>88</v>
      </c>
      <c r="H305" t="s">
        <v>94</v>
      </c>
      <c r="I305" t="s">
        <v>62</v>
      </c>
      <c r="J305" t="s">
        <v>71</v>
      </c>
      <c r="K305" t="s">
        <v>72</v>
      </c>
      <c r="L305" t="s">
        <v>73</v>
      </c>
      <c r="M305" t="s">
        <v>79</v>
      </c>
      <c r="N305" t="s">
        <v>2240</v>
      </c>
      <c r="O305" t="s">
        <v>43</v>
      </c>
      <c r="P305">
        <v>4</v>
      </c>
      <c r="Q305">
        <v>4479.92</v>
      </c>
      <c r="R305">
        <v>0.15</v>
      </c>
      <c r="S305" t="str">
        <f t="shared" si="41"/>
        <v>OK</v>
      </c>
      <c r="T305">
        <v>15231.73</v>
      </c>
      <c r="U305">
        <v>12451.46</v>
      </c>
      <c r="V305">
        <v>2780.27</v>
      </c>
      <c r="W305" t="s">
        <v>31</v>
      </c>
      <c r="X305" t="s">
        <v>32</v>
      </c>
      <c r="Y305">
        <f t="shared" si="34"/>
        <v>0.15</v>
      </c>
      <c r="Z305">
        <f t="shared" si="35"/>
        <v>15231.727999999999</v>
      </c>
      <c r="AA305">
        <f t="shared" si="36"/>
        <v>2780.268</v>
      </c>
      <c r="AB305">
        <f t="shared" si="37"/>
        <v>18.253135822803561</v>
      </c>
      <c r="AC305">
        <f t="shared" si="38"/>
        <v>7</v>
      </c>
      <c r="AD305">
        <f t="shared" si="39"/>
        <v>2024</v>
      </c>
      <c r="AE305" t="str">
        <f t="shared" si="40"/>
        <v>CLEAN</v>
      </c>
    </row>
    <row r="306" spans="1:31">
      <c r="A306" t="s">
        <v>2250</v>
      </c>
      <c r="B306" s="2">
        <v>45332</v>
      </c>
      <c r="C306" s="2">
        <v>45338</v>
      </c>
      <c r="D306" s="5">
        <f>C306-B306</f>
        <v>6</v>
      </c>
      <c r="E306" s="5" t="str">
        <f>IF(D306&lt;0,"INVALID","OK")</f>
        <v>OK</v>
      </c>
      <c r="F306" t="s">
        <v>2251</v>
      </c>
      <c r="G306" t="s">
        <v>22</v>
      </c>
      <c r="H306" t="s">
        <v>23</v>
      </c>
      <c r="I306" t="s">
        <v>62</v>
      </c>
      <c r="J306" t="s">
        <v>189</v>
      </c>
      <c r="K306" t="s">
        <v>190</v>
      </c>
      <c r="L306" t="s">
        <v>40</v>
      </c>
      <c r="M306" t="s">
        <v>56</v>
      </c>
      <c r="N306" t="s">
        <v>2252</v>
      </c>
      <c r="O306" t="s">
        <v>30</v>
      </c>
      <c r="P306">
        <v>3</v>
      </c>
      <c r="Q306">
        <v>253.43</v>
      </c>
      <c r="R306">
        <v>0</v>
      </c>
      <c r="S306" t="str">
        <f t="shared" si="41"/>
        <v>OK</v>
      </c>
      <c r="T306">
        <v>760.29</v>
      </c>
      <c r="U306">
        <v>497.77</v>
      </c>
      <c r="V306">
        <v>262.52</v>
      </c>
      <c r="W306" t="s">
        <v>31</v>
      </c>
      <c r="X306" t="s">
        <v>32</v>
      </c>
      <c r="Y306">
        <f t="shared" si="34"/>
        <v>0</v>
      </c>
      <c r="Z306">
        <f t="shared" si="35"/>
        <v>760.29</v>
      </c>
      <c r="AA306">
        <f t="shared" si="36"/>
        <v>262.52</v>
      </c>
      <c r="AB306">
        <f t="shared" si="37"/>
        <v>34.528929750489944</v>
      </c>
      <c r="AC306">
        <f t="shared" si="38"/>
        <v>2</v>
      </c>
      <c r="AD306">
        <f t="shared" si="39"/>
        <v>2024</v>
      </c>
      <c r="AE306" t="str">
        <f t="shared" si="40"/>
        <v>CLEAN</v>
      </c>
    </row>
    <row r="307" spans="1:31">
      <c r="A307" t="s">
        <v>2256</v>
      </c>
      <c r="B307" s="2">
        <v>45308</v>
      </c>
      <c r="C307" s="2">
        <v>45314</v>
      </c>
      <c r="D307" s="5">
        <f>C307-B307</f>
        <v>6</v>
      </c>
      <c r="E307" s="5" t="str">
        <f>IF(D307&lt;0,"INVALID","OK")</f>
        <v>OK</v>
      </c>
      <c r="F307" t="s">
        <v>2257</v>
      </c>
      <c r="G307" t="s">
        <v>263</v>
      </c>
      <c r="H307" t="s">
        <v>94</v>
      </c>
      <c r="I307" t="s">
        <v>62</v>
      </c>
      <c r="J307" t="s">
        <v>179</v>
      </c>
      <c r="K307" t="s">
        <v>180</v>
      </c>
      <c r="L307" t="s">
        <v>73</v>
      </c>
      <c r="M307" t="s">
        <v>170</v>
      </c>
      <c r="N307" t="s">
        <v>2258</v>
      </c>
      <c r="O307" t="s">
        <v>58</v>
      </c>
      <c r="P307">
        <v>5</v>
      </c>
      <c r="Q307">
        <v>2018</v>
      </c>
      <c r="R307">
        <v>0.2</v>
      </c>
      <c r="S307" t="str">
        <f t="shared" si="41"/>
        <v>OK</v>
      </c>
      <c r="T307">
        <v>8072</v>
      </c>
      <c r="U307">
        <v>5379.22</v>
      </c>
      <c r="V307">
        <v>2692.78</v>
      </c>
      <c r="W307" t="s">
        <v>110</v>
      </c>
      <c r="X307" t="s">
        <v>102</v>
      </c>
      <c r="Y307">
        <f t="shared" si="34"/>
        <v>0.2</v>
      </c>
      <c r="Z307">
        <f t="shared" si="35"/>
        <v>8072</v>
      </c>
      <c r="AA307">
        <f t="shared" si="36"/>
        <v>2692.7799999999997</v>
      </c>
      <c r="AB307">
        <f t="shared" si="37"/>
        <v>33.359514370664023</v>
      </c>
      <c r="AC307">
        <f t="shared" si="38"/>
        <v>1</v>
      </c>
      <c r="AD307">
        <f t="shared" si="39"/>
        <v>2024</v>
      </c>
      <c r="AE307" t="str">
        <f t="shared" si="40"/>
        <v>CLEAN</v>
      </c>
    </row>
    <row r="308" spans="1:31">
      <c r="A308" t="s">
        <v>2259</v>
      </c>
      <c r="B308" s="2">
        <v>45578</v>
      </c>
      <c r="C308" s="2">
        <v>45578</v>
      </c>
      <c r="D308" s="5">
        <f>C308-B308</f>
        <v>0</v>
      </c>
      <c r="E308" s="5" t="str">
        <f>IF(D308&lt;0,"INVALID","OK")</f>
        <v>OK</v>
      </c>
      <c r="F308" t="s">
        <v>2260</v>
      </c>
      <c r="G308" t="s">
        <v>127</v>
      </c>
      <c r="H308" t="s">
        <v>36</v>
      </c>
      <c r="I308" t="s">
        <v>37</v>
      </c>
      <c r="J308" t="s">
        <v>165</v>
      </c>
      <c r="K308" t="s">
        <v>166</v>
      </c>
      <c r="L308" t="s">
        <v>73</v>
      </c>
      <c r="M308" t="s">
        <v>74</v>
      </c>
      <c r="N308" t="s">
        <v>2261</v>
      </c>
      <c r="O308" t="s">
        <v>30</v>
      </c>
      <c r="P308">
        <v>8</v>
      </c>
      <c r="Q308">
        <v>3730.66</v>
      </c>
      <c r="R308">
        <v>0.05</v>
      </c>
      <c r="S308" t="str">
        <f t="shared" si="41"/>
        <v>OK</v>
      </c>
      <c r="T308">
        <v>28353.02</v>
      </c>
      <c r="U308">
        <v>19257.849999999999</v>
      </c>
      <c r="V308">
        <v>9095.17</v>
      </c>
      <c r="W308" t="s">
        <v>31</v>
      </c>
      <c r="X308" t="s">
        <v>32</v>
      </c>
      <c r="Y308">
        <f t="shared" si="34"/>
        <v>0.05</v>
      </c>
      <c r="Z308">
        <f t="shared" si="35"/>
        <v>28353.015999999996</v>
      </c>
      <c r="AA308">
        <f t="shared" si="36"/>
        <v>9095.1659999999974</v>
      </c>
      <c r="AB308">
        <f t="shared" si="37"/>
        <v>32.078301652282768</v>
      </c>
      <c r="AC308">
        <f t="shared" si="38"/>
        <v>10</v>
      </c>
      <c r="AD308">
        <f t="shared" si="39"/>
        <v>2024</v>
      </c>
      <c r="AE308" t="str">
        <f t="shared" si="40"/>
        <v>CLEAN</v>
      </c>
    </row>
    <row r="309" spans="1:31">
      <c r="A309" t="s">
        <v>2262</v>
      </c>
      <c r="B309" s="2">
        <v>45295</v>
      </c>
      <c r="C309" s="2">
        <v>45474</v>
      </c>
      <c r="D309" s="5">
        <f>C309-B309</f>
        <v>179</v>
      </c>
      <c r="E309" s="5" t="str">
        <f>IF(D309&lt;0,"INVALID","OK")</f>
        <v>OK</v>
      </c>
      <c r="F309" t="s">
        <v>2263</v>
      </c>
      <c r="G309" t="s">
        <v>131</v>
      </c>
      <c r="H309" t="s">
        <v>36</v>
      </c>
      <c r="I309" t="s">
        <v>53</v>
      </c>
      <c r="J309" t="s">
        <v>174</v>
      </c>
      <c r="K309" t="s">
        <v>175</v>
      </c>
      <c r="L309" t="s">
        <v>73</v>
      </c>
      <c r="M309" t="s">
        <v>273</v>
      </c>
      <c r="N309" t="s">
        <v>2264</v>
      </c>
      <c r="O309" t="s">
        <v>49</v>
      </c>
      <c r="P309">
        <v>1</v>
      </c>
      <c r="Q309">
        <v>2363.02</v>
      </c>
      <c r="R309">
        <v>0.15</v>
      </c>
      <c r="S309" t="str">
        <f t="shared" si="41"/>
        <v>OK</v>
      </c>
      <c r="T309">
        <v>2008.57</v>
      </c>
      <c r="U309">
        <v>1194.83</v>
      </c>
      <c r="V309">
        <v>813.74</v>
      </c>
      <c r="W309" t="s">
        <v>31</v>
      </c>
      <c r="X309" t="s">
        <v>32</v>
      </c>
      <c r="Y309">
        <f t="shared" si="34"/>
        <v>0.15</v>
      </c>
      <c r="Z309">
        <f t="shared" si="35"/>
        <v>2008.567</v>
      </c>
      <c r="AA309">
        <f t="shared" si="36"/>
        <v>813.73700000000008</v>
      </c>
      <c r="AB309">
        <f t="shared" si="37"/>
        <v>40.513311231340552</v>
      </c>
      <c r="AC309">
        <f t="shared" si="38"/>
        <v>1</v>
      </c>
      <c r="AD309">
        <f t="shared" si="39"/>
        <v>2024</v>
      </c>
      <c r="AE309" t="str">
        <f t="shared" si="40"/>
        <v>CLEAN</v>
      </c>
    </row>
    <row r="310" spans="1:31">
      <c r="A310" t="s">
        <v>2271</v>
      </c>
      <c r="B310" s="2">
        <v>45368</v>
      </c>
      <c r="C310" s="2">
        <v>45370</v>
      </c>
      <c r="D310" s="5">
        <f>C310-B310</f>
        <v>2</v>
      </c>
      <c r="E310" s="5" t="str">
        <f>IF(D310&lt;0,"INVALID","OK")</f>
        <v>OK</v>
      </c>
      <c r="F310" t="s">
        <v>2272</v>
      </c>
      <c r="G310" t="s">
        <v>61</v>
      </c>
      <c r="H310" t="s">
        <v>89</v>
      </c>
      <c r="I310" t="s">
        <v>37</v>
      </c>
      <c r="J310" t="s">
        <v>38</v>
      </c>
      <c r="K310" t="s">
        <v>39</v>
      </c>
      <c r="L310" t="s">
        <v>27</v>
      </c>
      <c r="M310" t="s">
        <v>152</v>
      </c>
      <c r="N310" t="s">
        <v>2273</v>
      </c>
      <c r="O310" t="s">
        <v>49</v>
      </c>
      <c r="P310">
        <v>4</v>
      </c>
      <c r="Q310">
        <v>4376.68</v>
      </c>
      <c r="R310">
        <v>0.1</v>
      </c>
      <c r="S310" t="str">
        <f t="shared" si="41"/>
        <v>OK</v>
      </c>
      <c r="T310">
        <v>15756.05</v>
      </c>
      <c r="U310">
        <v>10245.44</v>
      </c>
      <c r="V310">
        <v>5510.61</v>
      </c>
      <c r="W310" t="s">
        <v>31</v>
      </c>
      <c r="X310" t="s">
        <v>32</v>
      </c>
      <c r="Y310">
        <f t="shared" si="34"/>
        <v>0.1</v>
      </c>
      <c r="Z310">
        <f t="shared" si="35"/>
        <v>15756.048000000001</v>
      </c>
      <c r="AA310">
        <f t="shared" si="36"/>
        <v>5510.6080000000002</v>
      </c>
      <c r="AB310">
        <f t="shared" si="37"/>
        <v>34.974557071671782</v>
      </c>
      <c r="AC310">
        <f t="shared" si="38"/>
        <v>3</v>
      </c>
      <c r="AD310">
        <f t="shared" si="39"/>
        <v>2024</v>
      </c>
      <c r="AE310" t="str">
        <f t="shared" si="40"/>
        <v>CLEAN</v>
      </c>
    </row>
    <row r="311" spans="1:31">
      <c r="A311" t="s">
        <v>2274</v>
      </c>
      <c r="B311" s="2">
        <v>45624</v>
      </c>
      <c r="C311" s="2">
        <v>45632</v>
      </c>
      <c r="D311" s="5">
        <f>C311-B311</f>
        <v>8</v>
      </c>
      <c r="E311" s="5" t="str">
        <f>IF(D311&lt;0,"INVALID","OK")</f>
        <v>OK</v>
      </c>
      <c r="F311" t="s">
        <v>2275</v>
      </c>
      <c r="G311" t="s">
        <v>52</v>
      </c>
      <c r="H311" t="s">
        <v>36</v>
      </c>
      <c r="I311" t="s">
        <v>24</v>
      </c>
      <c r="J311" t="s">
        <v>121</v>
      </c>
      <c r="K311" t="s">
        <v>122</v>
      </c>
      <c r="L311" t="s">
        <v>73</v>
      </c>
      <c r="M311" t="s">
        <v>170</v>
      </c>
      <c r="N311" t="s">
        <v>2276</v>
      </c>
      <c r="O311" t="s">
        <v>58</v>
      </c>
      <c r="P311">
        <v>6</v>
      </c>
      <c r="Q311">
        <v>2464.63</v>
      </c>
      <c r="R311">
        <v>0</v>
      </c>
      <c r="S311" t="str">
        <f t="shared" si="41"/>
        <v>OK</v>
      </c>
      <c r="T311">
        <v>14787.78</v>
      </c>
      <c r="U311">
        <v>8596.65</v>
      </c>
      <c r="V311">
        <v>6191.13</v>
      </c>
      <c r="W311" t="s">
        <v>31</v>
      </c>
      <c r="X311" t="s">
        <v>32</v>
      </c>
      <c r="Y311">
        <f t="shared" si="34"/>
        <v>0</v>
      </c>
      <c r="Z311">
        <f t="shared" si="35"/>
        <v>14787.78</v>
      </c>
      <c r="AA311">
        <f t="shared" si="36"/>
        <v>6191.130000000001</v>
      </c>
      <c r="AB311">
        <f t="shared" si="37"/>
        <v>41.866527632950998</v>
      </c>
      <c r="AC311">
        <f t="shared" si="38"/>
        <v>11</v>
      </c>
      <c r="AD311">
        <f t="shared" si="39"/>
        <v>2024</v>
      </c>
      <c r="AE311" t="str">
        <f t="shared" si="40"/>
        <v>CLEAN</v>
      </c>
    </row>
    <row r="312" spans="1:31">
      <c r="A312" t="s">
        <v>2277</v>
      </c>
      <c r="B312" s="2">
        <v>45464</v>
      </c>
      <c r="C312" s="2">
        <v>45471</v>
      </c>
      <c r="D312" s="5">
        <f>C312-B312</f>
        <v>7</v>
      </c>
      <c r="E312" s="5" t="str">
        <f>IF(D312&lt;0,"INVALID","OK")</f>
        <v>OK</v>
      </c>
      <c r="F312" t="s">
        <v>2278</v>
      </c>
      <c r="G312" t="s">
        <v>127</v>
      </c>
      <c r="H312" t="s">
        <v>94</v>
      </c>
      <c r="I312" t="s">
        <v>24</v>
      </c>
      <c r="J312" t="s">
        <v>25</v>
      </c>
      <c r="K312" t="s">
        <v>26</v>
      </c>
      <c r="L312" t="s">
        <v>40</v>
      </c>
      <c r="M312" t="s">
        <v>56</v>
      </c>
      <c r="N312" t="s">
        <v>2279</v>
      </c>
      <c r="O312" t="s">
        <v>49</v>
      </c>
      <c r="P312">
        <v>9</v>
      </c>
      <c r="Q312">
        <v>2797.96</v>
      </c>
      <c r="R312">
        <v>0</v>
      </c>
      <c r="S312" t="str">
        <f t="shared" si="41"/>
        <v>OK</v>
      </c>
      <c r="T312">
        <v>25181.64</v>
      </c>
      <c r="U312">
        <v>15337.9</v>
      </c>
      <c r="V312">
        <v>9843.74</v>
      </c>
      <c r="W312" t="s">
        <v>31</v>
      </c>
      <c r="X312" t="s">
        <v>32</v>
      </c>
      <c r="Y312">
        <f t="shared" si="34"/>
        <v>0</v>
      </c>
      <c r="Z312">
        <f t="shared" si="35"/>
        <v>25181.64</v>
      </c>
      <c r="AA312">
        <f t="shared" si="36"/>
        <v>9843.74</v>
      </c>
      <c r="AB312">
        <f t="shared" si="37"/>
        <v>39.090940860086953</v>
      </c>
      <c r="AC312">
        <f t="shared" si="38"/>
        <v>6</v>
      </c>
      <c r="AD312">
        <f t="shared" si="39"/>
        <v>2024</v>
      </c>
      <c r="AE312" t="str">
        <f t="shared" si="40"/>
        <v>CLEAN</v>
      </c>
    </row>
    <row r="313" spans="1:31">
      <c r="A313" t="s">
        <v>2280</v>
      </c>
      <c r="B313" s="2">
        <v>45528</v>
      </c>
      <c r="C313" s="2">
        <v>45528</v>
      </c>
      <c r="D313" s="5">
        <f>C313-B313</f>
        <v>0</v>
      </c>
      <c r="E313" s="5" t="str">
        <f>IF(D313&lt;0,"INVALID","OK")</f>
        <v>OK</v>
      </c>
      <c r="F313" t="s">
        <v>2281</v>
      </c>
      <c r="G313" t="s">
        <v>61</v>
      </c>
      <c r="H313" t="s">
        <v>36</v>
      </c>
      <c r="I313" t="s">
        <v>24</v>
      </c>
      <c r="J313" t="s">
        <v>25</v>
      </c>
      <c r="K313" t="s">
        <v>26</v>
      </c>
      <c r="L313" t="s">
        <v>73</v>
      </c>
      <c r="M313" t="s">
        <v>74</v>
      </c>
      <c r="N313" t="s">
        <v>2282</v>
      </c>
      <c r="O313" t="s">
        <v>49</v>
      </c>
      <c r="P313">
        <v>4</v>
      </c>
      <c r="Q313">
        <v>2761.86</v>
      </c>
      <c r="R313">
        <v>0.2</v>
      </c>
      <c r="S313" t="str">
        <f t="shared" si="41"/>
        <v>OK</v>
      </c>
      <c r="T313">
        <v>8837.9500000000007</v>
      </c>
      <c r="U313">
        <v>6157.27</v>
      </c>
      <c r="V313">
        <v>2680.68</v>
      </c>
      <c r="W313" t="s">
        <v>31</v>
      </c>
      <c r="X313" t="s">
        <v>32</v>
      </c>
      <c r="Y313">
        <f t="shared" si="34"/>
        <v>0.2</v>
      </c>
      <c r="Z313">
        <f t="shared" si="35"/>
        <v>8837.9520000000011</v>
      </c>
      <c r="AA313">
        <f t="shared" si="36"/>
        <v>2680.6820000000007</v>
      </c>
      <c r="AB313">
        <f t="shared" si="37"/>
        <v>30.331484036120589</v>
      </c>
      <c r="AC313">
        <f t="shared" si="38"/>
        <v>8</v>
      </c>
      <c r="AD313">
        <f t="shared" si="39"/>
        <v>2024</v>
      </c>
      <c r="AE313" t="str">
        <f t="shared" si="40"/>
        <v>CLEAN</v>
      </c>
    </row>
    <row r="314" spans="1:31">
      <c r="A314" t="s">
        <v>2283</v>
      </c>
      <c r="B314" s="2">
        <v>45515</v>
      </c>
      <c r="C314" s="2">
        <v>45523</v>
      </c>
      <c r="D314" s="5">
        <f>C314-B314</f>
        <v>8</v>
      </c>
      <c r="E314" s="5" t="str">
        <f>IF(D314&lt;0,"INVALID","OK")</f>
        <v>OK</v>
      </c>
      <c r="F314" t="s">
        <v>2284</v>
      </c>
      <c r="G314" t="s">
        <v>35</v>
      </c>
      <c r="H314" t="s">
        <v>23</v>
      </c>
      <c r="I314" t="s">
        <v>62</v>
      </c>
      <c r="J314" t="s">
        <v>63</v>
      </c>
      <c r="K314" t="s">
        <v>64</v>
      </c>
      <c r="L314" t="s">
        <v>40</v>
      </c>
      <c r="M314" t="s">
        <v>41</v>
      </c>
      <c r="N314" t="s">
        <v>2285</v>
      </c>
      <c r="O314" t="s">
        <v>58</v>
      </c>
      <c r="P314">
        <v>6</v>
      </c>
      <c r="Q314">
        <v>1515.79</v>
      </c>
      <c r="R314">
        <v>0.2</v>
      </c>
      <c r="S314" t="str">
        <f t="shared" si="41"/>
        <v>OK</v>
      </c>
      <c r="T314">
        <v>7275.79</v>
      </c>
      <c r="U314">
        <v>6152.87</v>
      </c>
      <c r="V314">
        <v>1122.92</v>
      </c>
      <c r="W314" t="s">
        <v>31</v>
      </c>
      <c r="X314" t="s">
        <v>32</v>
      </c>
      <c r="Y314">
        <f t="shared" si="34"/>
        <v>0.2</v>
      </c>
      <c r="Z314">
        <f t="shared" si="35"/>
        <v>7275.7920000000004</v>
      </c>
      <c r="AA314">
        <f t="shared" si="36"/>
        <v>1122.9220000000005</v>
      </c>
      <c r="AB314">
        <f t="shared" si="37"/>
        <v>15.433673749881805</v>
      </c>
      <c r="AC314">
        <f t="shared" si="38"/>
        <v>8</v>
      </c>
      <c r="AD314">
        <f t="shared" si="39"/>
        <v>2024</v>
      </c>
      <c r="AE314" t="str">
        <f t="shared" si="40"/>
        <v>CLEAN</v>
      </c>
    </row>
    <row r="315" spans="1:31">
      <c r="A315" t="s">
        <v>2286</v>
      </c>
      <c r="B315" s="2">
        <v>45632</v>
      </c>
      <c r="C315" s="2">
        <v>45547</v>
      </c>
      <c r="D315" s="5">
        <f>C315-B315</f>
        <v>-85</v>
      </c>
      <c r="E315" s="5" t="str">
        <f>IF(D315&lt;0,"INVALID","OK")</f>
        <v>INVALID</v>
      </c>
      <c r="F315" t="s">
        <v>2287</v>
      </c>
      <c r="G315" t="s">
        <v>88</v>
      </c>
      <c r="H315" t="s">
        <v>23</v>
      </c>
      <c r="I315" t="s">
        <v>62</v>
      </c>
      <c r="J315" t="s">
        <v>63</v>
      </c>
      <c r="K315" t="s">
        <v>64</v>
      </c>
      <c r="L315" t="s">
        <v>40</v>
      </c>
      <c r="M315" t="s">
        <v>65</v>
      </c>
      <c r="N315" t="s">
        <v>2288</v>
      </c>
      <c r="O315" t="s">
        <v>30</v>
      </c>
      <c r="P315">
        <v>9</v>
      </c>
      <c r="Q315">
        <v>290.75</v>
      </c>
      <c r="R315">
        <v>0.1</v>
      </c>
      <c r="S315" t="str">
        <f t="shared" si="41"/>
        <v>OK</v>
      </c>
      <c r="T315">
        <v>2355.08</v>
      </c>
      <c r="U315">
        <v>1350.03</v>
      </c>
      <c r="V315">
        <v>1005.05</v>
      </c>
      <c r="W315" t="s">
        <v>31</v>
      </c>
      <c r="X315" t="s">
        <v>32</v>
      </c>
      <c r="Y315">
        <f t="shared" si="34"/>
        <v>0.1</v>
      </c>
      <c r="Z315">
        <f t="shared" si="35"/>
        <v>2355.0750000000003</v>
      </c>
      <c r="AA315">
        <f t="shared" si="36"/>
        <v>1005.0450000000003</v>
      </c>
      <c r="AB315">
        <f t="shared" si="37"/>
        <v>42.675710964618965</v>
      </c>
      <c r="AC315">
        <f t="shared" si="38"/>
        <v>12</v>
      </c>
      <c r="AD315">
        <f t="shared" si="39"/>
        <v>2024</v>
      </c>
      <c r="AE315" t="str">
        <f t="shared" si="40"/>
        <v>INVALID</v>
      </c>
    </row>
    <row r="316" spans="1:31">
      <c r="A316" t="s">
        <v>2289</v>
      </c>
      <c r="B316" s="2">
        <v>45332</v>
      </c>
      <c r="C316" s="2">
        <v>45332</v>
      </c>
      <c r="D316" s="5">
        <f>C316-B316</f>
        <v>0</v>
      </c>
      <c r="E316" s="5" t="str">
        <f>IF(D316&lt;0,"INVALID","OK")</f>
        <v>OK</v>
      </c>
      <c r="F316" t="s">
        <v>2290</v>
      </c>
      <c r="G316" t="s">
        <v>46</v>
      </c>
      <c r="H316" t="s">
        <v>94</v>
      </c>
      <c r="I316" t="s">
        <v>62</v>
      </c>
      <c r="J316" t="s">
        <v>63</v>
      </c>
      <c r="K316" t="s">
        <v>64</v>
      </c>
      <c r="L316" t="s">
        <v>40</v>
      </c>
      <c r="M316" t="s">
        <v>65</v>
      </c>
      <c r="N316" t="s">
        <v>2291</v>
      </c>
      <c r="O316" t="s">
        <v>43</v>
      </c>
      <c r="P316">
        <v>6</v>
      </c>
      <c r="Q316">
        <v>601.52</v>
      </c>
      <c r="R316">
        <v>0</v>
      </c>
      <c r="S316" t="str">
        <f t="shared" si="41"/>
        <v>OK</v>
      </c>
      <c r="T316">
        <v>3609.12</v>
      </c>
      <c r="U316">
        <v>2645.5</v>
      </c>
      <c r="V316">
        <v>963.62</v>
      </c>
      <c r="W316" t="s">
        <v>31</v>
      </c>
      <c r="X316" t="s">
        <v>32</v>
      </c>
      <c r="Y316">
        <f t="shared" si="34"/>
        <v>0</v>
      </c>
      <c r="Z316">
        <f t="shared" si="35"/>
        <v>3609.12</v>
      </c>
      <c r="AA316">
        <f t="shared" si="36"/>
        <v>963.61999999999989</v>
      </c>
      <c r="AB316">
        <f t="shared" si="37"/>
        <v>26.699583277918158</v>
      </c>
      <c r="AC316">
        <f t="shared" si="38"/>
        <v>2</v>
      </c>
      <c r="AD316">
        <f t="shared" si="39"/>
        <v>2024</v>
      </c>
      <c r="AE316" t="str">
        <f t="shared" si="40"/>
        <v>CLEAN</v>
      </c>
    </row>
    <row r="317" spans="1:31">
      <c r="A317" t="s">
        <v>2295</v>
      </c>
      <c r="B317" s="2">
        <v>45629</v>
      </c>
      <c r="C317" s="2">
        <v>45636</v>
      </c>
      <c r="D317" s="5">
        <f>C317-B317</f>
        <v>7</v>
      </c>
      <c r="E317" s="5" t="str">
        <f>IF(D317&lt;0,"INVALID","OK")</f>
        <v>OK</v>
      </c>
      <c r="F317" t="s">
        <v>2296</v>
      </c>
      <c r="G317" t="s">
        <v>78</v>
      </c>
      <c r="H317" t="s">
        <v>89</v>
      </c>
      <c r="I317" t="s">
        <v>24</v>
      </c>
      <c r="J317" t="s">
        <v>25</v>
      </c>
      <c r="K317" t="s">
        <v>26</v>
      </c>
      <c r="L317" t="s">
        <v>73</v>
      </c>
      <c r="M317" t="s">
        <v>170</v>
      </c>
      <c r="N317" t="s">
        <v>2297</v>
      </c>
      <c r="O317" t="s">
        <v>58</v>
      </c>
      <c r="P317">
        <v>5</v>
      </c>
      <c r="Q317">
        <v>2393.86</v>
      </c>
      <c r="R317">
        <v>0.05</v>
      </c>
      <c r="S317" t="str">
        <f t="shared" si="41"/>
        <v>OK</v>
      </c>
      <c r="T317">
        <v>11370.84</v>
      </c>
      <c r="U317">
        <v>7469.58</v>
      </c>
      <c r="V317">
        <v>3901.26</v>
      </c>
      <c r="W317" t="s">
        <v>31</v>
      </c>
      <c r="X317" t="s">
        <v>32</v>
      </c>
      <c r="Y317">
        <f t="shared" si="34"/>
        <v>0.05</v>
      </c>
      <c r="Z317">
        <f t="shared" si="35"/>
        <v>11370.835000000001</v>
      </c>
      <c r="AA317">
        <f t="shared" si="36"/>
        <v>3901.255000000001</v>
      </c>
      <c r="AB317">
        <f t="shared" si="37"/>
        <v>34.309309738466879</v>
      </c>
      <c r="AC317">
        <f t="shared" si="38"/>
        <v>12</v>
      </c>
      <c r="AD317">
        <f t="shared" si="39"/>
        <v>2024</v>
      </c>
      <c r="AE317" t="str">
        <f t="shared" si="40"/>
        <v>CLEAN</v>
      </c>
    </row>
    <row r="318" spans="1:31">
      <c r="A318" t="s">
        <v>2298</v>
      </c>
      <c r="B318" s="2">
        <v>45384</v>
      </c>
      <c r="C318" s="2">
        <v>45384</v>
      </c>
      <c r="D318" s="5">
        <f>C318-B318</f>
        <v>0</v>
      </c>
      <c r="E318" s="5" t="str">
        <f>IF(D318&lt;0,"INVALID","OK")</f>
        <v>OK</v>
      </c>
      <c r="F318" t="s">
        <v>521</v>
      </c>
      <c r="G318" t="s">
        <v>131</v>
      </c>
      <c r="H318" t="s">
        <v>36</v>
      </c>
      <c r="I318" t="s">
        <v>62</v>
      </c>
      <c r="J318" t="s">
        <v>63</v>
      </c>
      <c r="K318" t="s">
        <v>64</v>
      </c>
      <c r="L318" t="s">
        <v>40</v>
      </c>
      <c r="M318" t="s">
        <v>65</v>
      </c>
      <c r="N318" t="s">
        <v>2299</v>
      </c>
      <c r="O318" t="s">
        <v>49</v>
      </c>
      <c r="P318">
        <v>4</v>
      </c>
      <c r="Q318">
        <v>2583</v>
      </c>
      <c r="R318">
        <v>0.1</v>
      </c>
      <c r="S318" t="str">
        <f t="shared" si="41"/>
        <v>OK</v>
      </c>
      <c r="T318">
        <v>9298.7999999999993</v>
      </c>
      <c r="U318">
        <v>6548.5</v>
      </c>
      <c r="V318">
        <v>2750.3</v>
      </c>
      <c r="W318" t="s">
        <v>31</v>
      </c>
      <c r="X318" t="s">
        <v>32</v>
      </c>
      <c r="Y318">
        <f t="shared" si="34"/>
        <v>0.1</v>
      </c>
      <c r="Z318">
        <f t="shared" si="35"/>
        <v>9298.8000000000011</v>
      </c>
      <c r="AA318">
        <f t="shared" si="36"/>
        <v>2750.3000000000011</v>
      </c>
      <c r="AB318">
        <f t="shared" si="37"/>
        <v>29.576934658235484</v>
      </c>
      <c r="AC318">
        <f t="shared" si="38"/>
        <v>4</v>
      </c>
      <c r="AD318">
        <f t="shared" si="39"/>
        <v>2024</v>
      </c>
      <c r="AE318" t="str">
        <f t="shared" si="40"/>
        <v>CLEAN</v>
      </c>
    </row>
    <row r="319" spans="1:31">
      <c r="A319" t="s">
        <v>2303</v>
      </c>
      <c r="B319" s="2">
        <v>45580</v>
      </c>
      <c r="C319" s="2">
        <v>45587</v>
      </c>
      <c r="D319" s="5">
        <f>C319-B319</f>
        <v>7</v>
      </c>
      <c r="E319" s="5" t="str">
        <f>IF(D319&lt;0,"INVALID","OK")</f>
        <v>OK</v>
      </c>
      <c r="F319" t="s">
        <v>2304</v>
      </c>
      <c r="G319" t="s">
        <v>22</v>
      </c>
      <c r="H319" t="s">
        <v>89</v>
      </c>
      <c r="I319" t="s">
        <v>37</v>
      </c>
      <c r="J319" t="s">
        <v>38</v>
      </c>
      <c r="K319" t="s">
        <v>39</v>
      </c>
      <c r="L319" t="s">
        <v>27</v>
      </c>
      <c r="M319" t="s">
        <v>28</v>
      </c>
      <c r="N319" t="s">
        <v>2305</v>
      </c>
      <c r="O319" t="s">
        <v>58</v>
      </c>
      <c r="P319">
        <v>4</v>
      </c>
      <c r="Q319">
        <v>2260.9499999999998</v>
      </c>
      <c r="R319">
        <v>0</v>
      </c>
      <c r="S319" t="str">
        <f t="shared" si="41"/>
        <v>OK</v>
      </c>
      <c r="T319">
        <v>9043.7999999999993</v>
      </c>
      <c r="U319">
        <v>5913.38</v>
      </c>
      <c r="V319">
        <v>3130.42</v>
      </c>
      <c r="W319" t="s">
        <v>31</v>
      </c>
      <c r="X319" t="s">
        <v>32</v>
      </c>
      <c r="Y319">
        <f t="shared" si="34"/>
        <v>0</v>
      </c>
      <c r="Z319">
        <f t="shared" si="35"/>
        <v>9043.7999999999993</v>
      </c>
      <c r="AA319">
        <f t="shared" si="36"/>
        <v>3130.4199999999992</v>
      </c>
      <c r="AB319">
        <f t="shared" si="37"/>
        <v>34.6139896945974</v>
      </c>
      <c r="AC319">
        <f t="shared" si="38"/>
        <v>10</v>
      </c>
      <c r="AD319">
        <f t="shared" si="39"/>
        <v>2024</v>
      </c>
      <c r="AE319" t="str">
        <f t="shared" si="40"/>
        <v>CLEAN</v>
      </c>
    </row>
    <row r="320" spans="1:31">
      <c r="A320" t="s">
        <v>2312</v>
      </c>
      <c r="B320" s="2">
        <v>45589</v>
      </c>
      <c r="C320" s="2">
        <v>45593</v>
      </c>
      <c r="D320" s="5">
        <f>C320-B320</f>
        <v>4</v>
      </c>
      <c r="E320" s="5" t="str">
        <f>IF(D320&lt;0,"INVALID","OK")</f>
        <v>OK</v>
      </c>
      <c r="F320" t="s">
        <v>2313</v>
      </c>
      <c r="G320" t="s">
        <v>35</v>
      </c>
      <c r="H320" t="s">
        <v>36</v>
      </c>
      <c r="I320" t="s">
        <v>37</v>
      </c>
      <c r="J320" t="s">
        <v>165</v>
      </c>
      <c r="K320" t="s">
        <v>166</v>
      </c>
      <c r="L320" t="s">
        <v>73</v>
      </c>
      <c r="M320" t="s">
        <v>79</v>
      </c>
      <c r="N320" t="s">
        <v>2314</v>
      </c>
      <c r="O320" t="s">
        <v>58</v>
      </c>
      <c r="P320">
        <v>3</v>
      </c>
      <c r="Q320">
        <v>723.59</v>
      </c>
      <c r="R320">
        <v>0.2</v>
      </c>
      <c r="S320" t="str">
        <f t="shared" si="41"/>
        <v>OK</v>
      </c>
      <c r="T320">
        <v>1736.62</v>
      </c>
      <c r="U320">
        <v>1059.52</v>
      </c>
      <c r="V320">
        <v>677.1</v>
      </c>
      <c r="W320" t="s">
        <v>31</v>
      </c>
      <c r="X320" t="s">
        <v>32</v>
      </c>
      <c r="Y320">
        <f t="shared" si="34"/>
        <v>0.2</v>
      </c>
      <c r="Z320">
        <f t="shared" si="35"/>
        <v>1736.616</v>
      </c>
      <c r="AA320">
        <f t="shared" si="36"/>
        <v>677.096</v>
      </c>
      <c r="AB320">
        <f t="shared" si="37"/>
        <v>38.989390861307278</v>
      </c>
      <c r="AC320">
        <f t="shared" si="38"/>
        <v>10</v>
      </c>
      <c r="AD320">
        <f t="shared" si="39"/>
        <v>2024</v>
      </c>
      <c r="AE320" t="str">
        <f t="shared" si="40"/>
        <v>CLEAN</v>
      </c>
    </row>
    <row r="321" spans="1:31">
      <c r="A321" t="s">
        <v>2317</v>
      </c>
      <c r="B321" s="2">
        <v>45413</v>
      </c>
      <c r="C321" s="2">
        <v>45419</v>
      </c>
      <c r="D321" s="5">
        <f>C321-B321</f>
        <v>6</v>
      </c>
      <c r="E321" s="5" t="str">
        <f>IF(D321&lt;0,"INVALID","OK")</f>
        <v>OK</v>
      </c>
      <c r="F321" t="s">
        <v>2318</v>
      </c>
      <c r="G321" t="s">
        <v>46</v>
      </c>
      <c r="H321" t="s">
        <v>94</v>
      </c>
      <c r="I321" t="s">
        <v>37</v>
      </c>
      <c r="J321" t="s">
        <v>38</v>
      </c>
      <c r="K321" t="s">
        <v>39</v>
      </c>
      <c r="L321" t="s">
        <v>27</v>
      </c>
      <c r="M321" t="s">
        <v>28</v>
      </c>
      <c r="N321" t="s">
        <v>2319</v>
      </c>
      <c r="O321" t="s">
        <v>43</v>
      </c>
      <c r="P321">
        <v>8</v>
      </c>
      <c r="Q321">
        <v>1473.83</v>
      </c>
      <c r="R321">
        <v>0.15</v>
      </c>
      <c r="S321" t="str">
        <f t="shared" si="41"/>
        <v>OK</v>
      </c>
      <c r="T321">
        <v>10022.040000000001</v>
      </c>
      <c r="U321">
        <v>5576.98</v>
      </c>
      <c r="V321">
        <v>4445.0600000000004</v>
      </c>
      <c r="W321" t="s">
        <v>31</v>
      </c>
      <c r="X321" t="s">
        <v>32</v>
      </c>
      <c r="Y321">
        <f t="shared" si="34"/>
        <v>0.15</v>
      </c>
      <c r="Z321">
        <f t="shared" si="35"/>
        <v>10022.044</v>
      </c>
      <c r="AA321">
        <f t="shared" si="36"/>
        <v>4445.0640000000003</v>
      </c>
      <c r="AB321">
        <f t="shared" si="37"/>
        <v>44.352868536597931</v>
      </c>
      <c r="AC321">
        <f t="shared" si="38"/>
        <v>5</v>
      </c>
      <c r="AD321">
        <f t="shared" si="39"/>
        <v>2024</v>
      </c>
      <c r="AE321" t="str">
        <f t="shared" si="40"/>
        <v>CLEAN</v>
      </c>
    </row>
    <row r="322" spans="1:31">
      <c r="A322" t="s">
        <v>2320</v>
      </c>
      <c r="B322" s="2">
        <v>45442</v>
      </c>
      <c r="C322" s="2">
        <v>45442</v>
      </c>
      <c r="D322" s="5">
        <f>C322-B322</f>
        <v>0</v>
      </c>
      <c r="E322" s="5" t="str">
        <f>IF(D322&lt;0,"INVALID","OK")</f>
        <v>OK</v>
      </c>
      <c r="F322" t="s">
        <v>2321</v>
      </c>
      <c r="G322" t="s">
        <v>161</v>
      </c>
      <c r="H322" t="s">
        <v>94</v>
      </c>
      <c r="I322" t="s">
        <v>24</v>
      </c>
      <c r="J322" t="s">
        <v>235</v>
      </c>
      <c r="K322" t="s">
        <v>236</v>
      </c>
      <c r="L322" t="s">
        <v>73</v>
      </c>
      <c r="M322" t="s">
        <v>170</v>
      </c>
      <c r="N322" t="s">
        <v>2322</v>
      </c>
      <c r="O322" t="s">
        <v>30</v>
      </c>
      <c r="P322">
        <v>1</v>
      </c>
      <c r="Q322">
        <v>3848.04</v>
      </c>
      <c r="R322">
        <v>0.25</v>
      </c>
      <c r="S322" t="str">
        <f t="shared" si="41"/>
        <v>OK</v>
      </c>
      <c r="T322">
        <v>2886.03</v>
      </c>
      <c r="U322">
        <v>2064.83</v>
      </c>
      <c r="V322">
        <v>821.2</v>
      </c>
      <c r="W322" t="s">
        <v>31</v>
      </c>
      <c r="X322" t="s">
        <v>32</v>
      </c>
      <c r="Y322">
        <f t="shared" si="34"/>
        <v>0.25</v>
      </c>
      <c r="Z322">
        <f t="shared" si="35"/>
        <v>2886.0299999999997</v>
      </c>
      <c r="AA322">
        <f t="shared" si="36"/>
        <v>821.19999999999982</v>
      </c>
      <c r="AB322">
        <f t="shared" si="37"/>
        <v>28.454312671732445</v>
      </c>
      <c r="AC322">
        <f t="shared" si="38"/>
        <v>5</v>
      </c>
      <c r="AD322">
        <f t="shared" si="39"/>
        <v>2024</v>
      </c>
      <c r="AE322" t="str">
        <f t="shared" si="40"/>
        <v>CLEAN</v>
      </c>
    </row>
    <row r="323" spans="1:31">
      <c r="A323" t="s">
        <v>2323</v>
      </c>
      <c r="B323" s="2">
        <v>45372</v>
      </c>
      <c r="C323" s="2">
        <v>45376</v>
      </c>
      <c r="D323" s="5">
        <f>C323-B323</f>
        <v>4</v>
      </c>
      <c r="E323" s="5" t="str">
        <f>IF(D323&lt;0,"INVALID","OK")</f>
        <v>OK</v>
      </c>
      <c r="F323" t="s">
        <v>2324</v>
      </c>
      <c r="G323" t="s">
        <v>88</v>
      </c>
      <c r="H323" t="s">
        <v>94</v>
      </c>
      <c r="I323" t="s">
        <v>37</v>
      </c>
      <c r="J323" t="s">
        <v>165</v>
      </c>
      <c r="K323" t="s">
        <v>166</v>
      </c>
      <c r="L323" t="s">
        <v>73</v>
      </c>
      <c r="M323" t="s">
        <v>273</v>
      </c>
      <c r="N323" t="s">
        <v>2325</v>
      </c>
      <c r="O323" t="s">
        <v>58</v>
      </c>
      <c r="P323">
        <v>1</v>
      </c>
      <c r="Q323">
        <v>1716.7</v>
      </c>
      <c r="R323">
        <v>0.15</v>
      </c>
      <c r="S323" t="str">
        <f t="shared" si="41"/>
        <v>OK</v>
      </c>
      <c r="T323">
        <v>1459.19</v>
      </c>
      <c r="U323">
        <v>1055.79</v>
      </c>
      <c r="V323">
        <v>403.4</v>
      </c>
      <c r="W323" t="s">
        <v>31</v>
      </c>
      <c r="X323" t="s">
        <v>32</v>
      </c>
      <c r="Y323">
        <f t="shared" ref="Y323:Y386" si="42">IF(R323&lt;0,0,IF(R323&gt;0.5,0,R323))</f>
        <v>0.15</v>
      </c>
      <c r="Z323">
        <f t="shared" ref="Z323:Z386" si="43">P323*Q323*(1-Y323)</f>
        <v>1459.1949999999999</v>
      </c>
      <c r="AA323">
        <f t="shared" ref="AA323:AA386" si="44">Z323-U323</f>
        <v>403.40499999999997</v>
      </c>
      <c r="AB323">
        <f t="shared" ref="AB323:AB386" si="45">AA323/Z323*100</f>
        <v>27.645722470266136</v>
      </c>
      <c r="AC323">
        <f t="shared" ref="AC323:AC386" si="46">MONTH(B323)</f>
        <v>3</v>
      </c>
      <c r="AD323">
        <f t="shared" ref="AD323:AD386" si="47">YEAR(B323)</f>
        <v>2024</v>
      </c>
      <c r="AE323" t="str">
        <f t="shared" ref="AE323:AE386" si="48">IF(OR(R323&lt;0,NOT(ISNUMBER(R323)),D323&lt;0,W323="Failed"),"INVALID",IF(OR(I323="",O323="",R323="",R323&gt;0.5,AA323&lt;0),"WARNING","CLEAN"))</f>
        <v>CLEAN</v>
      </c>
    </row>
    <row r="324" spans="1:31">
      <c r="A324" t="s">
        <v>2332</v>
      </c>
      <c r="B324" s="2">
        <v>45375</v>
      </c>
      <c r="C324" s="2">
        <v>45378</v>
      </c>
      <c r="D324" s="5">
        <f>C324-B324</f>
        <v>3</v>
      </c>
      <c r="E324" s="5" t="str">
        <f>IF(D324&lt;0,"INVALID","OK")</f>
        <v>OK</v>
      </c>
      <c r="F324" t="s">
        <v>2333</v>
      </c>
      <c r="G324" t="s">
        <v>88</v>
      </c>
      <c r="H324" t="s">
        <v>89</v>
      </c>
      <c r="I324" t="s">
        <v>62</v>
      </c>
      <c r="J324" t="s">
        <v>179</v>
      </c>
      <c r="K324" t="s">
        <v>180</v>
      </c>
      <c r="L324" t="s">
        <v>27</v>
      </c>
      <c r="M324" t="s">
        <v>123</v>
      </c>
      <c r="N324" t="s">
        <v>2334</v>
      </c>
      <c r="O324" t="s">
        <v>49</v>
      </c>
      <c r="P324">
        <v>5</v>
      </c>
      <c r="Q324">
        <v>2465.2199999999998</v>
      </c>
      <c r="R324">
        <v>0.05</v>
      </c>
      <c r="S324" t="str">
        <f t="shared" si="41"/>
        <v>OK</v>
      </c>
      <c r="T324">
        <v>11709.79</v>
      </c>
      <c r="U324">
        <v>8372.2900000000009</v>
      </c>
      <c r="V324">
        <v>3337.5</v>
      </c>
      <c r="W324" t="s">
        <v>31</v>
      </c>
      <c r="X324" t="s">
        <v>32</v>
      </c>
      <c r="Y324">
        <f t="shared" si="42"/>
        <v>0.05</v>
      </c>
      <c r="Z324">
        <f t="shared" si="43"/>
        <v>11709.794999999998</v>
      </c>
      <c r="AA324">
        <f t="shared" si="44"/>
        <v>3337.5049999999974</v>
      </c>
      <c r="AB324">
        <f t="shared" si="45"/>
        <v>28.501822619439523</v>
      </c>
      <c r="AC324">
        <f t="shared" si="46"/>
        <v>3</v>
      </c>
      <c r="AD324">
        <f t="shared" si="47"/>
        <v>2024</v>
      </c>
      <c r="AE324" t="str">
        <f t="shared" si="48"/>
        <v>CLEAN</v>
      </c>
    </row>
    <row r="325" spans="1:31">
      <c r="A325" t="s">
        <v>2344</v>
      </c>
      <c r="B325" s="2">
        <v>45592</v>
      </c>
      <c r="C325" s="2">
        <v>45597</v>
      </c>
      <c r="D325" s="5">
        <f>C325-B325</f>
        <v>5</v>
      </c>
      <c r="E325" s="5" t="str">
        <f>IF(D325&lt;0,"INVALID","OK")</f>
        <v>OK</v>
      </c>
      <c r="F325" t="s">
        <v>2345</v>
      </c>
      <c r="G325" t="s">
        <v>140</v>
      </c>
      <c r="H325" t="s">
        <v>23</v>
      </c>
      <c r="I325" t="s">
        <v>24</v>
      </c>
      <c r="J325" t="s">
        <v>25</v>
      </c>
      <c r="K325" t="s">
        <v>26</v>
      </c>
      <c r="L325" t="s">
        <v>73</v>
      </c>
      <c r="M325" t="s">
        <v>74</v>
      </c>
      <c r="N325" t="s">
        <v>2346</v>
      </c>
      <c r="O325" t="s">
        <v>43</v>
      </c>
      <c r="P325">
        <v>7</v>
      </c>
      <c r="Q325">
        <v>2177.1</v>
      </c>
      <c r="R325">
        <v>0.2</v>
      </c>
      <c r="S325" t="str">
        <f t="shared" si="41"/>
        <v>OK</v>
      </c>
      <c r="T325">
        <v>12191.76</v>
      </c>
      <c r="U325">
        <v>10457.49</v>
      </c>
      <c r="V325">
        <v>1734.27</v>
      </c>
      <c r="W325" t="s">
        <v>31</v>
      </c>
      <c r="X325" t="s">
        <v>102</v>
      </c>
      <c r="Y325">
        <f t="shared" si="42"/>
        <v>0.2</v>
      </c>
      <c r="Z325">
        <f t="shared" si="43"/>
        <v>12191.76</v>
      </c>
      <c r="AA325">
        <f t="shared" si="44"/>
        <v>1734.2700000000004</v>
      </c>
      <c r="AB325">
        <f t="shared" si="45"/>
        <v>14.224935530226976</v>
      </c>
      <c r="AC325">
        <f t="shared" si="46"/>
        <v>10</v>
      </c>
      <c r="AD325">
        <f t="shared" si="47"/>
        <v>2024</v>
      </c>
      <c r="AE325" t="str">
        <f t="shared" si="48"/>
        <v>CLEAN</v>
      </c>
    </row>
    <row r="326" spans="1:31">
      <c r="A326" t="s">
        <v>2350</v>
      </c>
      <c r="B326" s="2">
        <v>45414</v>
      </c>
      <c r="C326" s="2">
        <v>45422</v>
      </c>
      <c r="D326" s="5">
        <f>C326-B326</f>
        <v>8</v>
      </c>
      <c r="E326" s="5" t="str">
        <f>IF(D326&lt;0,"INVALID","OK")</f>
        <v>OK</v>
      </c>
      <c r="F326" t="s">
        <v>2351</v>
      </c>
      <c r="G326" t="s">
        <v>127</v>
      </c>
      <c r="H326" t="s">
        <v>36</v>
      </c>
      <c r="I326" t="s">
        <v>53</v>
      </c>
      <c r="J326" t="s">
        <v>174</v>
      </c>
      <c r="K326" t="s">
        <v>175</v>
      </c>
      <c r="L326" t="s">
        <v>40</v>
      </c>
      <c r="M326" t="s">
        <v>65</v>
      </c>
      <c r="N326" t="s">
        <v>2352</v>
      </c>
      <c r="O326" t="s">
        <v>58</v>
      </c>
      <c r="P326">
        <v>1</v>
      </c>
      <c r="Q326">
        <v>4166.91</v>
      </c>
      <c r="R326">
        <v>0</v>
      </c>
      <c r="S326" t="str">
        <f t="shared" si="41"/>
        <v>OK</v>
      </c>
      <c r="T326">
        <v>4166.91</v>
      </c>
      <c r="U326">
        <v>3412.63</v>
      </c>
      <c r="V326">
        <v>754.28</v>
      </c>
      <c r="W326" t="s">
        <v>31</v>
      </c>
      <c r="X326" t="s">
        <v>32</v>
      </c>
      <c r="Y326">
        <f t="shared" si="42"/>
        <v>0</v>
      </c>
      <c r="Z326">
        <f t="shared" si="43"/>
        <v>4166.91</v>
      </c>
      <c r="AA326">
        <f t="shared" si="44"/>
        <v>754.27999999999975</v>
      </c>
      <c r="AB326">
        <f t="shared" si="45"/>
        <v>18.101662862888801</v>
      </c>
      <c r="AC326">
        <f t="shared" si="46"/>
        <v>5</v>
      </c>
      <c r="AD326">
        <f t="shared" si="47"/>
        <v>2024</v>
      </c>
      <c r="AE326" t="str">
        <f t="shared" si="48"/>
        <v>CLEAN</v>
      </c>
    </row>
    <row r="327" spans="1:31">
      <c r="A327" t="s">
        <v>2353</v>
      </c>
      <c r="B327" s="2">
        <v>45492</v>
      </c>
      <c r="C327" s="2">
        <v>45499</v>
      </c>
      <c r="D327" s="5">
        <f>C327-B327</f>
        <v>7</v>
      </c>
      <c r="E327" s="5" t="str">
        <f>IF(D327&lt;0,"INVALID","OK")</f>
        <v>OK</v>
      </c>
      <c r="F327" t="s">
        <v>2354</v>
      </c>
      <c r="G327" t="s">
        <v>52</v>
      </c>
      <c r="H327" t="s">
        <v>94</v>
      </c>
      <c r="I327" t="s">
        <v>53</v>
      </c>
      <c r="J327" t="s">
        <v>174</v>
      </c>
      <c r="K327" t="s">
        <v>175</v>
      </c>
      <c r="L327" t="s">
        <v>40</v>
      </c>
      <c r="M327" t="s">
        <v>41</v>
      </c>
      <c r="N327" t="s">
        <v>2355</v>
      </c>
      <c r="O327" t="s">
        <v>30</v>
      </c>
      <c r="P327">
        <v>5</v>
      </c>
      <c r="Q327">
        <v>3986.01</v>
      </c>
      <c r="R327">
        <v>0.25</v>
      </c>
      <c r="S327" t="str">
        <f t="shared" si="41"/>
        <v>OK</v>
      </c>
      <c r="T327">
        <v>14947.54</v>
      </c>
      <c r="U327">
        <v>9438.4599999999991</v>
      </c>
      <c r="V327">
        <v>5509.08</v>
      </c>
      <c r="W327" t="s">
        <v>31</v>
      </c>
      <c r="X327" t="s">
        <v>32</v>
      </c>
      <c r="Y327">
        <f t="shared" si="42"/>
        <v>0.25</v>
      </c>
      <c r="Z327">
        <f t="shared" si="43"/>
        <v>14947.537500000002</v>
      </c>
      <c r="AA327">
        <f t="shared" si="44"/>
        <v>5509.0775000000031</v>
      </c>
      <c r="AB327">
        <f t="shared" si="45"/>
        <v>36.856087499362367</v>
      </c>
      <c r="AC327">
        <f t="shared" si="46"/>
        <v>7</v>
      </c>
      <c r="AD327">
        <f t="shared" si="47"/>
        <v>2024</v>
      </c>
      <c r="AE327" t="str">
        <f t="shared" si="48"/>
        <v>CLEAN</v>
      </c>
    </row>
    <row r="328" spans="1:31">
      <c r="A328" t="s">
        <v>2356</v>
      </c>
      <c r="B328" s="2">
        <v>45532</v>
      </c>
      <c r="C328" s="2">
        <v>45537</v>
      </c>
      <c r="D328" s="5">
        <f>C328-B328</f>
        <v>5</v>
      </c>
      <c r="E328" s="5" t="str">
        <f>IF(D328&lt;0,"INVALID","OK")</f>
        <v>OK</v>
      </c>
      <c r="F328" t="s">
        <v>2357</v>
      </c>
      <c r="G328" t="s">
        <v>88</v>
      </c>
      <c r="H328" t="s">
        <v>94</v>
      </c>
      <c r="I328" t="s">
        <v>37</v>
      </c>
      <c r="J328" t="s">
        <v>165</v>
      </c>
      <c r="K328" t="s">
        <v>166</v>
      </c>
      <c r="L328" t="s">
        <v>27</v>
      </c>
      <c r="M328" t="s">
        <v>47</v>
      </c>
      <c r="N328" t="s">
        <v>2358</v>
      </c>
      <c r="O328" t="s">
        <v>30</v>
      </c>
      <c r="P328">
        <v>4</v>
      </c>
      <c r="Q328">
        <v>3365.53</v>
      </c>
      <c r="R328">
        <v>0</v>
      </c>
      <c r="S328" t="str">
        <f t="shared" si="41"/>
        <v>OK</v>
      </c>
      <c r="T328">
        <v>13462.12</v>
      </c>
      <c r="U328">
        <v>7600.63</v>
      </c>
      <c r="V328">
        <v>5861.49</v>
      </c>
      <c r="W328" t="s">
        <v>110</v>
      </c>
      <c r="X328" t="s">
        <v>102</v>
      </c>
      <c r="Y328">
        <f t="shared" si="42"/>
        <v>0</v>
      </c>
      <c r="Z328">
        <f t="shared" si="43"/>
        <v>13462.12</v>
      </c>
      <c r="AA328">
        <f t="shared" si="44"/>
        <v>5861.4900000000007</v>
      </c>
      <c r="AB328">
        <f t="shared" si="45"/>
        <v>43.540616188237813</v>
      </c>
      <c r="AC328">
        <f t="shared" si="46"/>
        <v>8</v>
      </c>
      <c r="AD328">
        <f t="shared" si="47"/>
        <v>2024</v>
      </c>
      <c r="AE328" t="str">
        <f t="shared" si="48"/>
        <v>CLEAN</v>
      </c>
    </row>
    <row r="329" spans="1:31">
      <c r="A329" t="s">
        <v>2376</v>
      </c>
      <c r="B329" s="2">
        <v>45415</v>
      </c>
      <c r="C329" s="2">
        <v>45418</v>
      </c>
      <c r="D329" s="5">
        <f>C329-B329</f>
        <v>3</v>
      </c>
      <c r="E329" s="5" t="str">
        <f>IF(D329&lt;0,"INVALID","OK")</f>
        <v>OK</v>
      </c>
      <c r="F329" t="s">
        <v>2377</v>
      </c>
      <c r="G329" t="s">
        <v>61</v>
      </c>
      <c r="H329" t="s">
        <v>94</v>
      </c>
      <c r="I329" t="s">
        <v>24</v>
      </c>
      <c r="J329" t="s">
        <v>135</v>
      </c>
      <c r="K329" t="s">
        <v>136</v>
      </c>
      <c r="L329" t="s">
        <v>27</v>
      </c>
      <c r="M329" t="s">
        <v>152</v>
      </c>
      <c r="N329" t="s">
        <v>2378</v>
      </c>
      <c r="O329" t="s">
        <v>58</v>
      </c>
      <c r="P329">
        <v>1</v>
      </c>
      <c r="Q329">
        <v>1244.58</v>
      </c>
      <c r="R329">
        <v>0.25</v>
      </c>
      <c r="S329" t="str">
        <f t="shared" si="41"/>
        <v>OK</v>
      </c>
      <c r="T329">
        <v>933.43</v>
      </c>
      <c r="U329">
        <v>583.09</v>
      </c>
      <c r="V329">
        <v>350.34</v>
      </c>
      <c r="W329" t="s">
        <v>31</v>
      </c>
      <c r="X329" t="s">
        <v>32</v>
      </c>
      <c r="Y329">
        <f t="shared" si="42"/>
        <v>0.25</v>
      </c>
      <c r="Z329">
        <f t="shared" si="43"/>
        <v>933.43499999999995</v>
      </c>
      <c r="AA329">
        <f t="shared" si="44"/>
        <v>350.34499999999991</v>
      </c>
      <c r="AB329">
        <f t="shared" si="45"/>
        <v>37.532875883162717</v>
      </c>
      <c r="AC329">
        <f t="shared" si="46"/>
        <v>5</v>
      </c>
      <c r="AD329">
        <f t="shared" si="47"/>
        <v>2024</v>
      </c>
      <c r="AE329" t="str">
        <f t="shared" si="48"/>
        <v>CLEAN</v>
      </c>
    </row>
    <row r="330" spans="1:31">
      <c r="A330" t="s">
        <v>2382</v>
      </c>
      <c r="B330" s="2">
        <v>45423</v>
      </c>
      <c r="C330" s="2">
        <v>45425</v>
      </c>
      <c r="D330" s="5">
        <f>C330-B330</f>
        <v>2</v>
      </c>
      <c r="E330" s="5" t="str">
        <f>IF(D330&lt;0,"INVALID","OK")</f>
        <v>OK</v>
      </c>
      <c r="F330" t="s">
        <v>2383</v>
      </c>
      <c r="G330" t="s">
        <v>113</v>
      </c>
      <c r="H330" t="s">
        <v>94</v>
      </c>
      <c r="I330" t="s">
        <v>62</v>
      </c>
      <c r="J330" t="s">
        <v>189</v>
      </c>
      <c r="K330" t="s">
        <v>190</v>
      </c>
      <c r="L330" t="s">
        <v>40</v>
      </c>
      <c r="M330" t="s">
        <v>157</v>
      </c>
      <c r="N330" t="s">
        <v>2384</v>
      </c>
      <c r="O330" t="s">
        <v>43</v>
      </c>
      <c r="P330">
        <v>3</v>
      </c>
      <c r="Q330">
        <v>3612.75</v>
      </c>
      <c r="R330">
        <v>0.25</v>
      </c>
      <c r="S330" t="str">
        <f t="shared" si="41"/>
        <v>OK</v>
      </c>
      <c r="T330">
        <v>8128.69</v>
      </c>
      <c r="U330">
        <v>5071.66</v>
      </c>
      <c r="V330">
        <v>3057.03</v>
      </c>
      <c r="W330" t="s">
        <v>31</v>
      </c>
      <c r="X330" t="s">
        <v>32</v>
      </c>
      <c r="Y330">
        <f t="shared" si="42"/>
        <v>0.25</v>
      </c>
      <c r="Z330">
        <f t="shared" si="43"/>
        <v>8128.6875</v>
      </c>
      <c r="AA330">
        <f t="shared" si="44"/>
        <v>3057.0275000000001</v>
      </c>
      <c r="AB330">
        <f t="shared" si="45"/>
        <v>37.607885651896453</v>
      </c>
      <c r="AC330">
        <f t="shared" si="46"/>
        <v>5</v>
      </c>
      <c r="AD330">
        <f t="shared" si="47"/>
        <v>2024</v>
      </c>
      <c r="AE330" t="str">
        <f t="shared" si="48"/>
        <v>CLEAN</v>
      </c>
    </row>
    <row r="331" spans="1:31">
      <c r="A331" t="s">
        <v>2385</v>
      </c>
      <c r="B331" s="2">
        <v>45337</v>
      </c>
      <c r="C331" s="2">
        <v>45339</v>
      </c>
      <c r="D331" s="5">
        <f>C331-B331</f>
        <v>2</v>
      </c>
      <c r="E331" s="5" t="str">
        <f>IF(D331&lt;0,"INVALID","OK")</f>
        <v>OK</v>
      </c>
      <c r="F331" t="s">
        <v>2386</v>
      </c>
      <c r="G331" t="s">
        <v>78</v>
      </c>
      <c r="H331" t="s">
        <v>23</v>
      </c>
      <c r="I331" t="s">
        <v>24</v>
      </c>
      <c r="J331" t="s">
        <v>135</v>
      </c>
      <c r="K331" t="s">
        <v>136</v>
      </c>
      <c r="L331" t="s">
        <v>73</v>
      </c>
      <c r="M331" t="s">
        <v>79</v>
      </c>
      <c r="N331" t="s">
        <v>2387</v>
      </c>
      <c r="O331" t="s">
        <v>49</v>
      </c>
      <c r="P331">
        <v>4</v>
      </c>
      <c r="Q331">
        <v>863</v>
      </c>
      <c r="R331">
        <v>0</v>
      </c>
      <c r="S331" t="str">
        <f t="shared" si="41"/>
        <v>OK</v>
      </c>
      <c r="T331">
        <v>3106.8</v>
      </c>
      <c r="U331">
        <v>2376.62</v>
      </c>
      <c r="V331">
        <v>730.18</v>
      </c>
      <c r="W331" t="s">
        <v>31</v>
      </c>
      <c r="X331" t="s">
        <v>32</v>
      </c>
      <c r="Y331">
        <f t="shared" si="42"/>
        <v>0</v>
      </c>
      <c r="Z331">
        <f t="shared" si="43"/>
        <v>3452</v>
      </c>
      <c r="AA331">
        <f t="shared" si="44"/>
        <v>1075.3800000000001</v>
      </c>
      <c r="AB331">
        <f t="shared" si="45"/>
        <v>31.152375434530711</v>
      </c>
      <c r="AC331">
        <f t="shared" si="46"/>
        <v>2</v>
      </c>
      <c r="AD331">
        <f t="shared" si="47"/>
        <v>2024</v>
      </c>
      <c r="AE331" t="str">
        <f t="shared" si="48"/>
        <v>CLEAN</v>
      </c>
    </row>
    <row r="332" spans="1:31">
      <c r="A332" t="s">
        <v>2388</v>
      </c>
      <c r="B332" s="2">
        <v>45485</v>
      </c>
      <c r="C332" s="2">
        <v>45487</v>
      </c>
      <c r="D332" s="5">
        <f>C332-B332</f>
        <v>2</v>
      </c>
      <c r="E332" s="5" t="str">
        <f>IF(D332&lt;0,"INVALID","OK")</f>
        <v>OK</v>
      </c>
      <c r="F332" t="s">
        <v>467</v>
      </c>
      <c r="G332" t="s">
        <v>61</v>
      </c>
      <c r="H332" t="s">
        <v>23</v>
      </c>
      <c r="I332" t="s">
        <v>24</v>
      </c>
      <c r="J332" t="s">
        <v>235</v>
      </c>
      <c r="K332" t="s">
        <v>236</v>
      </c>
      <c r="L332" t="s">
        <v>73</v>
      </c>
      <c r="M332" t="s">
        <v>273</v>
      </c>
      <c r="N332" t="s">
        <v>2389</v>
      </c>
      <c r="O332" t="s">
        <v>30</v>
      </c>
      <c r="P332">
        <v>4</v>
      </c>
      <c r="Q332">
        <v>2131.41</v>
      </c>
      <c r="R332">
        <v>0</v>
      </c>
      <c r="S332" t="str">
        <f t="shared" si="41"/>
        <v>OK</v>
      </c>
      <c r="T332">
        <v>6394.23</v>
      </c>
      <c r="U332">
        <v>3520.69</v>
      </c>
      <c r="V332">
        <v>2873.54</v>
      </c>
      <c r="W332" t="s">
        <v>31</v>
      </c>
      <c r="X332" t="s">
        <v>32</v>
      </c>
      <c r="Y332">
        <f t="shared" si="42"/>
        <v>0</v>
      </c>
      <c r="Z332">
        <f t="shared" si="43"/>
        <v>8525.64</v>
      </c>
      <c r="AA332">
        <f t="shared" si="44"/>
        <v>5004.9499999999989</v>
      </c>
      <c r="AB332">
        <f t="shared" si="45"/>
        <v>58.70468375394691</v>
      </c>
      <c r="AC332">
        <f t="shared" si="46"/>
        <v>7</v>
      </c>
      <c r="AD332">
        <f t="shared" si="47"/>
        <v>2024</v>
      </c>
      <c r="AE332" t="str">
        <f t="shared" si="48"/>
        <v>CLEAN</v>
      </c>
    </row>
    <row r="333" spans="1:31">
      <c r="A333" t="s">
        <v>2399</v>
      </c>
      <c r="B333" s="2">
        <v>45396</v>
      </c>
      <c r="C333" s="2">
        <v>45404</v>
      </c>
      <c r="D333" s="5">
        <f>C333-B333</f>
        <v>8</v>
      </c>
      <c r="E333" s="5" t="str">
        <f>IF(D333&lt;0,"INVALID","OK")</f>
        <v>OK</v>
      </c>
      <c r="F333" t="s">
        <v>2400</v>
      </c>
      <c r="G333" t="s">
        <v>52</v>
      </c>
      <c r="H333" t="s">
        <v>23</v>
      </c>
      <c r="I333" t="s">
        <v>24</v>
      </c>
      <c r="J333" t="s">
        <v>235</v>
      </c>
      <c r="K333" t="s">
        <v>236</v>
      </c>
      <c r="L333" t="s">
        <v>73</v>
      </c>
      <c r="M333" t="s">
        <v>74</v>
      </c>
      <c r="N333" t="s">
        <v>2401</v>
      </c>
      <c r="O333" t="s">
        <v>58</v>
      </c>
      <c r="P333">
        <v>8</v>
      </c>
      <c r="Q333">
        <v>3956.12</v>
      </c>
      <c r="R333">
        <v>0.25</v>
      </c>
      <c r="S333" t="str">
        <f t="shared" si="41"/>
        <v>OK</v>
      </c>
      <c r="T333">
        <v>23736.720000000001</v>
      </c>
      <c r="U333">
        <v>13890.9</v>
      </c>
      <c r="V333">
        <v>9845.82</v>
      </c>
      <c r="W333" t="s">
        <v>31</v>
      </c>
      <c r="X333" t="s">
        <v>32</v>
      </c>
      <c r="Y333">
        <f t="shared" si="42"/>
        <v>0.25</v>
      </c>
      <c r="Z333">
        <f t="shared" si="43"/>
        <v>23736.720000000001</v>
      </c>
      <c r="AA333">
        <f t="shared" si="44"/>
        <v>9845.8200000000015</v>
      </c>
      <c r="AB333">
        <f t="shared" si="45"/>
        <v>41.479277676106896</v>
      </c>
      <c r="AC333">
        <f t="shared" si="46"/>
        <v>4</v>
      </c>
      <c r="AD333">
        <f t="shared" si="47"/>
        <v>2024</v>
      </c>
      <c r="AE333" t="str">
        <f t="shared" si="48"/>
        <v>CLEAN</v>
      </c>
    </row>
    <row r="334" spans="1:31">
      <c r="A334" t="s">
        <v>2408</v>
      </c>
      <c r="B334" s="2">
        <v>45497</v>
      </c>
      <c r="C334" s="2">
        <v>45497</v>
      </c>
      <c r="D334" s="5">
        <f>C334-B334</f>
        <v>0</v>
      </c>
      <c r="E334" s="5" t="str">
        <f>IF(D334&lt;0,"INVALID","OK")</f>
        <v>OK</v>
      </c>
      <c r="F334" t="s">
        <v>2409</v>
      </c>
      <c r="G334" t="s">
        <v>22</v>
      </c>
      <c r="H334" t="s">
        <v>36</v>
      </c>
      <c r="I334" t="s">
        <v>24</v>
      </c>
      <c r="J334" t="s">
        <v>235</v>
      </c>
      <c r="K334" t="s">
        <v>236</v>
      </c>
      <c r="L334" t="s">
        <v>73</v>
      </c>
      <c r="M334" t="s">
        <v>79</v>
      </c>
      <c r="N334" t="s">
        <v>2410</v>
      </c>
      <c r="O334" t="s">
        <v>30</v>
      </c>
      <c r="P334">
        <v>4</v>
      </c>
      <c r="Q334">
        <v>1676.88</v>
      </c>
      <c r="R334">
        <v>0</v>
      </c>
      <c r="S334" t="str">
        <f t="shared" si="41"/>
        <v>OK</v>
      </c>
      <c r="T334">
        <v>6707.52</v>
      </c>
      <c r="U334">
        <v>5672.57</v>
      </c>
      <c r="V334">
        <v>1034.95</v>
      </c>
      <c r="W334" t="s">
        <v>31</v>
      </c>
      <c r="X334" t="s">
        <v>32</v>
      </c>
      <c r="Y334">
        <f t="shared" si="42"/>
        <v>0</v>
      </c>
      <c r="Z334">
        <f t="shared" si="43"/>
        <v>6707.52</v>
      </c>
      <c r="AA334">
        <f t="shared" si="44"/>
        <v>1034.9500000000007</v>
      </c>
      <c r="AB334">
        <f t="shared" si="45"/>
        <v>15.429696817899918</v>
      </c>
      <c r="AC334">
        <f t="shared" si="46"/>
        <v>7</v>
      </c>
      <c r="AD334">
        <f t="shared" si="47"/>
        <v>2024</v>
      </c>
      <c r="AE334" t="str">
        <f t="shared" si="48"/>
        <v>CLEAN</v>
      </c>
    </row>
    <row r="335" spans="1:31">
      <c r="A335" t="s">
        <v>2411</v>
      </c>
      <c r="B335" s="2">
        <v>45306</v>
      </c>
      <c r="C335" s="2">
        <v>45311</v>
      </c>
      <c r="D335" s="5">
        <f>C335-B335</f>
        <v>5</v>
      </c>
      <c r="E335" s="5" t="str">
        <f>IF(D335&lt;0,"INVALID","OK")</f>
        <v>OK</v>
      </c>
      <c r="F335" t="s">
        <v>2412</v>
      </c>
      <c r="G335" t="s">
        <v>113</v>
      </c>
      <c r="H335" t="s">
        <v>36</v>
      </c>
      <c r="I335" t="s">
        <v>53</v>
      </c>
      <c r="J335" t="s">
        <v>83</v>
      </c>
      <c r="K335" t="s">
        <v>84</v>
      </c>
      <c r="L335" t="s">
        <v>40</v>
      </c>
      <c r="M335" t="s">
        <v>65</v>
      </c>
      <c r="N335" t="s">
        <v>2413</v>
      </c>
      <c r="O335" t="s">
        <v>58</v>
      </c>
      <c r="P335">
        <v>4</v>
      </c>
      <c r="Q335">
        <v>3153.54</v>
      </c>
      <c r="R335">
        <v>0.05</v>
      </c>
      <c r="S335" t="str">
        <f t="shared" si="41"/>
        <v>OK</v>
      </c>
      <c r="T335">
        <v>11983.45</v>
      </c>
      <c r="U335">
        <v>8572.9</v>
      </c>
      <c r="V335">
        <v>3410.55</v>
      </c>
      <c r="W335" t="s">
        <v>31</v>
      </c>
      <c r="X335" t="s">
        <v>32</v>
      </c>
      <c r="Y335">
        <f t="shared" si="42"/>
        <v>0.05</v>
      </c>
      <c r="Z335">
        <f t="shared" si="43"/>
        <v>11983.451999999999</v>
      </c>
      <c r="AA335">
        <f t="shared" si="44"/>
        <v>3410.5519999999997</v>
      </c>
      <c r="AB335">
        <f t="shared" si="45"/>
        <v>28.46051371507976</v>
      </c>
      <c r="AC335">
        <f t="shared" si="46"/>
        <v>1</v>
      </c>
      <c r="AD335">
        <f t="shared" si="47"/>
        <v>2024</v>
      </c>
      <c r="AE335" t="str">
        <f t="shared" si="48"/>
        <v>CLEAN</v>
      </c>
    </row>
    <row r="336" spans="1:31">
      <c r="A336" t="s">
        <v>2414</v>
      </c>
      <c r="B336" s="2">
        <v>45508</v>
      </c>
      <c r="C336" s="2">
        <v>45514</v>
      </c>
      <c r="D336" s="5">
        <f>C336-B336</f>
        <v>6</v>
      </c>
      <c r="E336" s="5" t="str">
        <f>IF(D336&lt;0,"INVALID","OK")</f>
        <v>OK</v>
      </c>
      <c r="F336" t="s">
        <v>2415</v>
      </c>
      <c r="G336" t="s">
        <v>161</v>
      </c>
      <c r="H336" t="s">
        <v>36</v>
      </c>
      <c r="I336" t="s">
        <v>62</v>
      </c>
      <c r="J336" t="s">
        <v>25</v>
      </c>
      <c r="K336" t="s">
        <v>108</v>
      </c>
      <c r="L336" t="s">
        <v>40</v>
      </c>
      <c r="M336" t="s">
        <v>65</v>
      </c>
      <c r="N336" t="s">
        <v>2416</v>
      </c>
      <c r="O336" t="s">
        <v>43</v>
      </c>
      <c r="P336">
        <v>4</v>
      </c>
      <c r="Q336">
        <v>426.43</v>
      </c>
      <c r="R336">
        <v>0.2</v>
      </c>
      <c r="S336" t="str">
        <f t="shared" si="41"/>
        <v>OK</v>
      </c>
      <c r="T336">
        <v>1364.58</v>
      </c>
      <c r="U336">
        <v>978.16</v>
      </c>
      <c r="V336">
        <v>386.42</v>
      </c>
      <c r="W336" t="s">
        <v>31</v>
      </c>
      <c r="X336" t="s">
        <v>32</v>
      </c>
      <c r="Y336">
        <f t="shared" si="42"/>
        <v>0.2</v>
      </c>
      <c r="Z336">
        <f t="shared" si="43"/>
        <v>1364.576</v>
      </c>
      <c r="AA336">
        <f t="shared" si="44"/>
        <v>386.41600000000005</v>
      </c>
      <c r="AB336">
        <f t="shared" si="45"/>
        <v>28.317660577351507</v>
      </c>
      <c r="AC336">
        <f t="shared" si="46"/>
        <v>8</v>
      </c>
      <c r="AD336">
        <f t="shared" si="47"/>
        <v>2024</v>
      </c>
      <c r="AE336" t="str">
        <f t="shared" si="48"/>
        <v>CLEAN</v>
      </c>
    </row>
    <row r="337" spans="1:31">
      <c r="A337" t="s">
        <v>2417</v>
      </c>
      <c r="B337" s="2">
        <v>45324</v>
      </c>
      <c r="C337" s="2">
        <v>45332</v>
      </c>
      <c r="D337" s="5">
        <f>C337-B337</f>
        <v>8</v>
      </c>
      <c r="E337" s="5" t="str">
        <f>IF(D337&lt;0,"INVALID","OK")</f>
        <v>OK</v>
      </c>
      <c r="F337" t="s">
        <v>2418</v>
      </c>
      <c r="G337" t="s">
        <v>22</v>
      </c>
      <c r="H337" t="s">
        <v>94</v>
      </c>
      <c r="I337" t="s">
        <v>62</v>
      </c>
      <c r="J337" t="s">
        <v>25</v>
      </c>
      <c r="K337" t="s">
        <v>108</v>
      </c>
      <c r="L337" t="s">
        <v>27</v>
      </c>
      <c r="M337" t="s">
        <v>90</v>
      </c>
      <c r="N337" t="s">
        <v>2419</v>
      </c>
      <c r="O337" t="s">
        <v>49</v>
      </c>
      <c r="P337">
        <v>3</v>
      </c>
      <c r="Q337">
        <v>383.4</v>
      </c>
      <c r="R337">
        <v>0.25</v>
      </c>
      <c r="S337" t="str">
        <f t="shared" si="41"/>
        <v>OK</v>
      </c>
      <c r="T337">
        <v>862.65</v>
      </c>
      <c r="U337">
        <v>603.73</v>
      </c>
      <c r="V337">
        <v>258.92</v>
      </c>
      <c r="W337" t="s">
        <v>110</v>
      </c>
      <c r="X337" t="s">
        <v>102</v>
      </c>
      <c r="Y337">
        <f t="shared" si="42"/>
        <v>0.25</v>
      </c>
      <c r="Z337">
        <f t="shared" si="43"/>
        <v>862.64999999999986</v>
      </c>
      <c r="AA337">
        <f t="shared" si="44"/>
        <v>258.91999999999985</v>
      </c>
      <c r="AB337">
        <f t="shared" si="45"/>
        <v>30.014490233582553</v>
      </c>
      <c r="AC337">
        <f t="shared" si="46"/>
        <v>2</v>
      </c>
      <c r="AD337">
        <f t="shared" si="47"/>
        <v>2024</v>
      </c>
      <c r="AE337" t="str">
        <f t="shared" si="48"/>
        <v>CLEAN</v>
      </c>
    </row>
    <row r="338" spans="1:31">
      <c r="A338" t="s">
        <v>2423</v>
      </c>
      <c r="B338" s="2">
        <v>45450</v>
      </c>
      <c r="C338" s="2">
        <v>45450</v>
      </c>
      <c r="D338" s="5">
        <f>C338-B338</f>
        <v>0</v>
      </c>
      <c r="E338" s="5" t="str">
        <f>IF(D338&lt;0,"INVALID","OK")</f>
        <v>OK</v>
      </c>
      <c r="F338" t="s">
        <v>2424</v>
      </c>
      <c r="G338" t="s">
        <v>127</v>
      </c>
      <c r="H338" t="s">
        <v>36</v>
      </c>
      <c r="I338" t="s">
        <v>37</v>
      </c>
      <c r="J338" t="s">
        <v>144</v>
      </c>
      <c r="K338" t="s">
        <v>145</v>
      </c>
      <c r="L338" t="s">
        <v>27</v>
      </c>
      <c r="M338" t="s">
        <v>47</v>
      </c>
      <c r="N338" t="s">
        <v>2425</v>
      </c>
      <c r="O338" t="s">
        <v>30</v>
      </c>
      <c r="P338">
        <v>1</v>
      </c>
      <c r="Q338">
        <v>2581.9299999999998</v>
      </c>
      <c r="R338">
        <v>0.05</v>
      </c>
      <c r="S338" t="str">
        <f t="shared" si="41"/>
        <v>OK</v>
      </c>
      <c r="T338">
        <v>2452.83</v>
      </c>
      <c r="U338">
        <v>1906.7</v>
      </c>
      <c r="V338">
        <v>546.13</v>
      </c>
      <c r="W338" t="s">
        <v>31</v>
      </c>
      <c r="X338" t="s">
        <v>32</v>
      </c>
      <c r="Y338">
        <f t="shared" si="42"/>
        <v>0.05</v>
      </c>
      <c r="Z338">
        <f t="shared" si="43"/>
        <v>2452.8334999999997</v>
      </c>
      <c r="AA338">
        <f t="shared" si="44"/>
        <v>546.13349999999969</v>
      </c>
      <c r="AB338">
        <f t="shared" si="45"/>
        <v>22.265412634000626</v>
      </c>
      <c r="AC338">
        <f t="shared" si="46"/>
        <v>6</v>
      </c>
      <c r="AD338">
        <f t="shared" si="47"/>
        <v>2024</v>
      </c>
      <c r="AE338" t="str">
        <f t="shared" si="48"/>
        <v>CLEAN</v>
      </c>
    </row>
    <row r="339" spans="1:31">
      <c r="A339" t="s">
        <v>2435</v>
      </c>
      <c r="B339" s="2">
        <v>45547</v>
      </c>
      <c r="C339" s="2">
        <v>45553</v>
      </c>
      <c r="D339" s="5">
        <f>C339-B339</f>
        <v>6</v>
      </c>
      <c r="E339" s="5" t="str">
        <f>IF(D339&lt;0,"INVALID","OK")</f>
        <v>OK</v>
      </c>
      <c r="F339" t="s">
        <v>2436</v>
      </c>
      <c r="G339" t="s">
        <v>61</v>
      </c>
      <c r="H339" t="s">
        <v>94</v>
      </c>
      <c r="I339" t="s">
        <v>37</v>
      </c>
      <c r="J339" t="s">
        <v>144</v>
      </c>
      <c r="K339" t="s">
        <v>145</v>
      </c>
      <c r="L339" t="s">
        <v>27</v>
      </c>
      <c r="M339" t="s">
        <v>28</v>
      </c>
      <c r="N339" t="s">
        <v>2437</v>
      </c>
      <c r="O339" t="s">
        <v>30</v>
      </c>
      <c r="P339">
        <v>2</v>
      </c>
      <c r="Q339">
        <v>3718.77</v>
      </c>
      <c r="R339">
        <v>0.05</v>
      </c>
      <c r="S339" t="str">
        <f t="shared" si="41"/>
        <v>OK</v>
      </c>
      <c r="T339">
        <v>7065.66</v>
      </c>
      <c r="U339">
        <v>4915.2700000000004</v>
      </c>
      <c r="V339">
        <v>2150.39</v>
      </c>
      <c r="W339" t="s">
        <v>31</v>
      </c>
      <c r="X339" t="s">
        <v>32</v>
      </c>
      <c r="Y339">
        <f t="shared" si="42"/>
        <v>0.05</v>
      </c>
      <c r="Z339">
        <f t="shared" si="43"/>
        <v>7065.6629999999996</v>
      </c>
      <c r="AA339">
        <f t="shared" si="44"/>
        <v>2150.3929999999991</v>
      </c>
      <c r="AB339">
        <f t="shared" si="45"/>
        <v>30.434412170521004</v>
      </c>
      <c r="AC339">
        <f t="shared" si="46"/>
        <v>9</v>
      </c>
      <c r="AD339">
        <f t="shared" si="47"/>
        <v>2024</v>
      </c>
      <c r="AE339" t="str">
        <f t="shared" si="48"/>
        <v>CLEAN</v>
      </c>
    </row>
    <row r="340" spans="1:31">
      <c r="A340" t="s">
        <v>2444</v>
      </c>
      <c r="B340" s="2">
        <v>45443</v>
      </c>
      <c r="C340" s="2">
        <v>45445</v>
      </c>
      <c r="D340" s="5">
        <f>C340-B340</f>
        <v>2</v>
      </c>
      <c r="E340" s="5" t="str">
        <f>IF(D340&lt;0,"INVALID","OK")</f>
        <v>OK</v>
      </c>
      <c r="F340" t="s">
        <v>2445</v>
      </c>
      <c r="G340" t="s">
        <v>117</v>
      </c>
      <c r="H340" t="s">
        <v>89</v>
      </c>
      <c r="I340" t="s">
        <v>53</v>
      </c>
      <c r="J340" t="s">
        <v>83</v>
      </c>
      <c r="K340" t="s">
        <v>84</v>
      </c>
      <c r="L340" t="s">
        <v>27</v>
      </c>
      <c r="M340" t="s">
        <v>47</v>
      </c>
      <c r="N340" t="s">
        <v>2446</v>
      </c>
      <c r="O340" t="s">
        <v>58</v>
      </c>
      <c r="P340">
        <v>8</v>
      </c>
      <c r="Q340">
        <v>667.59</v>
      </c>
      <c r="R340">
        <v>0.2</v>
      </c>
      <c r="S340" t="str">
        <f t="shared" si="41"/>
        <v>OK</v>
      </c>
      <c r="T340">
        <v>4272.58</v>
      </c>
      <c r="U340">
        <v>3328.92</v>
      </c>
      <c r="V340">
        <v>943.66</v>
      </c>
      <c r="W340" t="s">
        <v>31</v>
      </c>
      <c r="X340" t="s">
        <v>32</v>
      </c>
      <c r="Y340">
        <f t="shared" si="42"/>
        <v>0.2</v>
      </c>
      <c r="Z340">
        <f t="shared" si="43"/>
        <v>4272.576</v>
      </c>
      <c r="AA340">
        <f t="shared" si="44"/>
        <v>943.65599999999995</v>
      </c>
      <c r="AB340">
        <f t="shared" si="45"/>
        <v>22.086347908147214</v>
      </c>
      <c r="AC340">
        <f t="shared" si="46"/>
        <v>5</v>
      </c>
      <c r="AD340">
        <f t="shared" si="47"/>
        <v>2024</v>
      </c>
      <c r="AE340" t="str">
        <f t="shared" si="48"/>
        <v>CLEAN</v>
      </c>
    </row>
    <row r="341" spans="1:31">
      <c r="A341" t="s">
        <v>2447</v>
      </c>
      <c r="B341" s="2">
        <v>45567</v>
      </c>
      <c r="C341" s="2">
        <v>45571</v>
      </c>
      <c r="D341" s="5">
        <f>C341-B341</f>
        <v>4</v>
      </c>
      <c r="E341" s="5" t="str">
        <f>IF(D341&lt;0,"INVALID","OK")</f>
        <v>OK</v>
      </c>
      <c r="F341" t="s">
        <v>2448</v>
      </c>
      <c r="G341" t="s">
        <v>117</v>
      </c>
      <c r="H341" t="s">
        <v>94</v>
      </c>
      <c r="I341" t="s">
        <v>53</v>
      </c>
      <c r="J341" t="s">
        <v>174</v>
      </c>
      <c r="K341" t="s">
        <v>175</v>
      </c>
      <c r="L341" t="s">
        <v>40</v>
      </c>
      <c r="M341" t="s">
        <v>157</v>
      </c>
      <c r="N341" t="s">
        <v>2449</v>
      </c>
      <c r="O341" t="s">
        <v>43</v>
      </c>
      <c r="P341">
        <v>8</v>
      </c>
      <c r="Q341">
        <v>1558.77</v>
      </c>
      <c r="R341">
        <v>0.25</v>
      </c>
      <c r="S341" t="str">
        <f t="shared" si="41"/>
        <v>OK</v>
      </c>
      <c r="T341">
        <v>9352.6200000000008</v>
      </c>
      <c r="U341">
        <v>5269.41</v>
      </c>
      <c r="V341">
        <v>4083.21</v>
      </c>
      <c r="W341" t="s">
        <v>31</v>
      </c>
      <c r="X341" t="s">
        <v>32</v>
      </c>
      <c r="Y341">
        <f t="shared" si="42"/>
        <v>0.25</v>
      </c>
      <c r="Z341">
        <f t="shared" si="43"/>
        <v>9352.619999999999</v>
      </c>
      <c r="AA341">
        <f t="shared" si="44"/>
        <v>4083.2099999999991</v>
      </c>
      <c r="AB341">
        <f t="shared" si="45"/>
        <v>43.658461479243243</v>
      </c>
      <c r="AC341">
        <f t="shared" si="46"/>
        <v>10</v>
      </c>
      <c r="AD341">
        <f t="shared" si="47"/>
        <v>2024</v>
      </c>
      <c r="AE341" t="str">
        <f t="shared" si="48"/>
        <v>CLEAN</v>
      </c>
    </row>
    <row r="342" spans="1:31">
      <c r="A342" t="s">
        <v>2453</v>
      </c>
      <c r="B342" s="2">
        <v>45440</v>
      </c>
      <c r="C342" s="2">
        <v>45446</v>
      </c>
      <c r="D342" s="5">
        <f>C342-B342</f>
        <v>6</v>
      </c>
      <c r="E342" s="5" t="str">
        <f>IF(D342&lt;0,"INVALID","OK")</f>
        <v>OK</v>
      </c>
      <c r="F342" t="s">
        <v>2454</v>
      </c>
      <c r="G342" t="s">
        <v>70</v>
      </c>
      <c r="H342" t="s">
        <v>89</v>
      </c>
      <c r="I342" t="s">
        <v>24</v>
      </c>
      <c r="J342" t="s">
        <v>25</v>
      </c>
      <c r="K342" t="s">
        <v>26</v>
      </c>
      <c r="L342" t="s">
        <v>73</v>
      </c>
      <c r="M342" t="s">
        <v>79</v>
      </c>
      <c r="N342" t="s">
        <v>2455</v>
      </c>
      <c r="O342" t="s">
        <v>30</v>
      </c>
      <c r="P342">
        <v>5</v>
      </c>
      <c r="Q342">
        <v>4302.32</v>
      </c>
      <c r="R342">
        <v>0</v>
      </c>
      <c r="S342" t="str">
        <f t="shared" si="41"/>
        <v>OK</v>
      </c>
      <c r="T342">
        <v>21511.599999999999</v>
      </c>
      <c r="U342">
        <v>15408.47</v>
      </c>
      <c r="V342">
        <v>6103.13</v>
      </c>
      <c r="W342" t="s">
        <v>31</v>
      </c>
      <c r="X342" t="s">
        <v>32</v>
      </c>
      <c r="Y342">
        <f t="shared" si="42"/>
        <v>0</v>
      </c>
      <c r="Z342">
        <f t="shared" si="43"/>
        <v>21511.599999999999</v>
      </c>
      <c r="AA342">
        <f t="shared" si="44"/>
        <v>6103.1299999999992</v>
      </c>
      <c r="AB342">
        <f t="shared" si="45"/>
        <v>28.371343833094702</v>
      </c>
      <c r="AC342">
        <f t="shared" si="46"/>
        <v>5</v>
      </c>
      <c r="AD342">
        <f t="shared" si="47"/>
        <v>2024</v>
      </c>
      <c r="AE342" t="str">
        <f t="shared" si="48"/>
        <v>CLEAN</v>
      </c>
    </row>
    <row r="343" spans="1:31">
      <c r="A343" t="s">
        <v>2462</v>
      </c>
      <c r="B343" s="2">
        <v>45374</v>
      </c>
      <c r="C343" s="2">
        <v>45381</v>
      </c>
      <c r="D343" s="5">
        <f>C343-B343</f>
        <v>7</v>
      </c>
      <c r="E343" s="5" t="str">
        <f>IF(D343&lt;0,"INVALID","OK")</f>
        <v>OK</v>
      </c>
      <c r="F343" t="s">
        <v>2463</v>
      </c>
      <c r="G343" t="s">
        <v>140</v>
      </c>
      <c r="H343" t="s">
        <v>36</v>
      </c>
      <c r="I343" t="s">
        <v>53</v>
      </c>
      <c r="J343" t="s">
        <v>83</v>
      </c>
      <c r="K343" t="s">
        <v>84</v>
      </c>
      <c r="L343" t="s">
        <v>73</v>
      </c>
      <c r="M343" t="s">
        <v>273</v>
      </c>
      <c r="N343" t="s">
        <v>2464</v>
      </c>
      <c r="O343" t="s">
        <v>49</v>
      </c>
      <c r="P343">
        <v>6</v>
      </c>
      <c r="Q343">
        <v>1894.44</v>
      </c>
      <c r="R343">
        <v>0.15</v>
      </c>
      <c r="S343" t="str">
        <f t="shared" si="41"/>
        <v>OK</v>
      </c>
      <c r="T343">
        <v>9661.64</v>
      </c>
      <c r="U343">
        <v>6303.77</v>
      </c>
      <c r="V343">
        <v>3357.87</v>
      </c>
      <c r="W343" t="s">
        <v>31</v>
      </c>
      <c r="X343" t="s">
        <v>32</v>
      </c>
      <c r="Y343">
        <f t="shared" si="42"/>
        <v>0.15</v>
      </c>
      <c r="Z343">
        <f t="shared" si="43"/>
        <v>9661.6439999999984</v>
      </c>
      <c r="AA343">
        <f t="shared" si="44"/>
        <v>3357.873999999998</v>
      </c>
      <c r="AB343">
        <f t="shared" si="45"/>
        <v>34.754685641491221</v>
      </c>
      <c r="AC343">
        <f t="shared" si="46"/>
        <v>3</v>
      </c>
      <c r="AD343">
        <f t="shared" si="47"/>
        <v>2024</v>
      </c>
      <c r="AE343" t="str">
        <f t="shared" si="48"/>
        <v>CLEAN</v>
      </c>
    </row>
    <row r="344" spans="1:31">
      <c r="A344" t="s">
        <v>2471</v>
      </c>
      <c r="B344" s="2">
        <v>45575</v>
      </c>
      <c r="C344" s="2">
        <v>45582</v>
      </c>
      <c r="D344" s="5">
        <f>C344-B344</f>
        <v>7</v>
      </c>
      <c r="E344" s="5" t="str">
        <f>IF(D344&lt;0,"INVALID","OK")</f>
        <v>OK</v>
      </c>
      <c r="F344" t="s">
        <v>2472</v>
      </c>
      <c r="G344" t="s">
        <v>46</v>
      </c>
      <c r="H344" t="s">
        <v>94</v>
      </c>
      <c r="I344" t="s">
        <v>24</v>
      </c>
      <c r="J344" t="s">
        <v>235</v>
      </c>
      <c r="K344" t="s">
        <v>236</v>
      </c>
      <c r="L344" t="s">
        <v>73</v>
      </c>
      <c r="M344" t="s">
        <v>74</v>
      </c>
      <c r="N344" t="s">
        <v>2473</v>
      </c>
      <c r="O344" t="s">
        <v>2762</v>
      </c>
      <c r="P344">
        <v>5</v>
      </c>
      <c r="Q344">
        <v>967.41</v>
      </c>
      <c r="R344">
        <v>0.05</v>
      </c>
      <c r="S344" t="str">
        <f t="shared" si="41"/>
        <v>OK</v>
      </c>
      <c r="T344">
        <v>4595.2</v>
      </c>
      <c r="U344">
        <v>3887.41</v>
      </c>
      <c r="V344">
        <v>707.79</v>
      </c>
      <c r="W344" t="s">
        <v>31</v>
      </c>
      <c r="X344" t="s">
        <v>102</v>
      </c>
      <c r="Y344">
        <f t="shared" si="42"/>
        <v>0.05</v>
      </c>
      <c r="Z344">
        <f t="shared" si="43"/>
        <v>4595.1975000000002</v>
      </c>
      <c r="AA344">
        <f t="shared" si="44"/>
        <v>707.78750000000036</v>
      </c>
      <c r="AB344">
        <f t="shared" si="45"/>
        <v>15.402765604742786</v>
      </c>
      <c r="AC344">
        <f t="shared" si="46"/>
        <v>10</v>
      </c>
      <c r="AD344">
        <f t="shared" si="47"/>
        <v>2024</v>
      </c>
      <c r="AE344" t="str">
        <f t="shared" si="48"/>
        <v>CLEAN</v>
      </c>
    </row>
    <row r="345" spans="1:31">
      <c r="A345" t="s">
        <v>2474</v>
      </c>
      <c r="B345" s="2">
        <v>45352</v>
      </c>
      <c r="C345" s="2">
        <v>45358</v>
      </c>
      <c r="D345" s="5">
        <f>C345-B345</f>
        <v>6</v>
      </c>
      <c r="E345" s="5" t="str">
        <f>IF(D345&lt;0,"INVALID","OK")</f>
        <v>OK</v>
      </c>
      <c r="F345" t="s">
        <v>2475</v>
      </c>
      <c r="G345" t="s">
        <v>70</v>
      </c>
      <c r="H345" t="s">
        <v>36</v>
      </c>
      <c r="I345" t="s">
        <v>62</v>
      </c>
      <c r="J345" t="s">
        <v>63</v>
      </c>
      <c r="K345" t="s">
        <v>64</v>
      </c>
      <c r="L345" t="s">
        <v>27</v>
      </c>
      <c r="M345" t="s">
        <v>123</v>
      </c>
      <c r="N345" t="s">
        <v>2476</v>
      </c>
      <c r="O345" t="s">
        <v>30</v>
      </c>
      <c r="P345">
        <v>6</v>
      </c>
      <c r="Q345">
        <v>4163.72</v>
      </c>
      <c r="R345">
        <v>0.15</v>
      </c>
      <c r="S345" t="str">
        <f t="shared" si="41"/>
        <v>OK</v>
      </c>
      <c r="T345">
        <v>21234.97</v>
      </c>
      <c r="U345">
        <v>16736.09</v>
      </c>
      <c r="V345">
        <v>4498.88</v>
      </c>
      <c r="W345" t="s">
        <v>31</v>
      </c>
      <c r="X345" t="s">
        <v>32</v>
      </c>
      <c r="Y345">
        <f t="shared" si="42"/>
        <v>0.15</v>
      </c>
      <c r="Z345">
        <f t="shared" si="43"/>
        <v>21234.971999999998</v>
      </c>
      <c r="AA345">
        <f t="shared" si="44"/>
        <v>4498.8819999999978</v>
      </c>
      <c r="AB345">
        <f t="shared" si="45"/>
        <v>21.186192286950028</v>
      </c>
      <c r="AC345">
        <f t="shared" si="46"/>
        <v>3</v>
      </c>
      <c r="AD345">
        <f t="shared" si="47"/>
        <v>2024</v>
      </c>
      <c r="AE345" t="str">
        <f t="shared" si="48"/>
        <v>CLEAN</v>
      </c>
    </row>
    <row r="346" spans="1:31">
      <c r="A346" t="s">
        <v>2483</v>
      </c>
      <c r="B346" s="2">
        <v>45635</v>
      </c>
      <c r="C346" s="2">
        <v>45639</v>
      </c>
      <c r="D346" s="5">
        <f>C346-B346</f>
        <v>4</v>
      </c>
      <c r="E346" s="5" t="str">
        <f>IF(D346&lt;0,"INVALID","OK")</f>
        <v>OK</v>
      </c>
      <c r="F346" t="s">
        <v>2484</v>
      </c>
      <c r="G346" t="s">
        <v>140</v>
      </c>
      <c r="H346" t="s">
        <v>23</v>
      </c>
      <c r="I346" t="s">
        <v>2762</v>
      </c>
      <c r="J346" t="s">
        <v>227</v>
      </c>
      <c r="K346" t="s">
        <v>228</v>
      </c>
      <c r="L346" t="s">
        <v>27</v>
      </c>
      <c r="M346" t="s">
        <v>90</v>
      </c>
      <c r="N346" t="s">
        <v>2485</v>
      </c>
      <c r="O346" t="s">
        <v>49</v>
      </c>
      <c r="P346">
        <v>1</v>
      </c>
      <c r="Q346">
        <v>4306.6499999999996</v>
      </c>
      <c r="R346">
        <v>0</v>
      </c>
      <c r="S346" t="str">
        <f t="shared" si="41"/>
        <v>OK</v>
      </c>
      <c r="T346">
        <v>4306.6499999999996</v>
      </c>
      <c r="U346">
        <v>2568.8200000000002</v>
      </c>
      <c r="V346">
        <v>1737.83</v>
      </c>
      <c r="W346" t="s">
        <v>31</v>
      </c>
      <c r="X346" t="s">
        <v>32</v>
      </c>
      <c r="Y346">
        <f t="shared" si="42"/>
        <v>0</v>
      </c>
      <c r="Z346">
        <f t="shared" si="43"/>
        <v>4306.6499999999996</v>
      </c>
      <c r="AA346">
        <f t="shared" si="44"/>
        <v>1737.8299999999995</v>
      </c>
      <c r="AB346">
        <f t="shared" si="45"/>
        <v>40.352245945224233</v>
      </c>
      <c r="AC346">
        <f t="shared" si="46"/>
        <v>12</v>
      </c>
      <c r="AD346">
        <f t="shared" si="47"/>
        <v>2024</v>
      </c>
      <c r="AE346" t="str">
        <f t="shared" si="48"/>
        <v>CLEAN</v>
      </c>
    </row>
    <row r="347" spans="1:31">
      <c r="A347" t="s">
        <v>2503</v>
      </c>
      <c r="B347" s="2">
        <v>45385</v>
      </c>
      <c r="C347" s="2">
        <v>45508</v>
      </c>
      <c r="D347" s="5">
        <f>C347-B347</f>
        <v>123</v>
      </c>
      <c r="E347" s="5" t="str">
        <f>IF(D347&lt;0,"INVALID","OK")</f>
        <v>OK</v>
      </c>
      <c r="F347" t="s">
        <v>1667</v>
      </c>
      <c r="G347" t="s">
        <v>263</v>
      </c>
      <c r="H347" t="s">
        <v>94</v>
      </c>
      <c r="I347" t="s">
        <v>62</v>
      </c>
      <c r="J347" t="s">
        <v>179</v>
      </c>
      <c r="K347" t="s">
        <v>180</v>
      </c>
      <c r="L347" t="s">
        <v>73</v>
      </c>
      <c r="M347" t="s">
        <v>79</v>
      </c>
      <c r="N347" t="s">
        <v>2504</v>
      </c>
      <c r="O347" t="s">
        <v>49</v>
      </c>
      <c r="P347">
        <v>1</v>
      </c>
      <c r="Q347">
        <v>3151.85</v>
      </c>
      <c r="R347">
        <v>0.25</v>
      </c>
      <c r="S347" t="str">
        <f t="shared" si="41"/>
        <v>OK</v>
      </c>
      <c r="T347">
        <v>2363.89</v>
      </c>
      <c r="U347">
        <v>1471.51</v>
      </c>
      <c r="V347">
        <v>892.38</v>
      </c>
      <c r="W347" t="s">
        <v>31</v>
      </c>
      <c r="X347" t="s">
        <v>32</v>
      </c>
      <c r="Y347">
        <f t="shared" si="42"/>
        <v>0.25</v>
      </c>
      <c r="Z347">
        <f t="shared" si="43"/>
        <v>2363.8874999999998</v>
      </c>
      <c r="AA347">
        <f t="shared" si="44"/>
        <v>892.37749999999983</v>
      </c>
      <c r="AB347">
        <f t="shared" si="45"/>
        <v>37.750421710001</v>
      </c>
      <c r="AC347">
        <f t="shared" si="46"/>
        <v>4</v>
      </c>
      <c r="AD347">
        <f t="shared" si="47"/>
        <v>2024</v>
      </c>
      <c r="AE347" t="str">
        <f t="shared" si="48"/>
        <v>CLEAN</v>
      </c>
    </row>
    <row r="348" spans="1:31">
      <c r="A348" t="s">
        <v>2505</v>
      </c>
      <c r="B348" s="2">
        <v>45638</v>
      </c>
      <c r="C348" s="2">
        <v>45645</v>
      </c>
      <c r="D348" s="5">
        <f>C348-B348</f>
        <v>7</v>
      </c>
      <c r="E348" s="5" t="str">
        <f>IF(D348&lt;0,"INVALID","OK")</f>
        <v>OK</v>
      </c>
      <c r="F348" t="s">
        <v>2506</v>
      </c>
      <c r="G348" t="s">
        <v>140</v>
      </c>
      <c r="H348" t="s">
        <v>94</v>
      </c>
      <c r="I348" t="s">
        <v>24</v>
      </c>
      <c r="J348" t="s">
        <v>235</v>
      </c>
      <c r="K348" t="s">
        <v>236</v>
      </c>
      <c r="L348" t="s">
        <v>73</v>
      </c>
      <c r="M348" t="s">
        <v>74</v>
      </c>
      <c r="N348" t="s">
        <v>2507</v>
      </c>
      <c r="O348" t="s">
        <v>49</v>
      </c>
      <c r="P348">
        <v>2</v>
      </c>
      <c r="Q348">
        <v>1610.75</v>
      </c>
      <c r="R348">
        <v>0.2</v>
      </c>
      <c r="S348" t="str">
        <f t="shared" si="41"/>
        <v>OK</v>
      </c>
      <c r="T348">
        <v>2577.1999999999998</v>
      </c>
      <c r="U348">
        <v>1475.87</v>
      </c>
      <c r="V348">
        <v>1101.33</v>
      </c>
      <c r="W348" t="s">
        <v>31</v>
      </c>
      <c r="X348" t="s">
        <v>32</v>
      </c>
      <c r="Y348">
        <f t="shared" si="42"/>
        <v>0.2</v>
      </c>
      <c r="Z348">
        <f t="shared" si="43"/>
        <v>2577.2000000000003</v>
      </c>
      <c r="AA348">
        <f t="shared" si="44"/>
        <v>1101.3300000000004</v>
      </c>
      <c r="AB348">
        <f t="shared" si="45"/>
        <v>42.733586838429318</v>
      </c>
      <c r="AC348">
        <f t="shared" si="46"/>
        <v>12</v>
      </c>
      <c r="AD348">
        <f t="shared" si="47"/>
        <v>2024</v>
      </c>
      <c r="AE348" t="str">
        <f t="shared" si="48"/>
        <v>CLEAN</v>
      </c>
    </row>
    <row r="349" spans="1:31">
      <c r="A349" t="s">
        <v>2508</v>
      </c>
      <c r="B349" s="2">
        <v>45458</v>
      </c>
      <c r="C349" s="2">
        <v>45463</v>
      </c>
      <c r="D349" s="5">
        <f>C349-B349</f>
        <v>5</v>
      </c>
      <c r="E349" s="5" t="str">
        <f>IF(D349&lt;0,"INVALID","OK")</f>
        <v>OK</v>
      </c>
      <c r="F349" t="s">
        <v>2509</v>
      </c>
      <c r="G349" t="s">
        <v>131</v>
      </c>
      <c r="H349" t="s">
        <v>36</v>
      </c>
      <c r="I349" t="s">
        <v>37</v>
      </c>
      <c r="J349" t="s">
        <v>227</v>
      </c>
      <c r="K349" t="s">
        <v>228</v>
      </c>
      <c r="L349" t="s">
        <v>40</v>
      </c>
      <c r="M349" t="s">
        <v>41</v>
      </c>
      <c r="N349" t="s">
        <v>2510</v>
      </c>
      <c r="O349" t="s">
        <v>49</v>
      </c>
      <c r="P349">
        <v>8</v>
      </c>
      <c r="Q349">
        <v>2228.4699999999998</v>
      </c>
      <c r="R349">
        <v>0</v>
      </c>
      <c r="S349" t="str">
        <f t="shared" si="41"/>
        <v>OK</v>
      </c>
      <c r="T349">
        <v>17827.759999999998</v>
      </c>
      <c r="U349">
        <v>14122.13</v>
      </c>
      <c r="V349">
        <v>3705.63</v>
      </c>
      <c r="W349" t="s">
        <v>31</v>
      </c>
      <c r="X349" t="s">
        <v>32</v>
      </c>
      <c r="Y349">
        <f t="shared" si="42"/>
        <v>0</v>
      </c>
      <c r="Z349">
        <f t="shared" si="43"/>
        <v>17827.759999999998</v>
      </c>
      <c r="AA349">
        <f t="shared" si="44"/>
        <v>3705.6299999999992</v>
      </c>
      <c r="AB349">
        <f t="shared" si="45"/>
        <v>20.785729671029895</v>
      </c>
      <c r="AC349">
        <f t="shared" si="46"/>
        <v>6</v>
      </c>
      <c r="AD349">
        <f t="shared" si="47"/>
        <v>2024</v>
      </c>
      <c r="AE349" t="str">
        <f t="shared" si="48"/>
        <v>CLEAN</v>
      </c>
    </row>
    <row r="350" spans="1:31">
      <c r="A350" t="s">
        <v>2519</v>
      </c>
      <c r="B350" s="2">
        <v>45623</v>
      </c>
      <c r="C350" s="2">
        <v>45626</v>
      </c>
      <c r="D350" s="5">
        <f>C350-B350</f>
        <v>3</v>
      </c>
      <c r="E350" s="5" t="str">
        <f>IF(D350&lt;0,"INVALID","OK")</f>
        <v>OK</v>
      </c>
      <c r="F350" t="s">
        <v>2520</v>
      </c>
      <c r="G350" t="s">
        <v>117</v>
      </c>
      <c r="H350" t="s">
        <v>36</v>
      </c>
      <c r="I350" t="s">
        <v>37</v>
      </c>
      <c r="J350" t="s">
        <v>227</v>
      </c>
      <c r="K350" t="s">
        <v>228</v>
      </c>
      <c r="L350" t="s">
        <v>40</v>
      </c>
      <c r="M350" t="s">
        <v>56</v>
      </c>
      <c r="N350" t="s">
        <v>2521</v>
      </c>
      <c r="O350" t="s">
        <v>49</v>
      </c>
      <c r="P350">
        <v>1</v>
      </c>
      <c r="Q350">
        <v>874.3</v>
      </c>
      <c r="R350">
        <v>0.1</v>
      </c>
      <c r="S350" t="str">
        <f t="shared" ref="S350:S397" si="49">IF(R350&lt;0,"INVALID",IF(R350&gt;0.5,"INVALID","OK"))</f>
        <v>OK</v>
      </c>
      <c r="T350">
        <v>786.87</v>
      </c>
      <c r="U350">
        <v>498.5</v>
      </c>
      <c r="V350">
        <v>288.37</v>
      </c>
      <c r="W350" t="s">
        <v>31</v>
      </c>
      <c r="X350" t="s">
        <v>32</v>
      </c>
      <c r="Y350">
        <f t="shared" si="42"/>
        <v>0.1</v>
      </c>
      <c r="Z350">
        <f t="shared" si="43"/>
        <v>786.87</v>
      </c>
      <c r="AA350">
        <f t="shared" si="44"/>
        <v>288.37</v>
      </c>
      <c r="AB350">
        <f t="shared" si="45"/>
        <v>36.647730883119195</v>
      </c>
      <c r="AC350">
        <f t="shared" si="46"/>
        <v>11</v>
      </c>
      <c r="AD350">
        <f t="shared" si="47"/>
        <v>2024</v>
      </c>
      <c r="AE350" t="str">
        <f t="shared" si="48"/>
        <v>CLEAN</v>
      </c>
    </row>
    <row r="351" spans="1:31">
      <c r="A351" t="s">
        <v>2525</v>
      </c>
      <c r="B351" s="2">
        <v>45564</v>
      </c>
      <c r="C351" s="2">
        <v>45422</v>
      </c>
      <c r="D351" s="5">
        <f>C351-B351</f>
        <v>-142</v>
      </c>
      <c r="E351" s="5" t="str">
        <f>IF(D351&lt;0,"INVALID","OK")</f>
        <v>INVALID</v>
      </c>
      <c r="F351" t="s">
        <v>2526</v>
      </c>
      <c r="G351" t="s">
        <v>113</v>
      </c>
      <c r="H351" t="s">
        <v>36</v>
      </c>
      <c r="I351" t="s">
        <v>62</v>
      </c>
      <c r="J351" t="s">
        <v>63</v>
      </c>
      <c r="K351" t="s">
        <v>64</v>
      </c>
      <c r="L351" t="s">
        <v>27</v>
      </c>
      <c r="M351" t="s">
        <v>90</v>
      </c>
      <c r="N351" t="s">
        <v>2527</v>
      </c>
      <c r="O351" t="s">
        <v>49</v>
      </c>
      <c r="P351">
        <v>8</v>
      </c>
      <c r="Q351">
        <v>1981.04</v>
      </c>
      <c r="R351">
        <v>-0.14000000000000001</v>
      </c>
      <c r="S351" t="str">
        <f t="shared" si="49"/>
        <v>INVALID</v>
      </c>
      <c r="T351">
        <v>12678.66</v>
      </c>
      <c r="U351">
        <v>10088.65</v>
      </c>
      <c r="V351">
        <v>2590.0100000000002</v>
      </c>
      <c r="W351" t="s">
        <v>31</v>
      </c>
      <c r="X351" t="s">
        <v>32</v>
      </c>
      <c r="Y351">
        <f t="shared" si="42"/>
        <v>0</v>
      </c>
      <c r="Z351">
        <f t="shared" si="43"/>
        <v>15848.32</v>
      </c>
      <c r="AA351">
        <f t="shared" si="44"/>
        <v>5759.67</v>
      </c>
      <c r="AB351">
        <f t="shared" si="45"/>
        <v>36.342464059281994</v>
      </c>
      <c r="AC351">
        <f t="shared" si="46"/>
        <v>9</v>
      </c>
      <c r="AD351">
        <f t="shared" si="47"/>
        <v>2024</v>
      </c>
      <c r="AE351" t="str">
        <f t="shared" si="48"/>
        <v>INVALID</v>
      </c>
    </row>
    <row r="352" spans="1:31">
      <c r="A352" t="s">
        <v>2534</v>
      </c>
      <c r="B352" s="2">
        <v>45476</v>
      </c>
      <c r="C352" s="2">
        <v>45450</v>
      </c>
      <c r="D352" s="5">
        <f>C352-B352</f>
        <v>-26</v>
      </c>
      <c r="E352" s="5" t="str">
        <f>IF(D352&lt;0,"INVALID","OK")</f>
        <v>INVALID</v>
      </c>
      <c r="F352" t="s">
        <v>2535</v>
      </c>
      <c r="G352" t="s">
        <v>127</v>
      </c>
      <c r="H352" t="s">
        <v>89</v>
      </c>
      <c r="I352" t="s">
        <v>53</v>
      </c>
      <c r="J352" t="s">
        <v>174</v>
      </c>
      <c r="K352" t="s">
        <v>175</v>
      </c>
      <c r="L352" t="s">
        <v>73</v>
      </c>
      <c r="M352" t="s">
        <v>74</v>
      </c>
      <c r="N352" t="s">
        <v>2536</v>
      </c>
      <c r="O352" t="s">
        <v>49</v>
      </c>
      <c r="P352">
        <v>7</v>
      </c>
      <c r="Q352">
        <v>1942.49</v>
      </c>
      <c r="R352">
        <v>0.2</v>
      </c>
      <c r="S352" t="str">
        <f t="shared" si="49"/>
        <v>OK</v>
      </c>
      <c r="T352">
        <v>10877.94</v>
      </c>
      <c r="U352">
        <v>9110.14</v>
      </c>
      <c r="V352">
        <v>1767.8</v>
      </c>
      <c r="W352" t="s">
        <v>31</v>
      </c>
      <c r="X352" t="s">
        <v>32</v>
      </c>
      <c r="Y352">
        <f t="shared" si="42"/>
        <v>0.2</v>
      </c>
      <c r="Z352">
        <f t="shared" si="43"/>
        <v>10877.944000000001</v>
      </c>
      <c r="AA352">
        <f t="shared" si="44"/>
        <v>1767.8040000000019</v>
      </c>
      <c r="AB352">
        <f t="shared" si="45"/>
        <v>16.251269541376583</v>
      </c>
      <c r="AC352">
        <f t="shared" si="46"/>
        <v>7</v>
      </c>
      <c r="AD352">
        <f t="shared" si="47"/>
        <v>2024</v>
      </c>
      <c r="AE352" t="str">
        <f t="shared" si="48"/>
        <v>INVALID</v>
      </c>
    </row>
    <row r="353" spans="1:31">
      <c r="A353" t="s">
        <v>2537</v>
      </c>
      <c r="B353" s="2">
        <v>45577</v>
      </c>
      <c r="C353" s="2">
        <v>45573</v>
      </c>
      <c r="D353" s="5">
        <f>C353-B353</f>
        <v>-4</v>
      </c>
      <c r="E353" s="5" t="str">
        <f>IF(D353&lt;0,"INVALID","OK")</f>
        <v>INVALID</v>
      </c>
      <c r="F353" t="s">
        <v>2538</v>
      </c>
      <c r="G353" t="s">
        <v>35</v>
      </c>
      <c r="H353" t="s">
        <v>89</v>
      </c>
      <c r="I353" t="s">
        <v>37</v>
      </c>
      <c r="J353" t="s">
        <v>165</v>
      </c>
      <c r="K353" t="s">
        <v>166</v>
      </c>
      <c r="L353" t="s">
        <v>40</v>
      </c>
      <c r="M353" t="s">
        <v>56</v>
      </c>
      <c r="N353" t="s">
        <v>2539</v>
      </c>
      <c r="O353" t="s">
        <v>30</v>
      </c>
      <c r="P353">
        <v>4</v>
      </c>
      <c r="Q353">
        <v>3202.04</v>
      </c>
      <c r="R353">
        <v>0.2</v>
      </c>
      <c r="S353" t="str">
        <f t="shared" si="49"/>
        <v>OK</v>
      </c>
      <c r="T353">
        <v>10246.530000000001</v>
      </c>
      <c r="U353">
        <v>8634.42</v>
      </c>
      <c r="V353">
        <v>1612.11</v>
      </c>
      <c r="W353" t="s">
        <v>110</v>
      </c>
      <c r="X353" t="s">
        <v>102</v>
      </c>
      <c r="Y353">
        <f t="shared" si="42"/>
        <v>0.2</v>
      </c>
      <c r="Z353">
        <f t="shared" si="43"/>
        <v>10246.528</v>
      </c>
      <c r="AA353">
        <f t="shared" si="44"/>
        <v>1612.1080000000002</v>
      </c>
      <c r="AB353">
        <f t="shared" si="45"/>
        <v>15.733212264681267</v>
      </c>
      <c r="AC353">
        <f t="shared" si="46"/>
        <v>10</v>
      </c>
      <c r="AD353">
        <f t="shared" si="47"/>
        <v>2024</v>
      </c>
      <c r="AE353" t="str">
        <f t="shared" si="48"/>
        <v>INVALID</v>
      </c>
    </row>
    <row r="354" spans="1:31">
      <c r="A354" t="s">
        <v>2558</v>
      </c>
      <c r="B354" s="2">
        <v>45348</v>
      </c>
      <c r="C354" s="2">
        <v>45350</v>
      </c>
      <c r="D354" s="5">
        <f>C354-B354</f>
        <v>2</v>
      </c>
      <c r="E354" s="5" t="str">
        <f>IF(D354&lt;0,"INVALID","OK")</f>
        <v>OK</v>
      </c>
      <c r="F354" t="s">
        <v>2559</v>
      </c>
      <c r="G354" t="s">
        <v>88</v>
      </c>
      <c r="H354" t="s">
        <v>36</v>
      </c>
      <c r="I354" t="s">
        <v>62</v>
      </c>
      <c r="J354" t="s">
        <v>189</v>
      </c>
      <c r="K354" t="s">
        <v>190</v>
      </c>
      <c r="L354" t="s">
        <v>40</v>
      </c>
      <c r="M354" t="s">
        <v>56</v>
      </c>
      <c r="N354" t="s">
        <v>2560</v>
      </c>
      <c r="O354" t="s">
        <v>30</v>
      </c>
      <c r="P354">
        <v>7</v>
      </c>
      <c r="Q354">
        <v>1035.1400000000001</v>
      </c>
      <c r="R354">
        <v>0.1</v>
      </c>
      <c r="S354" t="str">
        <f t="shared" si="49"/>
        <v>OK</v>
      </c>
      <c r="T354">
        <v>6521.38</v>
      </c>
      <c r="U354">
        <v>4511.1000000000004</v>
      </c>
      <c r="V354">
        <v>2010.28</v>
      </c>
      <c r="W354" t="s">
        <v>31</v>
      </c>
      <c r="X354" t="s">
        <v>32</v>
      </c>
      <c r="Y354">
        <f t="shared" si="42"/>
        <v>0.1</v>
      </c>
      <c r="Z354">
        <f t="shared" si="43"/>
        <v>6521.3820000000005</v>
      </c>
      <c r="AA354">
        <f t="shared" si="44"/>
        <v>2010.2820000000002</v>
      </c>
      <c r="AB354">
        <f t="shared" si="45"/>
        <v>30.826012032418891</v>
      </c>
      <c r="AC354">
        <f t="shared" si="46"/>
        <v>2</v>
      </c>
      <c r="AD354">
        <f t="shared" si="47"/>
        <v>2024</v>
      </c>
      <c r="AE354" t="str">
        <f t="shared" si="48"/>
        <v>CLEAN</v>
      </c>
    </row>
    <row r="355" spans="1:31">
      <c r="A355" t="s">
        <v>2570</v>
      </c>
      <c r="B355" s="2">
        <v>45447</v>
      </c>
      <c r="C355" s="2">
        <v>45447</v>
      </c>
      <c r="D355" s="5">
        <f>C355-B355</f>
        <v>0</v>
      </c>
      <c r="E355" s="5" t="str">
        <f>IF(D355&lt;0,"INVALID","OK")</f>
        <v>OK</v>
      </c>
      <c r="F355" t="s">
        <v>2571</v>
      </c>
      <c r="G355" t="s">
        <v>117</v>
      </c>
      <c r="H355" t="s">
        <v>94</v>
      </c>
      <c r="I355" t="s">
        <v>37</v>
      </c>
      <c r="J355" t="s">
        <v>98</v>
      </c>
      <c r="K355" t="s">
        <v>99</v>
      </c>
      <c r="L355" t="s">
        <v>40</v>
      </c>
      <c r="M355" t="s">
        <v>157</v>
      </c>
      <c r="N355" t="s">
        <v>2572</v>
      </c>
      <c r="O355" t="s">
        <v>49</v>
      </c>
      <c r="P355">
        <v>6</v>
      </c>
      <c r="Q355">
        <v>3949.4</v>
      </c>
      <c r="R355">
        <v>0</v>
      </c>
      <c r="S355" t="str">
        <f t="shared" si="49"/>
        <v>OK</v>
      </c>
      <c r="T355">
        <v>23696.400000000001</v>
      </c>
      <c r="U355">
        <v>18109.77</v>
      </c>
      <c r="V355">
        <v>5586.63</v>
      </c>
      <c r="W355" t="s">
        <v>31</v>
      </c>
      <c r="X355" t="s">
        <v>32</v>
      </c>
      <c r="Y355">
        <f t="shared" si="42"/>
        <v>0</v>
      </c>
      <c r="Z355">
        <f t="shared" si="43"/>
        <v>23696.400000000001</v>
      </c>
      <c r="AA355">
        <f t="shared" si="44"/>
        <v>5586.630000000001</v>
      </c>
      <c r="AB355">
        <f t="shared" si="45"/>
        <v>23.575859624246721</v>
      </c>
      <c r="AC355">
        <f t="shared" si="46"/>
        <v>6</v>
      </c>
      <c r="AD355">
        <f t="shared" si="47"/>
        <v>2024</v>
      </c>
      <c r="AE355" t="str">
        <f t="shared" si="48"/>
        <v>CLEAN</v>
      </c>
    </row>
    <row r="356" spans="1:31">
      <c r="A356" t="s">
        <v>2573</v>
      </c>
      <c r="B356" s="2">
        <v>45583</v>
      </c>
      <c r="C356" s="2">
        <v>45587</v>
      </c>
      <c r="D356" s="5">
        <f>C356-B356</f>
        <v>4</v>
      </c>
      <c r="E356" s="5" t="str">
        <f>IF(D356&lt;0,"INVALID","OK")</f>
        <v>OK</v>
      </c>
      <c r="F356" t="s">
        <v>2574</v>
      </c>
      <c r="G356" t="s">
        <v>127</v>
      </c>
      <c r="H356" t="s">
        <v>94</v>
      </c>
      <c r="I356" t="s">
        <v>53</v>
      </c>
      <c r="J356" t="s">
        <v>54</v>
      </c>
      <c r="K356" t="s">
        <v>55</v>
      </c>
      <c r="L356" t="s">
        <v>27</v>
      </c>
      <c r="M356" t="s">
        <v>47</v>
      </c>
      <c r="N356" t="s">
        <v>2575</v>
      </c>
      <c r="O356" t="s">
        <v>49</v>
      </c>
      <c r="P356">
        <v>6</v>
      </c>
      <c r="Q356">
        <v>674.61</v>
      </c>
      <c r="R356">
        <v>0</v>
      </c>
      <c r="S356" t="str">
        <f t="shared" si="49"/>
        <v>OK</v>
      </c>
      <c r="T356">
        <v>4047.66</v>
      </c>
      <c r="U356">
        <v>3078.93</v>
      </c>
      <c r="V356">
        <v>1279.79</v>
      </c>
      <c r="W356" t="s">
        <v>31</v>
      </c>
      <c r="X356" t="s">
        <v>32</v>
      </c>
      <c r="Y356">
        <f t="shared" si="42"/>
        <v>0</v>
      </c>
      <c r="Z356">
        <f t="shared" si="43"/>
        <v>4047.66</v>
      </c>
      <c r="AA356">
        <f t="shared" si="44"/>
        <v>968.73</v>
      </c>
      <c r="AB356">
        <f t="shared" si="45"/>
        <v>23.933087265234729</v>
      </c>
      <c r="AC356">
        <f t="shared" si="46"/>
        <v>10</v>
      </c>
      <c r="AD356">
        <f t="shared" si="47"/>
        <v>2024</v>
      </c>
      <c r="AE356" t="str">
        <f t="shared" si="48"/>
        <v>CLEAN</v>
      </c>
    </row>
    <row r="357" spans="1:31">
      <c r="A357" t="s">
        <v>2579</v>
      </c>
      <c r="B357" s="2">
        <v>45641</v>
      </c>
      <c r="C357" s="2">
        <v>45644</v>
      </c>
      <c r="D357" s="5">
        <f>C357-B357</f>
        <v>3</v>
      </c>
      <c r="E357" s="5" t="str">
        <f>IF(D357&lt;0,"INVALID","OK")</f>
        <v>OK</v>
      </c>
      <c r="F357" t="s">
        <v>2580</v>
      </c>
      <c r="G357" t="s">
        <v>46</v>
      </c>
      <c r="H357" t="s">
        <v>36</v>
      </c>
      <c r="I357" t="s">
        <v>24</v>
      </c>
      <c r="J357" t="s">
        <v>25</v>
      </c>
      <c r="K357" t="s">
        <v>26</v>
      </c>
      <c r="L357" t="s">
        <v>27</v>
      </c>
      <c r="M357" t="s">
        <v>90</v>
      </c>
      <c r="N357" t="s">
        <v>2581</v>
      </c>
      <c r="O357" t="s">
        <v>30</v>
      </c>
      <c r="P357">
        <v>2</v>
      </c>
      <c r="Q357">
        <v>537.11</v>
      </c>
      <c r="R357">
        <v>0</v>
      </c>
      <c r="S357" t="str">
        <f t="shared" si="49"/>
        <v>OK</v>
      </c>
      <c r="T357">
        <v>1074.22</v>
      </c>
      <c r="U357">
        <v>850.86</v>
      </c>
      <c r="V357">
        <v>223.36</v>
      </c>
      <c r="W357" t="s">
        <v>31</v>
      </c>
      <c r="X357" t="s">
        <v>32</v>
      </c>
      <c r="Y357">
        <f t="shared" si="42"/>
        <v>0</v>
      </c>
      <c r="Z357">
        <f t="shared" si="43"/>
        <v>1074.22</v>
      </c>
      <c r="AA357">
        <f t="shared" si="44"/>
        <v>223.36</v>
      </c>
      <c r="AB357">
        <f t="shared" si="45"/>
        <v>20.792761259332355</v>
      </c>
      <c r="AC357">
        <f t="shared" si="46"/>
        <v>12</v>
      </c>
      <c r="AD357">
        <f t="shared" si="47"/>
        <v>2024</v>
      </c>
      <c r="AE357" t="str">
        <f t="shared" si="48"/>
        <v>CLEAN</v>
      </c>
    </row>
    <row r="358" spans="1:31">
      <c r="A358" t="s">
        <v>2588</v>
      </c>
      <c r="B358" s="2">
        <v>45555</v>
      </c>
      <c r="C358" s="2">
        <v>45557</v>
      </c>
      <c r="D358" s="5">
        <f>C358-B358</f>
        <v>2</v>
      </c>
      <c r="E358" s="5" t="str">
        <f>IF(D358&lt;0,"INVALID","OK")</f>
        <v>OK</v>
      </c>
      <c r="F358" t="s">
        <v>2589</v>
      </c>
      <c r="G358" t="s">
        <v>140</v>
      </c>
      <c r="H358" t="s">
        <v>94</v>
      </c>
      <c r="I358" t="s">
        <v>37</v>
      </c>
      <c r="J358" t="s">
        <v>38</v>
      </c>
      <c r="K358" t="s">
        <v>39</v>
      </c>
      <c r="L358" t="s">
        <v>73</v>
      </c>
      <c r="M358" t="s">
        <v>170</v>
      </c>
      <c r="N358" t="s">
        <v>2590</v>
      </c>
      <c r="O358" t="s">
        <v>58</v>
      </c>
      <c r="P358">
        <v>8</v>
      </c>
      <c r="Q358">
        <v>531.42999999999995</v>
      </c>
      <c r="R358">
        <v>0.1</v>
      </c>
      <c r="S358" t="str">
        <f t="shared" si="49"/>
        <v>OK</v>
      </c>
      <c r="T358">
        <v>3826.3</v>
      </c>
      <c r="U358">
        <v>2194.12</v>
      </c>
      <c r="V358">
        <v>1632.18</v>
      </c>
      <c r="W358" t="s">
        <v>31</v>
      </c>
      <c r="X358" t="s">
        <v>32</v>
      </c>
      <c r="Y358">
        <f t="shared" si="42"/>
        <v>0.1</v>
      </c>
      <c r="Z358">
        <f t="shared" si="43"/>
        <v>3826.2959999999998</v>
      </c>
      <c r="AA358">
        <f t="shared" si="44"/>
        <v>1632.1759999999999</v>
      </c>
      <c r="AB358">
        <f t="shared" si="45"/>
        <v>42.656814841298221</v>
      </c>
      <c r="AC358">
        <f t="shared" si="46"/>
        <v>9</v>
      </c>
      <c r="AD358">
        <f t="shared" si="47"/>
        <v>2024</v>
      </c>
      <c r="AE358" t="str">
        <f t="shared" si="48"/>
        <v>CLEAN</v>
      </c>
    </row>
    <row r="359" spans="1:31">
      <c r="A359" t="s">
        <v>2597</v>
      </c>
      <c r="B359" s="2">
        <v>45382</v>
      </c>
      <c r="C359" s="2">
        <v>45381</v>
      </c>
      <c r="D359" s="5">
        <f>C359-B359</f>
        <v>-1</v>
      </c>
      <c r="E359" s="5" t="str">
        <f>IF(D359&lt;0,"INVALID","OK")</f>
        <v>INVALID</v>
      </c>
      <c r="F359" t="s">
        <v>2598</v>
      </c>
      <c r="G359" t="s">
        <v>263</v>
      </c>
      <c r="H359" t="s">
        <v>23</v>
      </c>
      <c r="I359" t="s">
        <v>24</v>
      </c>
      <c r="J359" t="s">
        <v>235</v>
      </c>
      <c r="K359" t="s">
        <v>236</v>
      </c>
      <c r="L359" t="s">
        <v>73</v>
      </c>
      <c r="M359" t="s">
        <v>273</v>
      </c>
      <c r="N359" t="s">
        <v>2599</v>
      </c>
      <c r="O359" t="s">
        <v>49</v>
      </c>
      <c r="P359">
        <v>4</v>
      </c>
      <c r="Q359">
        <v>2192.08</v>
      </c>
      <c r="R359">
        <v>0.15</v>
      </c>
      <c r="S359" t="str">
        <f t="shared" si="49"/>
        <v>OK</v>
      </c>
      <c r="T359">
        <v>7453.07</v>
      </c>
      <c r="U359">
        <v>5133.78</v>
      </c>
      <c r="V359">
        <v>2319.29</v>
      </c>
      <c r="W359" t="s">
        <v>31</v>
      </c>
      <c r="X359" t="s">
        <v>102</v>
      </c>
      <c r="Y359">
        <f t="shared" si="42"/>
        <v>0.15</v>
      </c>
      <c r="Z359">
        <f t="shared" si="43"/>
        <v>7453.0719999999992</v>
      </c>
      <c r="AA359">
        <f t="shared" si="44"/>
        <v>2319.2919999999995</v>
      </c>
      <c r="AB359">
        <f t="shared" si="45"/>
        <v>31.118604516365867</v>
      </c>
      <c r="AC359">
        <f t="shared" si="46"/>
        <v>3</v>
      </c>
      <c r="AD359">
        <f t="shared" si="47"/>
        <v>2024</v>
      </c>
      <c r="AE359" t="str">
        <f t="shared" si="48"/>
        <v>INVALID</v>
      </c>
    </row>
    <row r="360" spans="1:31">
      <c r="A360" t="s">
        <v>2606</v>
      </c>
      <c r="B360" s="2">
        <v>45345</v>
      </c>
      <c r="C360" s="2">
        <v>45349</v>
      </c>
      <c r="D360" s="5">
        <f>C360-B360</f>
        <v>4</v>
      </c>
      <c r="E360" s="5" t="str">
        <f>IF(D360&lt;0,"INVALID","OK")</f>
        <v>OK</v>
      </c>
      <c r="F360" t="s">
        <v>592</v>
      </c>
      <c r="G360" t="s">
        <v>22</v>
      </c>
      <c r="H360" t="s">
        <v>23</v>
      </c>
      <c r="I360" t="s">
        <v>37</v>
      </c>
      <c r="J360" t="s">
        <v>38</v>
      </c>
      <c r="K360" t="s">
        <v>39</v>
      </c>
      <c r="L360" t="s">
        <v>40</v>
      </c>
      <c r="M360" t="s">
        <v>41</v>
      </c>
      <c r="N360" t="s">
        <v>2607</v>
      </c>
      <c r="O360" t="s">
        <v>49</v>
      </c>
      <c r="P360">
        <v>9</v>
      </c>
      <c r="Q360">
        <v>3616.23</v>
      </c>
      <c r="R360">
        <v>0.25</v>
      </c>
      <c r="S360" t="str">
        <f t="shared" si="49"/>
        <v>OK</v>
      </c>
      <c r="T360">
        <v>24409.55</v>
      </c>
      <c r="U360">
        <v>17157.580000000002</v>
      </c>
      <c r="V360">
        <v>7251.97</v>
      </c>
      <c r="W360" t="s">
        <v>110</v>
      </c>
      <c r="X360" t="s">
        <v>102</v>
      </c>
      <c r="Y360">
        <f t="shared" si="42"/>
        <v>0.25</v>
      </c>
      <c r="Z360">
        <f t="shared" si="43"/>
        <v>24409.552499999998</v>
      </c>
      <c r="AA360">
        <f t="shared" si="44"/>
        <v>7251.9724999999962</v>
      </c>
      <c r="AB360">
        <f t="shared" si="45"/>
        <v>29.709567596538268</v>
      </c>
      <c r="AC360">
        <f t="shared" si="46"/>
        <v>2</v>
      </c>
      <c r="AD360">
        <f t="shared" si="47"/>
        <v>2024</v>
      </c>
      <c r="AE360" t="str">
        <f t="shared" si="48"/>
        <v>CLEAN</v>
      </c>
    </row>
    <row r="361" spans="1:31">
      <c r="A361" t="s">
        <v>2608</v>
      </c>
      <c r="B361" s="2">
        <v>45396</v>
      </c>
      <c r="C361" s="2">
        <v>45404</v>
      </c>
      <c r="D361" s="5">
        <f>C361-B361</f>
        <v>8</v>
      </c>
      <c r="E361" s="5" t="str">
        <f>IF(D361&lt;0,"INVALID","OK")</f>
        <v>OK</v>
      </c>
      <c r="F361" t="s">
        <v>2609</v>
      </c>
      <c r="G361" t="s">
        <v>113</v>
      </c>
      <c r="H361" t="s">
        <v>36</v>
      </c>
      <c r="I361" t="s">
        <v>62</v>
      </c>
      <c r="J361" t="s">
        <v>179</v>
      </c>
      <c r="K361" t="s">
        <v>180</v>
      </c>
      <c r="L361" t="s">
        <v>40</v>
      </c>
      <c r="M361" t="s">
        <v>157</v>
      </c>
      <c r="N361" t="s">
        <v>2610</v>
      </c>
      <c r="O361" t="s">
        <v>58</v>
      </c>
      <c r="P361">
        <v>2</v>
      </c>
      <c r="Q361">
        <v>3977.52</v>
      </c>
      <c r="R361">
        <v>0</v>
      </c>
      <c r="S361" t="str">
        <f t="shared" si="49"/>
        <v>OK</v>
      </c>
      <c r="T361">
        <v>7955.04</v>
      </c>
      <c r="U361">
        <v>5580.68</v>
      </c>
      <c r="V361">
        <v>2374.36</v>
      </c>
      <c r="W361" t="s">
        <v>110</v>
      </c>
      <c r="X361" t="s">
        <v>102</v>
      </c>
      <c r="Y361">
        <f t="shared" si="42"/>
        <v>0</v>
      </c>
      <c r="Z361">
        <f t="shared" si="43"/>
        <v>7955.04</v>
      </c>
      <c r="AA361">
        <f t="shared" si="44"/>
        <v>2374.3599999999997</v>
      </c>
      <c r="AB361">
        <f t="shared" si="45"/>
        <v>29.847241497214338</v>
      </c>
      <c r="AC361">
        <f t="shared" si="46"/>
        <v>4</v>
      </c>
      <c r="AD361">
        <f t="shared" si="47"/>
        <v>2024</v>
      </c>
      <c r="AE361" t="str">
        <f t="shared" si="48"/>
        <v>CLEAN</v>
      </c>
    </row>
    <row r="362" spans="1:31">
      <c r="A362" t="s">
        <v>2617</v>
      </c>
      <c r="B362" s="2">
        <v>45357</v>
      </c>
      <c r="C362" s="2">
        <v>45629</v>
      </c>
      <c r="D362" s="5">
        <f>C362-B362</f>
        <v>272</v>
      </c>
      <c r="E362" s="5" t="str">
        <f>IF(D362&lt;0,"INVALID","OK")</f>
        <v>OK</v>
      </c>
      <c r="F362" t="s">
        <v>2618</v>
      </c>
      <c r="G362" t="s">
        <v>46</v>
      </c>
      <c r="H362" t="s">
        <v>94</v>
      </c>
      <c r="I362" t="s">
        <v>62</v>
      </c>
      <c r="J362" t="s">
        <v>179</v>
      </c>
      <c r="K362" t="s">
        <v>180</v>
      </c>
      <c r="L362" t="s">
        <v>40</v>
      </c>
      <c r="M362" t="s">
        <v>157</v>
      </c>
      <c r="N362" t="s">
        <v>2619</v>
      </c>
      <c r="O362" t="s">
        <v>58</v>
      </c>
      <c r="P362">
        <v>3</v>
      </c>
      <c r="Q362">
        <v>679.63</v>
      </c>
      <c r="R362">
        <v>0.2</v>
      </c>
      <c r="S362" t="str">
        <f t="shared" si="49"/>
        <v>OK</v>
      </c>
      <c r="T362">
        <v>1631.11</v>
      </c>
      <c r="U362">
        <v>898.73</v>
      </c>
      <c r="V362">
        <v>396.58</v>
      </c>
      <c r="W362" t="s">
        <v>31</v>
      </c>
      <c r="X362" t="s">
        <v>32</v>
      </c>
      <c r="Y362">
        <f t="shared" si="42"/>
        <v>0.2</v>
      </c>
      <c r="Z362">
        <f t="shared" si="43"/>
        <v>1631.1120000000001</v>
      </c>
      <c r="AA362">
        <f t="shared" si="44"/>
        <v>732.38200000000006</v>
      </c>
      <c r="AB362">
        <f t="shared" si="45"/>
        <v>44.900779345624336</v>
      </c>
      <c r="AC362">
        <f t="shared" si="46"/>
        <v>3</v>
      </c>
      <c r="AD362">
        <f t="shared" si="47"/>
        <v>2024</v>
      </c>
      <c r="AE362" t="str">
        <f t="shared" si="48"/>
        <v>CLEAN</v>
      </c>
    </row>
    <row r="363" spans="1:31">
      <c r="A363" t="s">
        <v>2620</v>
      </c>
      <c r="B363" s="2">
        <v>45473</v>
      </c>
      <c r="C363" s="2">
        <v>45476</v>
      </c>
      <c r="D363" s="5">
        <f>C363-B363</f>
        <v>3</v>
      </c>
      <c r="E363" s="5" t="str">
        <f>IF(D363&lt;0,"INVALID","OK")</f>
        <v>OK</v>
      </c>
      <c r="F363" t="s">
        <v>2621</v>
      </c>
      <c r="G363" t="s">
        <v>113</v>
      </c>
      <c r="H363" t="s">
        <v>94</v>
      </c>
      <c r="I363" t="s">
        <v>37</v>
      </c>
      <c r="J363" t="s">
        <v>98</v>
      </c>
      <c r="K363" t="s">
        <v>99</v>
      </c>
      <c r="L363" t="s">
        <v>27</v>
      </c>
      <c r="M363" t="s">
        <v>28</v>
      </c>
      <c r="N363" t="s">
        <v>2622</v>
      </c>
      <c r="O363" t="s">
        <v>49</v>
      </c>
      <c r="P363">
        <v>6</v>
      </c>
      <c r="Q363">
        <v>1211.01</v>
      </c>
      <c r="R363">
        <v>0</v>
      </c>
      <c r="S363" t="str">
        <f t="shared" si="49"/>
        <v>OK</v>
      </c>
      <c r="T363">
        <v>7266.06</v>
      </c>
      <c r="U363">
        <v>6216.89</v>
      </c>
      <c r="V363">
        <v>1049.17</v>
      </c>
      <c r="W363" t="s">
        <v>31</v>
      </c>
      <c r="X363" t="s">
        <v>32</v>
      </c>
      <c r="Y363">
        <f t="shared" si="42"/>
        <v>0</v>
      </c>
      <c r="Z363">
        <f t="shared" si="43"/>
        <v>7266.0599999999995</v>
      </c>
      <c r="AA363">
        <f t="shared" si="44"/>
        <v>1049.1699999999992</v>
      </c>
      <c r="AB363">
        <f t="shared" si="45"/>
        <v>14.439324750965438</v>
      </c>
      <c r="AC363">
        <f t="shared" si="46"/>
        <v>6</v>
      </c>
      <c r="AD363">
        <f t="shared" si="47"/>
        <v>2024</v>
      </c>
      <c r="AE363" t="str">
        <f t="shared" si="48"/>
        <v>CLEAN</v>
      </c>
    </row>
    <row r="364" spans="1:31">
      <c r="A364" t="s">
        <v>2623</v>
      </c>
      <c r="B364" s="2">
        <v>45377</v>
      </c>
      <c r="C364" s="2">
        <v>45383</v>
      </c>
      <c r="D364" s="5">
        <f>C364-B364</f>
        <v>6</v>
      </c>
      <c r="E364" s="5" t="str">
        <f>IF(D364&lt;0,"INVALID","OK")</f>
        <v>OK</v>
      </c>
      <c r="F364" t="s">
        <v>2624</v>
      </c>
      <c r="G364" t="s">
        <v>22</v>
      </c>
      <c r="H364" t="s">
        <v>36</v>
      </c>
      <c r="I364" t="s">
        <v>62</v>
      </c>
      <c r="J364" t="s">
        <v>179</v>
      </c>
      <c r="K364" t="s">
        <v>180</v>
      </c>
      <c r="L364" t="s">
        <v>73</v>
      </c>
      <c r="M364" t="s">
        <v>74</v>
      </c>
      <c r="N364" t="s">
        <v>2625</v>
      </c>
      <c r="O364" t="s">
        <v>49</v>
      </c>
      <c r="P364">
        <v>2</v>
      </c>
      <c r="Q364">
        <v>1161.3</v>
      </c>
      <c r="R364">
        <v>0.2</v>
      </c>
      <c r="S364" t="str">
        <f t="shared" si="49"/>
        <v>OK</v>
      </c>
      <c r="T364">
        <v>1858.08</v>
      </c>
      <c r="U364">
        <v>1590.75</v>
      </c>
      <c r="V364">
        <v>267.33</v>
      </c>
      <c r="W364" t="s">
        <v>31</v>
      </c>
      <c r="X364" t="s">
        <v>32</v>
      </c>
      <c r="Y364">
        <f t="shared" si="42"/>
        <v>0.2</v>
      </c>
      <c r="Z364">
        <f t="shared" si="43"/>
        <v>1858.08</v>
      </c>
      <c r="AA364">
        <f t="shared" si="44"/>
        <v>267.32999999999993</v>
      </c>
      <c r="AB364">
        <f t="shared" si="45"/>
        <v>14.387432188065096</v>
      </c>
      <c r="AC364">
        <f t="shared" si="46"/>
        <v>3</v>
      </c>
      <c r="AD364">
        <f t="shared" si="47"/>
        <v>2024</v>
      </c>
      <c r="AE364" t="str">
        <f t="shared" si="48"/>
        <v>CLEAN</v>
      </c>
    </row>
    <row r="365" spans="1:31">
      <c r="A365" t="s">
        <v>2635</v>
      </c>
      <c r="B365" s="2">
        <v>45498</v>
      </c>
      <c r="C365" s="2">
        <v>45506</v>
      </c>
      <c r="D365" s="5">
        <f>C365-B365</f>
        <v>8</v>
      </c>
      <c r="E365" s="5" t="str">
        <f>IF(D365&lt;0,"INVALID","OK")</f>
        <v>OK</v>
      </c>
      <c r="F365" t="s">
        <v>1121</v>
      </c>
      <c r="G365" t="s">
        <v>117</v>
      </c>
      <c r="H365" t="s">
        <v>23</v>
      </c>
      <c r="I365" t="s">
        <v>24</v>
      </c>
      <c r="J365" t="s">
        <v>25</v>
      </c>
      <c r="K365" t="s">
        <v>26</v>
      </c>
      <c r="L365" t="s">
        <v>27</v>
      </c>
      <c r="M365" t="s">
        <v>90</v>
      </c>
      <c r="N365" t="s">
        <v>2636</v>
      </c>
      <c r="O365" t="s">
        <v>30</v>
      </c>
      <c r="P365">
        <v>2</v>
      </c>
      <c r="Q365">
        <v>2073.5300000000002</v>
      </c>
      <c r="R365">
        <v>0.25</v>
      </c>
      <c r="S365" t="str">
        <f t="shared" si="49"/>
        <v>OK</v>
      </c>
      <c r="T365">
        <v>3110.3</v>
      </c>
      <c r="U365">
        <v>2101.0300000000002</v>
      </c>
      <c r="V365">
        <v>1009.27</v>
      </c>
      <c r="W365" t="s">
        <v>31</v>
      </c>
      <c r="X365" t="s">
        <v>32</v>
      </c>
      <c r="Y365">
        <f t="shared" si="42"/>
        <v>0.25</v>
      </c>
      <c r="Z365">
        <f t="shared" si="43"/>
        <v>3110.2950000000001</v>
      </c>
      <c r="AA365">
        <f t="shared" si="44"/>
        <v>1009.2649999999999</v>
      </c>
      <c r="AB365">
        <f t="shared" si="45"/>
        <v>32.449172827657826</v>
      </c>
      <c r="AC365">
        <f t="shared" si="46"/>
        <v>7</v>
      </c>
      <c r="AD365">
        <f t="shared" si="47"/>
        <v>2024</v>
      </c>
      <c r="AE365" t="str">
        <f t="shared" si="48"/>
        <v>CLEAN</v>
      </c>
    </row>
    <row r="366" spans="1:31">
      <c r="A366" t="s">
        <v>2639</v>
      </c>
      <c r="B366" s="2">
        <v>45447</v>
      </c>
      <c r="C366" s="2">
        <v>45388</v>
      </c>
      <c r="D366" s="5">
        <f>C366-B366</f>
        <v>-59</v>
      </c>
      <c r="E366" s="5" t="str">
        <f>IF(D366&lt;0,"INVALID","OK")</f>
        <v>INVALID</v>
      </c>
      <c r="F366" t="s">
        <v>2146</v>
      </c>
      <c r="G366" t="s">
        <v>131</v>
      </c>
      <c r="H366" t="s">
        <v>94</v>
      </c>
      <c r="I366" t="s">
        <v>53</v>
      </c>
      <c r="J366" t="s">
        <v>184</v>
      </c>
      <c r="K366" t="s">
        <v>185</v>
      </c>
      <c r="L366" t="s">
        <v>27</v>
      </c>
      <c r="M366" t="s">
        <v>123</v>
      </c>
      <c r="N366" t="s">
        <v>2640</v>
      </c>
      <c r="O366" t="s">
        <v>49</v>
      </c>
      <c r="P366">
        <v>6</v>
      </c>
      <c r="Q366">
        <v>2708.97</v>
      </c>
      <c r="R366">
        <v>0.25</v>
      </c>
      <c r="S366" t="str">
        <f t="shared" si="49"/>
        <v>OK</v>
      </c>
      <c r="T366">
        <v>12190.36</v>
      </c>
      <c r="U366">
        <v>10176.99</v>
      </c>
      <c r="V366">
        <v>2013.37</v>
      </c>
      <c r="W366" t="s">
        <v>31</v>
      </c>
      <c r="X366" t="s">
        <v>32</v>
      </c>
      <c r="Y366">
        <f t="shared" si="42"/>
        <v>0.25</v>
      </c>
      <c r="Z366">
        <f t="shared" si="43"/>
        <v>12190.365</v>
      </c>
      <c r="AA366">
        <f t="shared" si="44"/>
        <v>2013.375</v>
      </c>
      <c r="AB366">
        <f t="shared" si="45"/>
        <v>16.516117441930575</v>
      </c>
      <c r="AC366">
        <f t="shared" si="46"/>
        <v>6</v>
      </c>
      <c r="AD366">
        <f t="shared" si="47"/>
        <v>2024</v>
      </c>
      <c r="AE366" t="str">
        <f t="shared" si="48"/>
        <v>INVALID</v>
      </c>
    </row>
    <row r="367" spans="1:31">
      <c r="A367" t="s">
        <v>2641</v>
      </c>
      <c r="B367" s="2">
        <v>45414</v>
      </c>
      <c r="C367" s="2">
        <v>45421</v>
      </c>
      <c r="D367" s="5">
        <f>C367-B367</f>
        <v>7</v>
      </c>
      <c r="E367" s="5" t="str">
        <f>IF(D367&lt;0,"INVALID","OK")</f>
        <v>OK</v>
      </c>
      <c r="F367" t="s">
        <v>2642</v>
      </c>
      <c r="G367" t="s">
        <v>52</v>
      </c>
      <c r="H367" t="s">
        <v>23</v>
      </c>
      <c r="I367" t="s">
        <v>37</v>
      </c>
      <c r="J367" t="s">
        <v>38</v>
      </c>
      <c r="K367" t="s">
        <v>39</v>
      </c>
      <c r="L367" t="s">
        <v>73</v>
      </c>
      <c r="M367" t="s">
        <v>74</v>
      </c>
      <c r="N367" t="s">
        <v>2643</v>
      </c>
      <c r="O367" t="s">
        <v>30</v>
      </c>
      <c r="P367">
        <v>4</v>
      </c>
      <c r="Q367">
        <v>2904.86</v>
      </c>
      <c r="R367">
        <v>0</v>
      </c>
      <c r="S367" t="str">
        <f t="shared" si="49"/>
        <v>OK</v>
      </c>
      <c r="T367">
        <v>11619.44</v>
      </c>
      <c r="U367">
        <v>7184.32</v>
      </c>
      <c r="V367">
        <v>4494.6400000000003</v>
      </c>
      <c r="W367" t="s">
        <v>31</v>
      </c>
      <c r="X367" t="s">
        <v>32</v>
      </c>
      <c r="Y367">
        <f t="shared" si="42"/>
        <v>0</v>
      </c>
      <c r="Z367">
        <f t="shared" si="43"/>
        <v>11619.44</v>
      </c>
      <c r="AA367">
        <f t="shared" si="44"/>
        <v>4435.1200000000008</v>
      </c>
      <c r="AB367">
        <f t="shared" si="45"/>
        <v>38.169825740311069</v>
      </c>
      <c r="AC367">
        <f t="shared" si="46"/>
        <v>5</v>
      </c>
      <c r="AD367">
        <f t="shared" si="47"/>
        <v>2024</v>
      </c>
      <c r="AE367" t="str">
        <f t="shared" si="48"/>
        <v>CLEAN</v>
      </c>
    </row>
    <row r="368" spans="1:31">
      <c r="A368" t="s">
        <v>2644</v>
      </c>
      <c r="B368" s="2">
        <v>45592</v>
      </c>
      <c r="C368" s="2">
        <v>45597</v>
      </c>
      <c r="D368" s="5">
        <f>C368-B368</f>
        <v>5</v>
      </c>
      <c r="E368" s="5" t="str">
        <f>IF(D368&lt;0,"INVALID","OK")</f>
        <v>OK</v>
      </c>
      <c r="F368" t="s">
        <v>2645</v>
      </c>
      <c r="G368" t="s">
        <v>88</v>
      </c>
      <c r="H368" t="s">
        <v>89</v>
      </c>
      <c r="I368" t="s">
        <v>53</v>
      </c>
      <c r="J368" t="s">
        <v>246</v>
      </c>
      <c r="K368" t="s">
        <v>247</v>
      </c>
      <c r="L368" t="s">
        <v>73</v>
      </c>
      <c r="M368" t="s">
        <v>170</v>
      </c>
      <c r="N368" t="s">
        <v>2646</v>
      </c>
      <c r="O368" t="s">
        <v>58</v>
      </c>
      <c r="P368">
        <v>6</v>
      </c>
      <c r="Q368">
        <v>4399.2</v>
      </c>
      <c r="R368">
        <v>0.05</v>
      </c>
      <c r="S368" t="str">
        <f t="shared" si="49"/>
        <v>OK</v>
      </c>
      <c r="T368">
        <v>25075.439999999999</v>
      </c>
      <c r="U368">
        <v>16282.74</v>
      </c>
      <c r="V368">
        <v>8792.7000000000007</v>
      </c>
      <c r="W368" t="s">
        <v>31</v>
      </c>
      <c r="X368" t="s">
        <v>32</v>
      </c>
      <c r="Y368">
        <f t="shared" si="42"/>
        <v>0.05</v>
      </c>
      <c r="Z368">
        <f t="shared" si="43"/>
        <v>25075.439999999995</v>
      </c>
      <c r="AA368">
        <f t="shared" si="44"/>
        <v>8792.6999999999953</v>
      </c>
      <c r="AB368">
        <f t="shared" si="45"/>
        <v>35.06498789253547</v>
      </c>
      <c r="AC368">
        <f t="shared" si="46"/>
        <v>10</v>
      </c>
      <c r="AD368">
        <f t="shared" si="47"/>
        <v>2024</v>
      </c>
      <c r="AE368" t="str">
        <f t="shared" si="48"/>
        <v>CLEAN</v>
      </c>
    </row>
    <row r="369" spans="1:31">
      <c r="A369" t="s">
        <v>2647</v>
      </c>
      <c r="B369" s="2">
        <v>45324</v>
      </c>
      <c r="C369" s="2">
        <v>45326</v>
      </c>
      <c r="D369" s="5">
        <f>C369-B369</f>
        <v>2</v>
      </c>
      <c r="E369" s="5" t="str">
        <f>IF(D369&lt;0,"INVALID","OK")</f>
        <v>OK</v>
      </c>
      <c r="F369" t="s">
        <v>2648</v>
      </c>
      <c r="G369" t="s">
        <v>70</v>
      </c>
      <c r="H369" t="s">
        <v>94</v>
      </c>
      <c r="I369" t="s">
        <v>24</v>
      </c>
      <c r="J369" t="s">
        <v>135</v>
      </c>
      <c r="K369" t="s">
        <v>136</v>
      </c>
      <c r="L369" t="s">
        <v>27</v>
      </c>
      <c r="M369" t="s">
        <v>123</v>
      </c>
      <c r="N369" t="s">
        <v>2649</v>
      </c>
      <c r="O369" t="s">
        <v>30</v>
      </c>
      <c r="P369">
        <v>1</v>
      </c>
      <c r="Q369">
        <v>4397.32</v>
      </c>
      <c r="R369">
        <v>0.05</v>
      </c>
      <c r="S369" t="str">
        <f t="shared" si="49"/>
        <v>OK</v>
      </c>
      <c r="T369">
        <v>4177.45</v>
      </c>
      <c r="U369">
        <v>2299.5</v>
      </c>
      <c r="V369">
        <v>1877.95</v>
      </c>
      <c r="W369" t="s">
        <v>31</v>
      </c>
      <c r="X369" t="s">
        <v>32</v>
      </c>
      <c r="Y369">
        <f t="shared" si="42"/>
        <v>0.05</v>
      </c>
      <c r="Z369">
        <f t="shared" si="43"/>
        <v>4177.4539999999997</v>
      </c>
      <c r="AA369">
        <f t="shared" si="44"/>
        <v>1877.9539999999997</v>
      </c>
      <c r="AB369">
        <f t="shared" si="45"/>
        <v>44.954510570313879</v>
      </c>
      <c r="AC369">
        <f t="shared" si="46"/>
        <v>2</v>
      </c>
      <c r="AD369">
        <f t="shared" si="47"/>
        <v>2024</v>
      </c>
      <c r="AE369" t="str">
        <f t="shared" si="48"/>
        <v>CLEAN</v>
      </c>
    </row>
    <row r="370" spans="1:31">
      <c r="A370" t="s">
        <v>2681</v>
      </c>
      <c r="B370" s="2">
        <v>45597</v>
      </c>
      <c r="C370" s="2">
        <v>45598</v>
      </c>
      <c r="D370" s="5">
        <f>C370-B370</f>
        <v>1</v>
      </c>
      <c r="E370" s="5" t="str">
        <f>IF(D370&lt;0,"INVALID","OK")</f>
        <v>OK</v>
      </c>
      <c r="F370" t="s">
        <v>1959</v>
      </c>
      <c r="G370" t="s">
        <v>22</v>
      </c>
      <c r="H370" t="s">
        <v>89</v>
      </c>
      <c r="I370" t="s">
        <v>37</v>
      </c>
      <c r="J370" t="s">
        <v>98</v>
      </c>
      <c r="K370" t="s">
        <v>99</v>
      </c>
      <c r="L370" t="s">
        <v>40</v>
      </c>
      <c r="M370" t="s">
        <v>56</v>
      </c>
      <c r="N370" t="s">
        <v>2682</v>
      </c>
      <c r="O370" t="s">
        <v>58</v>
      </c>
      <c r="P370">
        <v>5</v>
      </c>
      <c r="Q370">
        <v>2212.02</v>
      </c>
      <c r="R370">
        <v>0.2</v>
      </c>
      <c r="S370" t="str">
        <f t="shared" si="49"/>
        <v>OK</v>
      </c>
      <c r="T370">
        <v>8848.08</v>
      </c>
      <c r="U370">
        <v>5691.56</v>
      </c>
      <c r="V370">
        <v>3156.52</v>
      </c>
      <c r="W370" t="s">
        <v>31</v>
      </c>
      <c r="X370" t="s">
        <v>32</v>
      </c>
      <c r="Y370">
        <f t="shared" si="42"/>
        <v>0.2</v>
      </c>
      <c r="Z370">
        <f t="shared" si="43"/>
        <v>8848.08</v>
      </c>
      <c r="AA370">
        <f t="shared" si="44"/>
        <v>3156.5199999999995</v>
      </c>
      <c r="AB370">
        <f t="shared" si="45"/>
        <v>35.674632236598221</v>
      </c>
      <c r="AC370">
        <f t="shared" si="46"/>
        <v>11</v>
      </c>
      <c r="AD370">
        <f t="shared" si="47"/>
        <v>2024</v>
      </c>
      <c r="AE370" t="str">
        <f t="shared" si="48"/>
        <v>CLEAN</v>
      </c>
    </row>
    <row r="371" spans="1:31">
      <c r="A371" t="s">
        <v>2689</v>
      </c>
      <c r="B371" s="2">
        <v>45514</v>
      </c>
      <c r="C371" s="2">
        <v>45515</v>
      </c>
      <c r="D371" s="5">
        <f>C371-B371</f>
        <v>1</v>
      </c>
      <c r="E371" s="5" t="str">
        <f>IF(D371&lt;0,"INVALID","OK")</f>
        <v>OK</v>
      </c>
      <c r="F371" t="s">
        <v>2690</v>
      </c>
      <c r="G371" t="s">
        <v>35</v>
      </c>
      <c r="H371" t="s">
        <v>89</v>
      </c>
      <c r="I371" t="s">
        <v>62</v>
      </c>
      <c r="J371" t="s">
        <v>63</v>
      </c>
      <c r="K371" t="s">
        <v>64</v>
      </c>
      <c r="L371" t="s">
        <v>73</v>
      </c>
      <c r="M371" t="s">
        <v>79</v>
      </c>
      <c r="N371" t="s">
        <v>2691</v>
      </c>
      <c r="O371" t="s">
        <v>49</v>
      </c>
      <c r="P371">
        <v>7</v>
      </c>
      <c r="Q371">
        <v>3852.62</v>
      </c>
      <c r="R371">
        <v>0.2</v>
      </c>
      <c r="S371" t="str">
        <f t="shared" si="49"/>
        <v>OK</v>
      </c>
      <c r="T371">
        <v>21574.67</v>
      </c>
      <c r="U371">
        <v>14672.83</v>
      </c>
      <c r="V371">
        <v>6901.84</v>
      </c>
      <c r="W371" t="s">
        <v>31</v>
      </c>
      <c r="X371" t="s">
        <v>32</v>
      </c>
      <c r="Y371">
        <f t="shared" si="42"/>
        <v>0.2</v>
      </c>
      <c r="Z371">
        <f t="shared" si="43"/>
        <v>21574.672000000002</v>
      </c>
      <c r="AA371">
        <f t="shared" si="44"/>
        <v>6901.8420000000024</v>
      </c>
      <c r="AB371">
        <f t="shared" si="45"/>
        <v>31.990484026825538</v>
      </c>
      <c r="AC371">
        <f t="shared" si="46"/>
        <v>8</v>
      </c>
      <c r="AD371">
        <f t="shared" si="47"/>
        <v>2024</v>
      </c>
      <c r="AE371" t="str">
        <f t="shared" si="48"/>
        <v>CLEAN</v>
      </c>
    </row>
    <row r="372" spans="1:31">
      <c r="A372" t="s">
        <v>2692</v>
      </c>
      <c r="B372" s="2">
        <v>45614</v>
      </c>
      <c r="C372" s="2">
        <v>45616</v>
      </c>
      <c r="D372" s="5">
        <f>C372-B372</f>
        <v>2</v>
      </c>
      <c r="E372" s="5" t="str">
        <f>IF(D372&lt;0,"INVALID","OK")</f>
        <v>OK</v>
      </c>
      <c r="F372" t="s">
        <v>2693</v>
      </c>
      <c r="G372" t="s">
        <v>113</v>
      </c>
      <c r="H372" t="s">
        <v>23</v>
      </c>
      <c r="I372" t="s">
        <v>62</v>
      </c>
      <c r="J372" t="s">
        <v>25</v>
      </c>
      <c r="K372" t="s">
        <v>108</v>
      </c>
      <c r="L372" t="s">
        <v>40</v>
      </c>
      <c r="M372" t="s">
        <v>65</v>
      </c>
      <c r="N372" t="s">
        <v>844</v>
      </c>
      <c r="O372" t="s">
        <v>49</v>
      </c>
      <c r="P372">
        <v>6</v>
      </c>
      <c r="Q372">
        <v>3790.22</v>
      </c>
      <c r="R372">
        <v>0</v>
      </c>
      <c r="S372" t="str">
        <f t="shared" si="49"/>
        <v>OK</v>
      </c>
      <c r="T372">
        <v>22741.32</v>
      </c>
      <c r="U372">
        <v>16388.57</v>
      </c>
      <c r="V372">
        <v>6352.75</v>
      </c>
      <c r="W372" t="s">
        <v>31</v>
      </c>
      <c r="X372" t="s">
        <v>32</v>
      </c>
      <c r="Y372">
        <f t="shared" si="42"/>
        <v>0</v>
      </c>
      <c r="Z372">
        <f t="shared" si="43"/>
        <v>22741.32</v>
      </c>
      <c r="AA372">
        <f t="shared" si="44"/>
        <v>6352.75</v>
      </c>
      <c r="AB372">
        <f t="shared" si="45"/>
        <v>27.934834037777929</v>
      </c>
      <c r="AC372">
        <f t="shared" si="46"/>
        <v>11</v>
      </c>
      <c r="AD372">
        <f t="shared" si="47"/>
        <v>2024</v>
      </c>
      <c r="AE372" t="str">
        <f t="shared" si="48"/>
        <v>CLEAN</v>
      </c>
    </row>
    <row r="373" spans="1:31">
      <c r="A373" t="s">
        <v>2697</v>
      </c>
      <c r="B373" s="2">
        <v>45313</v>
      </c>
      <c r="C373" s="2">
        <v>45313</v>
      </c>
      <c r="D373" s="5">
        <f>C373-B373</f>
        <v>0</v>
      </c>
      <c r="E373" s="5" t="str">
        <f>IF(D373&lt;0,"INVALID","OK")</f>
        <v>OK</v>
      </c>
      <c r="F373" t="s">
        <v>2698</v>
      </c>
      <c r="G373" t="s">
        <v>22</v>
      </c>
      <c r="H373" t="s">
        <v>89</v>
      </c>
      <c r="I373" t="s">
        <v>37</v>
      </c>
      <c r="J373" t="s">
        <v>98</v>
      </c>
      <c r="K373" t="s">
        <v>99</v>
      </c>
      <c r="L373" t="s">
        <v>27</v>
      </c>
      <c r="M373" t="s">
        <v>28</v>
      </c>
      <c r="N373" t="s">
        <v>2699</v>
      </c>
      <c r="O373" t="s">
        <v>49</v>
      </c>
      <c r="P373">
        <v>8</v>
      </c>
      <c r="Q373">
        <v>1557.21</v>
      </c>
      <c r="R373">
        <v>0.05</v>
      </c>
      <c r="S373" t="str">
        <f t="shared" si="49"/>
        <v>OK</v>
      </c>
      <c r="T373">
        <v>11834.8</v>
      </c>
      <c r="U373">
        <v>9322.36</v>
      </c>
      <c r="V373">
        <v>2512.44</v>
      </c>
      <c r="W373" t="s">
        <v>31</v>
      </c>
      <c r="X373" t="s">
        <v>32</v>
      </c>
      <c r="Y373">
        <f t="shared" si="42"/>
        <v>0.05</v>
      </c>
      <c r="Z373">
        <f t="shared" si="43"/>
        <v>11834.796</v>
      </c>
      <c r="AA373">
        <f t="shared" si="44"/>
        <v>2512.4359999999997</v>
      </c>
      <c r="AB373">
        <f t="shared" si="45"/>
        <v>21.229229468763126</v>
      </c>
      <c r="AC373">
        <f t="shared" si="46"/>
        <v>1</v>
      </c>
      <c r="AD373">
        <f t="shared" si="47"/>
        <v>2024</v>
      </c>
      <c r="AE373" t="str">
        <f t="shared" si="48"/>
        <v>CLEAN</v>
      </c>
    </row>
    <row r="374" spans="1:31">
      <c r="A374" t="s">
        <v>2703</v>
      </c>
      <c r="B374" s="2">
        <v>45507</v>
      </c>
      <c r="C374" s="2">
        <v>45366</v>
      </c>
      <c r="D374" s="5">
        <f>C374-B374</f>
        <v>-141</v>
      </c>
      <c r="E374" s="5" t="str">
        <f>IF(D374&lt;0,"INVALID","OK")</f>
        <v>INVALID</v>
      </c>
      <c r="F374" t="s">
        <v>2704</v>
      </c>
      <c r="G374" t="s">
        <v>127</v>
      </c>
      <c r="H374" t="s">
        <v>36</v>
      </c>
      <c r="I374" t="s">
        <v>2762</v>
      </c>
      <c r="J374" t="s">
        <v>121</v>
      </c>
      <c r="K374" t="s">
        <v>122</v>
      </c>
      <c r="L374" t="s">
        <v>40</v>
      </c>
      <c r="M374" t="s">
        <v>65</v>
      </c>
      <c r="N374" t="s">
        <v>2705</v>
      </c>
      <c r="O374" t="s">
        <v>49</v>
      </c>
      <c r="P374">
        <v>5</v>
      </c>
      <c r="Q374">
        <v>3234.77</v>
      </c>
      <c r="R374">
        <v>0</v>
      </c>
      <c r="S374" t="str">
        <f t="shared" si="49"/>
        <v>OK</v>
      </c>
      <c r="T374">
        <v>16173.85</v>
      </c>
      <c r="U374">
        <v>13636.34</v>
      </c>
      <c r="V374">
        <v>2537.5100000000002</v>
      </c>
      <c r="W374" t="s">
        <v>31</v>
      </c>
      <c r="X374" t="s">
        <v>32</v>
      </c>
      <c r="Y374">
        <f t="shared" si="42"/>
        <v>0</v>
      </c>
      <c r="Z374">
        <f t="shared" si="43"/>
        <v>16173.85</v>
      </c>
      <c r="AA374">
        <f t="shared" si="44"/>
        <v>2537.5100000000002</v>
      </c>
      <c r="AB374">
        <f t="shared" si="45"/>
        <v>15.688967067210344</v>
      </c>
      <c r="AC374">
        <f t="shared" si="46"/>
        <v>8</v>
      </c>
      <c r="AD374">
        <f t="shared" si="47"/>
        <v>2024</v>
      </c>
      <c r="AE374" t="str">
        <f t="shared" si="48"/>
        <v>INVALID</v>
      </c>
    </row>
    <row r="375" spans="1:31">
      <c r="A375" t="s">
        <v>2706</v>
      </c>
      <c r="B375" s="2">
        <v>45627</v>
      </c>
      <c r="C375" s="2">
        <v>45424</v>
      </c>
      <c r="D375" s="5">
        <f>C375-B375</f>
        <v>-203</v>
      </c>
      <c r="E375" s="5" t="str">
        <f>IF(D375&lt;0,"INVALID","OK")</f>
        <v>INVALID</v>
      </c>
      <c r="F375" t="s">
        <v>2707</v>
      </c>
      <c r="G375" t="s">
        <v>61</v>
      </c>
      <c r="H375" t="s">
        <v>36</v>
      </c>
      <c r="I375" t="s">
        <v>53</v>
      </c>
      <c r="J375" t="s">
        <v>83</v>
      </c>
      <c r="K375" t="s">
        <v>84</v>
      </c>
      <c r="L375" t="s">
        <v>73</v>
      </c>
      <c r="M375" t="s">
        <v>79</v>
      </c>
      <c r="N375" t="s">
        <v>2708</v>
      </c>
      <c r="O375" t="s">
        <v>30</v>
      </c>
      <c r="P375">
        <v>9</v>
      </c>
      <c r="Q375">
        <v>3726.75</v>
      </c>
      <c r="R375">
        <v>0.25</v>
      </c>
      <c r="S375" t="str">
        <f t="shared" si="49"/>
        <v>OK</v>
      </c>
      <c r="T375">
        <v>25155.56</v>
      </c>
      <c r="U375">
        <v>17592.689999999999</v>
      </c>
      <c r="V375">
        <v>7562.87</v>
      </c>
      <c r="W375" t="s">
        <v>31</v>
      </c>
      <c r="X375" t="s">
        <v>32</v>
      </c>
      <c r="Y375">
        <f t="shared" si="42"/>
        <v>0.25</v>
      </c>
      <c r="Z375">
        <f t="shared" si="43"/>
        <v>25155.5625</v>
      </c>
      <c r="AA375">
        <f t="shared" si="44"/>
        <v>7562.8725000000013</v>
      </c>
      <c r="AB375">
        <f t="shared" si="45"/>
        <v>30.064414182747857</v>
      </c>
      <c r="AC375">
        <f t="shared" si="46"/>
        <v>12</v>
      </c>
      <c r="AD375">
        <f t="shared" si="47"/>
        <v>2024</v>
      </c>
      <c r="AE375" t="str">
        <f t="shared" si="48"/>
        <v>INVALID</v>
      </c>
    </row>
    <row r="376" spans="1:31">
      <c r="A376" t="s">
        <v>2718</v>
      </c>
      <c r="B376" s="2">
        <v>45296</v>
      </c>
      <c r="C376" s="2">
        <v>45296</v>
      </c>
      <c r="D376" s="5">
        <f>C376-B376</f>
        <v>0</v>
      </c>
      <c r="E376" s="5" t="str">
        <f>IF(D376&lt;0,"INVALID","OK")</f>
        <v>OK</v>
      </c>
      <c r="F376" t="s">
        <v>2719</v>
      </c>
      <c r="G376" t="s">
        <v>161</v>
      </c>
      <c r="H376" t="s">
        <v>23</v>
      </c>
      <c r="I376" t="s">
        <v>24</v>
      </c>
      <c r="J376" t="s">
        <v>25</v>
      </c>
      <c r="K376" t="s">
        <v>26</v>
      </c>
      <c r="L376" t="s">
        <v>40</v>
      </c>
      <c r="M376" t="s">
        <v>41</v>
      </c>
      <c r="N376" t="s">
        <v>2720</v>
      </c>
      <c r="O376" t="s">
        <v>58</v>
      </c>
      <c r="P376">
        <v>1</v>
      </c>
      <c r="Q376">
        <v>2167.08</v>
      </c>
      <c r="R376">
        <v>0.25</v>
      </c>
      <c r="S376" t="str">
        <f t="shared" si="49"/>
        <v>OK</v>
      </c>
      <c r="T376">
        <v>1625.31</v>
      </c>
      <c r="U376">
        <v>1157.8900000000001</v>
      </c>
      <c r="V376">
        <v>467.42</v>
      </c>
      <c r="W376" t="s">
        <v>31</v>
      </c>
      <c r="X376" t="s">
        <v>32</v>
      </c>
      <c r="Y376">
        <f t="shared" si="42"/>
        <v>0.25</v>
      </c>
      <c r="Z376">
        <f t="shared" si="43"/>
        <v>1625.31</v>
      </c>
      <c r="AA376">
        <f t="shared" si="44"/>
        <v>467.41999999999985</v>
      </c>
      <c r="AB376">
        <f t="shared" si="45"/>
        <v>28.758821394072509</v>
      </c>
      <c r="AC376">
        <f t="shared" si="46"/>
        <v>1</v>
      </c>
      <c r="AD376">
        <f t="shared" si="47"/>
        <v>2024</v>
      </c>
      <c r="AE376" t="str">
        <f t="shared" si="48"/>
        <v>CLEAN</v>
      </c>
    </row>
    <row r="377" spans="1:31">
      <c r="A377" t="s">
        <v>2724</v>
      </c>
      <c r="B377" s="2">
        <v>45455</v>
      </c>
      <c r="C377" s="2">
        <v>45461</v>
      </c>
      <c r="D377" s="5">
        <f>C377-B377</f>
        <v>6</v>
      </c>
      <c r="E377" s="5" t="str">
        <f>IF(D377&lt;0,"INVALID","OK")</f>
        <v>OK</v>
      </c>
      <c r="F377" t="s">
        <v>2725</v>
      </c>
      <c r="G377" t="s">
        <v>127</v>
      </c>
      <c r="H377" t="s">
        <v>36</v>
      </c>
      <c r="I377" t="s">
        <v>53</v>
      </c>
      <c r="J377" t="s">
        <v>83</v>
      </c>
      <c r="K377" t="s">
        <v>84</v>
      </c>
      <c r="L377" t="s">
        <v>27</v>
      </c>
      <c r="M377" t="s">
        <v>47</v>
      </c>
      <c r="N377" t="s">
        <v>2726</v>
      </c>
      <c r="O377" t="s">
        <v>58</v>
      </c>
      <c r="P377">
        <v>4</v>
      </c>
      <c r="Q377">
        <v>4176.13</v>
      </c>
      <c r="R377">
        <v>0</v>
      </c>
      <c r="S377" t="str">
        <f t="shared" si="49"/>
        <v>OK</v>
      </c>
      <c r="T377">
        <v>16704.52</v>
      </c>
      <c r="U377">
        <v>10158.280000000001</v>
      </c>
      <c r="V377">
        <v>6546.24</v>
      </c>
      <c r="W377" t="s">
        <v>31</v>
      </c>
      <c r="X377" t="s">
        <v>32</v>
      </c>
      <c r="Y377">
        <f t="shared" si="42"/>
        <v>0</v>
      </c>
      <c r="Z377">
        <f t="shared" si="43"/>
        <v>16704.52</v>
      </c>
      <c r="AA377">
        <f t="shared" si="44"/>
        <v>6546.24</v>
      </c>
      <c r="AB377">
        <f t="shared" si="45"/>
        <v>39.188435225914894</v>
      </c>
      <c r="AC377">
        <f t="shared" si="46"/>
        <v>6</v>
      </c>
      <c r="AD377">
        <f t="shared" si="47"/>
        <v>2024</v>
      </c>
      <c r="AE377" t="str">
        <f t="shared" si="48"/>
        <v>CLEAN</v>
      </c>
    </row>
    <row r="378" spans="1:31">
      <c r="A378" t="s">
        <v>2732</v>
      </c>
      <c r="B378" s="2">
        <v>45427</v>
      </c>
      <c r="C378" s="2">
        <v>45433</v>
      </c>
      <c r="D378" s="5">
        <f>C378-B378</f>
        <v>6</v>
      </c>
      <c r="E378" s="5" t="str">
        <f>IF(D378&lt;0,"INVALID","OK")</f>
        <v>OK</v>
      </c>
      <c r="F378" t="s">
        <v>2733</v>
      </c>
      <c r="G378" t="s">
        <v>22</v>
      </c>
      <c r="H378" t="s">
        <v>23</v>
      </c>
      <c r="I378" t="s">
        <v>62</v>
      </c>
      <c r="J378" t="s">
        <v>189</v>
      </c>
      <c r="K378" t="s">
        <v>190</v>
      </c>
      <c r="L378" t="s">
        <v>27</v>
      </c>
      <c r="M378" t="s">
        <v>123</v>
      </c>
      <c r="N378" t="s">
        <v>2734</v>
      </c>
      <c r="O378" t="s">
        <v>58</v>
      </c>
      <c r="P378">
        <v>6</v>
      </c>
      <c r="Q378">
        <v>2909.56</v>
      </c>
      <c r="R378">
        <v>0.2</v>
      </c>
      <c r="S378" t="str">
        <f t="shared" si="49"/>
        <v>OK</v>
      </c>
      <c r="T378">
        <v>13965.89</v>
      </c>
      <c r="U378">
        <v>11646.12</v>
      </c>
      <c r="V378">
        <v>2319.77</v>
      </c>
      <c r="W378" t="s">
        <v>31</v>
      </c>
      <c r="X378" t="s">
        <v>32</v>
      </c>
      <c r="Y378">
        <f t="shared" si="42"/>
        <v>0.2</v>
      </c>
      <c r="Z378">
        <f t="shared" si="43"/>
        <v>13965.888000000001</v>
      </c>
      <c r="AA378">
        <f t="shared" si="44"/>
        <v>2319.768</v>
      </c>
      <c r="AB378">
        <f t="shared" si="45"/>
        <v>16.61024347323994</v>
      </c>
      <c r="AC378">
        <f t="shared" si="46"/>
        <v>5</v>
      </c>
      <c r="AD378">
        <f t="shared" si="47"/>
        <v>2024</v>
      </c>
      <c r="AE378" t="str">
        <f t="shared" si="48"/>
        <v>CLEAN</v>
      </c>
    </row>
    <row r="379" spans="1:31">
      <c r="A379" t="s">
        <v>2741</v>
      </c>
      <c r="B379" s="2">
        <v>45449</v>
      </c>
      <c r="C379" s="2">
        <v>45451</v>
      </c>
      <c r="D379" s="5">
        <f>C379-B379</f>
        <v>2</v>
      </c>
      <c r="E379" s="5" t="str">
        <f>IF(D379&lt;0,"INVALID","OK")</f>
        <v>OK</v>
      </c>
      <c r="F379" t="s">
        <v>2742</v>
      </c>
      <c r="G379" t="s">
        <v>127</v>
      </c>
      <c r="H379" t="s">
        <v>89</v>
      </c>
      <c r="I379" t="s">
        <v>53</v>
      </c>
      <c r="J379" t="s">
        <v>174</v>
      </c>
      <c r="K379" t="s">
        <v>175</v>
      </c>
      <c r="L379" t="s">
        <v>40</v>
      </c>
      <c r="M379" t="s">
        <v>41</v>
      </c>
      <c r="N379" t="s">
        <v>2743</v>
      </c>
      <c r="O379" t="s">
        <v>30</v>
      </c>
      <c r="P379">
        <v>3</v>
      </c>
      <c r="Q379">
        <v>395.49</v>
      </c>
      <c r="R379">
        <v>0.05</v>
      </c>
      <c r="S379" t="str">
        <f t="shared" si="49"/>
        <v>OK</v>
      </c>
      <c r="T379">
        <v>1127.1500000000001</v>
      </c>
      <c r="U379">
        <v>845.62</v>
      </c>
      <c r="V379">
        <v>281.52999999999997</v>
      </c>
      <c r="W379" t="s">
        <v>31</v>
      </c>
      <c r="X379" t="s">
        <v>102</v>
      </c>
      <c r="Y379">
        <f t="shared" si="42"/>
        <v>0.05</v>
      </c>
      <c r="Z379">
        <f t="shared" si="43"/>
        <v>1127.1465000000001</v>
      </c>
      <c r="AA379">
        <f t="shared" si="44"/>
        <v>281.52650000000006</v>
      </c>
      <c r="AB379">
        <f t="shared" si="45"/>
        <v>24.976921810962466</v>
      </c>
      <c r="AC379">
        <f t="shared" si="46"/>
        <v>6</v>
      </c>
      <c r="AD379">
        <f t="shared" si="47"/>
        <v>2024</v>
      </c>
      <c r="AE379" t="str">
        <f t="shared" si="48"/>
        <v>CLEAN</v>
      </c>
    </row>
    <row r="380" spans="1:31">
      <c r="A380" t="s">
        <v>2744</v>
      </c>
      <c r="B380" s="2">
        <v>45344</v>
      </c>
      <c r="C380" s="2">
        <v>45351</v>
      </c>
      <c r="D380" s="5">
        <f>C380-B380</f>
        <v>7</v>
      </c>
      <c r="E380" s="5" t="str">
        <f>IF(D380&lt;0,"INVALID","OK")</f>
        <v>OK</v>
      </c>
      <c r="F380" t="s">
        <v>2745</v>
      </c>
      <c r="G380" t="s">
        <v>46</v>
      </c>
      <c r="H380" t="s">
        <v>94</v>
      </c>
      <c r="I380" t="s">
        <v>53</v>
      </c>
      <c r="J380" t="s">
        <v>54</v>
      </c>
      <c r="K380" t="s">
        <v>55</v>
      </c>
      <c r="L380" t="s">
        <v>40</v>
      </c>
      <c r="M380" t="s">
        <v>41</v>
      </c>
      <c r="N380" t="s">
        <v>2746</v>
      </c>
      <c r="O380" t="s">
        <v>49</v>
      </c>
      <c r="P380">
        <v>6</v>
      </c>
      <c r="Q380">
        <v>4254.05</v>
      </c>
      <c r="R380">
        <v>0</v>
      </c>
      <c r="S380" t="str">
        <f t="shared" si="49"/>
        <v>OK</v>
      </c>
      <c r="T380">
        <v>25524.3</v>
      </c>
      <c r="U380">
        <v>16711.93</v>
      </c>
      <c r="V380">
        <v>8812.3700000000008</v>
      </c>
      <c r="W380" t="s">
        <v>31</v>
      </c>
      <c r="X380" t="s">
        <v>32</v>
      </c>
      <c r="Y380">
        <f t="shared" si="42"/>
        <v>0</v>
      </c>
      <c r="Z380">
        <f t="shared" si="43"/>
        <v>25524.300000000003</v>
      </c>
      <c r="AA380">
        <f t="shared" si="44"/>
        <v>8812.3700000000026</v>
      </c>
      <c r="AB380">
        <f t="shared" si="45"/>
        <v>34.525413037771855</v>
      </c>
      <c r="AC380">
        <f t="shared" si="46"/>
        <v>2</v>
      </c>
      <c r="AD380">
        <f t="shared" si="47"/>
        <v>2024</v>
      </c>
      <c r="AE380" t="str">
        <f t="shared" si="48"/>
        <v>CLEAN</v>
      </c>
    </row>
    <row r="381" spans="1:31">
      <c r="A381" t="s">
        <v>2747</v>
      </c>
      <c r="B381" s="2">
        <v>45601</v>
      </c>
      <c r="C381" s="2">
        <v>45606</v>
      </c>
      <c r="D381" s="5">
        <f>C381-B381</f>
        <v>5</v>
      </c>
      <c r="E381" s="5" t="str">
        <f>IF(D381&lt;0,"INVALID","OK")</f>
        <v>OK</v>
      </c>
      <c r="F381" t="s">
        <v>2748</v>
      </c>
      <c r="G381" t="s">
        <v>52</v>
      </c>
      <c r="H381" t="s">
        <v>23</v>
      </c>
      <c r="I381" t="s">
        <v>53</v>
      </c>
      <c r="J381" t="s">
        <v>184</v>
      </c>
      <c r="K381" t="s">
        <v>185</v>
      </c>
      <c r="L381" t="s">
        <v>40</v>
      </c>
      <c r="M381" t="s">
        <v>65</v>
      </c>
      <c r="N381" t="s">
        <v>2749</v>
      </c>
      <c r="O381" t="s">
        <v>43</v>
      </c>
      <c r="P381">
        <v>4</v>
      </c>
      <c r="Q381">
        <v>711.18</v>
      </c>
      <c r="R381">
        <v>0.15</v>
      </c>
      <c r="S381" t="str">
        <f t="shared" si="49"/>
        <v>OK</v>
      </c>
      <c r="T381">
        <v>2418.0100000000002</v>
      </c>
      <c r="U381">
        <v>1441.89</v>
      </c>
      <c r="V381">
        <v>976.12</v>
      </c>
      <c r="W381" t="s">
        <v>110</v>
      </c>
      <c r="X381" t="s">
        <v>102</v>
      </c>
      <c r="Y381">
        <f t="shared" si="42"/>
        <v>0.15</v>
      </c>
      <c r="Z381">
        <f t="shared" si="43"/>
        <v>2418.0119999999997</v>
      </c>
      <c r="AA381">
        <f t="shared" si="44"/>
        <v>976.12199999999962</v>
      </c>
      <c r="AB381">
        <f t="shared" si="45"/>
        <v>40.368782288921636</v>
      </c>
      <c r="AC381">
        <f t="shared" si="46"/>
        <v>11</v>
      </c>
      <c r="AD381">
        <f t="shared" si="47"/>
        <v>2024</v>
      </c>
      <c r="AE381" t="str">
        <f t="shared" si="48"/>
        <v>CLEAN</v>
      </c>
    </row>
    <row r="382" spans="1:31">
      <c r="A382" t="s">
        <v>2755</v>
      </c>
      <c r="B382" s="2">
        <v>45445</v>
      </c>
      <c r="C382" s="2">
        <v>45451</v>
      </c>
      <c r="D382" s="5">
        <f>C382-B382</f>
        <v>6</v>
      </c>
      <c r="E382" s="5" t="str">
        <f>IF(D382&lt;0,"INVALID","OK")</f>
        <v>OK</v>
      </c>
      <c r="F382" t="s">
        <v>2756</v>
      </c>
      <c r="G382" t="s">
        <v>70</v>
      </c>
      <c r="H382" t="s">
        <v>23</v>
      </c>
      <c r="I382" t="s">
        <v>24</v>
      </c>
      <c r="J382" t="s">
        <v>349</v>
      </c>
      <c r="K382" t="s">
        <v>350</v>
      </c>
      <c r="L382" t="s">
        <v>40</v>
      </c>
      <c r="M382" t="s">
        <v>41</v>
      </c>
      <c r="N382" t="s">
        <v>2757</v>
      </c>
      <c r="O382" t="s">
        <v>49</v>
      </c>
      <c r="P382">
        <v>4</v>
      </c>
      <c r="Q382">
        <v>1536.7</v>
      </c>
      <c r="R382">
        <v>0.2</v>
      </c>
      <c r="S382" t="str">
        <f t="shared" si="49"/>
        <v>OK</v>
      </c>
      <c r="T382">
        <v>4917.4399999999996</v>
      </c>
      <c r="U382">
        <v>3846.77</v>
      </c>
      <c r="V382">
        <v>1070.67</v>
      </c>
      <c r="W382" t="s">
        <v>31</v>
      </c>
      <c r="X382" t="s">
        <v>32</v>
      </c>
      <c r="Y382">
        <f t="shared" si="42"/>
        <v>0.2</v>
      </c>
      <c r="Z382">
        <f t="shared" si="43"/>
        <v>4917.4400000000005</v>
      </c>
      <c r="AA382">
        <f t="shared" si="44"/>
        <v>1070.6700000000005</v>
      </c>
      <c r="AB382">
        <f t="shared" si="45"/>
        <v>21.772914361944434</v>
      </c>
      <c r="AC382">
        <f t="shared" si="46"/>
        <v>6</v>
      </c>
      <c r="AD382">
        <f t="shared" si="47"/>
        <v>2024</v>
      </c>
      <c r="AE382" t="str">
        <f t="shared" si="48"/>
        <v>CLEAN</v>
      </c>
    </row>
    <row r="383" spans="1:31">
      <c r="A383" t="s">
        <v>76</v>
      </c>
      <c r="B383" s="2">
        <v>45757</v>
      </c>
      <c r="C383" s="2">
        <v>45763</v>
      </c>
      <c r="D383" s="5">
        <f>C383-B383</f>
        <v>6</v>
      </c>
      <c r="E383" s="5" t="str">
        <f>IF(D383&lt;0,"INVALID","OK")</f>
        <v>OK</v>
      </c>
      <c r="F383" t="s">
        <v>77</v>
      </c>
      <c r="G383" t="s">
        <v>78</v>
      </c>
      <c r="H383" t="s">
        <v>23</v>
      </c>
      <c r="I383" t="s">
        <v>37</v>
      </c>
      <c r="J383" t="s">
        <v>38</v>
      </c>
      <c r="K383" t="s">
        <v>39</v>
      </c>
      <c r="L383" t="s">
        <v>73</v>
      </c>
      <c r="M383" t="s">
        <v>79</v>
      </c>
      <c r="N383" t="s">
        <v>80</v>
      </c>
      <c r="O383" t="s">
        <v>58</v>
      </c>
      <c r="P383">
        <v>4</v>
      </c>
      <c r="Q383">
        <v>1719.87</v>
      </c>
      <c r="R383">
        <v>0.15</v>
      </c>
      <c r="S383" t="str">
        <f t="shared" si="49"/>
        <v>OK</v>
      </c>
      <c r="T383">
        <v>5847.56</v>
      </c>
      <c r="U383">
        <v>4727.25</v>
      </c>
      <c r="V383">
        <v>1120.31</v>
      </c>
      <c r="W383" t="s">
        <v>31</v>
      </c>
      <c r="X383" t="s">
        <v>32</v>
      </c>
      <c r="Y383">
        <f t="shared" si="42"/>
        <v>0.15</v>
      </c>
      <c r="Z383">
        <f t="shared" si="43"/>
        <v>5847.5579999999991</v>
      </c>
      <c r="AA383">
        <f t="shared" si="44"/>
        <v>1120.3079999999991</v>
      </c>
      <c r="AB383">
        <f t="shared" si="45"/>
        <v>19.158561573908276</v>
      </c>
      <c r="AC383">
        <f t="shared" si="46"/>
        <v>4</v>
      </c>
      <c r="AD383">
        <f t="shared" si="47"/>
        <v>2025</v>
      </c>
      <c r="AE383" t="str">
        <f t="shared" si="48"/>
        <v>CLEAN</v>
      </c>
    </row>
    <row r="384" spans="1:31">
      <c r="A384" t="s">
        <v>81</v>
      </c>
      <c r="B384" s="2">
        <v>45711</v>
      </c>
      <c r="C384" s="2">
        <v>45714</v>
      </c>
      <c r="D384" s="5">
        <f>C384-B384</f>
        <v>3</v>
      </c>
      <c r="E384" s="5" t="str">
        <f>IF(D384&lt;0,"INVALID","OK")</f>
        <v>OK</v>
      </c>
      <c r="F384" t="s">
        <v>82</v>
      </c>
      <c r="G384" t="s">
        <v>46</v>
      </c>
      <c r="H384" t="s">
        <v>36</v>
      </c>
      <c r="I384" t="s">
        <v>53</v>
      </c>
      <c r="J384" t="s">
        <v>83</v>
      </c>
      <c r="K384" t="s">
        <v>84</v>
      </c>
      <c r="L384" t="s">
        <v>27</v>
      </c>
      <c r="M384" t="s">
        <v>47</v>
      </c>
      <c r="N384" t="s">
        <v>85</v>
      </c>
      <c r="O384" t="s">
        <v>49</v>
      </c>
      <c r="P384">
        <v>1</v>
      </c>
      <c r="Q384">
        <v>2980.71</v>
      </c>
      <c r="R384">
        <v>0</v>
      </c>
      <c r="S384" t="str">
        <f t="shared" si="49"/>
        <v>OK</v>
      </c>
      <c r="T384">
        <v>2980.71</v>
      </c>
      <c r="U384">
        <v>2357.2199999999998</v>
      </c>
      <c r="V384">
        <v>623.49</v>
      </c>
      <c r="W384" t="s">
        <v>31</v>
      </c>
      <c r="X384" t="s">
        <v>32</v>
      </c>
      <c r="Y384">
        <f t="shared" si="42"/>
        <v>0</v>
      </c>
      <c r="Z384">
        <f t="shared" si="43"/>
        <v>2980.71</v>
      </c>
      <c r="AA384">
        <f t="shared" si="44"/>
        <v>623.49000000000024</v>
      </c>
      <c r="AB384">
        <f t="shared" si="45"/>
        <v>20.917499521925993</v>
      </c>
      <c r="AC384">
        <f t="shared" si="46"/>
        <v>2</v>
      </c>
      <c r="AD384">
        <f t="shared" si="47"/>
        <v>2025</v>
      </c>
      <c r="AE384" t="str">
        <f t="shared" si="48"/>
        <v>CLEAN</v>
      </c>
    </row>
    <row r="385" spans="1:31">
      <c r="A385" t="s">
        <v>92</v>
      </c>
      <c r="B385" s="2">
        <v>45847</v>
      </c>
      <c r="C385" s="2">
        <v>45912</v>
      </c>
      <c r="D385" s="5">
        <f>C385-B385</f>
        <v>65</v>
      </c>
      <c r="E385" s="5" t="str">
        <f>IF(D385&lt;0,"INVALID","OK")</f>
        <v>OK</v>
      </c>
      <c r="F385" t="s">
        <v>93</v>
      </c>
      <c r="G385" t="s">
        <v>35</v>
      </c>
      <c r="H385" t="s">
        <v>94</v>
      </c>
      <c r="I385" t="s">
        <v>53</v>
      </c>
      <c r="J385" t="s">
        <v>54</v>
      </c>
      <c r="K385" t="s">
        <v>55</v>
      </c>
      <c r="L385" t="s">
        <v>27</v>
      </c>
      <c r="M385" t="s">
        <v>28</v>
      </c>
      <c r="N385" t="s">
        <v>95</v>
      </c>
      <c r="O385" t="s">
        <v>30</v>
      </c>
      <c r="P385">
        <v>9</v>
      </c>
      <c r="Q385">
        <v>852.04</v>
      </c>
      <c r="R385">
        <v>0.2</v>
      </c>
      <c r="S385" t="str">
        <f t="shared" si="49"/>
        <v>OK</v>
      </c>
      <c r="T385">
        <v>6134.69</v>
      </c>
      <c r="U385">
        <v>3800.19</v>
      </c>
      <c r="V385">
        <v>2334.5</v>
      </c>
      <c r="W385" t="s">
        <v>31</v>
      </c>
      <c r="X385" t="s">
        <v>32</v>
      </c>
      <c r="Y385">
        <f t="shared" si="42"/>
        <v>0.2</v>
      </c>
      <c r="Z385">
        <f t="shared" si="43"/>
        <v>6134.6880000000001</v>
      </c>
      <c r="AA385">
        <f t="shared" si="44"/>
        <v>2334.498</v>
      </c>
      <c r="AB385">
        <f t="shared" si="45"/>
        <v>38.054062407085738</v>
      </c>
      <c r="AC385">
        <f t="shared" si="46"/>
        <v>7</v>
      </c>
      <c r="AD385">
        <f t="shared" si="47"/>
        <v>2025</v>
      </c>
      <c r="AE385" t="str">
        <f t="shared" si="48"/>
        <v>CLEAN</v>
      </c>
    </row>
    <row r="386" spans="1:31">
      <c r="A386" t="s">
        <v>111</v>
      </c>
      <c r="B386" s="2">
        <v>45942</v>
      </c>
      <c r="C386" s="2">
        <v>45946</v>
      </c>
      <c r="D386" s="5">
        <f>C386-B386</f>
        <v>4</v>
      </c>
      <c r="E386" s="5" t="str">
        <f>IF(D386&lt;0,"INVALID","OK")</f>
        <v>OK</v>
      </c>
      <c r="F386" t="s">
        <v>112</v>
      </c>
      <c r="G386" t="s">
        <v>113</v>
      </c>
      <c r="H386" t="s">
        <v>36</v>
      </c>
      <c r="I386" t="s">
        <v>62</v>
      </c>
      <c r="J386" t="s">
        <v>63</v>
      </c>
      <c r="K386" t="s">
        <v>64</v>
      </c>
      <c r="L386" t="s">
        <v>27</v>
      </c>
      <c r="M386" t="s">
        <v>47</v>
      </c>
      <c r="N386" t="s">
        <v>114</v>
      </c>
      <c r="O386" t="s">
        <v>30</v>
      </c>
      <c r="P386">
        <v>7</v>
      </c>
      <c r="Q386">
        <v>3964.72</v>
      </c>
      <c r="R386">
        <v>0.05</v>
      </c>
      <c r="S386" t="str">
        <f t="shared" si="49"/>
        <v>OK</v>
      </c>
      <c r="T386">
        <v>26365.39</v>
      </c>
      <c r="U386">
        <v>22306.240000000002</v>
      </c>
      <c r="V386">
        <v>4059.15</v>
      </c>
      <c r="W386" t="s">
        <v>31</v>
      </c>
      <c r="X386" t="s">
        <v>32</v>
      </c>
      <c r="Y386">
        <f t="shared" si="42"/>
        <v>0.05</v>
      </c>
      <c r="Z386">
        <f t="shared" si="43"/>
        <v>26365.387999999995</v>
      </c>
      <c r="AA386">
        <f t="shared" si="44"/>
        <v>4059.1479999999938</v>
      </c>
      <c r="AB386">
        <f t="shared" si="45"/>
        <v>15.395745361304733</v>
      </c>
      <c r="AC386">
        <f t="shared" si="46"/>
        <v>10</v>
      </c>
      <c r="AD386">
        <f t="shared" si="47"/>
        <v>2025</v>
      </c>
      <c r="AE386" t="str">
        <f t="shared" si="48"/>
        <v>CLEAN</v>
      </c>
    </row>
    <row r="387" spans="1:31">
      <c r="A387" t="s">
        <v>142</v>
      </c>
      <c r="B387" s="2">
        <v>45678</v>
      </c>
      <c r="C387" s="2">
        <v>45680</v>
      </c>
      <c r="D387" s="5">
        <f>C387-B387</f>
        <v>2</v>
      </c>
      <c r="E387" s="5" t="str">
        <f>IF(D387&lt;0,"INVALID","OK")</f>
        <v>OK</v>
      </c>
      <c r="F387" t="s">
        <v>143</v>
      </c>
      <c r="G387" t="s">
        <v>88</v>
      </c>
      <c r="H387" t="s">
        <v>94</v>
      </c>
      <c r="I387" t="s">
        <v>37</v>
      </c>
      <c r="J387" t="s">
        <v>144</v>
      </c>
      <c r="K387" t="s">
        <v>145</v>
      </c>
      <c r="L387" t="s">
        <v>73</v>
      </c>
      <c r="M387" t="s">
        <v>79</v>
      </c>
      <c r="N387" t="s">
        <v>146</v>
      </c>
      <c r="O387" t="s">
        <v>49</v>
      </c>
      <c r="P387">
        <v>5</v>
      </c>
      <c r="Q387">
        <v>4373.0600000000004</v>
      </c>
      <c r="R387">
        <v>0.25</v>
      </c>
      <c r="S387" t="str">
        <f t="shared" si="49"/>
        <v>OK</v>
      </c>
      <c r="T387">
        <v>16398.98</v>
      </c>
      <c r="U387">
        <v>9556.52</v>
      </c>
      <c r="V387">
        <v>6842.46</v>
      </c>
      <c r="W387" t="s">
        <v>31</v>
      </c>
      <c r="X387" t="s">
        <v>32</v>
      </c>
      <c r="Y387">
        <f t="shared" ref="Y387:Y450" si="50">IF(R387&lt;0,0,IF(R387&gt;0.5,0,R387))</f>
        <v>0.25</v>
      </c>
      <c r="Z387">
        <f t="shared" ref="Z387:Z450" si="51">P387*Q387*(1-Y387)</f>
        <v>16398.975000000002</v>
      </c>
      <c r="AA387">
        <f t="shared" ref="AA387:AA450" si="52">Z387-U387</f>
        <v>6842.4550000000017</v>
      </c>
      <c r="AB387">
        <f t="shared" ref="AB387:AB450" si="53">AA387/Z387*100</f>
        <v>41.724894391265309</v>
      </c>
      <c r="AC387">
        <f t="shared" ref="AC387:AC450" si="54">MONTH(B387)</f>
        <v>1</v>
      </c>
      <c r="AD387">
        <f t="shared" ref="AD387:AD450" si="55">YEAR(B387)</f>
        <v>2025</v>
      </c>
      <c r="AE387" t="str">
        <f t="shared" ref="AE387:AE450" si="56">IF(OR(R387&lt;0,NOT(ISNUMBER(R387)),D387&lt;0,W387="Failed"),"INVALID",IF(OR(I387="",O387="",R387="",R387&gt;0.5,AA387&lt;0),"WARNING","CLEAN"))</f>
        <v>CLEAN</v>
      </c>
    </row>
    <row r="388" spans="1:31">
      <c r="A388" t="s">
        <v>147</v>
      </c>
      <c r="B388" s="2">
        <v>45681</v>
      </c>
      <c r="C388" s="2">
        <v>45687</v>
      </c>
      <c r="D388" s="5">
        <f>C388-B388</f>
        <v>6</v>
      </c>
      <c r="E388" s="5" t="str">
        <f>IF(D388&lt;0,"INVALID","OK")</f>
        <v>OK</v>
      </c>
      <c r="F388" t="s">
        <v>148</v>
      </c>
      <c r="G388" t="s">
        <v>131</v>
      </c>
      <c r="H388" t="s">
        <v>23</v>
      </c>
      <c r="I388" t="s">
        <v>62</v>
      </c>
      <c r="J388" t="s">
        <v>71</v>
      </c>
      <c r="K388" t="s">
        <v>72</v>
      </c>
      <c r="L388" t="s">
        <v>40</v>
      </c>
      <c r="M388" t="s">
        <v>56</v>
      </c>
      <c r="N388" t="s">
        <v>149</v>
      </c>
      <c r="O388" t="s">
        <v>30</v>
      </c>
      <c r="P388">
        <v>4</v>
      </c>
      <c r="Q388">
        <v>697.69</v>
      </c>
      <c r="R388">
        <v>-0.23</v>
      </c>
      <c r="S388" t="str">
        <f t="shared" si="49"/>
        <v>INVALID</v>
      </c>
      <c r="T388">
        <v>2790.76</v>
      </c>
      <c r="U388">
        <v>2037.71</v>
      </c>
      <c r="V388">
        <v>753.05</v>
      </c>
      <c r="W388" t="s">
        <v>31</v>
      </c>
      <c r="X388" t="s">
        <v>32</v>
      </c>
      <c r="Y388">
        <f t="shared" si="50"/>
        <v>0</v>
      </c>
      <c r="Z388">
        <f t="shared" si="51"/>
        <v>2790.76</v>
      </c>
      <c r="AA388">
        <f t="shared" si="52"/>
        <v>753.05000000000018</v>
      </c>
      <c r="AB388">
        <f t="shared" si="53"/>
        <v>26.98368903094498</v>
      </c>
      <c r="AC388">
        <f t="shared" si="54"/>
        <v>1</v>
      </c>
      <c r="AD388">
        <f t="shared" si="55"/>
        <v>2025</v>
      </c>
      <c r="AE388" t="str">
        <f t="shared" si="56"/>
        <v>INVALID</v>
      </c>
    </row>
    <row r="389" spans="1:31">
      <c r="A389" t="s">
        <v>155</v>
      </c>
      <c r="B389" s="2">
        <v>45898</v>
      </c>
      <c r="C389" s="2">
        <v>45900</v>
      </c>
      <c r="D389" s="5">
        <f>C389-B389</f>
        <v>2</v>
      </c>
      <c r="E389" s="5" t="str">
        <f>IF(D389&lt;0,"INVALID","OK")</f>
        <v>OK</v>
      </c>
      <c r="F389" t="s">
        <v>156</v>
      </c>
      <c r="G389" t="s">
        <v>117</v>
      </c>
      <c r="H389" t="s">
        <v>94</v>
      </c>
      <c r="I389" t="s">
        <v>37</v>
      </c>
      <c r="J389" t="s">
        <v>144</v>
      </c>
      <c r="K389" t="s">
        <v>145</v>
      </c>
      <c r="L389" t="s">
        <v>40</v>
      </c>
      <c r="M389" t="s">
        <v>157</v>
      </c>
      <c r="N389" t="s">
        <v>158</v>
      </c>
      <c r="O389" t="s">
        <v>49</v>
      </c>
      <c r="P389">
        <v>4</v>
      </c>
      <c r="Q389">
        <v>1958.01</v>
      </c>
      <c r="R389">
        <v>0.2</v>
      </c>
      <c r="S389" t="str">
        <f t="shared" si="49"/>
        <v>OK</v>
      </c>
      <c r="T389">
        <v>6265.63</v>
      </c>
      <c r="U389">
        <v>4321.8599999999997</v>
      </c>
      <c r="V389">
        <v>1943.77</v>
      </c>
      <c r="W389" t="s">
        <v>31</v>
      </c>
      <c r="X389" t="s">
        <v>32</v>
      </c>
      <c r="Y389">
        <f t="shared" si="50"/>
        <v>0.2</v>
      </c>
      <c r="Z389">
        <f t="shared" si="51"/>
        <v>6265.6320000000005</v>
      </c>
      <c r="AA389">
        <f t="shared" si="52"/>
        <v>1943.7720000000008</v>
      </c>
      <c r="AB389">
        <f t="shared" si="53"/>
        <v>31.022760353624353</v>
      </c>
      <c r="AC389">
        <f t="shared" si="54"/>
        <v>8</v>
      </c>
      <c r="AD389">
        <f t="shared" si="55"/>
        <v>2025</v>
      </c>
      <c r="AE389" t="str">
        <f t="shared" si="56"/>
        <v>CLEAN</v>
      </c>
    </row>
    <row r="390" spans="1:31">
      <c r="A390" t="s">
        <v>182</v>
      </c>
      <c r="B390" s="2">
        <v>45882</v>
      </c>
      <c r="C390" s="2">
        <v>45882</v>
      </c>
      <c r="D390" s="5">
        <f>C390-B390</f>
        <v>0</v>
      </c>
      <c r="E390" s="5" t="str">
        <f>IF(D390&lt;0,"INVALID","OK")</f>
        <v>OK</v>
      </c>
      <c r="F390" t="s">
        <v>183</v>
      </c>
      <c r="G390" t="s">
        <v>140</v>
      </c>
      <c r="H390" t="s">
        <v>94</v>
      </c>
      <c r="I390" t="s">
        <v>53</v>
      </c>
      <c r="J390" t="s">
        <v>184</v>
      </c>
      <c r="K390" t="s">
        <v>185</v>
      </c>
      <c r="L390" t="s">
        <v>73</v>
      </c>
      <c r="M390" t="s">
        <v>170</v>
      </c>
      <c r="N390" t="s">
        <v>186</v>
      </c>
      <c r="O390" t="s">
        <v>58</v>
      </c>
      <c r="P390">
        <v>1</v>
      </c>
      <c r="Q390">
        <v>256.01</v>
      </c>
      <c r="R390">
        <v>0.15</v>
      </c>
      <c r="S390" t="str">
        <f t="shared" si="49"/>
        <v>OK</v>
      </c>
      <c r="T390">
        <v>217.61</v>
      </c>
      <c r="U390">
        <v>119.77</v>
      </c>
      <c r="V390">
        <v>97.84</v>
      </c>
      <c r="W390" t="s">
        <v>31</v>
      </c>
      <c r="X390" t="s">
        <v>32</v>
      </c>
      <c r="Y390">
        <f t="shared" si="50"/>
        <v>0.15</v>
      </c>
      <c r="Z390">
        <f t="shared" si="51"/>
        <v>217.60849999999999</v>
      </c>
      <c r="AA390">
        <f t="shared" si="52"/>
        <v>97.838499999999996</v>
      </c>
      <c r="AB390">
        <f t="shared" si="53"/>
        <v>44.96078967503567</v>
      </c>
      <c r="AC390">
        <f t="shared" si="54"/>
        <v>8</v>
      </c>
      <c r="AD390">
        <f t="shared" si="55"/>
        <v>2025</v>
      </c>
      <c r="AE390" t="str">
        <f t="shared" si="56"/>
        <v>CLEAN</v>
      </c>
    </row>
    <row r="391" spans="1:31">
      <c r="A391" t="s">
        <v>201</v>
      </c>
      <c r="B391" s="2">
        <v>45688</v>
      </c>
      <c r="C391" s="2">
        <v>45693</v>
      </c>
      <c r="D391" s="5">
        <f>C391-B391</f>
        <v>5</v>
      </c>
      <c r="E391" s="5" t="str">
        <f>IF(D391&lt;0,"INVALID","OK")</f>
        <v>OK</v>
      </c>
      <c r="F391" t="s">
        <v>202</v>
      </c>
      <c r="G391" t="s">
        <v>113</v>
      </c>
      <c r="H391" t="s">
        <v>94</v>
      </c>
      <c r="I391" t="s">
        <v>37</v>
      </c>
      <c r="J391" t="s">
        <v>98</v>
      </c>
      <c r="K391" t="s">
        <v>99</v>
      </c>
      <c r="L391" t="s">
        <v>40</v>
      </c>
      <c r="M391" t="s">
        <v>65</v>
      </c>
      <c r="N391" t="s">
        <v>203</v>
      </c>
      <c r="O391" t="s">
        <v>2762</v>
      </c>
      <c r="P391">
        <v>2</v>
      </c>
      <c r="Q391">
        <v>4159.6899999999996</v>
      </c>
      <c r="R391">
        <v>0.2</v>
      </c>
      <c r="S391" t="str">
        <f t="shared" si="49"/>
        <v>OK</v>
      </c>
      <c r="T391">
        <v>6655.5</v>
      </c>
      <c r="U391">
        <v>4340.21</v>
      </c>
      <c r="V391">
        <v>2607.3200000000002</v>
      </c>
      <c r="W391" t="s">
        <v>31</v>
      </c>
      <c r="X391" t="s">
        <v>32</v>
      </c>
      <c r="Y391">
        <f t="shared" si="50"/>
        <v>0.2</v>
      </c>
      <c r="Z391">
        <f t="shared" si="51"/>
        <v>6655.5039999999999</v>
      </c>
      <c r="AA391">
        <f t="shared" si="52"/>
        <v>2315.2939999999999</v>
      </c>
      <c r="AB391">
        <f t="shared" si="53"/>
        <v>34.787658455317583</v>
      </c>
      <c r="AC391">
        <f t="shared" si="54"/>
        <v>1</v>
      </c>
      <c r="AD391">
        <f t="shared" si="55"/>
        <v>2025</v>
      </c>
      <c r="AE391" t="str">
        <f t="shared" si="56"/>
        <v>CLEAN</v>
      </c>
    </row>
    <row r="392" spans="1:31">
      <c r="A392" t="s">
        <v>210</v>
      </c>
      <c r="B392" s="2">
        <v>45867</v>
      </c>
      <c r="C392" s="2">
        <v>45867</v>
      </c>
      <c r="D392" s="5">
        <f>C392-B392</f>
        <v>0</v>
      </c>
      <c r="E392" s="5" t="str">
        <f>IF(D392&lt;0,"INVALID","OK")</f>
        <v>OK</v>
      </c>
      <c r="F392" t="s">
        <v>211</v>
      </c>
      <c r="G392" t="s">
        <v>161</v>
      </c>
      <c r="H392" t="s">
        <v>23</v>
      </c>
      <c r="I392" t="s">
        <v>62</v>
      </c>
      <c r="J392" t="s">
        <v>63</v>
      </c>
      <c r="K392" t="s">
        <v>64</v>
      </c>
      <c r="L392" t="s">
        <v>73</v>
      </c>
      <c r="M392" t="s">
        <v>79</v>
      </c>
      <c r="N392" t="s">
        <v>212</v>
      </c>
      <c r="O392" t="s">
        <v>58</v>
      </c>
      <c r="P392">
        <v>4</v>
      </c>
      <c r="Q392">
        <v>1327.54</v>
      </c>
      <c r="R392">
        <v>0.2</v>
      </c>
      <c r="S392" t="str">
        <f t="shared" si="49"/>
        <v>OK</v>
      </c>
      <c r="T392">
        <v>4248.13</v>
      </c>
      <c r="U392">
        <v>3321.09</v>
      </c>
      <c r="V392">
        <v>927.04</v>
      </c>
      <c r="W392" t="s">
        <v>31</v>
      </c>
      <c r="X392" t="s">
        <v>32</v>
      </c>
      <c r="Y392">
        <f t="shared" si="50"/>
        <v>0.2</v>
      </c>
      <c r="Z392">
        <f t="shared" si="51"/>
        <v>4248.1279999999997</v>
      </c>
      <c r="AA392">
        <f t="shared" si="52"/>
        <v>927.03799999999956</v>
      </c>
      <c r="AB392">
        <f t="shared" si="53"/>
        <v>21.822270892025845</v>
      </c>
      <c r="AC392">
        <f t="shared" si="54"/>
        <v>7</v>
      </c>
      <c r="AD392">
        <f t="shared" si="55"/>
        <v>2025</v>
      </c>
      <c r="AE392" t="str">
        <f t="shared" si="56"/>
        <v>CLEAN</v>
      </c>
    </row>
    <row r="393" spans="1:31">
      <c r="A393" t="s">
        <v>225</v>
      </c>
      <c r="B393" s="2">
        <v>45940</v>
      </c>
      <c r="C393" s="2">
        <v>45945</v>
      </c>
      <c r="D393" s="5">
        <f>C393-B393</f>
        <v>5</v>
      </c>
      <c r="E393" s="5" t="str">
        <f>IF(D393&lt;0,"INVALID","OK")</f>
        <v>OK</v>
      </c>
      <c r="F393" t="s">
        <v>226</v>
      </c>
      <c r="G393" t="s">
        <v>52</v>
      </c>
      <c r="H393" t="s">
        <v>89</v>
      </c>
      <c r="I393" t="s">
        <v>37</v>
      </c>
      <c r="J393" t="s">
        <v>227</v>
      </c>
      <c r="K393" t="s">
        <v>228</v>
      </c>
      <c r="L393" t="s">
        <v>73</v>
      </c>
      <c r="M393" t="s">
        <v>170</v>
      </c>
      <c r="N393" t="s">
        <v>229</v>
      </c>
      <c r="O393" t="s">
        <v>58</v>
      </c>
      <c r="P393">
        <v>8</v>
      </c>
      <c r="Q393">
        <v>979.87</v>
      </c>
      <c r="R393">
        <v>0.05</v>
      </c>
      <c r="S393" t="str">
        <f t="shared" si="49"/>
        <v>OK</v>
      </c>
      <c r="T393">
        <v>7447.01</v>
      </c>
      <c r="U393">
        <v>4496.22</v>
      </c>
      <c r="V393">
        <v>2950.79</v>
      </c>
      <c r="W393" t="s">
        <v>31</v>
      </c>
      <c r="X393" t="s">
        <v>32</v>
      </c>
      <c r="Y393">
        <f t="shared" si="50"/>
        <v>0.05</v>
      </c>
      <c r="Z393">
        <f t="shared" si="51"/>
        <v>7447.0119999999997</v>
      </c>
      <c r="AA393">
        <f t="shared" si="52"/>
        <v>2950.7919999999995</v>
      </c>
      <c r="AB393">
        <f t="shared" si="53"/>
        <v>39.623838393170303</v>
      </c>
      <c r="AC393">
        <f t="shared" si="54"/>
        <v>10</v>
      </c>
      <c r="AD393">
        <f t="shared" si="55"/>
        <v>2025</v>
      </c>
      <c r="AE393" t="str">
        <f t="shared" si="56"/>
        <v>CLEAN</v>
      </c>
    </row>
    <row r="394" spans="1:31">
      <c r="A394" t="s">
        <v>249</v>
      </c>
      <c r="B394" s="2">
        <v>45687</v>
      </c>
      <c r="C394" s="2">
        <v>45693</v>
      </c>
      <c r="D394" s="5">
        <f>C394-B394</f>
        <v>6</v>
      </c>
      <c r="E394" s="5" t="str">
        <f>IF(D394&lt;0,"INVALID","OK")</f>
        <v>OK</v>
      </c>
      <c r="F394" t="s">
        <v>250</v>
      </c>
      <c r="G394" t="s">
        <v>78</v>
      </c>
      <c r="H394" t="s">
        <v>89</v>
      </c>
      <c r="I394" t="s">
        <v>62</v>
      </c>
      <c r="J394" t="s">
        <v>63</v>
      </c>
      <c r="K394" t="s">
        <v>64</v>
      </c>
      <c r="L394" t="s">
        <v>40</v>
      </c>
      <c r="M394" t="s">
        <v>65</v>
      </c>
      <c r="N394" t="s">
        <v>251</v>
      </c>
      <c r="O394" t="s">
        <v>30</v>
      </c>
      <c r="P394">
        <v>7</v>
      </c>
      <c r="Q394">
        <v>4063.66</v>
      </c>
      <c r="R394">
        <v>0</v>
      </c>
      <c r="S394" t="str">
        <f t="shared" si="49"/>
        <v>OK</v>
      </c>
      <c r="T394">
        <v>28445.62</v>
      </c>
      <c r="U394">
        <v>20938.59</v>
      </c>
      <c r="V394">
        <v>7507.03</v>
      </c>
      <c r="W394" t="s">
        <v>31</v>
      </c>
      <c r="X394" t="s">
        <v>32</v>
      </c>
      <c r="Y394">
        <f t="shared" si="50"/>
        <v>0</v>
      </c>
      <c r="Z394">
        <f t="shared" si="51"/>
        <v>28445.62</v>
      </c>
      <c r="AA394">
        <f t="shared" si="52"/>
        <v>7507.0299999999988</v>
      </c>
      <c r="AB394">
        <f t="shared" si="53"/>
        <v>26.390811660986817</v>
      </c>
      <c r="AC394">
        <f t="shared" si="54"/>
        <v>1</v>
      </c>
      <c r="AD394">
        <f t="shared" si="55"/>
        <v>2025</v>
      </c>
      <c r="AE394" t="str">
        <f t="shared" si="56"/>
        <v>CLEAN</v>
      </c>
    </row>
    <row r="395" spans="1:31">
      <c r="A395" t="s">
        <v>255</v>
      </c>
      <c r="B395" s="2">
        <v>45788</v>
      </c>
      <c r="C395" s="2">
        <v>45796</v>
      </c>
      <c r="D395" s="5">
        <f>C395-B395</f>
        <v>8</v>
      </c>
      <c r="E395" s="5" t="str">
        <f>IF(D395&lt;0,"INVALID","OK")</f>
        <v>OK</v>
      </c>
      <c r="F395" t="s">
        <v>256</v>
      </c>
      <c r="G395" t="s">
        <v>131</v>
      </c>
      <c r="H395" t="s">
        <v>23</v>
      </c>
      <c r="I395" t="s">
        <v>37</v>
      </c>
      <c r="J395" t="s">
        <v>98</v>
      </c>
      <c r="K395" t="s">
        <v>99</v>
      </c>
      <c r="L395" t="s">
        <v>73</v>
      </c>
      <c r="M395" t="s">
        <v>79</v>
      </c>
      <c r="N395" t="s">
        <v>257</v>
      </c>
      <c r="O395" t="s">
        <v>58</v>
      </c>
      <c r="P395">
        <v>1</v>
      </c>
      <c r="Q395">
        <v>2382.8000000000002</v>
      </c>
      <c r="R395">
        <v>0.15</v>
      </c>
      <c r="S395" t="str">
        <f t="shared" si="49"/>
        <v>OK</v>
      </c>
      <c r="T395">
        <v>2025.38</v>
      </c>
      <c r="U395">
        <v>1140.6500000000001</v>
      </c>
      <c r="V395">
        <v>884.73</v>
      </c>
      <c r="W395" t="s">
        <v>31</v>
      </c>
      <c r="X395" t="s">
        <v>32</v>
      </c>
      <c r="Y395">
        <f t="shared" si="50"/>
        <v>0.15</v>
      </c>
      <c r="Z395">
        <f t="shared" si="51"/>
        <v>2025.38</v>
      </c>
      <c r="AA395">
        <f t="shared" si="52"/>
        <v>884.73</v>
      </c>
      <c r="AB395">
        <f t="shared" si="53"/>
        <v>43.682173221815162</v>
      </c>
      <c r="AC395">
        <f t="shared" si="54"/>
        <v>5</v>
      </c>
      <c r="AD395">
        <f t="shared" si="55"/>
        <v>2025</v>
      </c>
      <c r="AE395" t="str">
        <f t="shared" si="56"/>
        <v>CLEAN</v>
      </c>
    </row>
    <row r="396" spans="1:31">
      <c r="A396" t="s">
        <v>265</v>
      </c>
      <c r="B396" s="2">
        <v>45747</v>
      </c>
      <c r="C396" s="2">
        <v>45747</v>
      </c>
      <c r="D396" s="5">
        <f>C396-B396</f>
        <v>0</v>
      </c>
      <c r="E396" s="5" t="str">
        <f>IF(D396&lt;0,"INVALID","OK")</f>
        <v>OK</v>
      </c>
      <c r="F396" t="s">
        <v>266</v>
      </c>
      <c r="G396" t="s">
        <v>263</v>
      </c>
      <c r="H396" t="s">
        <v>94</v>
      </c>
      <c r="I396" t="s">
        <v>62</v>
      </c>
      <c r="J396" t="s">
        <v>179</v>
      </c>
      <c r="K396" t="s">
        <v>180</v>
      </c>
      <c r="L396" t="s">
        <v>27</v>
      </c>
      <c r="M396" t="s">
        <v>123</v>
      </c>
      <c r="N396" t="s">
        <v>267</v>
      </c>
      <c r="O396" t="s">
        <v>49</v>
      </c>
      <c r="P396">
        <v>5</v>
      </c>
      <c r="Q396">
        <v>1207.47</v>
      </c>
      <c r="R396">
        <v>0.15</v>
      </c>
      <c r="S396" t="str">
        <f t="shared" si="49"/>
        <v>OK</v>
      </c>
      <c r="T396">
        <v>5131.75</v>
      </c>
      <c r="U396">
        <v>2838.68</v>
      </c>
      <c r="V396">
        <v>2293.0700000000002</v>
      </c>
      <c r="W396" t="s">
        <v>31</v>
      </c>
      <c r="X396" t="s">
        <v>32</v>
      </c>
      <c r="Y396">
        <f t="shared" si="50"/>
        <v>0.15</v>
      </c>
      <c r="Z396">
        <f t="shared" si="51"/>
        <v>5131.7475000000004</v>
      </c>
      <c r="AA396">
        <f t="shared" si="52"/>
        <v>2293.0675000000006</v>
      </c>
      <c r="AB396">
        <f t="shared" si="53"/>
        <v>44.683950252813496</v>
      </c>
      <c r="AC396">
        <f t="shared" si="54"/>
        <v>3</v>
      </c>
      <c r="AD396">
        <f t="shared" si="55"/>
        <v>2025</v>
      </c>
      <c r="AE396" t="str">
        <f t="shared" si="56"/>
        <v>CLEAN</v>
      </c>
    </row>
    <row r="397" spans="1:31">
      <c r="A397" t="s">
        <v>271</v>
      </c>
      <c r="B397" s="2">
        <v>45664</v>
      </c>
      <c r="C397" s="2">
        <v>45723</v>
      </c>
      <c r="D397" s="5">
        <f>C397-B397</f>
        <v>59</v>
      </c>
      <c r="E397" s="5" t="str">
        <f>IF(D397&lt;0,"INVALID","OK")</f>
        <v>OK</v>
      </c>
      <c r="F397" t="s">
        <v>272</v>
      </c>
      <c r="G397" t="s">
        <v>35</v>
      </c>
      <c r="H397" t="s">
        <v>36</v>
      </c>
      <c r="I397" t="s">
        <v>53</v>
      </c>
      <c r="J397" t="s">
        <v>83</v>
      </c>
      <c r="K397" t="s">
        <v>84</v>
      </c>
      <c r="L397" t="s">
        <v>73</v>
      </c>
      <c r="M397" t="s">
        <v>273</v>
      </c>
      <c r="N397" t="s">
        <v>274</v>
      </c>
      <c r="O397" t="s">
        <v>43</v>
      </c>
      <c r="P397">
        <v>3</v>
      </c>
      <c r="Q397">
        <v>1516.24</v>
      </c>
      <c r="R397">
        <v>0.25</v>
      </c>
      <c r="S397" t="str">
        <f t="shared" si="49"/>
        <v>OK</v>
      </c>
      <c r="T397">
        <v>3411.54</v>
      </c>
      <c r="U397">
        <v>2803.13</v>
      </c>
      <c r="V397">
        <v>608.41</v>
      </c>
      <c r="W397" t="s">
        <v>31</v>
      </c>
      <c r="X397" t="s">
        <v>32</v>
      </c>
      <c r="Y397">
        <f t="shared" si="50"/>
        <v>0.25</v>
      </c>
      <c r="Z397">
        <f t="shared" si="51"/>
        <v>3411.54</v>
      </c>
      <c r="AA397">
        <f t="shared" si="52"/>
        <v>608.40999999999985</v>
      </c>
      <c r="AB397">
        <f t="shared" si="53"/>
        <v>17.83388147288321</v>
      </c>
      <c r="AC397">
        <f t="shared" si="54"/>
        <v>1</v>
      </c>
      <c r="AD397">
        <f t="shared" si="55"/>
        <v>2025</v>
      </c>
      <c r="AE397" t="str">
        <f t="shared" si="56"/>
        <v>CLEAN</v>
      </c>
    </row>
    <row r="398" spans="1:31">
      <c r="A398" t="s">
        <v>305</v>
      </c>
      <c r="B398" s="2">
        <v>45897</v>
      </c>
      <c r="C398" s="2">
        <v>45901</v>
      </c>
      <c r="D398" s="5">
        <f>C398-B398</f>
        <v>4</v>
      </c>
      <c r="E398" s="5" t="str">
        <f>IF(D398&lt;0,"INVALID","OK")</f>
        <v>OK</v>
      </c>
      <c r="F398" t="s">
        <v>306</v>
      </c>
      <c r="G398" t="s">
        <v>22</v>
      </c>
      <c r="H398" t="s">
        <v>36</v>
      </c>
      <c r="I398" t="s">
        <v>53</v>
      </c>
      <c r="J398" t="s">
        <v>246</v>
      </c>
      <c r="K398" t="s">
        <v>247</v>
      </c>
      <c r="L398" t="s">
        <v>73</v>
      </c>
      <c r="M398" t="s">
        <v>74</v>
      </c>
      <c r="N398" t="s">
        <v>307</v>
      </c>
      <c r="O398" t="s">
        <v>43</v>
      </c>
      <c r="P398">
        <v>7</v>
      </c>
      <c r="Q398">
        <v>1057.46</v>
      </c>
      <c r="R398">
        <v>0.05</v>
      </c>
      <c r="S398" t="str">
        <f t="shared" ref="S398:S445" si="57">IF(R398&lt;0,"INVALID",IF(R398&gt;0.5,"INVALID","OK"))</f>
        <v>OK</v>
      </c>
      <c r="T398">
        <v>7032.11</v>
      </c>
      <c r="U398">
        <v>4610.34</v>
      </c>
      <c r="V398">
        <v>2421.77</v>
      </c>
      <c r="W398" t="s">
        <v>31</v>
      </c>
      <c r="X398" t="s">
        <v>32</v>
      </c>
      <c r="Y398">
        <f t="shared" si="50"/>
        <v>0.05</v>
      </c>
      <c r="Z398">
        <f t="shared" si="51"/>
        <v>7032.1089999999995</v>
      </c>
      <c r="AA398">
        <f t="shared" si="52"/>
        <v>2421.7689999999993</v>
      </c>
      <c r="AB398">
        <f t="shared" si="53"/>
        <v>34.438729547565309</v>
      </c>
      <c r="AC398">
        <f t="shared" si="54"/>
        <v>8</v>
      </c>
      <c r="AD398">
        <f t="shared" si="55"/>
        <v>2025</v>
      </c>
      <c r="AE398" t="str">
        <f t="shared" si="56"/>
        <v>CLEAN</v>
      </c>
    </row>
    <row r="399" spans="1:31">
      <c r="A399" t="s">
        <v>308</v>
      </c>
      <c r="B399" s="2">
        <v>45691</v>
      </c>
      <c r="C399" s="2">
        <v>45840</v>
      </c>
      <c r="D399" s="5">
        <f>C399-B399</f>
        <v>149</v>
      </c>
      <c r="E399" s="5" t="str">
        <f>IF(D399&lt;0,"INVALID","OK")</f>
        <v>OK</v>
      </c>
      <c r="F399" t="s">
        <v>309</v>
      </c>
      <c r="G399" t="s">
        <v>263</v>
      </c>
      <c r="H399" t="s">
        <v>23</v>
      </c>
      <c r="I399" t="s">
        <v>24</v>
      </c>
      <c r="J399" t="s">
        <v>235</v>
      </c>
      <c r="K399" t="s">
        <v>236</v>
      </c>
      <c r="L399" t="s">
        <v>27</v>
      </c>
      <c r="M399" t="s">
        <v>28</v>
      </c>
      <c r="N399" t="s">
        <v>310</v>
      </c>
      <c r="O399" t="s">
        <v>49</v>
      </c>
      <c r="P399">
        <v>7</v>
      </c>
      <c r="Q399">
        <v>3609.34</v>
      </c>
      <c r="R399">
        <v>0.05</v>
      </c>
      <c r="S399" t="str">
        <f t="shared" si="57"/>
        <v>OK</v>
      </c>
      <c r="T399">
        <v>24002.11</v>
      </c>
      <c r="U399">
        <v>18707.57</v>
      </c>
      <c r="V399">
        <v>5294.54</v>
      </c>
      <c r="W399" t="s">
        <v>31</v>
      </c>
      <c r="X399" t="s">
        <v>32</v>
      </c>
      <c r="Y399">
        <f t="shared" si="50"/>
        <v>0.05</v>
      </c>
      <c r="Z399">
        <f t="shared" si="51"/>
        <v>24002.111000000001</v>
      </c>
      <c r="AA399">
        <f t="shared" si="52"/>
        <v>5294.5410000000011</v>
      </c>
      <c r="AB399">
        <f t="shared" si="53"/>
        <v>22.058647258151591</v>
      </c>
      <c r="AC399">
        <f t="shared" si="54"/>
        <v>2</v>
      </c>
      <c r="AD399">
        <f t="shared" si="55"/>
        <v>2025</v>
      </c>
      <c r="AE399" t="str">
        <f t="shared" si="56"/>
        <v>CLEAN</v>
      </c>
    </row>
    <row r="400" spans="1:31">
      <c r="A400" t="s">
        <v>317</v>
      </c>
      <c r="B400" s="2">
        <v>45891</v>
      </c>
      <c r="C400" s="2">
        <v>45896</v>
      </c>
      <c r="D400" s="5">
        <f>C400-B400</f>
        <v>5</v>
      </c>
      <c r="E400" s="5" t="str">
        <f>IF(D400&lt;0,"INVALID","OK")</f>
        <v>OK</v>
      </c>
      <c r="F400" t="s">
        <v>318</v>
      </c>
      <c r="G400" t="s">
        <v>22</v>
      </c>
      <c r="H400" t="s">
        <v>89</v>
      </c>
      <c r="I400" t="s">
        <v>53</v>
      </c>
      <c r="J400" t="s">
        <v>83</v>
      </c>
      <c r="K400" t="s">
        <v>84</v>
      </c>
      <c r="L400" t="s">
        <v>73</v>
      </c>
      <c r="M400" t="s">
        <v>170</v>
      </c>
      <c r="N400" t="s">
        <v>319</v>
      </c>
      <c r="O400" t="s">
        <v>49</v>
      </c>
      <c r="P400">
        <v>2</v>
      </c>
      <c r="Q400">
        <v>905.87</v>
      </c>
      <c r="R400">
        <v>0.15</v>
      </c>
      <c r="S400" t="str">
        <f t="shared" si="57"/>
        <v>OK</v>
      </c>
      <c r="T400">
        <v>1539.98</v>
      </c>
      <c r="U400">
        <v>1070.2</v>
      </c>
      <c r="V400">
        <v>469.78</v>
      </c>
      <c r="W400" t="s">
        <v>31</v>
      </c>
      <c r="X400" t="s">
        <v>32</v>
      </c>
      <c r="Y400">
        <f t="shared" si="50"/>
        <v>0.15</v>
      </c>
      <c r="Z400">
        <f t="shared" si="51"/>
        <v>1539.979</v>
      </c>
      <c r="AA400">
        <f t="shared" si="52"/>
        <v>469.779</v>
      </c>
      <c r="AB400">
        <f t="shared" si="53"/>
        <v>30.505545854846073</v>
      </c>
      <c r="AC400">
        <f t="shared" si="54"/>
        <v>8</v>
      </c>
      <c r="AD400">
        <f t="shared" si="55"/>
        <v>2025</v>
      </c>
      <c r="AE400" t="str">
        <f t="shared" si="56"/>
        <v>CLEAN</v>
      </c>
    </row>
    <row r="401" spans="1:31">
      <c r="A401" t="s">
        <v>320</v>
      </c>
      <c r="B401" s="2">
        <v>45763</v>
      </c>
      <c r="C401" s="2">
        <v>45770</v>
      </c>
      <c r="D401" s="5">
        <f>C401-B401</f>
        <v>7</v>
      </c>
      <c r="E401" s="5" t="str">
        <f>IF(D401&lt;0,"INVALID","OK")</f>
        <v>OK</v>
      </c>
      <c r="F401" t="s">
        <v>321</v>
      </c>
      <c r="G401" t="s">
        <v>35</v>
      </c>
      <c r="H401" t="s">
        <v>36</v>
      </c>
      <c r="I401" t="s">
        <v>62</v>
      </c>
      <c r="J401" t="s">
        <v>189</v>
      </c>
      <c r="K401" t="s">
        <v>190</v>
      </c>
      <c r="L401" t="s">
        <v>73</v>
      </c>
      <c r="M401" t="s">
        <v>273</v>
      </c>
      <c r="N401" t="s">
        <v>322</v>
      </c>
      <c r="O401" t="s">
        <v>58</v>
      </c>
      <c r="P401">
        <v>6</v>
      </c>
      <c r="Q401">
        <v>2027.32</v>
      </c>
      <c r="R401">
        <v>0.1</v>
      </c>
      <c r="S401" t="str">
        <f t="shared" si="57"/>
        <v>OK</v>
      </c>
      <c r="T401">
        <v>10947.53</v>
      </c>
      <c r="U401">
        <v>6447.36</v>
      </c>
      <c r="V401">
        <v>4500.17</v>
      </c>
      <c r="W401" t="s">
        <v>31</v>
      </c>
      <c r="X401" t="s">
        <v>32</v>
      </c>
      <c r="Y401">
        <f t="shared" si="50"/>
        <v>0.1</v>
      </c>
      <c r="Z401">
        <f t="shared" si="51"/>
        <v>10947.528</v>
      </c>
      <c r="AA401">
        <f t="shared" si="52"/>
        <v>4500.1680000000006</v>
      </c>
      <c r="AB401">
        <f t="shared" si="53"/>
        <v>41.106704636882412</v>
      </c>
      <c r="AC401">
        <f t="shared" si="54"/>
        <v>4</v>
      </c>
      <c r="AD401">
        <f t="shared" si="55"/>
        <v>2025</v>
      </c>
      <c r="AE401" t="str">
        <f t="shared" si="56"/>
        <v>CLEAN</v>
      </c>
    </row>
    <row r="402" spans="1:31">
      <c r="A402" t="s">
        <v>326</v>
      </c>
      <c r="B402" s="2">
        <v>45745</v>
      </c>
      <c r="C402" s="2">
        <v>45750</v>
      </c>
      <c r="D402" s="5">
        <f>C402-B402</f>
        <v>5</v>
      </c>
      <c r="E402" s="5" t="str">
        <f>IF(D402&lt;0,"INVALID","OK")</f>
        <v>OK</v>
      </c>
      <c r="F402" t="s">
        <v>327</v>
      </c>
      <c r="G402" t="s">
        <v>131</v>
      </c>
      <c r="H402" t="s">
        <v>89</v>
      </c>
      <c r="I402" t="s">
        <v>37</v>
      </c>
      <c r="J402" t="s">
        <v>98</v>
      </c>
      <c r="K402" t="s">
        <v>99</v>
      </c>
      <c r="L402" t="s">
        <v>40</v>
      </c>
      <c r="M402" t="s">
        <v>157</v>
      </c>
      <c r="N402" t="s">
        <v>328</v>
      </c>
      <c r="O402" t="s">
        <v>49</v>
      </c>
      <c r="P402">
        <v>5</v>
      </c>
      <c r="Q402">
        <v>1425.74</v>
      </c>
      <c r="R402">
        <v>0</v>
      </c>
      <c r="S402" t="str">
        <f t="shared" si="57"/>
        <v>OK</v>
      </c>
      <c r="T402">
        <v>7128.7</v>
      </c>
      <c r="U402">
        <v>4382.1499999999996</v>
      </c>
      <c r="V402">
        <v>2746.55</v>
      </c>
      <c r="W402" t="s">
        <v>31</v>
      </c>
      <c r="X402" t="s">
        <v>32</v>
      </c>
      <c r="Y402">
        <f t="shared" si="50"/>
        <v>0</v>
      </c>
      <c r="Z402">
        <f t="shared" si="51"/>
        <v>7128.7</v>
      </c>
      <c r="AA402">
        <f t="shared" si="52"/>
        <v>2746.55</v>
      </c>
      <c r="AB402">
        <f t="shared" si="53"/>
        <v>38.528062620113069</v>
      </c>
      <c r="AC402">
        <f t="shared" si="54"/>
        <v>3</v>
      </c>
      <c r="AD402">
        <f t="shared" si="55"/>
        <v>2025</v>
      </c>
      <c r="AE402" t="str">
        <f t="shared" si="56"/>
        <v>CLEAN</v>
      </c>
    </row>
    <row r="403" spans="1:31">
      <c r="A403" t="s">
        <v>329</v>
      </c>
      <c r="B403" s="2">
        <v>45715</v>
      </c>
      <c r="C403" s="2">
        <v>45717</v>
      </c>
      <c r="D403" s="5">
        <f>C403-B403</f>
        <v>2</v>
      </c>
      <c r="E403" s="5" t="str">
        <f>IF(D403&lt;0,"INVALID","OK")</f>
        <v>OK</v>
      </c>
      <c r="F403" t="s">
        <v>330</v>
      </c>
      <c r="G403" t="s">
        <v>70</v>
      </c>
      <c r="H403" t="s">
        <v>36</v>
      </c>
      <c r="I403" t="s">
        <v>37</v>
      </c>
      <c r="J403" t="s">
        <v>98</v>
      </c>
      <c r="K403" t="s">
        <v>99</v>
      </c>
      <c r="L403" t="s">
        <v>40</v>
      </c>
      <c r="M403" t="s">
        <v>65</v>
      </c>
      <c r="N403" t="s">
        <v>331</v>
      </c>
      <c r="O403" t="s">
        <v>58</v>
      </c>
      <c r="P403">
        <v>6</v>
      </c>
      <c r="Q403">
        <v>551.64</v>
      </c>
      <c r="R403">
        <v>0</v>
      </c>
      <c r="S403" t="str">
        <f t="shared" si="57"/>
        <v>OK</v>
      </c>
      <c r="T403">
        <v>3309.84</v>
      </c>
      <c r="U403">
        <v>2671.08</v>
      </c>
      <c r="V403">
        <v>638.76</v>
      </c>
      <c r="W403" t="s">
        <v>31</v>
      </c>
      <c r="X403" t="s">
        <v>32</v>
      </c>
      <c r="Y403">
        <f t="shared" si="50"/>
        <v>0</v>
      </c>
      <c r="Z403">
        <f t="shared" si="51"/>
        <v>3309.84</v>
      </c>
      <c r="AA403">
        <f t="shared" si="52"/>
        <v>638.76000000000022</v>
      </c>
      <c r="AB403">
        <f t="shared" si="53"/>
        <v>19.298818069755644</v>
      </c>
      <c r="AC403">
        <f t="shared" si="54"/>
        <v>2</v>
      </c>
      <c r="AD403">
        <f t="shared" si="55"/>
        <v>2025</v>
      </c>
      <c r="AE403" t="str">
        <f t="shared" si="56"/>
        <v>CLEAN</v>
      </c>
    </row>
    <row r="404" spans="1:31">
      <c r="A404" t="s">
        <v>332</v>
      </c>
      <c r="B404" s="2">
        <v>45891</v>
      </c>
      <c r="C404" s="2">
        <v>45896</v>
      </c>
      <c r="D404" s="5">
        <f>C404-B404</f>
        <v>5</v>
      </c>
      <c r="E404" s="5" t="str">
        <f>IF(D404&lt;0,"INVALID","OK")</f>
        <v>OK</v>
      </c>
      <c r="F404" t="s">
        <v>333</v>
      </c>
      <c r="G404" t="s">
        <v>113</v>
      </c>
      <c r="H404" t="s">
        <v>36</v>
      </c>
      <c r="I404" t="s">
        <v>37</v>
      </c>
      <c r="J404" t="s">
        <v>38</v>
      </c>
      <c r="K404" t="s">
        <v>39</v>
      </c>
      <c r="L404" t="s">
        <v>27</v>
      </c>
      <c r="M404" t="s">
        <v>90</v>
      </c>
      <c r="N404" t="s">
        <v>334</v>
      </c>
      <c r="O404" t="s">
        <v>49</v>
      </c>
      <c r="P404">
        <v>3</v>
      </c>
      <c r="Q404">
        <v>3294.82</v>
      </c>
      <c r="R404">
        <v>0.2</v>
      </c>
      <c r="S404" t="str">
        <f t="shared" si="57"/>
        <v>OK</v>
      </c>
      <c r="T404">
        <v>7907.57</v>
      </c>
      <c r="U404">
        <v>5391.18</v>
      </c>
      <c r="V404">
        <v>2516.39</v>
      </c>
      <c r="W404" t="s">
        <v>31</v>
      </c>
      <c r="X404" t="s">
        <v>32</v>
      </c>
      <c r="Y404">
        <f t="shared" si="50"/>
        <v>0.2</v>
      </c>
      <c r="Z404">
        <f t="shared" si="51"/>
        <v>7907.5680000000011</v>
      </c>
      <c r="AA404">
        <f t="shared" si="52"/>
        <v>2516.3880000000008</v>
      </c>
      <c r="AB404">
        <f t="shared" si="53"/>
        <v>31.822527482533197</v>
      </c>
      <c r="AC404">
        <f t="shared" si="54"/>
        <v>8</v>
      </c>
      <c r="AD404">
        <f t="shared" si="55"/>
        <v>2025</v>
      </c>
      <c r="AE404" t="str">
        <f t="shared" si="56"/>
        <v>CLEAN</v>
      </c>
    </row>
    <row r="405" spans="1:31">
      <c r="A405" t="s">
        <v>341</v>
      </c>
      <c r="B405" s="2">
        <v>45854</v>
      </c>
      <c r="C405" s="2">
        <v>45859</v>
      </c>
      <c r="D405" s="5">
        <f>C405-B405</f>
        <v>5</v>
      </c>
      <c r="E405" s="5" t="str">
        <f>IF(D405&lt;0,"INVALID","OK")</f>
        <v>OK</v>
      </c>
      <c r="F405" t="s">
        <v>342</v>
      </c>
      <c r="G405" t="s">
        <v>131</v>
      </c>
      <c r="H405" t="s">
        <v>89</v>
      </c>
      <c r="I405" t="s">
        <v>37</v>
      </c>
      <c r="J405" t="s">
        <v>98</v>
      </c>
      <c r="K405" t="s">
        <v>99</v>
      </c>
      <c r="L405" t="s">
        <v>40</v>
      </c>
      <c r="M405" t="s">
        <v>41</v>
      </c>
      <c r="N405" t="s">
        <v>343</v>
      </c>
      <c r="O405" t="s">
        <v>49</v>
      </c>
      <c r="P405">
        <v>5</v>
      </c>
      <c r="Q405">
        <v>2129.5100000000002</v>
      </c>
      <c r="R405">
        <v>0.15</v>
      </c>
      <c r="S405" t="str">
        <f t="shared" si="57"/>
        <v>OK</v>
      </c>
      <c r="T405">
        <v>9050.42</v>
      </c>
      <c r="U405">
        <v>6778.85</v>
      </c>
      <c r="V405">
        <v>2271.5700000000002</v>
      </c>
      <c r="W405" t="s">
        <v>31</v>
      </c>
      <c r="X405" t="s">
        <v>32</v>
      </c>
      <c r="Y405">
        <f t="shared" si="50"/>
        <v>0.15</v>
      </c>
      <c r="Z405">
        <f t="shared" si="51"/>
        <v>9050.4175000000014</v>
      </c>
      <c r="AA405">
        <f t="shared" si="52"/>
        <v>2271.567500000001</v>
      </c>
      <c r="AB405">
        <f t="shared" si="53"/>
        <v>25.099035486484471</v>
      </c>
      <c r="AC405">
        <f t="shared" si="54"/>
        <v>7</v>
      </c>
      <c r="AD405">
        <f t="shared" si="55"/>
        <v>2025</v>
      </c>
      <c r="AE405" t="str">
        <f t="shared" si="56"/>
        <v>CLEAN</v>
      </c>
    </row>
    <row r="406" spans="1:31">
      <c r="A406" t="s">
        <v>344</v>
      </c>
      <c r="B406" s="2">
        <v>45927</v>
      </c>
      <c r="C406" s="2">
        <v>45933</v>
      </c>
      <c r="D406" s="5">
        <f>C406-B406</f>
        <v>6</v>
      </c>
      <c r="E406" s="5" t="str">
        <f>IF(D406&lt;0,"INVALID","OK")</f>
        <v>OK</v>
      </c>
      <c r="F406" t="s">
        <v>345</v>
      </c>
      <c r="G406" t="s">
        <v>161</v>
      </c>
      <c r="H406" t="s">
        <v>94</v>
      </c>
      <c r="I406" t="s">
        <v>53</v>
      </c>
      <c r="J406" t="s">
        <v>246</v>
      </c>
      <c r="K406" t="s">
        <v>247</v>
      </c>
      <c r="L406" t="s">
        <v>40</v>
      </c>
      <c r="M406" t="s">
        <v>65</v>
      </c>
      <c r="N406" t="s">
        <v>346</v>
      </c>
      <c r="O406" t="s">
        <v>43</v>
      </c>
      <c r="P406">
        <v>9</v>
      </c>
      <c r="Q406">
        <v>4131.5200000000004</v>
      </c>
      <c r="R406">
        <v>0.1</v>
      </c>
      <c r="S406" t="str">
        <f t="shared" si="57"/>
        <v>OK</v>
      </c>
      <c r="T406">
        <v>33465.31</v>
      </c>
      <c r="U406">
        <v>24781.26</v>
      </c>
      <c r="V406">
        <v>8684.0499999999993</v>
      </c>
      <c r="W406" t="s">
        <v>31</v>
      </c>
      <c r="X406" t="s">
        <v>32</v>
      </c>
      <c r="Y406">
        <f t="shared" si="50"/>
        <v>0.1</v>
      </c>
      <c r="Z406">
        <f t="shared" si="51"/>
        <v>33465.312000000005</v>
      </c>
      <c r="AA406">
        <f t="shared" si="52"/>
        <v>8684.052000000007</v>
      </c>
      <c r="AB406">
        <f t="shared" si="53"/>
        <v>25.949412932411942</v>
      </c>
      <c r="AC406">
        <f t="shared" si="54"/>
        <v>9</v>
      </c>
      <c r="AD406">
        <f t="shared" si="55"/>
        <v>2025</v>
      </c>
      <c r="AE406" t="str">
        <f t="shared" si="56"/>
        <v>CLEAN</v>
      </c>
    </row>
    <row r="407" spans="1:31">
      <c r="A407" t="s">
        <v>352</v>
      </c>
      <c r="B407" s="2">
        <v>45732</v>
      </c>
      <c r="C407" s="2">
        <v>45733</v>
      </c>
      <c r="D407" s="5">
        <f>C407-B407</f>
        <v>1</v>
      </c>
      <c r="E407" s="5" t="str">
        <f>IF(D407&lt;0,"INVALID","OK")</f>
        <v>OK</v>
      </c>
      <c r="F407" t="s">
        <v>353</v>
      </c>
      <c r="G407" t="s">
        <v>22</v>
      </c>
      <c r="H407" t="s">
        <v>94</v>
      </c>
      <c r="I407" t="s">
        <v>62</v>
      </c>
      <c r="J407" t="s">
        <v>189</v>
      </c>
      <c r="K407" t="s">
        <v>190</v>
      </c>
      <c r="L407" t="s">
        <v>27</v>
      </c>
      <c r="M407" t="s">
        <v>90</v>
      </c>
      <c r="N407" t="s">
        <v>354</v>
      </c>
      <c r="O407" t="s">
        <v>43</v>
      </c>
      <c r="P407">
        <v>3</v>
      </c>
      <c r="Q407">
        <v>1841.91</v>
      </c>
      <c r="R407">
        <v>0</v>
      </c>
      <c r="S407" t="str">
        <f t="shared" si="57"/>
        <v>OK</v>
      </c>
      <c r="T407">
        <v>5525.73</v>
      </c>
      <c r="U407">
        <v>3093.42</v>
      </c>
      <c r="V407">
        <v>2432.31</v>
      </c>
      <c r="W407" t="s">
        <v>31</v>
      </c>
      <c r="X407" t="s">
        <v>32</v>
      </c>
      <c r="Y407">
        <f t="shared" si="50"/>
        <v>0</v>
      </c>
      <c r="Z407">
        <f t="shared" si="51"/>
        <v>5525.7300000000005</v>
      </c>
      <c r="AA407">
        <f t="shared" si="52"/>
        <v>2432.3100000000004</v>
      </c>
      <c r="AB407">
        <f t="shared" si="53"/>
        <v>44.017894468242211</v>
      </c>
      <c r="AC407">
        <f t="shared" si="54"/>
        <v>3</v>
      </c>
      <c r="AD407">
        <f t="shared" si="55"/>
        <v>2025</v>
      </c>
      <c r="AE407" t="str">
        <f t="shared" si="56"/>
        <v>CLEAN</v>
      </c>
    </row>
    <row r="408" spans="1:31">
      <c r="A408" t="s">
        <v>379</v>
      </c>
      <c r="B408" s="2">
        <v>45893</v>
      </c>
      <c r="C408" s="2">
        <v>45898</v>
      </c>
      <c r="D408" s="5">
        <f>C408-B408</f>
        <v>5</v>
      </c>
      <c r="E408" s="5" t="str">
        <f>IF(D408&lt;0,"INVALID","OK")</f>
        <v>OK</v>
      </c>
      <c r="F408" t="s">
        <v>380</v>
      </c>
      <c r="G408" t="s">
        <v>127</v>
      </c>
      <c r="H408" t="s">
        <v>36</v>
      </c>
      <c r="I408" t="s">
        <v>37</v>
      </c>
      <c r="J408" t="s">
        <v>144</v>
      </c>
      <c r="K408" t="s">
        <v>145</v>
      </c>
      <c r="L408" t="s">
        <v>73</v>
      </c>
      <c r="M408" t="s">
        <v>79</v>
      </c>
      <c r="N408" t="s">
        <v>381</v>
      </c>
      <c r="O408" t="s">
        <v>49</v>
      </c>
      <c r="P408">
        <v>3</v>
      </c>
      <c r="Q408">
        <v>3703.96</v>
      </c>
      <c r="R408">
        <v>0.15</v>
      </c>
      <c r="S408" t="str">
        <f t="shared" si="57"/>
        <v>OK</v>
      </c>
      <c r="T408">
        <v>9445.1</v>
      </c>
      <c r="U408">
        <v>5586.28</v>
      </c>
      <c r="V408">
        <v>3858.82</v>
      </c>
      <c r="W408" t="s">
        <v>31</v>
      </c>
      <c r="X408" t="s">
        <v>32</v>
      </c>
      <c r="Y408">
        <f t="shared" si="50"/>
        <v>0.15</v>
      </c>
      <c r="Z408">
        <f t="shared" si="51"/>
        <v>9445.098</v>
      </c>
      <c r="AA408">
        <f t="shared" si="52"/>
        <v>3858.8180000000002</v>
      </c>
      <c r="AB408">
        <f t="shared" si="53"/>
        <v>40.855245758170007</v>
      </c>
      <c r="AC408">
        <f t="shared" si="54"/>
        <v>8</v>
      </c>
      <c r="AD408">
        <f t="shared" si="55"/>
        <v>2025</v>
      </c>
      <c r="AE408" t="str">
        <f t="shared" si="56"/>
        <v>CLEAN</v>
      </c>
    </row>
    <row r="409" spans="1:31">
      <c r="A409" t="s">
        <v>379</v>
      </c>
      <c r="B409" s="2">
        <v>45893</v>
      </c>
      <c r="C409" s="2">
        <v>45898</v>
      </c>
      <c r="D409" s="5">
        <f>C409-B409</f>
        <v>5</v>
      </c>
      <c r="E409" s="5" t="str">
        <f>IF(D409&lt;0,"INVALID","OK")</f>
        <v>OK</v>
      </c>
      <c r="F409" t="s">
        <v>380</v>
      </c>
      <c r="G409" t="s">
        <v>127</v>
      </c>
      <c r="H409" t="s">
        <v>36</v>
      </c>
      <c r="I409" t="s">
        <v>37</v>
      </c>
      <c r="J409" t="s">
        <v>144</v>
      </c>
      <c r="K409" t="s">
        <v>145</v>
      </c>
      <c r="L409" t="s">
        <v>73</v>
      </c>
      <c r="M409" t="s">
        <v>79</v>
      </c>
      <c r="N409" t="s">
        <v>381</v>
      </c>
      <c r="O409" t="s">
        <v>49</v>
      </c>
      <c r="P409">
        <v>3</v>
      </c>
      <c r="Q409">
        <v>3703.96</v>
      </c>
      <c r="R409">
        <v>0.15</v>
      </c>
      <c r="S409" t="str">
        <f t="shared" si="57"/>
        <v>OK</v>
      </c>
      <c r="T409">
        <v>9549.44</v>
      </c>
      <c r="U409">
        <v>5586.28</v>
      </c>
      <c r="V409">
        <v>3858.82</v>
      </c>
      <c r="W409" t="s">
        <v>31</v>
      </c>
      <c r="X409" t="s">
        <v>102</v>
      </c>
      <c r="Y409">
        <f t="shared" si="50"/>
        <v>0.15</v>
      </c>
      <c r="Z409">
        <f t="shared" si="51"/>
        <v>9445.098</v>
      </c>
      <c r="AA409">
        <f t="shared" si="52"/>
        <v>3858.8180000000002</v>
      </c>
      <c r="AB409">
        <f t="shared" si="53"/>
        <v>40.855245758170007</v>
      </c>
      <c r="AC409">
        <f t="shared" si="54"/>
        <v>8</v>
      </c>
      <c r="AD409">
        <f t="shared" si="55"/>
        <v>2025</v>
      </c>
      <c r="AE409" t="str">
        <f t="shared" si="56"/>
        <v>CLEAN</v>
      </c>
    </row>
    <row r="410" spans="1:31">
      <c r="A410" t="s">
        <v>382</v>
      </c>
      <c r="B410" s="2">
        <v>45691</v>
      </c>
      <c r="C410" s="2">
        <v>45724</v>
      </c>
      <c r="D410" s="5">
        <f>C410-B410</f>
        <v>33</v>
      </c>
      <c r="E410" s="5" t="str">
        <f>IF(D410&lt;0,"INVALID","OK")</f>
        <v>OK</v>
      </c>
      <c r="F410" t="s">
        <v>383</v>
      </c>
      <c r="G410" t="s">
        <v>131</v>
      </c>
      <c r="H410" t="s">
        <v>89</v>
      </c>
      <c r="I410" t="s">
        <v>62</v>
      </c>
      <c r="J410" t="s">
        <v>71</v>
      </c>
      <c r="K410" t="s">
        <v>72</v>
      </c>
      <c r="L410" t="s">
        <v>73</v>
      </c>
      <c r="M410" t="s">
        <v>79</v>
      </c>
      <c r="N410" t="s">
        <v>384</v>
      </c>
      <c r="O410" t="s">
        <v>30</v>
      </c>
      <c r="P410">
        <v>9</v>
      </c>
      <c r="Q410">
        <v>269.68</v>
      </c>
      <c r="R410">
        <v>0</v>
      </c>
      <c r="S410" t="str">
        <f t="shared" si="57"/>
        <v>OK</v>
      </c>
      <c r="T410">
        <v>2427.12</v>
      </c>
      <c r="U410">
        <v>1538.35</v>
      </c>
      <c r="V410">
        <v>804.53</v>
      </c>
      <c r="W410" t="s">
        <v>31</v>
      </c>
      <c r="X410" t="s">
        <v>32</v>
      </c>
      <c r="Y410">
        <f t="shared" si="50"/>
        <v>0</v>
      </c>
      <c r="Z410">
        <f t="shared" si="51"/>
        <v>2427.12</v>
      </c>
      <c r="AA410">
        <f t="shared" si="52"/>
        <v>888.77</v>
      </c>
      <c r="AB410">
        <f t="shared" si="53"/>
        <v>36.618296581957217</v>
      </c>
      <c r="AC410">
        <f t="shared" si="54"/>
        <v>2</v>
      </c>
      <c r="AD410">
        <f t="shared" si="55"/>
        <v>2025</v>
      </c>
      <c r="AE410" t="str">
        <f t="shared" si="56"/>
        <v>CLEAN</v>
      </c>
    </row>
    <row r="411" spans="1:31">
      <c r="A411" t="s">
        <v>385</v>
      </c>
      <c r="B411" s="2">
        <v>45680</v>
      </c>
      <c r="C411" s="2">
        <v>45683</v>
      </c>
      <c r="D411" s="5">
        <f>C411-B411</f>
        <v>3</v>
      </c>
      <c r="E411" s="5" t="str">
        <f>IF(D411&lt;0,"INVALID","OK")</f>
        <v>OK</v>
      </c>
      <c r="F411" t="s">
        <v>386</v>
      </c>
      <c r="G411" t="s">
        <v>127</v>
      </c>
      <c r="H411" t="s">
        <v>23</v>
      </c>
      <c r="I411" t="s">
        <v>62</v>
      </c>
      <c r="J411" t="s">
        <v>71</v>
      </c>
      <c r="K411" t="s">
        <v>72</v>
      </c>
      <c r="L411" t="s">
        <v>27</v>
      </c>
      <c r="M411" t="s">
        <v>28</v>
      </c>
      <c r="N411" t="s">
        <v>387</v>
      </c>
      <c r="O411" t="s">
        <v>58</v>
      </c>
      <c r="P411">
        <v>9</v>
      </c>
      <c r="Q411">
        <v>4458.26</v>
      </c>
      <c r="R411">
        <v>0.1</v>
      </c>
      <c r="S411" t="str">
        <f t="shared" si="57"/>
        <v>OK</v>
      </c>
      <c r="T411">
        <v>36111.910000000003</v>
      </c>
      <c r="U411">
        <v>29194.5</v>
      </c>
      <c r="V411">
        <v>6917.41</v>
      </c>
      <c r="W411" t="s">
        <v>31</v>
      </c>
      <c r="X411" t="s">
        <v>32</v>
      </c>
      <c r="Y411">
        <f t="shared" si="50"/>
        <v>0.1</v>
      </c>
      <c r="Z411">
        <f t="shared" si="51"/>
        <v>36111.906000000003</v>
      </c>
      <c r="AA411">
        <f t="shared" si="52"/>
        <v>6917.4060000000027</v>
      </c>
      <c r="AB411">
        <f t="shared" si="53"/>
        <v>19.15547188232048</v>
      </c>
      <c r="AC411">
        <f t="shared" si="54"/>
        <v>1</v>
      </c>
      <c r="AD411">
        <f t="shared" si="55"/>
        <v>2025</v>
      </c>
      <c r="AE411" t="str">
        <f t="shared" si="56"/>
        <v>CLEAN</v>
      </c>
    </row>
    <row r="412" spans="1:31">
      <c r="A412" t="s">
        <v>394</v>
      </c>
      <c r="B412" s="2">
        <v>45786</v>
      </c>
      <c r="C412" s="2">
        <v>45910</v>
      </c>
      <c r="D412" s="5">
        <f>C412-B412</f>
        <v>124</v>
      </c>
      <c r="E412" s="5" t="str">
        <f>IF(D412&lt;0,"INVALID","OK")</f>
        <v>OK</v>
      </c>
      <c r="F412" t="s">
        <v>395</v>
      </c>
      <c r="G412" t="s">
        <v>131</v>
      </c>
      <c r="H412" t="s">
        <v>89</v>
      </c>
      <c r="I412" t="s">
        <v>62</v>
      </c>
      <c r="J412" t="s">
        <v>189</v>
      </c>
      <c r="K412" t="s">
        <v>190</v>
      </c>
      <c r="L412" t="s">
        <v>40</v>
      </c>
      <c r="M412" t="s">
        <v>157</v>
      </c>
      <c r="N412" t="s">
        <v>396</v>
      </c>
      <c r="O412" t="s">
        <v>43</v>
      </c>
      <c r="P412">
        <v>6</v>
      </c>
      <c r="Q412">
        <v>1754.13</v>
      </c>
      <c r="R412">
        <v>0</v>
      </c>
      <c r="S412" t="str">
        <f t="shared" si="57"/>
        <v>OK</v>
      </c>
      <c r="T412">
        <v>10524.78</v>
      </c>
      <c r="U412">
        <v>8841.0499999999993</v>
      </c>
      <c r="V412">
        <v>1683.73</v>
      </c>
      <c r="W412" t="s">
        <v>31</v>
      </c>
      <c r="X412" t="s">
        <v>32</v>
      </c>
      <c r="Y412">
        <f t="shared" si="50"/>
        <v>0</v>
      </c>
      <c r="Z412">
        <f t="shared" si="51"/>
        <v>10524.78</v>
      </c>
      <c r="AA412">
        <f t="shared" si="52"/>
        <v>1683.7300000000014</v>
      </c>
      <c r="AB412">
        <f t="shared" si="53"/>
        <v>15.997769074507984</v>
      </c>
      <c r="AC412">
        <f t="shared" si="54"/>
        <v>5</v>
      </c>
      <c r="AD412">
        <f t="shared" si="55"/>
        <v>2025</v>
      </c>
      <c r="AE412" t="str">
        <f t="shared" si="56"/>
        <v>CLEAN</v>
      </c>
    </row>
    <row r="413" spans="1:31">
      <c r="A413" t="s">
        <v>400</v>
      </c>
      <c r="B413" s="2">
        <v>45877</v>
      </c>
      <c r="C413" s="2">
        <v>45880</v>
      </c>
      <c r="D413" s="5">
        <f>C413-B413</f>
        <v>3</v>
      </c>
      <c r="E413" s="5" t="str">
        <f>IF(D413&lt;0,"INVALID","OK")</f>
        <v>OK</v>
      </c>
      <c r="F413" t="s">
        <v>401</v>
      </c>
      <c r="G413" t="s">
        <v>161</v>
      </c>
      <c r="H413" t="s">
        <v>36</v>
      </c>
      <c r="I413" t="s">
        <v>62</v>
      </c>
      <c r="J413" t="s">
        <v>179</v>
      </c>
      <c r="K413" t="s">
        <v>180</v>
      </c>
      <c r="L413" t="s">
        <v>27</v>
      </c>
      <c r="M413" t="s">
        <v>123</v>
      </c>
      <c r="N413" t="s">
        <v>402</v>
      </c>
      <c r="O413" t="s">
        <v>43</v>
      </c>
      <c r="P413">
        <v>5</v>
      </c>
      <c r="Q413">
        <v>3602.36</v>
      </c>
      <c r="R413">
        <v>0.2</v>
      </c>
      <c r="S413" t="str">
        <f t="shared" si="57"/>
        <v>OK</v>
      </c>
      <c r="T413">
        <v>14409.44</v>
      </c>
      <c r="U413">
        <v>8809.9699999999993</v>
      </c>
      <c r="V413">
        <v>5599.47</v>
      </c>
      <c r="W413" t="s">
        <v>110</v>
      </c>
      <c r="X413" t="s">
        <v>102</v>
      </c>
      <c r="Y413">
        <f t="shared" si="50"/>
        <v>0.2</v>
      </c>
      <c r="Z413">
        <f t="shared" si="51"/>
        <v>14409.44</v>
      </c>
      <c r="AA413">
        <f t="shared" si="52"/>
        <v>5599.4700000000012</v>
      </c>
      <c r="AB413">
        <f t="shared" si="53"/>
        <v>38.859733619071953</v>
      </c>
      <c r="AC413">
        <f t="shared" si="54"/>
        <v>8</v>
      </c>
      <c r="AD413">
        <f t="shared" si="55"/>
        <v>2025</v>
      </c>
      <c r="AE413" t="str">
        <f t="shared" si="56"/>
        <v>CLEAN</v>
      </c>
    </row>
    <row r="414" spans="1:31">
      <c r="A414" t="s">
        <v>406</v>
      </c>
      <c r="B414" s="2">
        <v>45962</v>
      </c>
      <c r="C414" s="2">
        <v>45962</v>
      </c>
      <c r="D414" s="5">
        <f>C414-B414</f>
        <v>0</v>
      </c>
      <c r="E414" s="5" t="str">
        <f>IF(D414&lt;0,"INVALID","OK")</f>
        <v>OK</v>
      </c>
      <c r="F414" t="s">
        <v>407</v>
      </c>
      <c r="G414" t="s">
        <v>88</v>
      </c>
      <c r="H414" t="s">
        <v>36</v>
      </c>
      <c r="I414" t="s">
        <v>62</v>
      </c>
      <c r="J414" t="s">
        <v>25</v>
      </c>
      <c r="K414" t="s">
        <v>108</v>
      </c>
      <c r="L414" t="s">
        <v>73</v>
      </c>
      <c r="M414" t="s">
        <v>74</v>
      </c>
      <c r="N414" t="s">
        <v>408</v>
      </c>
      <c r="O414" t="s">
        <v>43</v>
      </c>
      <c r="P414">
        <v>3</v>
      </c>
      <c r="Q414">
        <v>2165.29</v>
      </c>
      <c r="R414">
        <v>0</v>
      </c>
      <c r="S414" t="str">
        <f t="shared" si="57"/>
        <v>OK</v>
      </c>
      <c r="T414">
        <v>6495.87</v>
      </c>
      <c r="U414">
        <v>4700.8900000000003</v>
      </c>
      <c r="V414">
        <v>1794.98</v>
      </c>
      <c r="W414" t="s">
        <v>31</v>
      </c>
      <c r="X414" t="s">
        <v>32</v>
      </c>
      <c r="Y414">
        <f t="shared" si="50"/>
        <v>0</v>
      </c>
      <c r="Z414">
        <f t="shared" si="51"/>
        <v>6495.87</v>
      </c>
      <c r="AA414">
        <f t="shared" si="52"/>
        <v>1794.9799999999996</v>
      </c>
      <c r="AB414">
        <f t="shared" si="53"/>
        <v>27.632634273777022</v>
      </c>
      <c r="AC414">
        <f t="shared" si="54"/>
        <v>11</v>
      </c>
      <c r="AD414">
        <f t="shared" si="55"/>
        <v>2025</v>
      </c>
      <c r="AE414" t="str">
        <f t="shared" si="56"/>
        <v>CLEAN</v>
      </c>
    </row>
    <row r="415" spans="1:31">
      <c r="A415" t="s">
        <v>409</v>
      </c>
      <c r="B415" s="2">
        <v>45912</v>
      </c>
      <c r="C415" s="2">
        <v>45918</v>
      </c>
      <c r="D415" s="5">
        <f>C415-B415</f>
        <v>6</v>
      </c>
      <c r="E415" s="5" t="str">
        <f>IF(D415&lt;0,"INVALID","OK")</f>
        <v>OK</v>
      </c>
      <c r="F415" t="s">
        <v>410</v>
      </c>
      <c r="G415" t="s">
        <v>127</v>
      </c>
      <c r="H415" t="s">
        <v>94</v>
      </c>
      <c r="I415" t="s">
        <v>53</v>
      </c>
      <c r="J415" t="s">
        <v>184</v>
      </c>
      <c r="K415" t="s">
        <v>185</v>
      </c>
      <c r="L415" t="s">
        <v>27</v>
      </c>
      <c r="M415" t="s">
        <v>123</v>
      </c>
      <c r="N415" t="s">
        <v>411</v>
      </c>
      <c r="O415" t="s">
        <v>58</v>
      </c>
      <c r="P415">
        <v>6</v>
      </c>
      <c r="Q415">
        <v>1673.8</v>
      </c>
      <c r="R415">
        <v>0.05</v>
      </c>
      <c r="S415" t="str">
        <f t="shared" si="57"/>
        <v>OK</v>
      </c>
      <c r="T415">
        <v>9540.66</v>
      </c>
      <c r="U415">
        <v>5561.49</v>
      </c>
      <c r="V415">
        <v>3979.17</v>
      </c>
      <c r="W415" t="s">
        <v>31</v>
      </c>
      <c r="X415" t="s">
        <v>32</v>
      </c>
      <c r="Y415">
        <f t="shared" si="50"/>
        <v>0.05</v>
      </c>
      <c r="Z415">
        <f t="shared" si="51"/>
        <v>9540.659999999998</v>
      </c>
      <c r="AA415">
        <f t="shared" si="52"/>
        <v>3979.1699999999983</v>
      </c>
      <c r="AB415">
        <f t="shared" si="53"/>
        <v>41.707491934520242</v>
      </c>
      <c r="AC415">
        <f t="shared" si="54"/>
        <v>9</v>
      </c>
      <c r="AD415">
        <f t="shared" si="55"/>
        <v>2025</v>
      </c>
      <c r="AE415" t="str">
        <f t="shared" si="56"/>
        <v>CLEAN</v>
      </c>
    </row>
    <row r="416" spans="1:31">
      <c r="A416" t="s">
        <v>418</v>
      </c>
      <c r="B416" s="2">
        <v>45779</v>
      </c>
      <c r="C416" s="2">
        <v>45787</v>
      </c>
      <c r="D416" s="5">
        <f>C416-B416</f>
        <v>8</v>
      </c>
      <c r="E416" s="5" t="str">
        <f>IF(D416&lt;0,"INVALID","OK")</f>
        <v>OK</v>
      </c>
      <c r="F416" t="s">
        <v>419</v>
      </c>
      <c r="G416" t="s">
        <v>263</v>
      </c>
      <c r="H416" t="s">
        <v>89</v>
      </c>
      <c r="I416" t="s">
        <v>62</v>
      </c>
      <c r="J416" t="s">
        <v>63</v>
      </c>
      <c r="K416" t="s">
        <v>64</v>
      </c>
      <c r="L416" t="s">
        <v>40</v>
      </c>
      <c r="M416" t="s">
        <v>41</v>
      </c>
      <c r="N416" t="s">
        <v>420</v>
      </c>
      <c r="O416" t="s">
        <v>49</v>
      </c>
      <c r="P416">
        <v>4</v>
      </c>
      <c r="Q416">
        <v>2440.34</v>
      </c>
      <c r="R416">
        <v>0.2</v>
      </c>
      <c r="S416" t="str">
        <f t="shared" si="57"/>
        <v>OK</v>
      </c>
      <c r="T416">
        <v>7809.09</v>
      </c>
      <c r="U416">
        <v>6657.75</v>
      </c>
      <c r="V416">
        <v>1151.3399999999999</v>
      </c>
      <c r="W416" t="s">
        <v>31</v>
      </c>
      <c r="X416" t="s">
        <v>32</v>
      </c>
      <c r="Y416">
        <f t="shared" si="50"/>
        <v>0.2</v>
      </c>
      <c r="Z416">
        <f t="shared" si="51"/>
        <v>7809.0880000000006</v>
      </c>
      <c r="AA416">
        <f t="shared" si="52"/>
        <v>1151.3380000000006</v>
      </c>
      <c r="AB416">
        <f t="shared" si="53"/>
        <v>14.743565445798543</v>
      </c>
      <c r="AC416">
        <f t="shared" si="54"/>
        <v>5</v>
      </c>
      <c r="AD416">
        <f t="shared" si="55"/>
        <v>2025</v>
      </c>
      <c r="AE416" t="str">
        <f t="shared" si="56"/>
        <v>CLEAN</v>
      </c>
    </row>
    <row r="417" spans="1:31">
      <c r="A417" t="s">
        <v>436</v>
      </c>
      <c r="B417" s="2">
        <v>45892</v>
      </c>
      <c r="C417" s="2">
        <v>45896</v>
      </c>
      <c r="D417" s="5">
        <f>C417-B417</f>
        <v>4</v>
      </c>
      <c r="E417" s="5" t="str">
        <f>IF(D417&lt;0,"INVALID","OK")</f>
        <v>OK</v>
      </c>
      <c r="F417" t="s">
        <v>437</v>
      </c>
      <c r="G417" t="s">
        <v>131</v>
      </c>
      <c r="H417" t="s">
        <v>23</v>
      </c>
      <c r="I417" t="s">
        <v>24</v>
      </c>
      <c r="J417" t="s">
        <v>349</v>
      </c>
      <c r="K417" t="s">
        <v>350</v>
      </c>
      <c r="L417" t="s">
        <v>27</v>
      </c>
      <c r="M417" t="s">
        <v>152</v>
      </c>
      <c r="N417" t="s">
        <v>438</v>
      </c>
      <c r="O417" t="s">
        <v>30</v>
      </c>
      <c r="P417">
        <v>1</v>
      </c>
      <c r="Q417">
        <v>2788.62</v>
      </c>
      <c r="R417">
        <v>0.25</v>
      </c>
      <c r="S417" t="str">
        <f t="shared" si="57"/>
        <v>OK</v>
      </c>
      <c r="T417">
        <v>2091.4699999999998</v>
      </c>
      <c r="U417">
        <v>1317.22</v>
      </c>
      <c r="V417">
        <v>774.25</v>
      </c>
      <c r="W417" t="s">
        <v>31</v>
      </c>
      <c r="X417" t="s">
        <v>32</v>
      </c>
      <c r="Y417">
        <f t="shared" si="50"/>
        <v>0.25</v>
      </c>
      <c r="Z417">
        <f t="shared" si="51"/>
        <v>2091.4650000000001</v>
      </c>
      <c r="AA417">
        <f t="shared" si="52"/>
        <v>774.24500000000012</v>
      </c>
      <c r="AB417">
        <f t="shared" si="53"/>
        <v>37.019266399389906</v>
      </c>
      <c r="AC417">
        <f t="shared" si="54"/>
        <v>8</v>
      </c>
      <c r="AD417">
        <f t="shared" si="55"/>
        <v>2025</v>
      </c>
      <c r="AE417" t="str">
        <f t="shared" si="56"/>
        <v>CLEAN</v>
      </c>
    </row>
    <row r="418" spans="1:31">
      <c r="A418" t="s">
        <v>487</v>
      </c>
      <c r="B418" s="2">
        <v>45924</v>
      </c>
      <c r="C418" s="2">
        <v>45926</v>
      </c>
      <c r="D418" s="5">
        <f>C418-B418</f>
        <v>2</v>
      </c>
      <c r="E418" s="5" t="str">
        <f>IF(D418&lt;0,"INVALID","OK")</f>
        <v>OK</v>
      </c>
      <c r="F418" t="s">
        <v>488</v>
      </c>
      <c r="G418" t="s">
        <v>113</v>
      </c>
      <c r="H418" t="s">
        <v>89</v>
      </c>
      <c r="I418" t="s">
        <v>24</v>
      </c>
      <c r="J418" t="s">
        <v>349</v>
      </c>
      <c r="K418" t="s">
        <v>350</v>
      </c>
      <c r="L418" t="s">
        <v>73</v>
      </c>
      <c r="M418" t="s">
        <v>79</v>
      </c>
      <c r="N418" t="s">
        <v>489</v>
      </c>
      <c r="O418" t="s">
        <v>58</v>
      </c>
      <c r="P418">
        <v>3</v>
      </c>
      <c r="Q418">
        <v>1593.86</v>
      </c>
      <c r="R418">
        <v>0.1</v>
      </c>
      <c r="S418" t="str">
        <f t="shared" si="57"/>
        <v>OK</v>
      </c>
      <c r="T418">
        <v>4303.42</v>
      </c>
      <c r="U418">
        <v>2568.5700000000002</v>
      </c>
      <c r="V418">
        <v>1734.85</v>
      </c>
      <c r="W418" t="s">
        <v>31</v>
      </c>
      <c r="X418" t="s">
        <v>32</v>
      </c>
      <c r="Y418">
        <f t="shared" si="50"/>
        <v>0.1</v>
      </c>
      <c r="Z418">
        <f t="shared" si="51"/>
        <v>4303.4220000000005</v>
      </c>
      <c r="AA418">
        <f t="shared" si="52"/>
        <v>1734.8520000000003</v>
      </c>
      <c r="AB418">
        <f t="shared" si="53"/>
        <v>40.313313451481179</v>
      </c>
      <c r="AC418">
        <f t="shared" si="54"/>
        <v>9</v>
      </c>
      <c r="AD418">
        <f t="shared" si="55"/>
        <v>2025</v>
      </c>
      <c r="AE418" t="str">
        <f t="shared" si="56"/>
        <v>CLEAN</v>
      </c>
    </row>
    <row r="419" spans="1:31">
      <c r="A419" t="s">
        <v>490</v>
      </c>
      <c r="B419" s="2">
        <v>45687</v>
      </c>
      <c r="C419" s="2">
        <v>45683</v>
      </c>
      <c r="D419" s="5">
        <f>C419-B419</f>
        <v>-4</v>
      </c>
      <c r="E419" s="5" t="str">
        <f>IF(D419&lt;0,"INVALID","OK")</f>
        <v>INVALID</v>
      </c>
      <c r="F419" t="s">
        <v>491</v>
      </c>
      <c r="G419" t="s">
        <v>113</v>
      </c>
      <c r="H419" t="s">
        <v>89</v>
      </c>
      <c r="I419" t="s">
        <v>62</v>
      </c>
      <c r="J419" t="s">
        <v>71</v>
      </c>
      <c r="K419" t="s">
        <v>72</v>
      </c>
      <c r="L419" t="s">
        <v>27</v>
      </c>
      <c r="M419" t="s">
        <v>123</v>
      </c>
      <c r="N419" t="s">
        <v>492</v>
      </c>
      <c r="O419" t="s">
        <v>30</v>
      </c>
      <c r="P419">
        <v>2</v>
      </c>
      <c r="Q419">
        <v>3039.3</v>
      </c>
      <c r="R419">
        <v>0.05</v>
      </c>
      <c r="S419" t="str">
        <f t="shared" si="57"/>
        <v>OK</v>
      </c>
      <c r="T419">
        <v>5774.67</v>
      </c>
      <c r="U419">
        <v>3518.36</v>
      </c>
      <c r="V419">
        <v>2256.31</v>
      </c>
      <c r="W419" t="s">
        <v>31</v>
      </c>
      <c r="X419" t="s">
        <v>32</v>
      </c>
      <c r="Y419">
        <f t="shared" si="50"/>
        <v>0.05</v>
      </c>
      <c r="Z419">
        <f t="shared" si="51"/>
        <v>5774.67</v>
      </c>
      <c r="AA419">
        <f t="shared" si="52"/>
        <v>2256.31</v>
      </c>
      <c r="AB419">
        <f t="shared" si="53"/>
        <v>39.072535746631409</v>
      </c>
      <c r="AC419">
        <f t="shared" si="54"/>
        <v>1</v>
      </c>
      <c r="AD419">
        <f t="shared" si="55"/>
        <v>2025</v>
      </c>
      <c r="AE419" t="str">
        <f t="shared" si="56"/>
        <v>INVALID</v>
      </c>
    </row>
    <row r="420" spans="1:31">
      <c r="A420" t="s">
        <v>502</v>
      </c>
      <c r="B420" s="2">
        <v>45929</v>
      </c>
      <c r="C420" s="2">
        <v>45934</v>
      </c>
      <c r="D420" s="5">
        <f>C420-B420</f>
        <v>5</v>
      </c>
      <c r="E420" s="5" t="str">
        <f>IF(D420&lt;0,"INVALID","OK")</f>
        <v>OK</v>
      </c>
      <c r="F420" t="s">
        <v>503</v>
      </c>
      <c r="G420" t="s">
        <v>61</v>
      </c>
      <c r="H420" t="s">
        <v>94</v>
      </c>
      <c r="I420" t="s">
        <v>37</v>
      </c>
      <c r="J420" t="s">
        <v>227</v>
      </c>
      <c r="K420" t="s">
        <v>228</v>
      </c>
      <c r="L420" t="s">
        <v>27</v>
      </c>
      <c r="M420" t="s">
        <v>28</v>
      </c>
      <c r="N420" t="s">
        <v>504</v>
      </c>
      <c r="O420" t="s">
        <v>43</v>
      </c>
      <c r="P420">
        <v>9</v>
      </c>
      <c r="Q420">
        <v>373.91</v>
      </c>
      <c r="R420">
        <v>0.2</v>
      </c>
      <c r="S420" t="str">
        <f t="shared" si="57"/>
        <v>OK</v>
      </c>
      <c r="T420">
        <v>2692.15</v>
      </c>
      <c r="U420">
        <v>2044.49</v>
      </c>
      <c r="V420">
        <v>647.66</v>
      </c>
      <c r="W420" t="s">
        <v>31</v>
      </c>
      <c r="X420" t="s">
        <v>32</v>
      </c>
      <c r="Y420">
        <f t="shared" si="50"/>
        <v>0.2</v>
      </c>
      <c r="Z420">
        <f t="shared" si="51"/>
        <v>2692.152</v>
      </c>
      <c r="AA420">
        <f t="shared" si="52"/>
        <v>647.66200000000003</v>
      </c>
      <c r="AB420">
        <f t="shared" si="53"/>
        <v>24.057408348414207</v>
      </c>
      <c r="AC420">
        <f t="shared" si="54"/>
        <v>9</v>
      </c>
      <c r="AD420">
        <f t="shared" si="55"/>
        <v>2025</v>
      </c>
      <c r="AE420" t="str">
        <f t="shared" si="56"/>
        <v>CLEAN</v>
      </c>
    </row>
    <row r="421" spans="1:31">
      <c r="A421" t="s">
        <v>514</v>
      </c>
      <c r="B421" s="2">
        <v>45893</v>
      </c>
      <c r="C421" s="2">
        <v>45893</v>
      </c>
      <c r="D421" s="5">
        <f>C421-B421</f>
        <v>0</v>
      </c>
      <c r="E421" s="5" t="str">
        <f>IF(D421&lt;0,"INVALID","OK")</f>
        <v>OK</v>
      </c>
      <c r="F421" t="s">
        <v>515</v>
      </c>
      <c r="G421" t="s">
        <v>161</v>
      </c>
      <c r="H421" t="s">
        <v>36</v>
      </c>
      <c r="I421" t="s">
        <v>53</v>
      </c>
      <c r="J421" t="s">
        <v>184</v>
      </c>
      <c r="K421" t="s">
        <v>185</v>
      </c>
      <c r="L421" t="s">
        <v>40</v>
      </c>
      <c r="M421" t="s">
        <v>157</v>
      </c>
      <c r="N421" t="s">
        <v>516</v>
      </c>
      <c r="O421" t="s">
        <v>58</v>
      </c>
      <c r="P421">
        <v>1</v>
      </c>
      <c r="Q421">
        <v>3424.78</v>
      </c>
      <c r="R421">
        <v>0</v>
      </c>
      <c r="S421" t="str">
        <f t="shared" si="57"/>
        <v>OK</v>
      </c>
      <c r="T421">
        <v>3424.78</v>
      </c>
      <c r="U421">
        <v>1951.45</v>
      </c>
      <c r="V421">
        <v>1473.33</v>
      </c>
      <c r="W421" t="s">
        <v>31</v>
      </c>
      <c r="X421" t="s">
        <v>32</v>
      </c>
      <c r="Y421">
        <f t="shared" si="50"/>
        <v>0</v>
      </c>
      <c r="Z421">
        <f t="shared" si="51"/>
        <v>3424.78</v>
      </c>
      <c r="AA421">
        <f t="shared" si="52"/>
        <v>1473.3300000000002</v>
      </c>
      <c r="AB421">
        <f t="shared" si="53"/>
        <v>43.019697615613268</v>
      </c>
      <c r="AC421">
        <f t="shared" si="54"/>
        <v>8</v>
      </c>
      <c r="AD421">
        <f t="shared" si="55"/>
        <v>2025</v>
      </c>
      <c r="AE421" t="str">
        <f t="shared" si="56"/>
        <v>CLEAN</v>
      </c>
    </row>
    <row r="422" spans="1:31">
      <c r="A422" t="s">
        <v>517</v>
      </c>
      <c r="B422" s="2">
        <v>45902</v>
      </c>
      <c r="C422" s="2">
        <v>45703</v>
      </c>
      <c r="D422" s="5">
        <f>C422-B422</f>
        <v>-199</v>
      </c>
      <c r="E422" s="5" t="str">
        <f>IF(D422&lt;0,"INVALID","OK")</f>
        <v>INVALID</v>
      </c>
      <c r="F422" t="s">
        <v>518</v>
      </c>
      <c r="G422" t="s">
        <v>35</v>
      </c>
      <c r="H422" t="s">
        <v>94</v>
      </c>
      <c r="I422" t="s">
        <v>37</v>
      </c>
      <c r="J422" t="s">
        <v>227</v>
      </c>
      <c r="K422" t="s">
        <v>228</v>
      </c>
      <c r="L422" t="s">
        <v>27</v>
      </c>
      <c r="M422" t="s">
        <v>152</v>
      </c>
      <c r="N422" t="s">
        <v>519</v>
      </c>
      <c r="O422" t="s">
        <v>58</v>
      </c>
      <c r="P422">
        <v>9</v>
      </c>
      <c r="Q422">
        <v>4330.33</v>
      </c>
      <c r="R422">
        <v>0.2</v>
      </c>
      <c r="S422" t="str">
        <f t="shared" si="57"/>
        <v>OK</v>
      </c>
      <c r="T422">
        <v>31178.38</v>
      </c>
      <c r="U422">
        <v>21421.09</v>
      </c>
      <c r="V422">
        <v>9757.2900000000009</v>
      </c>
      <c r="W422" t="s">
        <v>31</v>
      </c>
      <c r="X422" t="s">
        <v>32</v>
      </c>
      <c r="Y422">
        <f t="shared" si="50"/>
        <v>0.2</v>
      </c>
      <c r="Z422">
        <f t="shared" si="51"/>
        <v>31178.376000000004</v>
      </c>
      <c r="AA422">
        <f t="shared" si="52"/>
        <v>9757.2860000000037</v>
      </c>
      <c r="AB422">
        <f t="shared" si="53"/>
        <v>31.29504243582155</v>
      </c>
      <c r="AC422">
        <f t="shared" si="54"/>
        <v>9</v>
      </c>
      <c r="AD422">
        <f t="shared" si="55"/>
        <v>2025</v>
      </c>
      <c r="AE422" t="str">
        <f t="shared" si="56"/>
        <v>INVALID</v>
      </c>
    </row>
    <row r="423" spans="1:31">
      <c r="A423" t="s">
        <v>520</v>
      </c>
      <c r="B423" s="2">
        <v>45666</v>
      </c>
      <c r="C423" s="2">
        <v>45666</v>
      </c>
      <c r="D423" s="5">
        <f>C423-B423</f>
        <v>0</v>
      </c>
      <c r="E423" s="5" t="str">
        <f>IF(D423&lt;0,"INVALID","OK")</f>
        <v>OK</v>
      </c>
      <c r="F423" t="s">
        <v>521</v>
      </c>
      <c r="G423" t="s">
        <v>131</v>
      </c>
      <c r="H423" t="s">
        <v>36</v>
      </c>
      <c r="I423" t="s">
        <v>24</v>
      </c>
      <c r="J423" t="s">
        <v>25</v>
      </c>
      <c r="K423" t="s">
        <v>26</v>
      </c>
      <c r="L423" t="s">
        <v>40</v>
      </c>
      <c r="M423" t="s">
        <v>65</v>
      </c>
      <c r="N423" t="s">
        <v>522</v>
      </c>
      <c r="O423" t="s">
        <v>43</v>
      </c>
      <c r="P423">
        <v>8</v>
      </c>
      <c r="Q423">
        <v>2667.07</v>
      </c>
      <c r="R423">
        <v>0.1</v>
      </c>
      <c r="S423" t="str">
        <f t="shared" si="57"/>
        <v>OK</v>
      </c>
      <c r="T423">
        <v>19202.900000000001</v>
      </c>
      <c r="U423">
        <v>15526.62</v>
      </c>
      <c r="V423">
        <v>3676.28</v>
      </c>
      <c r="W423" t="s">
        <v>31</v>
      </c>
      <c r="X423" t="s">
        <v>32</v>
      </c>
      <c r="Y423">
        <f t="shared" si="50"/>
        <v>0.1</v>
      </c>
      <c r="Z423">
        <f t="shared" si="51"/>
        <v>19202.904000000002</v>
      </c>
      <c r="AA423">
        <f t="shared" si="52"/>
        <v>3676.2840000000015</v>
      </c>
      <c r="AB423">
        <f t="shared" si="53"/>
        <v>19.14441690694283</v>
      </c>
      <c r="AC423">
        <f t="shared" si="54"/>
        <v>1</v>
      </c>
      <c r="AD423">
        <f t="shared" si="55"/>
        <v>2025</v>
      </c>
      <c r="AE423" t="str">
        <f t="shared" si="56"/>
        <v>CLEAN</v>
      </c>
    </row>
    <row r="424" spans="1:31">
      <c r="A424" t="s">
        <v>526</v>
      </c>
      <c r="B424" s="2">
        <v>45718</v>
      </c>
      <c r="C424" s="2">
        <v>45841</v>
      </c>
      <c r="D424" s="5">
        <f>C424-B424</f>
        <v>123</v>
      </c>
      <c r="E424" s="5" t="str">
        <f>IF(D424&lt;0,"INVALID","OK")</f>
        <v>OK</v>
      </c>
      <c r="F424" t="s">
        <v>527</v>
      </c>
      <c r="G424" t="s">
        <v>78</v>
      </c>
      <c r="H424" t="s">
        <v>94</v>
      </c>
      <c r="I424" t="s">
        <v>53</v>
      </c>
      <c r="J424" t="s">
        <v>174</v>
      </c>
      <c r="K424" t="s">
        <v>175</v>
      </c>
      <c r="L424" t="s">
        <v>27</v>
      </c>
      <c r="M424" t="s">
        <v>90</v>
      </c>
      <c r="N424" t="s">
        <v>528</v>
      </c>
      <c r="O424" t="s">
        <v>58</v>
      </c>
      <c r="P424">
        <v>8</v>
      </c>
      <c r="Q424">
        <v>1287.6300000000001</v>
      </c>
      <c r="R424">
        <v>0</v>
      </c>
      <c r="S424" t="str">
        <f t="shared" si="57"/>
        <v>OK</v>
      </c>
      <c r="T424">
        <v>10301.040000000001</v>
      </c>
      <c r="U424">
        <v>6564.06</v>
      </c>
      <c r="V424">
        <v>3736.98</v>
      </c>
      <c r="W424" t="s">
        <v>31</v>
      </c>
      <c r="X424" t="s">
        <v>32</v>
      </c>
      <c r="Y424">
        <f t="shared" si="50"/>
        <v>0</v>
      </c>
      <c r="Z424">
        <f t="shared" si="51"/>
        <v>10301.040000000001</v>
      </c>
      <c r="AA424">
        <f t="shared" si="52"/>
        <v>3736.9800000000005</v>
      </c>
      <c r="AB424">
        <f t="shared" si="53"/>
        <v>36.277696232613408</v>
      </c>
      <c r="AC424">
        <f t="shared" si="54"/>
        <v>3</v>
      </c>
      <c r="AD424">
        <f t="shared" si="55"/>
        <v>2025</v>
      </c>
      <c r="AE424" t="str">
        <f t="shared" si="56"/>
        <v>CLEAN</v>
      </c>
    </row>
    <row r="425" spans="1:31">
      <c r="A425" t="s">
        <v>544</v>
      </c>
      <c r="B425" s="2">
        <v>45965</v>
      </c>
      <c r="C425" s="2">
        <v>45760</v>
      </c>
      <c r="D425" s="5">
        <f>C425-B425</f>
        <v>-205</v>
      </c>
      <c r="E425" s="5" t="str">
        <f>IF(D425&lt;0,"INVALID","OK")</f>
        <v>INVALID</v>
      </c>
      <c r="F425" t="s">
        <v>545</v>
      </c>
      <c r="G425" t="s">
        <v>35</v>
      </c>
      <c r="H425" t="s">
        <v>36</v>
      </c>
      <c r="I425" t="s">
        <v>62</v>
      </c>
      <c r="J425" t="s">
        <v>189</v>
      </c>
      <c r="K425" t="s">
        <v>190</v>
      </c>
      <c r="L425" t="s">
        <v>27</v>
      </c>
      <c r="M425" t="s">
        <v>28</v>
      </c>
      <c r="N425" t="s">
        <v>546</v>
      </c>
      <c r="O425" t="s">
        <v>58</v>
      </c>
      <c r="P425">
        <v>4</v>
      </c>
      <c r="Q425">
        <v>4182.1499999999996</v>
      </c>
      <c r="R425">
        <v>0.1</v>
      </c>
      <c r="S425" t="str">
        <f t="shared" si="57"/>
        <v>OK</v>
      </c>
      <c r="T425">
        <v>15055.74</v>
      </c>
      <c r="U425">
        <v>9808.83</v>
      </c>
      <c r="V425">
        <v>5246.91</v>
      </c>
      <c r="W425" t="s">
        <v>31</v>
      </c>
      <c r="X425" t="s">
        <v>32</v>
      </c>
      <c r="Y425">
        <f t="shared" si="50"/>
        <v>0.1</v>
      </c>
      <c r="Z425">
        <f t="shared" si="51"/>
        <v>15055.74</v>
      </c>
      <c r="AA425">
        <f t="shared" si="52"/>
        <v>5246.91</v>
      </c>
      <c r="AB425">
        <f t="shared" si="53"/>
        <v>34.849897779850075</v>
      </c>
      <c r="AC425">
        <f t="shared" si="54"/>
        <v>11</v>
      </c>
      <c r="AD425">
        <f t="shared" si="55"/>
        <v>2025</v>
      </c>
      <c r="AE425" t="str">
        <f t="shared" si="56"/>
        <v>INVALID</v>
      </c>
    </row>
    <row r="426" spans="1:31">
      <c r="A426" t="s">
        <v>547</v>
      </c>
      <c r="B426" s="2">
        <v>45868</v>
      </c>
      <c r="C426" s="2">
        <v>45870</v>
      </c>
      <c r="D426" s="5">
        <f>C426-B426</f>
        <v>2</v>
      </c>
      <c r="E426" s="5" t="str">
        <f>IF(D426&lt;0,"INVALID","OK")</f>
        <v>OK</v>
      </c>
      <c r="F426" t="s">
        <v>548</v>
      </c>
      <c r="G426" t="s">
        <v>131</v>
      </c>
      <c r="H426" t="s">
        <v>36</v>
      </c>
      <c r="I426" t="s">
        <v>53</v>
      </c>
      <c r="J426" t="s">
        <v>246</v>
      </c>
      <c r="K426" t="s">
        <v>247</v>
      </c>
      <c r="L426" t="s">
        <v>27</v>
      </c>
      <c r="M426" t="s">
        <v>123</v>
      </c>
      <c r="N426" t="s">
        <v>549</v>
      </c>
      <c r="O426" t="s">
        <v>43</v>
      </c>
      <c r="P426">
        <v>9</v>
      </c>
      <c r="Q426">
        <v>3165.43</v>
      </c>
      <c r="R426">
        <v>0.1</v>
      </c>
      <c r="S426" t="str">
        <f t="shared" si="57"/>
        <v>OK</v>
      </c>
      <c r="T426">
        <v>25639.98</v>
      </c>
      <c r="U426">
        <v>21635.08</v>
      </c>
      <c r="V426">
        <v>4004.9</v>
      </c>
      <c r="W426" t="s">
        <v>31</v>
      </c>
      <c r="X426" t="s">
        <v>32</v>
      </c>
      <c r="Y426">
        <f t="shared" si="50"/>
        <v>0.1</v>
      </c>
      <c r="Z426">
        <f t="shared" si="51"/>
        <v>25639.983</v>
      </c>
      <c r="AA426">
        <f t="shared" si="52"/>
        <v>4004.9029999999984</v>
      </c>
      <c r="AB426">
        <f t="shared" si="53"/>
        <v>15.619756846172631</v>
      </c>
      <c r="AC426">
        <f t="shared" si="54"/>
        <v>7</v>
      </c>
      <c r="AD426">
        <f t="shared" si="55"/>
        <v>2025</v>
      </c>
      <c r="AE426" t="str">
        <f t="shared" si="56"/>
        <v>CLEAN</v>
      </c>
    </row>
    <row r="427" spans="1:31">
      <c r="A427" t="s">
        <v>553</v>
      </c>
      <c r="B427" s="2">
        <v>45697</v>
      </c>
      <c r="C427" s="2">
        <v>45701</v>
      </c>
      <c r="D427" s="5">
        <f>C427-B427</f>
        <v>4</v>
      </c>
      <c r="E427" s="5" t="str">
        <f>IF(D427&lt;0,"INVALID","OK")</f>
        <v>OK</v>
      </c>
      <c r="F427" t="s">
        <v>554</v>
      </c>
      <c r="G427" t="s">
        <v>35</v>
      </c>
      <c r="H427" t="s">
        <v>94</v>
      </c>
      <c r="I427" t="s">
        <v>62</v>
      </c>
      <c r="J427" t="s">
        <v>71</v>
      </c>
      <c r="K427" t="s">
        <v>72</v>
      </c>
      <c r="L427" t="s">
        <v>73</v>
      </c>
      <c r="M427" t="s">
        <v>170</v>
      </c>
      <c r="N427" t="s">
        <v>555</v>
      </c>
      <c r="O427" t="s">
        <v>2762</v>
      </c>
      <c r="P427">
        <v>8</v>
      </c>
      <c r="Q427">
        <v>1696.07</v>
      </c>
      <c r="R427">
        <v>0.25</v>
      </c>
      <c r="S427" t="str">
        <f t="shared" si="57"/>
        <v>OK</v>
      </c>
      <c r="T427">
        <v>10176.42</v>
      </c>
      <c r="U427">
        <v>7604.47</v>
      </c>
      <c r="V427">
        <v>2571.9499999999998</v>
      </c>
      <c r="W427" t="s">
        <v>31</v>
      </c>
      <c r="X427" t="s">
        <v>32</v>
      </c>
      <c r="Y427">
        <f t="shared" si="50"/>
        <v>0.25</v>
      </c>
      <c r="Z427">
        <f t="shared" si="51"/>
        <v>10176.42</v>
      </c>
      <c r="AA427">
        <f t="shared" si="52"/>
        <v>2571.9499999999998</v>
      </c>
      <c r="AB427">
        <f t="shared" si="53"/>
        <v>25.273622747488801</v>
      </c>
      <c r="AC427">
        <f t="shared" si="54"/>
        <v>2</v>
      </c>
      <c r="AD427">
        <f t="shared" si="55"/>
        <v>2025</v>
      </c>
      <c r="AE427" t="str">
        <f t="shared" si="56"/>
        <v>CLEAN</v>
      </c>
    </row>
    <row r="428" spans="1:31">
      <c r="A428" t="s">
        <v>576</v>
      </c>
      <c r="B428" s="2">
        <v>45743</v>
      </c>
      <c r="C428" s="2">
        <v>45743</v>
      </c>
      <c r="D428" s="5">
        <f>C428-B428</f>
        <v>0</v>
      </c>
      <c r="E428" s="5" t="str">
        <f>IF(D428&lt;0,"INVALID","OK")</f>
        <v>OK</v>
      </c>
      <c r="F428" t="s">
        <v>577</v>
      </c>
      <c r="G428" t="s">
        <v>70</v>
      </c>
      <c r="H428" t="s">
        <v>36</v>
      </c>
      <c r="I428" t="s">
        <v>37</v>
      </c>
      <c r="J428" t="s">
        <v>144</v>
      </c>
      <c r="K428" t="s">
        <v>145</v>
      </c>
      <c r="L428" t="s">
        <v>73</v>
      </c>
      <c r="M428" t="s">
        <v>273</v>
      </c>
      <c r="N428" t="s">
        <v>578</v>
      </c>
      <c r="O428" t="s">
        <v>30</v>
      </c>
      <c r="P428">
        <v>7</v>
      </c>
      <c r="Q428">
        <v>2305.37</v>
      </c>
      <c r="R428">
        <v>0.25</v>
      </c>
      <c r="S428" t="str">
        <f t="shared" si="57"/>
        <v>OK</v>
      </c>
      <c r="T428">
        <v>12103.19</v>
      </c>
      <c r="U428">
        <v>6717.87</v>
      </c>
      <c r="V428">
        <v>5385.32</v>
      </c>
      <c r="W428" t="s">
        <v>31</v>
      </c>
      <c r="X428" t="s">
        <v>32</v>
      </c>
      <c r="Y428">
        <f t="shared" si="50"/>
        <v>0.25</v>
      </c>
      <c r="Z428">
        <f t="shared" si="51"/>
        <v>12103.192500000001</v>
      </c>
      <c r="AA428">
        <f t="shared" si="52"/>
        <v>5385.3225000000011</v>
      </c>
      <c r="AB428">
        <f t="shared" si="53"/>
        <v>44.495057812225994</v>
      </c>
      <c r="AC428">
        <f t="shared" si="54"/>
        <v>3</v>
      </c>
      <c r="AD428">
        <f t="shared" si="55"/>
        <v>2025</v>
      </c>
      <c r="AE428" t="str">
        <f t="shared" si="56"/>
        <v>CLEAN</v>
      </c>
    </row>
    <row r="429" spans="1:31">
      <c r="A429" t="s">
        <v>597</v>
      </c>
      <c r="B429" s="2">
        <v>45921</v>
      </c>
      <c r="C429" s="2">
        <v>45926</v>
      </c>
      <c r="D429" s="5">
        <f>C429-B429</f>
        <v>5</v>
      </c>
      <c r="E429" s="5" t="str">
        <f>IF(D429&lt;0,"INVALID","OK")</f>
        <v>OK</v>
      </c>
      <c r="F429" t="s">
        <v>598</v>
      </c>
      <c r="G429" t="s">
        <v>140</v>
      </c>
      <c r="H429" t="s">
        <v>94</v>
      </c>
      <c r="I429" t="s">
        <v>62</v>
      </c>
      <c r="J429" t="s">
        <v>179</v>
      </c>
      <c r="K429" t="s">
        <v>180</v>
      </c>
      <c r="L429" t="s">
        <v>40</v>
      </c>
      <c r="M429" t="s">
        <v>41</v>
      </c>
      <c r="N429" t="s">
        <v>599</v>
      </c>
      <c r="O429" t="s">
        <v>2762</v>
      </c>
      <c r="P429">
        <v>6</v>
      </c>
      <c r="Q429">
        <v>2903.58</v>
      </c>
      <c r="R429">
        <v>0.1</v>
      </c>
      <c r="S429" t="str">
        <f t="shared" si="57"/>
        <v>OK</v>
      </c>
      <c r="T429">
        <v>15679.33</v>
      </c>
      <c r="U429">
        <v>12477.82</v>
      </c>
      <c r="V429">
        <v>3201.51</v>
      </c>
      <c r="W429" t="s">
        <v>110</v>
      </c>
      <c r="X429" t="s">
        <v>102</v>
      </c>
      <c r="Y429">
        <f t="shared" si="50"/>
        <v>0.1</v>
      </c>
      <c r="Z429">
        <f t="shared" si="51"/>
        <v>15679.332</v>
      </c>
      <c r="AA429">
        <f t="shared" si="52"/>
        <v>3201.5120000000006</v>
      </c>
      <c r="AB429">
        <f t="shared" si="53"/>
        <v>20.41867599971734</v>
      </c>
      <c r="AC429">
        <f t="shared" si="54"/>
        <v>9</v>
      </c>
      <c r="AD429">
        <f t="shared" si="55"/>
        <v>2025</v>
      </c>
      <c r="AE429" t="str">
        <f t="shared" si="56"/>
        <v>CLEAN</v>
      </c>
    </row>
    <row r="430" spans="1:31">
      <c r="A430" t="s">
        <v>600</v>
      </c>
      <c r="B430" s="2">
        <v>45909</v>
      </c>
      <c r="C430" s="2">
        <v>45914</v>
      </c>
      <c r="D430" s="5">
        <f>C430-B430</f>
        <v>5</v>
      </c>
      <c r="E430" s="5" t="str">
        <f>IF(D430&lt;0,"INVALID","OK")</f>
        <v>OK</v>
      </c>
      <c r="F430" t="s">
        <v>601</v>
      </c>
      <c r="G430" t="s">
        <v>117</v>
      </c>
      <c r="H430" t="s">
        <v>36</v>
      </c>
      <c r="I430" t="s">
        <v>37</v>
      </c>
      <c r="J430" t="s">
        <v>98</v>
      </c>
      <c r="K430" t="s">
        <v>99</v>
      </c>
      <c r="L430" t="s">
        <v>40</v>
      </c>
      <c r="M430" t="s">
        <v>157</v>
      </c>
      <c r="N430" t="s">
        <v>602</v>
      </c>
      <c r="O430" t="s">
        <v>30</v>
      </c>
      <c r="P430">
        <v>1</v>
      </c>
      <c r="Q430">
        <v>3154.42</v>
      </c>
      <c r="R430">
        <v>0.25</v>
      </c>
      <c r="S430" t="str">
        <f t="shared" si="57"/>
        <v>OK</v>
      </c>
      <c r="T430">
        <v>2365.8200000000002</v>
      </c>
      <c r="U430">
        <v>1547.99</v>
      </c>
      <c r="V430">
        <v>817.83</v>
      </c>
      <c r="W430" t="s">
        <v>31</v>
      </c>
      <c r="X430" t="s">
        <v>32</v>
      </c>
      <c r="Y430">
        <f t="shared" si="50"/>
        <v>0.25</v>
      </c>
      <c r="Z430">
        <f t="shared" si="51"/>
        <v>2365.8150000000001</v>
      </c>
      <c r="AA430">
        <f t="shared" si="52"/>
        <v>817.82500000000005</v>
      </c>
      <c r="AB430">
        <f t="shared" si="53"/>
        <v>34.568425679945392</v>
      </c>
      <c r="AC430">
        <f t="shared" si="54"/>
        <v>9</v>
      </c>
      <c r="AD430">
        <f t="shared" si="55"/>
        <v>2025</v>
      </c>
      <c r="AE430" t="str">
        <f t="shared" si="56"/>
        <v>CLEAN</v>
      </c>
    </row>
    <row r="431" spans="1:31">
      <c r="A431" t="s">
        <v>606</v>
      </c>
      <c r="B431" s="2">
        <v>45708</v>
      </c>
      <c r="C431" s="2">
        <v>45714</v>
      </c>
      <c r="D431" s="5">
        <f>C431-B431</f>
        <v>6</v>
      </c>
      <c r="E431" s="5" t="str">
        <f>IF(D431&lt;0,"INVALID","OK")</f>
        <v>OK</v>
      </c>
      <c r="F431" t="s">
        <v>607</v>
      </c>
      <c r="G431" t="s">
        <v>22</v>
      </c>
      <c r="H431" t="s">
        <v>36</v>
      </c>
      <c r="I431" t="s">
        <v>62</v>
      </c>
      <c r="J431" t="s">
        <v>179</v>
      </c>
      <c r="K431" t="s">
        <v>180</v>
      </c>
      <c r="L431" t="s">
        <v>27</v>
      </c>
      <c r="M431" t="s">
        <v>90</v>
      </c>
      <c r="N431" t="s">
        <v>608</v>
      </c>
      <c r="O431" t="s">
        <v>49</v>
      </c>
      <c r="P431">
        <v>1</v>
      </c>
      <c r="Q431">
        <v>2557.85</v>
      </c>
      <c r="R431">
        <v>0.2</v>
      </c>
      <c r="S431" t="str">
        <f t="shared" si="57"/>
        <v>OK</v>
      </c>
      <c r="T431">
        <v>2046.28</v>
      </c>
      <c r="U431">
        <v>1449.54</v>
      </c>
      <c r="V431">
        <v>596.74</v>
      </c>
      <c r="W431" t="s">
        <v>31</v>
      </c>
      <c r="X431" t="s">
        <v>32</v>
      </c>
      <c r="Y431">
        <f t="shared" si="50"/>
        <v>0.2</v>
      </c>
      <c r="Z431">
        <f t="shared" si="51"/>
        <v>2046.28</v>
      </c>
      <c r="AA431">
        <f t="shared" si="52"/>
        <v>596.74</v>
      </c>
      <c r="AB431">
        <f t="shared" si="53"/>
        <v>29.162186992982384</v>
      </c>
      <c r="AC431">
        <f t="shared" si="54"/>
        <v>2</v>
      </c>
      <c r="AD431">
        <f t="shared" si="55"/>
        <v>2025</v>
      </c>
      <c r="AE431" t="str">
        <f t="shared" si="56"/>
        <v>CLEAN</v>
      </c>
    </row>
    <row r="432" spans="1:31">
      <c r="A432" t="s">
        <v>609</v>
      </c>
      <c r="B432" s="2">
        <v>45887</v>
      </c>
      <c r="C432" s="2">
        <v>45887</v>
      </c>
      <c r="D432" s="5">
        <f>C432-B432</f>
        <v>0</v>
      </c>
      <c r="E432" s="5" t="str">
        <f>IF(D432&lt;0,"INVALID","OK")</f>
        <v>OK</v>
      </c>
      <c r="F432" t="s">
        <v>610</v>
      </c>
      <c r="G432" t="s">
        <v>52</v>
      </c>
      <c r="H432" t="s">
        <v>94</v>
      </c>
      <c r="I432" t="s">
        <v>53</v>
      </c>
      <c r="J432" t="s">
        <v>174</v>
      </c>
      <c r="K432" t="s">
        <v>175</v>
      </c>
      <c r="L432" t="s">
        <v>27</v>
      </c>
      <c r="M432" t="s">
        <v>123</v>
      </c>
      <c r="N432" t="s">
        <v>611</v>
      </c>
      <c r="O432" t="s">
        <v>49</v>
      </c>
      <c r="P432">
        <v>9</v>
      </c>
      <c r="Q432">
        <v>3030.93</v>
      </c>
      <c r="R432">
        <v>0.15</v>
      </c>
      <c r="S432" t="str">
        <f t="shared" si="57"/>
        <v>OK</v>
      </c>
      <c r="T432">
        <v>23186.61</v>
      </c>
      <c r="U432">
        <v>17906.54</v>
      </c>
      <c r="V432">
        <v>5280.07</v>
      </c>
      <c r="W432" t="s">
        <v>31</v>
      </c>
      <c r="X432" t="s">
        <v>102</v>
      </c>
      <c r="Y432">
        <f t="shared" si="50"/>
        <v>0.15</v>
      </c>
      <c r="Z432">
        <f t="shared" si="51"/>
        <v>23186.6145</v>
      </c>
      <c r="AA432">
        <f t="shared" si="52"/>
        <v>5280.0744999999988</v>
      </c>
      <c r="AB432">
        <f t="shared" si="53"/>
        <v>22.772080417345961</v>
      </c>
      <c r="AC432">
        <f t="shared" si="54"/>
        <v>8</v>
      </c>
      <c r="AD432">
        <f t="shared" si="55"/>
        <v>2025</v>
      </c>
      <c r="AE432" t="str">
        <f t="shared" si="56"/>
        <v>CLEAN</v>
      </c>
    </row>
    <row r="433" spans="1:31">
      <c r="A433" t="s">
        <v>615</v>
      </c>
      <c r="B433" s="2">
        <v>45913</v>
      </c>
      <c r="C433" s="2">
        <v>45913</v>
      </c>
      <c r="D433" s="5">
        <f>C433-B433</f>
        <v>0</v>
      </c>
      <c r="E433" s="5" t="str">
        <f>IF(D433&lt;0,"INVALID","OK")</f>
        <v>OK</v>
      </c>
      <c r="F433" t="s">
        <v>616</v>
      </c>
      <c r="G433" t="s">
        <v>161</v>
      </c>
      <c r="H433" t="s">
        <v>23</v>
      </c>
      <c r="I433" t="s">
        <v>37</v>
      </c>
      <c r="J433" t="s">
        <v>165</v>
      </c>
      <c r="K433" t="s">
        <v>166</v>
      </c>
      <c r="L433" t="s">
        <v>27</v>
      </c>
      <c r="M433" t="s">
        <v>47</v>
      </c>
      <c r="N433" t="s">
        <v>617</v>
      </c>
      <c r="O433" t="s">
        <v>58</v>
      </c>
      <c r="P433">
        <v>8</v>
      </c>
      <c r="Q433">
        <v>733.9</v>
      </c>
      <c r="R433">
        <v>0.05</v>
      </c>
      <c r="S433" t="str">
        <f t="shared" si="57"/>
        <v>OK</v>
      </c>
      <c r="T433">
        <v>5577.64</v>
      </c>
      <c r="U433">
        <v>3541.29</v>
      </c>
      <c r="V433">
        <v>2036.35</v>
      </c>
      <c r="W433" t="s">
        <v>110</v>
      </c>
      <c r="X433" t="s">
        <v>102</v>
      </c>
      <c r="Y433">
        <f t="shared" si="50"/>
        <v>0.05</v>
      </c>
      <c r="Z433">
        <f t="shared" si="51"/>
        <v>5577.6399999999994</v>
      </c>
      <c r="AA433">
        <f t="shared" si="52"/>
        <v>2036.3499999999995</v>
      </c>
      <c r="AB433">
        <f t="shared" si="53"/>
        <v>36.509168752375551</v>
      </c>
      <c r="AC433">
        <f t="shared" si="54"/>
        <v>9</v>
      </c>
      <c r="AD433">
        <f t="shared" si="55"/>
        <v>2025</v>
      </c>
      <c r="AE433" t="str">
        <f t="shared" si="56"/>
        <v>CLEAN</v>
      </c>
    </row>
    <row r="434" spans="1:31">
      <c r="A434" t="s">
        <v>618</v>
      </c>
      <c r="B434" s="2">
        <v>45847</v>
      </c>
      <c r="C434" s="2">
        <v>45915</v>
      </c>
      <c r="D434" s="5">
        <f>C434-B434</f>
        <v>68</v>
      </c>
      <c r="E434" s="5" t="str">
        <f>IF(D434&lt;0,"INVALID","OK")</f>
        <v>OK</v>
      </c>
      <c r="F434" t="s">
        <v>619</v>
      </c>
      <c r="G434" t="s">
        <v>140</v>
      </c>
      <c r="H434" t="s">
        <v>89</v>
      </c>
      <c r="I434" t="s">
        <v>37</v>
      </c>
      <c r="J434" t="s">
        <v>144</v>
      </c>
      <c r="K434" t="s">
        <v>145</v>
      </c>
      <c r="L434" t="s">
        <v>73</v>
      </c>
      <c r="M434" t="s">
        <v>79</v>
      </c>
      <c r="N434" t="s">
        <v>620</v>
      </c>
      <c r="O434" t="s">
        <v>58</v>
      </c>
      <c r="P434">
        <v>3</v>
      </c>
      <c r="Q434">
        <v>1711.32</v>
      </c>
      <c r="R434">
        <v>0</v>
      </c>
      <c r="S434" t="str">
        <f t="shared" si="57"/>
        <v>OK</v>
      </c>
      <c r="T434">
        <v>5133.96</v>
      </c>
      <c r="U434">
        <v>3930</v>
      </c>
      <c r="V434">
        <v>1203.96</v>
      </c>
      <c r="W434" t="s">
        <v>31</v>
      </c>
      <c r="X434" t="s">
        <v>32</v>
      </c>
      <c r="Y434">
        <f t="shared" si="50"/>
        <v>0</v>
      </c>
      <c r="Z434">
        <f t="shared" si="51"/>
        <v>5133.96</v>
      </c>
      <c r="AA434">
        <f t="shared" si="52"/>
        <v>1203.96</v>
      </c>
      <c r="AB434">
        <f t="shared" si="53"/>
        <v>23.450903396208776</v>
      </c>
      <c r="AC434">
        <f t="shared" si="54"/>
        <v>7</v>
      </c>
      <c r="AD434">
        <f t="shared" si="55"/>
        <v>2025</v>
      </c>
      <c r="AE434" t="str">
        <f t="shared" si="56"/>
        <v>CLEAN</v>
      </c>
    </row>
    <row r="435" spans="1:31">
      <c r="A435" t="s">
        <v>618</v>
      </c>
      <c r="B435" s="2">
        <v>45847</v>
      </c>
      <c r="C435" s="2">
        <v>45915</v>
      </c>
      <c r="D435" s="5">
        <f>C435-B435</f>
        <v>68</v>
      </c>
      <c r="E435" s="5" t="str">
        <f>IF(D435&lt;0,"INVALID","OK")</f>
        <v>OK</v>
      </c>
      <c r="F435" t="s">
        <v>619</v>
      </c>
      <c r="G435" t="s">
        <v>140</v>
      </c>
      <c r="H435" t="s">
        <v>89</v>
      </c>
      <c r="I435" t="s">
        <v>37</v>
      </c>
      <c r="J435" t="s">
        <v>144</v>
      </c>
      <c r="K435" t="s">
        <v>145</v>
      </c>
      <c r="L435" t="s">
        <v>73</v>
      </c>
      <c r="M435" t="s">
        <v>79</v>
      </c>
      <c r="N435" t="s">
        <v>620</v>
      </c>
      <c r="O435" t="s">
        <v>58</v>
      </c>
      <c r="P435">
        <v>3</v>
      </c>
      <c r="Q435">
        <v>1711.32</v>
      </c>
      <c r="R435">
        <v>0</v>
      </c>
      <c r="S435" t="str">
        <f t="shared" si="57"/>
        <v>OK</v>
      </c>
      <c r="T435">
        <v>5206.53</v>
      </c>
      <c r="U435">
        <v>3930</v>
      </c>
      <c r="V435">
        <v>1203.96</v>
      </c>
      <c r="W435" t="s">
        <v>31</v>
      </c>
      <c r="X435" t="s">
        <v>102</v>
      </c>
      <c r="Y435">
        <f t="shared" si="50"/>
        <v>0</v>
      </c>
      <c r="Z435">
        <f t="shared" si="51"/>
        <v>5133.96</v>
      </c>
      <c r="AA435">
        <f t="shared" si="52"/>
        <v>1203.96</v>
      </c>
      <c r="AB435">
        <f t="shared" si="53"/>
        <v>23.450903396208776</v>
      </c>
      <c r="AC435">
        <f t="shared" si="54"/>
        <v>7</v>
      </c>
      <c r="AD435">
        <f t="shared" si="55"/>
        <v>2025</v>
      </c>
      <c r="AE435" t="str">
        <f t="shared" si="56"/>
        <v>CLEAN</v>
      </c>
    </row>
    <row r="436" spans="1:31">
      <c r="A436" t="s">
        <v>621</v>
      </c>
      <c r="B436" s="2">
        <v>45711</v>
      </c>
      <c r="C436" s="2">
        <v>45713</v>
      </c>
      <c r="D436" s="5">
        <f>C436-B436</f>
        <v>2</v>
      </c>
      <c r="E436" s="5" t="str">
        <f>IF(D436&lt;0,"INVALID","OK")</f>
        <v>OK</v>
      </c>
      <c r="F436" t="s">
        <v>622</v>
      </c>
      <c r="G436" t="s">
        <v>22</v>
      </c>
      <c r="H436" t="s">
        <v>89</v>
      </c>
      <c r="I436" t="s">
        <v>37</v>
      </c>
      <c r="J436" t="s">
        <v>144</v>
      </c>
      <c r="K436" t="s">
        <v>145</v>
      </c>
      <c r="L436" t="s">
        <v>27</v>
      </c>
      <c r="M436" t="s">
        <v>90</v>
      </c>
      <c r="N436" t="s">
        <v>623</v>
      </c>
      <c r="O436" t="s">
        <v>43</v>
      </c>
      <c r="P436">
        <v>5</v>
      </c>
      <c r="Q436">
        <v>4246.2700000000004</v>
      </c>
      <c r="R436">
        <v>0.25</v>
      </c>
      <c r="S436" t="str">
        <f t="shared" si="57"/>
        <v>OK</v>
      </c>
      <c r="T436">
        <v>15923.51</v>
      </c>
      <c r="U436">
        <v>11291.8</v>
      </c>
      <c r="V436">
        <v>4631.71</v>
      </c>
      <c r="W436" t="s">
        <v>31</v>
      </c>
      <c r="X436" t="s">
        <v>32</v>
      </c>
      <c r="Y436">
        <f t="shared" si="50"/>
        <v>0.25</v>
      </c>
      <c r="Z436">
        <f t="shared" si="51"/>
        <v>15923.512500000001</v>
      </c>
      <c r="AA436">
        <f t="shared" si="52"/>
        <v>4631.7125000000015</v>
      </c>
      <c r="AB436">
        <f t="shared" si="53"/>
        <v>29.08725383297185</v>
      </c>
      <c r="AC436">
        <f t="shared" si="54"/>
        <v>2</v>
      </c>
      <c r="AD436">
        <f t="shared" si="55"/>
        <v>2025</v>
      </c>
      <c r="AE436" t="str">
        <f t="shared" si="56"/>
        <v>CLEAN</v>
      </c>
    </row>
    <row r="437" spans="1:31">
      <c r="A437" t="s">
        <v>630</v>
      </c>
      <c r="B437" s="2">
        <v>45928</v>
      </c>
      <c r="C437" s="2">
        <v>45757</v>
      </c>
      <c r="D437" s="5">
        <f>C437-B437</f>
        <v>-171</v>
      </c>
      <c r="E437" s="5" t="str">
        <f>IF(D437&lt;0,"INVALID","OK")</f>
        <v>INVALID</v>
      </c>
      <c r="F437" t="s">
        <v>631</v>
      </c>
      <c r="G437" t="s">
        <v>22</v>
      </c>
      <c r="H437" t="s">
        <v>36</v>
      </c>
      <c r="I437" t="s">
        <v>53</v>
      </c>
      <c r="J437" t="s">
        <v>174</v>
      </c>
      <c r="K437" t="s">
        <v>175</v>
      </c>
      <c r="L437" t="s">
        <v>40</v>
      </c>
      <c r="M437" t="s">
        <v>157</v>
      </c>
      <c r="N437" t="s">
        <v>632</v>
      </c>
      <c r="O437" t="s">
        <v>49</v>
      </c>
      <c r="P437">
        <v>6</v>
      </c>
      <c r="Q437">
        <v>1620.53</v>
      </c>
      <c r="R437">
        <v>0.15</v>
      </c>
      <c r="S437" t="str">
        <f t="shared" si="57"/>
        <v>OK</v>
      </c>
      <c r="T437">
        <v>8264.7000000000007</v>
      </c>
      <c r="U437">
        <v>4768.75</v>
      </c>
      <c r="V437">
        <v>3495.95</v>
      </c>
      <c r="W437" t="s">
        <v>110</v>
      </c>
      <c r="X437" t="s">
        <v>102</v>
      </c>
      <c r="Y437">
        <f t="shared" si="50"/>
        <v>0.15</v>
      </c>
      <c r="Z437">
        <f t="shared" si="51"/>
        <v>8264.7029999999995</v>
      </c>
      <c r="AA437">
        <f t="shared" si="52"/>
        <v>3495.9529999999995</v>
      </c>
      <c r="AB437">
        <f t="shared" si="53"/>
        <v>42.299801940856192</v>
      </c>
      <c r="AC437">
        <f t="shared" si="54"/>
        <v>9</v>
      </c>
      <c r="AD437">
        <f t="shared" si="55"/>
        <v>2025</v>
      </c>
      <c r="AE437" t="str">
        <f t="shared" si="56"/>
        <v>INVALID</v>
      </c>
    </row>
    <row r="438" spans="1:31">
      <c r="A438" t="s">
        <v>636</v>
      </c>
      <c r="B438" s="2">
        <v>45734</v>
      </c>
      <c r="C438" s="2">
        <v>45742</v>
      </c>
      <c r="D438" s="5">
        <f>C438-B438</f>
        <v>8</v>
      </c>
      <c r="E438" s="5" t="str">
        <f>IF(D438&lt;0,"INVALID","OK")</f>
        <v>OK</v>
      </c>
      <c r="F438" t="s">
        <v>637</v>
      </c>
      <c r="G438" t="s">
        <v>70</v>
      </c>
      <c r="H438" t="s">
        <v>89</v>
      </c>
      <c r="I438" t="s">
        <v>37</v>
      </c>
      <c r="J438" t="s">
        <v>227</v>
      </c>
      <c r="K438" t="s">
        <v>228</v>
      </c>
      <c r="L438" t="s">
        <v>40</v>
      </c>
      <c r="M438" t="s">
        <v>157</v>
      </c>
      <c r="N438" t="s">
        <v>638</v>
      </c>
      <c r="O438" t="s">
        <v>58</v>
      </c>
      <c r="P438">
        <v>8</v>
      </c>
      <c r="Q438">
        <v>3563.09</v>
      </c>
      <c r="R438">
        <v>0.15</v>
      </c>
      <c r="S438" t="str">
        <f t="shared" si="57"/>
        <v>OK</v>
      </c>
      <c r="T438">
        <v>24229.01</v>
      </c>
      <c r="U438">
        <v>13910.64</v>
      </c>
      <c r="V438">
        <v>10318.370000000001</v>
      </c>
      <c r="W438" t="s">
        <v>31</v>
      </c>
      <c r="X438" t="s">
        <v>32</v>
      </c>
      <c r="Y438">
        <f t="shared" si="50"/>
        <v>0.15</v>
      </c>
      <c r="Z438">
        <f t="shared" si="51"/>
        <v>24229.011999999999</v>
      </c>
      <c r="AA438">
        <f t="shared" si="52"/>
        <v>10318.371999999999</v>
      </c>
      <c r="AB438">
        <f t="shared" si="53"/>
        <v>42.586845885420338</v>
      </c>
      <c r="AC438">
        <f t="shared" si="54"/>
        <v>3</v>
      </c>
      <c r="AD438">
        <f t="shared" si="55"/>
        <v>2025</v>
      </c>
      <c r="AE438" t="str">
        <f t="shared" si="56"/>
        <v>CLEAN</v>
      </c>
    </row>
    <row r="439" spans="1:31">
      <c r="A439" t="s">
        <v>651</v>
      </c>
      <c r="B439" s="2">
        <v>45909</v>
      </c>
      <c r="C439" s="2">
        <v>45939</v>
      </c>
      <c r="D439" s="5">
        <f>C439-B439</f>
        <v>30</v>
      </c>
      <c r="E439" s="5" t="str">
        <f>IF(D439&lt;0,"INVALID","OK")</f>
        <v>OK</v>
      </c>
      <c r="F439" t="s">
        <v>652</v>
      </c>
      <c r="G439" t="s">
        <v>113</v>
      </c>
      <c r="H439" t="s">
        <v>94</v>
      </c>
      <c r="I439" t="s">
        <v>53</v>
      </c>
      <c r="J439" t="s">
        <v>246</v>
      </c>
      <c r="K439" t="s">
        <v>247</v>
      </c>
      <c r="L439" t="s">
        <v>27</v>
      </c>
      <c r="M439" t="s">
        <v>47</v>
      </c>
      <c r="N439" t="s">
        <v>653</v>
      </c>
      <c r="O439" t="s">
        <v>30</v>
      </c>
      <c r="P439">
        <v>4</v>
      </c>
      <c r="Q439">
        <v>2551.4499999999998</v>
      </c>
      <c r="R439">
        <v>0</v>
      </c>
      <c r="S439" t="str">
        <f t="shared" si="57"/>
        <v>OK</v>
      </c>
      <c r="T439">
        <v>10205.799999999999</v>
      </c>
      <c r="U439">
        <v>5986.31</v>
      </c>
      <c r="V439">
        <v>4219.49</v>
      </c>
      <c r="W439" t="s">
        <v>31</v>
      </c>
      <c r="X439" t="s">
        <v>32</v>
      </c>
      <c r="Y439">
        <f t="shared" si="50"/>
        <v>0</v>
      </c>
      <c r="Z439">
        <f t="shared" si="51"/>
        <v>10205.799999999999</v>
      </c>
      <c r="AA439">
        <f t="shared" si="52"/>
        <v>4219.4899999999989</v>
      </c>
      <c r="AB439">
        <f t="shared" si="53"/>
        <v>41.344039663720622</v>
      </c>
      <c r="AC439">
        <f t="shared" si="54"/>
        <v>9</v>
      </c>
      <c r="AD439">
        <f t="shared" si="55"/>
        <v>2025</v>
      </c>
      <c r="AE439" t="str">
        <f t="shared" si="56"/>
        <v>CLEAN</v>
      </c>
    </row>
    <row r="440" spans="1:31">
      <c r="A440" t="s">
        <v>657</v>
      </c>
      <c r="B440" s="2">
        <v>45832</v>
      </c>
      <c r="C440" s="2">
        <v>45835</v>
      </c>
      <c r="D440" s="5">
        <f>C440-B440</f>
        <v>3</v>
      </c>
      <c r="E440" s="5" t="str">
        <f>IF(D440&lt;0,"INVALID","OK")</f>
        <v>OK</v>
      </c>
      <c r="F440" t="s">
        <v>658</v>
      </c>
      <c r="G440" t="s">
        <v>70</v>
      </c>
      <c r="H440" t="s">
        <v>94</v>
      </c>
      <c r="I440" t="s">
        <v>53</v>
      </c>
      <c r="J440" t="s">
        <v>54</v>
      </c>
      <c r="K440" t="s">
        <v>55</v>
      </c>
      <c r="L440" t="s">
        <v>73</v>
      </c>
      <c r="M440" t="s">
        <v>79</v>
      </c>
      <c r="N440" t="s">
        <v>659</v>
      </c>
      <c r="O440" t="s">
        <v>58</v>
      </c>
      <c r="P440">
        <v>7</v>
      </c>
      <c r="Q440">
        <v>2304.86</v>
      </c>
      <c r="R440">
        <v>0.2</v>
      </c>
      <c r="S440" t="str">
        <f t="shared" si="57"/>
        <v>OK</v>
      </c>
      <c r="T440">
        <v>12907.22</v>
      </c>
      <c r="U440">
        <v>8327.89</v>
      </c>
      <c r="V440">
        <v>4579.33</v>
      </c>
      <c r="W440" t="s">
        <v>31</v>
      </c>
      <c r="X440" t="s">
        <v>102</v>
      </c>
      <c r="Y440">
        <f t="shared" si="50"/>
        <v>0.2</v>
      </c>
      <c r="Z440">
        <f t="shared" si="51"/>
        <v>12907.216</v>
      </c>
      <c r="AA440">
        <f t="shared" si="52"/>
        <v>4579.3260000000009</v>
      </c>
      <c r="AB440">
        <f t="shared" si="53"/>
        <v>35.478805034331188</v>
      </c>
      <c r="AC440">
        <f t="shared" si="54"/>
        <v>6</v>
      </c>
      <c r="AD440">
        <f t="shared" si="55"/>
        <v>2025</v>
      </c>
      <c r="AE440" t="str">
        <f t="shared" si="56"/>
        <v>CLEAN</v>
      </c>
    </row>
    <row r="441" spans="1:31">
      <c r="A441" t="s">
        <v>668</v>
      </c>
      <c r="B441" s="2">
        <v>45778</v>
      </c>
      <c r="C441" s="2">
        <v>45779</v>
      </c>
      <c r="D441" s="5">
        <f>C441-B441</f>
        <v>1</v>
      </c>
      <c r="E441" s="5" t="str">
        <f>IF(D441&lt;0,"INVALID","OK")</f>
        <v>OK</v>
      </c>
      <c r="F441" t="s">
        <v>669</v>
      </c>
      <c r="G441" t="s">
        <v>35</v>
      </c>
      <c r="H441" t="s">
        <v>23</v>
      </c>
      <c r="I441" t="s">
        <v>62</v>
      </c>
      <c r="J441" t="s">
        <v>71</v>
      </c>
      <c r="K441" t="s">
        <v>72</v>
      </c>
      <c r="L441" t="s">
        <v>40</v>
      </c>
      <c r="M441" t="s">
        <v>65</v>
      </c>
      <c r="N441" t="s">
        <v>670</v>
      </c>
      <c r="O441" t="s">
        <v>43</v>
      </c>
      <c r="P441">
        <v>3</v>
      </c>
      <c r="Q441">
        <v>2905.74</v>
      </c>
      <c r="R441">
        <v>0</v>
      </c>
      <c r="S441" t="str">
        <f t="shared" si="57"/>
        <v>OK</v>
      </c>
      <c r="T441">
        <v>8717.2199999999993</v>
      </c>
      <c r="U441">
        <v>6215.96</v>
      </c>
      <c r="V441">
        <v>2501.2600000000002</v>
      </c>
      <c r="W441" t="s">
        <v>31</v>
      </c>
      <c r="X441" t="s">
        <v>102</v>
      </c>
      <c r="Y441">
        <f t="shared" si="50"/>
        <v>0</v>
      </c>
      <c r="Z441">
        <f t="shared" si="51"/>
        <v>8717.2199999999993</v>
      </c>
      <c r="AA441">
        <f t="shared" si="52"/>
        <v>2501.2599999999993</v>
      </c>
      <c r="AB441">
        <f t="shared" si="53"/>
        <v>28.693321953558581</v>
      </c>
      <c r="AC441">
        <f t="shared" si="54"/>
        <v>5</v>
      </c>
      <c r="AD441">
        <f t="shared" si="55"/>
        <v>2025</v>
      </c>
      <c r="AE441" t="str">
        <f t="shared" si="56"/>
        <v>CLEAN</v>
      </c>
    </row>
    <row r="442" spans="1:31">
      <c r="A442" t="s">
        <v>671</v>
      </c>
      <c r="B442" s="2">
        <v>45798</v>
      </c>
      <c r="C442" s="2">
        <v>45805</v>
      </c>
      <c r="D442" s="5">
        <f>C442-B442</f>
        <v>7</v>
      </c>
      <c r="E442" s="5" t="str">
        <f>IF(D442&lt;0,"INVALID","OK")</f>
        <v>OK</v>
      </c>
      <c r="F442" t="s">
        <v>672</v>
      </c>
      <c r="G442" t="s">
        <v>113</v>
      </c>
      <c r="H442" t="s">
        <v>89</v>
      </c>
      <c r="I442" t="s">
        <v>37</v>
      </c>
      <c r="J442" t="s">
        <v>98</v>
      </c>
      <c r="K442" t="s">
        <v>99</v>
      </c>
      <c r="L442" t="s">
        <v>40</v>
      </c>
      <c r="M442" t="s">
        <v>157</v>
      </c>
      <c r="N442" t="s">
        <v>673</v>
      </c>
      <c r="O442" t="s">
        <v>43</v>
      </c>
      <c r="P442">
        <v>2</v>
      </c>
      <c r="Q442">
        <v>3559.57</v>
      </c>
      <c r="R442">
        <v>0.1</v>
      </c>
      <c r="S442" t="str">
        <f t="shared" si="57"/>
        <v>OK</v>
      </c>
      <c r="T442">
        <v>6553.95</v>
      </c>
      <c r="U442">
        <v>4923.09</v>
      </c>
      <c r="V442">
        <v>1484.14</v>
      </c>
      <c r="W442" t="s">
        <v>31</v>
      </c>
      <c r="X442" t="s">
        <v>32</v>
      </c>
      <c r="Y442">
        <f t="shared" si="50"/>
        <v>0.1</v>
      </c>
      <c r="Z442">
        <f t="shared" si="51"/>
        <v>6407.2260000000006</v>
      </c>
      <c r="AA442">
        <f t="shared" si="52"/>
        <v>1484.1360000000004</v>
      </c>
      <c r="AB442">
        <f t="shared" si="53"/>
        <v>23.163471992403579</v>
      </c>
      <c r="AC442">
        <f t="shared" si="54"/>
        <v>5</v>
      </c>
      <c r="AD442">
        <f t="shared" si="55"/>
        <v>2025</v>
      </c>
      <c r="AE442" t="str">
        <f t="shared" si="56"/>
        <v>CLEAN</v>
      </c>
    </row>
    <row r="443" spans="1:31">
      <c r="A443" t="s">
        <v>674</v>
      </c>
      <c r="B443" s="2">
        <v>45783</v>
      </c>
      <c r="C443" s="2">
        <v>45784</v>
      </c>
      <c r="D443" s="5">
        <f>C443-B443</f>
        <v>1</v>
      </c>
      <c r="E443" s="5" t="str">
        <f>IF(D443&lt;0,"INVALID","OK")</f>
        <v>OK</v>
      </c>
      <c r="F443" t="s">
        <v>675</v>
      </c>
      <c r="G443" t="s">
        <v>52</v>
      </c>
      <c r="H443" t="s">
        <v>23</v>
      </c>
      <c r="I443" t="s">
        <v>62</v>
      </c>
      <c r="J443" t="s">
        <v>25</v>
      </c>
      <c r="K443" t="s">
        <v>108</v>
      </c>
      <c r="L443" t="s">
        <v>40</v>
      </c>
      <c r="M443" t="s">
        <v>157</v>
      </c>
      <c r="N443" t="s">
        <v>676</v>
      </c>
      <c r="O443" t="s">
        <v>49</v>
      </c>
      <c r="P443">
        <v>9</v>
      </c>
      <c r="Q443">
        <v>3318.24</v>
      </c>
      <c r="R443">
        <v>0</v>
      </c>
      <c r="S443" t="str">
        <f t="shared" si="57"/>
        <v>OK</v>
      </c>
      <c r="T443">
        <v>25384.54</v>
      </c>
      <c r="U443">
        <v>16872.39</v>
      </c>
      <c r="V443">
        <v>8512.15</v>
      </c>
      <c r="W443" t="s">
        <v>31</v>
      </c>
      <c r="X443" t="s">
        <v>32</v>
      </c>
      <c r="Y443">
        <f t="shared" si="50"/>
        <v>0</v>
      </c>
      <c r="Z443">
        <f t="shared" si="51"/>
        <v>29864.159999999996</v>
      </c>
      <c r="AA443">
        <f t="shared" si="52"/>
        <v>12991.769999999997</v>
      </c>
      <c r="AB443">
        <f t="shared" si="53"/>
        <v>43.502881045373449</v>
      </c>
      <c r="AC443">
        <f t="shared" si="54"/>
        <v>5</v>
      </c>
      <c r="AD443">
        <f t="shared" si="55"/>
        <v>2025</v>
      </c>
      <c r="AE443" t="str">
        <f t="shared" si="56"/>
        <v>CLEAN</v>
      </c>
    </row>
    <row r="444" spans="1:31">
      <c r="A444" t="s">
        <v>677</v>
      </c>
      <c r="B444" s="2">
        <v>45767</v>
      </c>
      <c r="C444" s="2">
        <v>45768</v>
      </c>
      <c r="D444" s="5">
        <f>C444-B444</f>
        <v>1</v>
      </c>
      <c r="E444" s="5" t="str">
        <f>IF(D444&lt;0,"INVALID","OK")</f>
        <v>OK</v>
      </c>
      <c r="F444" t="s">
        <v>678</v>
      </c>
      <c r="G444" t="s">
        <v>88</v>
      </c>
      <c r="H444" t="s">
        <v>23</v>
      </c>
      <c r="I444" t="s">
        <v>53</v>
      </c>
      <c r="J444" t="s">
        <v>246</v>
      </c>
      <c r="K444" t="s">
        <v>247</v>
      </c>
      <c r="L444" t="s">
        <v>27</v>
      </c>
      <c r="M444" t="s">
        <v>123</v>
      </c>
      <c r="N444" t="s">
        <v>679</v>
      </c>
      <c r="O444" t="s">
        <v>49</v>
      </c>
      <c r="P444">
        <v>3</v>
      </c>
      <c r="Q444">
        <v>540.09</v>
      </c>
      <c r="R444">
        <v>0.1</v>
      </c>
      <c r="S444" t="str">
        <f t="shared" si="57"/>
        <v>OK</v>
      </c>
      <c r="T444">
        <v>1458.24</v>
      </c>
      <c r="U444">
        <v>943.32</v>
      </c>
      <c r="V444">
        <v>514.91999999999996</v>
      </c>
      <c r="W444" t="s">
        <v>31</v>
      </c>
      <c r="X444" t="s">
        <v>32</v>
      </c>
      <c r="Y444">
        <f t="shared" si="50"/>
        <v>0.1</v>
      </c>
      <c r="Z444">
        <f t="shared" si="51"/>
        <v>1458.2429999999999</v>
      </c>
      <c r="AA444">
        <f t="shared" si="52"/>
        <v>514.92299999999989</v>
      </c>
      <c r="AB444">
        <f t="shared" si="53"/>
        <v>35.311192990468662</v>
      </c>
      <c r="AC444">
        <f t="shared" si="54"/>
        <v>4</v>
      </c>
      <c r="AD444">
        <f t="shared" si="55"/>
        <v>2025</v>
      </c>
      <c r="AE444" t="str">
        <f t="shared" si="56"/>
        <v>CLEAN</v>
      </c>
    </row>
    <row r="445" spans="1:31">
      <c r="A445" t="s">
        <v>689</v>
      </c>
      <c r="B445" s="2">
        <v>45685</v>
      </c>
      <c r="C445" s="2">
        <v>45688</v>
      </c>
      <c r="D445" s="5">
        <f>C445-B445</f>
        <v>3</v>
      </c>
      <c r="E445" s="5" t="str">
        <f>IF(D445&lt;0,"INVALID","OK")</f>
        <v>OK</v>
      </c>
      <c r="F445" t="s">
        <v>690</v>
      </c>
      <c r="G445" t="s">
        <v>113</v>
      </c>
      <c r="H445" t="s">
        <v>23</v>
      </c>
      <c r="I445" t="s">
        <v>62</v>
      </c>
      <c r="J445" t="s">
        <v>63</v>
      </c>
      <c r="K445" t="s">
        <v>64</v>
      </c>
      <c r="L445" t="s">
        <v>40</v>
      </c>
      <c r="M445" t="s">
        <v>56</v>
      </c>
      <c r="N445" t="s">
        <v>691</v>
      </c>
      <c r="O445" t="s">
        <v>49</v>
      </c>
      <c r="P445">
        <v>9</v>
      </c>
      <c r="Q445">
        <v>858.39</v>
      </c>
      <c r="R445">
        <v>0.05</v>
      </c>
      <c r="S445" t="str">
        <f t="shared" si="57"/>
        <v>OK</v>
      </c>
      <c r="T445">
        <v>7339.23</v>
      </c>
      <c r="U445">
        <v>5434.12</v>
      </c>
      <c r="V445">
        <v>1905.11</v>
      </c>
      <c r="W445" t="s">
        <v>110</v>
      </c>
      <c r="X445" t="s">
        <v>102</v>
      </c>
      <c r="Y445">
        <f t="shared" si="50"/>
        <v>0.05</v>
      </c>
      <c r="Z445">
        <f t="shared" si="51"/>
        <v>7339.2344999999996</v>
      </c>
      <c r="AA445">
        <f t="shared" si="52"/>
        <v>1905.1144999999997</v>
      </c>
      <c r="AB445">
        <f t="shared" si="53"/>
        <v>25.957945614082771</v>
      </c>
      <c r="AC445">
        <f t="shared" si="54"/>
        <v>1</v>
      </c>
      <c r="AD445">
        <f t="shared" si="55"/>
        <v>2025</v>
      </c>
      <c r="AE445" t="str">
        <f t="shared" si="56"/>
        <v>CLEAN</v>
      </c>
    </row>
    <row r="446" spans="1:31">
      <c r="A446" t="s">
        <v>692</v>
      </c>
      <c r="B446" s="2">
        <v>45860</v>
      </c>
      <c r="C446" s="2">
        <v>45862</v>
      </c>
      <c r="D446" s="5">
        <f>C446-B446</f>
        <v>2</v>
      </c>
      <c r="E446" s="5" t="str">
        <f>IF(D446&lt;0,"INVALID","OK")</f>
        <v>OK</v>
      </c>
      <c r="F446" t="s">
        <v>693</v>
      </c>
      <c r="G446" t="s">
        <v>78</v>
      </c>
      <c r="H446" t="s">
        <v>94</v>
      </c>
      <c r="I446" t="s">
        <v>53</v>
      </c>
      <c r="J446" t="s">
        <v>83</v>
      </c>
      <c r="K446" t="s">
        <v>84</v>
      </c>
      <c r="L446" t="s">
        <v>40</v>
      </c>
      <c r="M446" t="s">
        <v>56</v>
      </c>
      <c r="N446" t="s">
        <v>694</v>
      </c>
      <c r="O446" t="s">
        <v>43</v>
      </c>
      <c r="P446">
        <v>5</v>
      </c>
      <c r="Q446">
        <v>1922.83</v>
      </c>
      <c r="R446">
        <v>0</v>
      </c>
      <c r="S446" t="str">
        <f t="shared" ref="S446:S493" si="58">IF(R446&lt;0,"INVALID",IF(R446&gt;0.5,"INVALID","OK"))</f>
        <v>OK</v>
      </c>
      <c r="T446">
        <v>9614.15</v>
      </c>
      <c r="U446">
        <v>7576.84</v>
      </c>
      <c r="V446">
        <v>2037.31</v>
      </c>
      <c r="W446" t="s">
        <v>31</v>
      </c>
      <c r="X446" t="s">
        <v>32</v>
      </c>
      <c r="Y446">
        <f t="shared" si="50"/>
        <v>0</v>
      </c>
      <c r="Z446">
        <f t="shared" si="51"/>
        <v>9614.15</v>
      </c>
      <c r="AA446">
        <f t="shared" si="52"/>
        <v>2037.3099999999995</v>
      </c>
      <c r="AB446">
        <f t="shared" si="53"/>
        <v>21.190744891644083</v>
      </c>
      <c r="AC446">
        <f t="shared" si="54"/>
        <v>7</v>
      </c>
      <c r="AD446">
        <f t="shared" si="55"/>
        <v>2025</v>
      </c>
      <c r="AE446" t="str">
        <f t="shared" si="56"/>
        <v>CLEAN</v>
      </c>
    </row>
    <row r="447" spans="1:31">
      <c r="A447" t="s">
        <v>698</v>
      </c>
      <c r="B447" s="2">
        <v>45747</v>
      </c>
      <c r="C447" s="2">
        <v>45842</v>
      </c>
      <c r="D447" s="5">
        <f>C447-B447</f>
        <v>95</v>
      </c>
      <c r="E447" s="5" t="str">
        <f>IF(D447&lt;0,"INVALID","OK")</f>
        <v>OK</v>
      </c>
      <c r="F447" t="s">
        <v>389</v>
      </c>
      <c r="G447" t="s">
        <v>117</v>
      </c>
      <c r="H447" t="s">
        <v>36</v>
      </c>
      <c r="I447" t="s">
        <v>37</v>
      </c>
      <c r="J447" t="s">
        <v>144</v>
      </c>
      <c r="K447" t="s">
        <v>145</v>
      </c>
      <c r="L447" t="s">
        <v>27</v>
      </c>
      <c r="M447" t="s">
        <v>123</v>
      </c>
      <c r="N447" t="s">
        <v>699</v>
      </c>
      <c r="O447" t="s">
        <v>30</v>
      </c>
      <c r="P447">
        <v>5</v>
      </c>
      <c r="Q447">
        <v>4096.4399999999996</v>
      </c>
      <c r="R447">
        <v>0.15</v>
      </c>
      <c r="S447" t="str">
        <f t="shared" si="58"/>
        <v>OK</v>
      </c>
      <c r="T447">
        <v>17409.87</v>
      </c>
      <c r="U447">
        <v>14076.25</v>
      </c>
      <c r="V447">
        <v>3333.62</v>
      </c>
      <c r="W447" t="s">
        <v>31</v>
      </c>
      <c r="X447" t="s">
        <v>32</v>
      </c>
      <c r="Y447">
        <f t="shared" si="50"/>
        <v>0.15</v>
      </c>
      <c r="Z447">
        <f t="shared" si="51"/>
        <v>17409.869999999995</v>
      </c>
      <c r="AA447">
        <f t="shared" si="52"/>
        <v>3333.6199999999953</v>
      </c>
      <c r="AB447">
        <f t="shared" si="53"/>
        <v>19.147874165631311</v>
      </c>
      <c r="AC447">
        <f t="shared" si="54"/>
        <v>3</v>
      </c>
      <c r="AD447">
        <f t="shared" si="55"/>
        <v>2025</v>
      </c>
      <c r="AE447" t="str">
        <f t="shared" si="56"/>
        <v>CLEAN</v>
      </c>
    </row>
    <row r="448" spans="1:31">
      <c r="A448" t="s">
        <v>712</v>
      </c>
      <c r="B448" s="2">
        <v>45744</v>
      </c>
      <c r="C448" s="2">
        <v>45744</v>
      </c>
      <c r="D448" s="5">
        <f>C448-B448</f>
        <v>0</v>
      </c>
      <c r="E448" s="5" t="str">
        <f>IF(D448&lt;0,"INVALID","OK")</f>
        <v>OK</v>
      </c>
      <c r="F448" t="s">
        <v>713</v>
      </c>
      <c r="G448" t="s">
        <v>131</v>
      </c>
      <c r="H448" t="s">
        <v>89</v>
      </c>
      <c r="I448" t="s">
        <v>62</v>
      </c>
      <c r="J448" t="s">
        <v>189</v>
      </c>
      <c r="K448" t="s">
        <v>190</v>
      </c>
      <c r="L448" t="s">
        <v>73</v>
      </c>
      <c r="M448" t="s">
        <v>74</v>
      </c>
      <c r="N448" t="s">
        <v>714</v>
      </c>
      <c r="O448" t="s">
        <v>58</v>
      </c>
      <c r="P448">
        <v>8</v>
      </c>
      <c r="Q448">
        <v>1740.94</v>
      </c>
      <c r="R448">
        <v>0.05</v>
      </c>
      <c r="S448" t="str">
        <f t="shared" si="58"/>
        <v>OK</v>
      </c>
      <c r="T448">
        <v>13231.14</v>
      </c>
      <c r="U448">
        <v>11290.06</v>
      </c>
      <c r="V448">
        <v>1941.08</v>
      </c>
      <c r="W448" t="s">
        <v>31</v>
      </c>
      <c r="X448" t="s">
        <v>32</v>
      </c>
      <c r="Y448">
        <f t="shared" si="50"/>
        <v>0.05</v>
      </c>
      <c r="Z448">
        <f t="shared" si="51"/>
        <v>13231.144</v>
      </c>
      <c r="AA448">
        <f t="shared" si="52"/>
        <v>1941.0840000000007</v>
      </c>
      <c r="AB448">
        <f t="shared" si="53"/>
        <v>14.670568168557462</v>
      </c>
      <c r="AC448">
        <f t="shared" si="54"/>
        <v>3</v>
      </c>
      <c r="AD448">
        <f t="shared" si="55"/>
        <v>2025</v>
      </c>
      <c r="AE448" t="str">
        <f t="shared" si="56"/>
        <v>CLEAN</v>
      </c>
    </row>
    <row r="449" spans="1:31">
      <c r="A449" t="s">
        <v>718</v>
      </c>
      <c r="B449" s="2">
        <v>45858</v>
      </c>
      <c r="C449" s="2">
        <v>45861</v>
      </c>
      <c r="D449" s="5">
        <f>C449-B449</f>
        <v>3</v>
      </c>
      <c r="E449" s="5" t="str">
        <f>IF(D449&lt;0,"INVALID","OK")</f>
        <v>OK</v>
      </c>
      <c r="F449" t="s">
        <v>719</v>
      </c>
      <c r="G449" t="s">
        <v>35</v>
      </c>
      <c r="H449" t="s">
        <v>94</v>
      </c>
      <c r="I449" t="s">
        <v>37</v>
      </c>
      <c r="J449" t="s">
        <v>98</v>
      </c>
      <c r="K449" t="s">
        <v>99</v>
      </c>
      <c r="L449" t="s">
        <v>40</v>
      </c>
      <c r="M449" t="s">
        <v>41</v>
      </c>
      <c r="N449" t="s">
        <v>720</v>
      </c>
      <c r="O449" t="s">
        <v>30</v>
      </c>
      <c r="P449">
        <v>4</v>
      </c>
      <c r="Q449">
        <v>477.69</v>
      </c>
      <c r="R449">
        <v>0.15</v>
      </c>
      <c r="S449" t="str">
        <f t="shared" si="58"/>
        <v>OK</v>
      </c>
      <c r="T449">
        <v>1624.15</v>
      </c>
      <c r="U449">
        <v>1217.99</v>
      </c>
      <c r="V449">
        <v>406.16</v>
      </c>
      <c r="W449" t="s">
        <v>31</v>
      </c>
      <c r="X449" t="s">
        <v>32</v>
      </c>
      <c r="Y449">
        <f t="shared" si="50"/>
        <v>0.15</v>
      </c>
      <c r="Z449">
        <f t="shared" si="51"/>
        <v>1624.146</v>
      </c>
      <c r="AA449">
        <f t="shared" si="52"/>
        <v>406.15599999999995</v>
      </c>
      <c r="AB449">
        <f t="shared" si="53"/>
        <v>25.007357712914967</v>
      </c>
      <c r="AC449">
        <f t="shared" si="54"/>
        <v>7</v>
      </c>
      <c r="AD449">
        <f t="shared" si="55"/>
        <v>2025</v>
      </c>
      <c r="AE449" t="str">
        <f t="shared" si="56"/>
        <v>CLEAN</v>
      </c>
    </row>
    <row r="450" spans="1:31">
      <c r="A450" t="s">
        <v>721</v>
      </c>
      <c r="B450" s="2">
        <v>45768</v>
      </c>
      <c r="C450" s="2">
        <v>45773</v>
      </c>
      <c r="D450" s="5">
        <f>C450-B450</f>
        <v>5</v>
      </c>
      <c r="E450" s="5" t="str">
        <f>IF(D450&lt;0,"INVALID","OK")</f>
        <v>OK</v>
      </c>
      <c r="F450" t="s">
        <v>722</v>
      </c>
      <c r="G450" t="s">
        <v>61</v>
      </c>
      <c r="H450" t="s">
        <v>23</v>
      </c>
      <c r="I450" t="s">
        <v>62</v>
      </c>
      <c r="J450" t="s">
        <v>63</v>
      </c>
      <c r="K450" t="s">
        <v>64</v>
      </c>
      <c r="L450" t="s">
        <v>27</v>
      </c>
      <c r="M450" t="s">
        <v>90</v>
      </c>
      <c r="N450" t="s">
        <v>723</v>
      </c>
      <c r="O450" t="s">
        <v>43</v>
      </c>
      <c r="P450">
        <v>6</v>
      </c>
      <c r="Q450">
        <v>873.59</v>
      </c>
      <c r="R450">
        <v>0.2</v>
      </c>
      <c r="S450" t="str">
        <f t="shared" si="58"/>
        <v>OK</v>
      </c>
      <c r="T450">
        <v>4193.2299999999996</v>
      </c>
      <c r="U450">
        <v>3329.99</v>
      </c>
      <c r="V450">
        <v>863.24</v>
      </c>
      <c r="W450" t="s">
        <v>31</v>
      </c>
      <c r="X450" t="s">
        <v>32</v>
      </c>
      <c r="Y450">
        <f t="shared" si="50"/>
        <v>0.2</v>
      </c>
      <c r="Z450">
        <f t="shared" si="51"/>
        <v>4193.232</v>
      </c>
      <c r="AA450">
        <f t="shared" si="52"/>
        <v>863.24200000000019</v>
      </c>
      <c r="AB450">
        <f t="shared" si="53"/>
        <v>20.586554714835721</v>
      </c>
      <c r="AC450">
        <f t="shared" si="54"/>
        <v>4</v>
      </c>
      <c r="AD450">
        <f t="shared" si="55"/>
        <v>2025</v>
      </c>
      <c r="AE450" t="str">
        <f t="shared" si="56"/>
        <v>CLEAN</v>
      </c>
    </row>
    <row r="451" spans="1:31">
      <c r="A451" t="s">
        <v>724</v>
      </c>
      <c r="B451" s="2">
        <v>45795</v>
      </c>
      <c r="C451" s="2">
        <v>45797</v>
      </c>
      <c r="D451" s="5">
        <f>C451-B451</f>
        <v>2</v>
      </c>
      <c r="E451" s="5" t="str">
        <f>IF(D451&lt;0,"INVALID","OK")</f>
        <v>OK</v>
      </c>
      <c r="F451" t="s">
        <v>725</v>
      </c>
      <c r="G451" t="s">
        <v>161</v>
      </c>
      <c r="H451" t="s">
        <v>36</v>
      </c>
      <c r="I451" t="s">
        <v>24</v>
      </c>
      <c r="J451" t="s">
        <v>135</v>
      </c>
      <c r="K451" t="s">
        <v>136</v>
      </c>
      <c r="L451" t="s">
        <v>40</v>
      </c>
      <c r="M451" t="s">
        <v>56</v>
      </c>
      <c r="N451" t="s">
        <v>726</v>
      </c>
      <c r="O451" t="s">
        <v>49</v>
      </c>
      <c r="P451">
        <v>2</v>
      </c>
      <c r="Q451">
        <v>215.13</v>
      </c>
      <c r="R451">
        <v>0</v>
      </c>
      <c r="S451" t="str">
        <f t="shared" si="58"/>
        <v>OK</v>
      </c>
      <c r="T451">
        <v>430.26</v>
      </c>
      <c r="U451">
        <v>286.38</v>
      </c>
      <c r="V451">
        <v>143.88</v>
      </c>
      <c r="W451" t="s">
        <v>31</v>
      </c>
      <c r="X451" t="s">
        <v>32</v>
      </c>
      <c r="Y451">
        <f t="shared" ref="Y451:Y514" si="59">IF(R451&lt;0,0,IF(R451&gt;0.5,0,R451))</f>
        <v>0</v>
      </c>
      <c r="Z451">
        <f t="shared" ref="Z451:Z514" si="60">P451*Q451*(1-Y451)</f>
        <v>430.26</v>
      </c>
      <c r="AA451">
        <f t="shared" ref="AA451:AA514" si="61">Z451-U451</f>
        <v>143.88</v>
      </c>
      <c r="AB451">
        <f t="shared" ref="AB451:AB514" si="62">AA451/Z451*100</f>
        <v>33.440245432994004</v>
      </c>
      <c r="AC451">
        <f t="shared" ref="AC451:AC514" si="63">MONTH(B451)</f>
        <v>5</v>
      </c>
      <c r="AD451">
        <f t="shared" ref="AD451:AD514" si="64">YEAR(B451)</f>
        <v>2025</v>
      </c>
      <c r="AE451" t="str">
        <f t="shared" ref="AE451:AE514" si="65">IF(OR(R451&lt;0,NOT(ISNUMBER(R451)),D451&lt;0,W451="Failed"),"INVALID",IF(OR(I451="",O451="",R451="",R451&gt;0.5,AA451&lt;0),"WARNING","CLEAN"))</f>
        <v>CLEAN</v>
      </c>
    </row>
    <row r="452" spans="1:31">
      <c r="A452" t="s">
        <v>730</v>
      </c>
      <c r="B452" s="2">
        <v>45837</v>
      </c>
      <c r="C452" s="2">
        <v>45784</v>
      </c>
      <c r="D452" s="5">
        <f>C452-B452</f>
        <v>-53</v>
      </c>
      <c r="E452" s="5" t="str">
        <f>IF(D452&lt;0,"INVALID","OK")</f>
        <v>INVALID</v>
      </c>
      <c r="F452" t="s">
        <v>731</v>
      </c>
      <c r="G452" t="s">
        <v>161</v>
      </c>
      <c r="H452" t="s">
        <v>23</v>
      </c>
      <c r="I452" t="s">
        <v>24</v>
      </c>
      <c r="J452" t="s">
        <v>121</v>
      </c>
      <c r="K452" t="s">
        <v>122</v>
      </c>
      <c r="L452" t="s">
        <v>40</v>
      </c>
      <c r="M452" t="s">
        <v>65</v>
      </c>
      <c r="N452" t="s">
        <v>732</v>
      </c>
      <c r="O452" t="s">
        <v>43</v>
      </c>
      <c r="P452">
        <v>1</v>
      </c>
      <c r="Q452">
        <v>999.83</v>
      </c>
      <c r="R452">
        <v>0</v>
      </c>
      <c r="S452" t="str">
        <f t="shared" si="58"/>
        <v>OK</v>
      </c>
      <c r="T452">
        <v>999.83</v>
      </c>
      <c r="U452">
        <v>634.91</v>
      </c>
      <c r="V452">
        <v>364.92</v>
      </c>
      <c r="W452" t="s">
        <v>31</v>
      </c>
      <c r="X452" t="s">
        <v>32</v>
      </c>
      <c r="Y452">
        <f t="shared" si="59"/>
        <v>0</v>
      </c>
      <c r="Z452">
        <f t="shared" si="60"/>
        <v>999.83</v>
      </c>
      <c r="AA452">
        <f t="shared" si="61"/>
        <v>364.92000000000007</v>
      </c>
      <c r="AB452">
        <f t="shared" si="62"/>
        <v>36.498204694798119</v>
      </c>
      <c r="AC452">
        <f t="shared" si="63"/>
        <v>6</v>
      </c>
      <c r="AD452">
        <f t="shared" si="64"/>
        <v>2025</v>
      </c>
      <c r="AE452" t="str">
        <f t="shared" si="65"/>
        <v>INVALID</v>
      </c>
    </row>
    <row r="453" spans="1:31">
      <c r="A453" t="s">
        <v>733</v>
      </c>
      <c r="B453" s="2">
        <v>45882</v>
      </c>
      <c r="C453" s="2">
        <v>45883</v>
      </c>
      <c r="D453" s="5">
        <f>C453-B453</f>
        <v>1</v>
      </c>
      <c r="E453" s="5" t="str">
        <f>IF(D453&lt;0,"INVALID","OK")</f>
        <v>OK</v>
      </c>
      <c r="F453" t="s">
        <v>734</v>
      </c>
      <c r="G453" t="s">
        <v>140</v>
      </c>
      <c r="H453" t="s">
        <v>36</v>
      </c>
      <c r="I453" t="s">
        <v>53</v>
      </c>
      <c r="J453" t="s">
        <v>83</v>
      </c>
      <c r="K453" t="s">
        <v>84</v>
      </c>
      <c r="L453" t="s">
        <v>27</v>
      </c>
      <c r="M453" t="s">
        <v>28</v>
      </c>
      <c r="N453" t="s">
        <v>735</v>
      </c>
      <c r="O453" t="s">
        <v>49</v>
      </c>
      <c r="P453">
        <v>9</v>
      </c>
      <c r="Q453">
        <v>864.98</v>
      </c>
      <c r="R453">
        <v>0.1</v>
      </c>
      <c r="S453" t="str">
        <f t="shared" si="58"/>
        <v>OK</v>
      </c>
      <c r="T453">
        <v>7006.34</v>
      </c>
      <c r="U453">
        <v>4640.88</v>
      </c>
      <c r="V453">
        <v>2365.46</v>
      </c>
      <c r="W453" t="s">
        <v>31</v>
      </c>
      <c r="X453" t="s">
        <v>32</v>
      </c>
      <c r="Y453">
        <f t="shared" si="59"/>
        <v>0.1</v>
      </c>
      <c r="Z453">
        <f t="shared" si="60"/>
        <v>7006.3379999999997</v>
      </c>
      <c r="AA453">
        <f t="shared" si="61"/>
        <v>2365.4579999999996</v>
      </c>
      <c r="AB453">
        <f t="shared" si="62"/>
        <v>33.761688345609357</v>
      </c>
      <c r="AC453">
        <f t="shared" si="63"/>
        <v>8</v>
      </c>
      <c r="AD453">
        <f t="shared" si="64"/>
        <v>2025</v>
      </c>
      <c r="AE453" t="str">
        <f t="shared" si="65"/>
        <v>CLEAN</v>
      </c>
    </row>
    <row r="454" spans="1:31">
      <c r="A454" t="s">
        <v>760</v>
      </c>
      <c r="B454" s="2">
        <v>45714</v>
      </c>
      <c r="C454" s="2">
        <v>45715</v>
      </c>
      <c r="D454" s="5">
        <f>C454-B454</f>
        <v>1</v>
      </c>
      <c r="E454" s="5" t="str">
        <f>IF(D454&lt;0,"INVALID","OK")</f>
        <v>OK</v>
      </c>
      <c r="F454" t="s">
        <v>761</v>
      </c>
      <c r="G454" t="s">
        <v>113</v>
      </c>
      <c r="H454" t="s">
        <v>89</v>
      </c>
      <c r="I454" t="s">
        <v>62</v>
      </c>
      <c r="J454" t="s">
        <v>179</v>
      </c>
      <c r="K454" t="s">
        <v>180</v>
      </c>
      <c r="L454" t="s">
        <v>40</v>
      </c>
      <c r="M454" t="s">
        <v>157</v>
      </c>
      <c r="N454" t="s">
        <v>762</v>
      </c>
      <c r="O454" t="s">
        <v>58</v>
      </c>
      <c r="P454">
        <v>5</v>
      </c>
      <c r="Q454">
        <v>258.27999999999997</v>
      </c>
      <c r="R454">
        <v>0</v>
      </c>
      <c r="S454" t="str">
        <f t="shared" si="58"/>
        <v>OK</v>
      </c>
      <c r="T454">
        <v>1291.4000000000001</v>
      </c>
      <c r="U454">
        <v>756.93</v>
      </c>
      <c r="V454">
        <v>534.47</v>
      </c>
      <c r="W454" t="s">
        <v>31</v>
      </c>
      <c r="X454" t="s">
        <v>32</v>
      </c>
      <c r="Y454">
        <f t="shared" si="59"/>
        <v>0</v>
      </c>
      <c r="Z454">
        <f t="shared" si="60"/>
        <v>1291.3999999999999</v>
      </c>
      <c r="AA454">
        <f t="shared" si="61"/>
        <v>534.46999999999991</v>
      </c>
      <c r="AB454">
        <f t="shared" si="62"/>
        <v>41.386866966083318</v>
      </c>
      <c r="AC454">
        <f t="shared" si="63"/>
        <v>2</v>
      </c>
      <c r="AD454">
        <f t="shared" si="64"/>
        <v>2025</v>
      </c>
      <c r="AE454" t="str">
        <f t="shared" si="65"/>
        <v>CLEAN</v>
      </c>
    </row>
    <row r="455" spans="1:31">
      <c r="A455" t="s">
        <v>770</v>
      </c>
      <c r="B455" s="2">
        <v>45992</v>
      </c>
      <c r="C455" s="2">
        <v>45672</v>
      </c>
      <c r="D455" s="5">
        <f>C455-B455</f>
        <v>-320</v>
      </c>
      <c r="E455" s="5" t="str">
        <f>IF(D455&lt;0,"INVALID","OK")</f>
        <v>INVALID</v>
      </c>
      <c r="F455" t="s">
        <v>771</v>
      </c>
      <c r="G455" t="s">
        <v>35</v>
      </c>
      <c r="H455" t="s">
        <v>89</v>
      </c>
      <c r="I455" t="s">
        <v>53</v>
      </c>
      <c r="J455" t="s">
        <v>174</v>
      </c>
      <c r="K455" t="s">
        <v>175</v>
      </c>
      <c r="L455" t="s">
        <v>40</v>
      </c>
      <c r="M455" t="s">
        <v>65</v>
      </c>
      <c r="N455" t="s">
        <v>772</v>
      </c>
      <c r="O455" t="s">
        <v>43</v>
      </c>
      <c r="P455">
        <v>4</v>
      </c>
      <c r="Q455">
        <v>1531.53</v>
      </c>
      <c r="R455">
        <v>0.2</v>
      </c>
      <c r="S455" t="str">
        <f t="shared" si="58"/>
        <v>OK</v>
      </c>
      <c r="T455">
        <v>4900.8999999999996</v>
      </c>
      <c r="U455">
        <v>3552.69</v>
      </c>
      <c r="V455">
        <v>1348.21</v>
      </c>
      <c r="W455" t="s">
        <v>31</v>
      </c>
      <c r="X455" t="s">
        <v>32</v>
      </c>
      <c r="Y455">
        <f t="shared" si="59"/>
        <v>0.2</v>
      </c>
      <c r="Z455">
        <f t="shared" si="60"/>
        <v>4900.8959999999997</v>
      </c>
      <c r="AA455">
        <f t="shared" si="61"/>
        <v>1348.2059999999997</v>
      </c>
      <c r="AB455">
        <f t="shared" si="62"/>
        <v>27.509377877024932</v>
      </c>
      <c r="AC455">
        <f t="shared" si="63"/>
        <v>12</v>
      </c>
      <c r="AD455">
        <f t="shared" si="64"/>
        <v>2025</v>
      </c>
      <c r="AE455" t="str">
        <f t="shared" si="65"/>
        <v>INVALID</v>
      </c>
    </row>
    <row r="456" spans="1:31">
      <c r="A456" t="s">
        <v>773</v>
      </c>
      <c r="B456" s="2">
        <v>45776</v>
      </c>
      <c r="C456" s="2">
        <v>45779</v>
      </c>
      <c r="D456" s="5">
        <f>C456-B456</f>
        <v>3</v>
      </c>
      <c r="E456" s="5" t="str">
        <f>IF(D456&lt;0,"INVALID","OK")</f>
        <v>OK</v>
      </c>
      <c r="F456" t="s">
        <v>774</v>
      </c>
      <c r="G456" t="s">
        <v>70</v>
      </c>
      <c r="H456" t="s">
        <v>36</v>
      </c>
      <c r="I456" t="s">
        <v>62</v>
      </c>
      <c r="J456" t="s">
        <v>189</v>
      </c>
      <c r="K456" t="s">
        <v>190</v>
      </c>
      <c r="L456" t="s">
        <v>27</v>
      </c>
      <c r="M456" t="s">
        <v>123</v>
      </c>
      <c r="N456" t="s">
        <v>775</v>
      </c>
      <c r="O456" t="s">
        <v>49</v>
      </c>
      <c r="P456">
        <v>6</v>
      </c>
      <c r="Q456">
        <v>4308.09</v>
      </c>
      <c r="R456">
        <v>0</v>
      </c>
      <c r="S456" t="str">
        <f t="shared" si="58"/>
        <v>OK</v>
      </c>
      <c r="T456">
        <v>25848.54</v>
      </c>
      <c r="U456">
        <v>17729.09</v>
      </c>
      <c r="V456">
        <v>8119.45</v>
      </c>
      <c r="W456" t="s">
        <v>31</v>
      </c>
      <c r="X456" t="s">
        <v>32</v>
      </c>
      <c r="Y456">
        <f t="shared" si="59"/>
        <v>0</v>
      </c>
      <c r="Z456">
        <f t="shared" si="60"/>
        <v>25848.54</v>
      </c>
      <c r="AA456">
        <f t="shared" si="61"/>
        <v>8119.4500000000007</v>
      </c>
      <c r="AB456">
        <f t="shared" si="62"/>
        <v>31.411638723115505</v>
      </c>
      <c r="AC456">
        <f t="shared" si="63"/>
        <v>4</v>
      </c>
      <c r="AD456">
        <f t="shared" si="64"/>
        <v>2025</v>
      </c>
      <c r="AE456" t="str">
        <f t="shared" si="65"/>
        <v>CLEAN</v>
      </c>
    </row>
    <row r="457" spans="1:31">
      <c r="A457" t="s">
        <v>776</v>
      </c>
      <c r="B457" s="2">
        <v>45707</v>
      </c>
      <c r="C457" s="2">
        <v>45714</v>
      </c>
      <c r="D457" s="5">
        <f>C457-B457</f>
        <v>7</v>
      </c>
      <c r="E457" s="5" t="str">
        <f>IF(D457&lt;0,"INVALID","OK")</f>
        <v>OK</v>
      </c>
      <c r="F457" t="s">
        <v>777</v>
      </c>
      <c r="G457" t="s">
        <v>35</v>
      </c>
      <c r="H457" t="s">
        <v>89</v>
      </c>
      <c r="I457" t="s">
        <v>62</v>
      </c>
      <c r="J457" t="s">
        <v>63</v>
      </c>
      <c r="K457" t="s">
        <v>64</v>
      </c>
      <c r="L457" t="s">
        <v>40</v>
      </c>
      <c r="M457" t="s">
        <v>56</v>
      </c>
      <c r="N457" t="s">
        <v>778</v>
      </c>
      <c r="O457" t="s">
        <v>49</v>
      </c>
      <c r="P457">
        <v>3</v>
      </c>
      <c r="Q457">
        <v>490.3</v>
      </c>
      <c r="R457">
        <v>0.2</v>
      </c>
      <c r="S457" t="str">
        <f t="shared" si="58"/>
        <v>OK</v>
      </c>
      <c r="T457">
        <v>1176.72</v>
      </c>
      <c r="U457">
        <v>654.33000000000004</v>
      </c>
      <c r="V457">
        <v>522.39</v>
      </c>
      <c r="W457" t="s">
        <v>110</v>
      </c>
      <c r="X457" t="s">
        <v>102</v>
      </c>
      <c r="Y457">
        <f t="shared" si="59"/>
        <v>0.2</v>
      </c>
      <c r="Z457">
        <f t="shared" si="60"/>
        <v>1176.72</v>
      </c>
      <c r="AA457">
        <f t="shared" si="61"/>
        <v>522.39</v>
      </c>
      <c r="AB457">
        <f t="shared" si="62"/>
        <v>44.393738527432177</v>
      </c>
      <c r="AC457">
        <f t="shared" si="63"/>
        <v>2</v>
      </c>
      <c r="AD457">
        <f t="shared" si="64"/>
        <v>2025</v>
      </c>
      <c r="AE457" t="str">
        <f t="shared" si="65"/>
        <v>CLEAN</v>
      </c>
    </row>
    <row r="458" spans="1:31">
      <c r="A458" t="s">
        <v>779</v>
      </c>
      <c r="B458" s="2">
        <v>45932</v>
      </c>
      <c r="C458" s="2">
        <v>45938</v>
      </c>
      <c r="D458" s="5">
        <f>C458-B458</f>
        <v>6</v>
      </c>
      <c r="E458" s="5" t="str">
        <f>IF(D458&lt;0,"INVALID","OK")</f>
        <v>OK</v>
      </c>
      <c r="F458" t="s">
        <v>780</v>
      </c>
      <c r="G458" t="s">
        <v>46</v>
      </c>
      <c r="H458" t="s">
        <v>36</v>
      </c>
      <c r="I458" t="s">
        <v>24</v>
      </c>
      <c r="J458" t="s">
        <v>121</v>
      </c>
      <c r="K458" t="s">
        <v>122</v>
      </c>
      <c r="L458" t="s">
        <v>40</v>
      </c>
      <c r="M458" t="s">
        <v>56</v>
      </c>
      <c r="N458" t="s">
        <v>781</v>
      </c>
      <c r="O458" t="s">
        <v>58</v>
      </c>
      <c r="P458">
        <v>4</v>
      </c>
      <c r="Q458">
        <v>3944.64</v>
      </c>
      <c r="R458">
        <v>0.25</v>
      </c>
      <c r="S458" t="str">
        <f t="shared" si="58"/>
        <v>OK</v>
      </c>
      <c r="T458">
        <v>12116.89</v>
      </c>
      <c r="U458">
        <v>6682.92</v>
      </c>
      <c r="V458">
        <v>5151</v>
      </c>
      <c r="W458" t="s">
        <v>31</v>
      </c>
      <c r="X458" t="s">
        <v>102</v>
      </c>
      <c r="Y458">
        <f t="shared" si="59"/>
        <v>0.25</v>
      </c>
      <c r="Z458">
        <f t="shared" si="60"/>
        <v>11833.92</v>
      </c>
      <c r="AA458">
        <f t="shared" si="61"/>
        <v>5151</v>
      </c>
      <c r="AB458">
        <f t="shared" si="62"/>
        <v>43.527419485681833</v>
      </c>
      <c r="AC458">
        <f t="shared" si="63"/>
        <v>10</v>
      </c>
      <c r="AD458">
        <f t="shared" si="64"/>
        <v>2025</v>
      </c>
      <c r="AE458" t="str">
        <f t="shared" si="65"/>
        <v>CLEAN</v>
      </c>
    </row>
    <row r="459" spans="1:31">
      <c r="A459" t="s">
        <v>785</v>
      </c>
      <c r="B459" s="2">
        <v>45934</v>
      </c>
      <c r="C459" s="2">
        <v>45762</v>
      </c>
      <c r="D459" s="5">
        <f>C459-B459</f>
        <v>-172</v>
      </c>
      <c r="E459" s="5" t="str">
        <f>IF(D459&lt;0,"INVALID","OK")</f>
        <v>INVALID</v>
      </c>
      <c r="F459" t="s">
        <v>786</v>
      </c>
      <c r="G459" t="s">
        <v>161</v>
      </c>
      <c r="H459" t="s">
        <v>94</v>
      </c>
      <c r="I459" t="s">
        <v>2762</v>
      </c>
      <c r="J459" t="s">
        <v>184</v>
      </c>
      <c r="K459" t="s">
        <v>185</v>
      </c>
      <c r="L459" t="s">
        <v>73</v>
      </c>
      <c r="M459" t="s">
        <v>79</v>
      </c>
      <c r="N459" t="s">
        <v>787</v>
      </c>
      <c r="O459" t="s">
        <v>43</v>
      </c>
      <c r="P459">
        <v>1</v>
      </c>
      <c r="Q459">
        <v>2208.27</v>
      </c>
      <c r="R459">
        <v>0.1</v>
      </c>
      <c r="S459" t="str">
        <f t="shared" si="58"/>
        <v>OK</v>
      </c>
      <c r="T459">
        <v>1987.44</v>
      </c>
      <c r="U459">
        <v>1110.23</v>
      </c>
      <c r="V459">
        <v>877.21</v>
      </c>
      <c r="W459" t="s">
        <v>31</v>
      </c>
      <c r="X459" t="s">
        <v>32</v>
      </c>
      <c r="Y459">
        <f t="shared" si="59"/>
        <v>0.1</v>
      </c>
      <c r="Z459">
        <f t="shared" si="60"/>
        <v>1987.443</v>
      </c>
      <c r="AA459">
        <f t="shared" si="61"/>
        <v>877.21299999999997</v>
      </c>
      <c r="AB459">
        <f t="shared" si="62"/>
        <v>44.137768982556985</v>
      </c>
      <c r="AC459">
        <f t="shared" si="63"/>
        <v>10</v>
      </c>
      <c r="AD459">
        <f t="shared" si="64"/>
        <v>2025</v>
      </c>
      <c r="AE459" t="str">
        <f t="shared" si="65"/>
        <v>INVALID</v>
      </c>
    </row>
    <row r="460" spans="1:31">
      <c r="A460" t="s">
        <v>803</v>
      </c>
      <c r="B460" s="2">
        <v>45812</v>
      </c>
      <c r="C460" s="2">
        <v>45818</v>
      </c>
      <c r="D460" s="5">
        <f>C460-B460</f>
        <v>6</v>
      </c>
      <c r="E460" s="5" t="str">
        <f>IF(D460&lt;0,"INVALID","OK")</f>
        <v>OK</v>
      </c>
      <c r="F460" t="s">
        <v>804</v>
      </c>
      <c r="G460" t="s">
        <v>117</v>
      </c>
      <c r="H460" t="s">
        <v>23</v>
      </c>
      <c r="I460" t="s">
        <v>53</v>
      </c>
      <c r="J460" t="s">
        <v>83</v>
      </c>
      <c r="K460" t="s">
        <v>84</v>
      </c>
      <c r="L460" t="s">
        <v>73</v>
      </c>
      <c r="M460" t="s">
        <v>170</v>
      </c>
      <c r="N460" t="s">
        <v>805</v>
      </c>
      <c r="O460" t="s">
        <v>58</v>
      </c>
      <c r="P460">
        <v>4</v>
      </c>
      <c r="Q460">
        <v>223.37</v>
      </c>
      <c r="R460">
        <v>0.25</v>
      </c>
      <c r="S460" t="str">
        <f t="shared" si="58"/>
        <v>OK</v>
      </c>
      <c r="T460">
        <v>670.11</v>
      </c>
      <c r="U460">
        <v>559.57000000000005</v>
      </c>
      <c r="V460">
        <v>110.54</v>
      </c>
      <c r="W460" t="s">
        <v>31</v>
      </c>
      <c r="X460" t="s">
        <v>32</v>
      </c>
      <c r="Y460">
        <f t="shared" si="59"/>
        <v>0.25</v>
      </c>
      <c r="Z460">
        <f t="shared" si="60"/>
        <v>670.11</v>
      </c>
      <c r="AA460">
        <f t="shared" si="61"/>
        <v>110.53999999999996</v>
      </c>
      <c r="AB460">
        <f t="shared" si="62"/>
        <v>16.495799197146731</v>
      </c>
      <c r="AC460">
        <f t="shared" si="63"/>
        <v>6</v>
      </c>
      <c r="AD460">
        <f t="shared" si="64"/>
        <v>2025</v>
      </c>
      <c r="AE460" t="str">
        <f t="shared" si="65"/>
        <v>CLEAN</v>
      </c>
    </row>
    <row r="461" spans="1:31">
      <c r="A461" t="s">
        <v>830</v>
      </c>
      <c r="B461" s="2">
        <v>45844</v>
      </c>
      <c r="C461" s="2">
        <v>45815</v>
      </c>
      <c r="D461" s="5">
        <f>C461-B461</f>
        <v>-29</v>
      </c>
      <c r="E461" s="5" t="str">
        <f>IF(D461&lt;0,"INVALID","OK")</f>
        <v>INVALID</v>
      </c>
      <c r="F461" t="s">
        <v>831</v>
      </c>
      <c r="G461" t="s">
        <v>131</v>
      </c>
      <c r="H461" t="s">
        <v>89</v>
      </c>
      <c r="I461" t="s">
        <v>24</v>
      </c>
      <c r="J461" t="s">
        <v>235</v>
      </c>
      <c r="K461" t="s">
        <v>236</v>
      </c>
      <c r="L461" t="s">
        <v>27</v>
      </c>
      <c r="M461" t="s">
        <v>123</v>
      </c>
      <c r="N461" t="s">
        <v>832</v>
      </c>
      <c r="O461" t="s">
        <v>58</v>
      </c>
      <c r="P461">
        <v>1</v>
      </c>
      <c r="Q461">
        <v>1617.2</v>
      </c>
      <c r="R461">
        <v>0.25</v>
      </c>
      <c r="S461" t="str">
        <f t="shared" si="58"/>
        <v>OK</v>
      </c>
      <c r="T461">
        <v>1212.9000000000001</v>
      </c>
      <c r="U461">
        <v>690.52</v>
      </c>
      <c r="V461">
        <v>522.38</v>
      </c>
      <c r="W461" t="s">
        <v>110</v>
      </c>
      <c r="X461" t="s">
        <v>102</v>
      </c>
      <c r="Y461">
        <f t="shared" si="59"/>
        <v>0.25</v>
      </c>
      <c r="Z461">
        <f t="shared" si="60"/>
        <v>1212.9000000000001</v>
      </c>
      <c r="AA461">
        <f t="shared" si="61"/>
        <v>522.38000000000011</v>
      </c>
      <c r="AB461">
        <f t="shared" si="62"/>
        <v>43.068678374144618</v>
      </c>
      <c r="AC461">
        <f t="shared" si="63"/>
        <v>7</v>
      </c>
      <c r="AD461">
        <f t="shared" si="64"/>
        <v>2025</v>
      </c>
      <c r="AE461" t="str">
        <f t="shared" si="65"/>
        <v>INVALID</v>
      </c>
    </row>
    <row r="462" spans="1:31">
      <c r="A462" t="s">
        <v>833</v>
      </c>
      <c r="B462" s="2">
        <v>45695</v>
      </c>
      <c r="C462" s="2">
        <v>45695</v>
      </c>
      <c r="D462" s="5">
        <f>C462-B462</f>
        <v>0</v>
      </c>
      <c r="E462" s="5" t="str">
        <f>IF(D462&lt;0,"INVALID","OK")</f>
        <v>OK</v>
      </c>
      <c r="F462" t="s">
        <v>834</v>
      </c>
      <c r="G462" t="s">
        <v>52</v>
      </c>
      <c r="H462" t="s">
        <v>23</v>
      </c>
      <c r="I462" t="s">
        <v>24</v>
      </c>
      <c r="J462" t="s">
        <v>135</v>
      </c>
      <c r="K462" t="s">
        <v>136</v>
      </c>
      <c r="L462" t="s">
        <v>27</v>
      </c>
      <c r="M462" t="s">
        <v>47</v>
      </c>
      <c r="N462" t="s">
        <v>835</v>
      </c>
      <c r="O462" t="s">
        <v>30</v>
      </c>
      <c r="P462">
        <v>3</v>
      </c>
      <c r="Q462">
        <v>1999.24</v>
      </c>
      <c r="R462">
        <v>0.05</v>
      </c>
      <c r="S462" t="str">
        <f t="shared" si="58"/>
        <v>OK</v>
      </c>
      <c r="T462">
        <v>5697.83</v>
      </c>
      <c r="U462">
        <v>4251.5</v>
      </c>
      <c r="V462">
        <v>1446.33</v>
      </c>
      <c r="W462" t="s">
        <v>31</v>
      </c>
      <c r="X462" t="s">
        <v>32</v>
      </c>
      <c r="Y462">
        <f t="shared" si="59"/>
        <v>0.05</v>
      </c>
      <c r="Z462">
        <f t="shared" si="60"/>
        <v>5697.8339999999998</v>
      </c>
      <c r="AA462">
        <f t="shared" si="61"/>
        <v>1446.3339999999998</v>
      </c>
      <c r="AB462">
        <f t="shared" si="62"/>
        <v>25.38392659386005</v>
      </c>
      <c r="AC462">
        <f t="shared" si="63"/>
        <v>2</v>
      </c>
      <c r="AD462">
        <f t="shared" si="64"/>
        <v>2025</v>
      </c>
      <c r="AE462" t="str">
        <f t="shared" si="65"/>
        <v>CLEAN</v>
      </c>
    </row>
    <row r="463" spans="1:31">
      <c r="A463" t="s">
        <v>836</v>
      </c>
      <c r="B463" s="2">
        <v>45867</v>
      </c>
      <c r="C463" s="2">
        <v>45871</v>
      </c>
      <c r="D463" s="5">
        <f>C463-B463</f>
        <v>4</v>
      </c>
      <c r="E463" s="5" t="str">
        <f>IF(D463&lt;0,"INVALID","OK")</f>
        <v>OK</v>
      </c>
      <c r="F463" t="s">
        <v>837</v>
      </c>
      <c r="G463" t="s">
        <v>131</v>
      </c>
      <c r="H463" t="s">
        <v>36</v>
      </c>
      <c r="I463" t="s">
        <v>2762</v>
      </c>
      <c r="J463" t="s">
        <v>71</v>
      </c>
      <c r="K463" t="s">
        <v>72</v>
      </c>
      <c r="L463" t="s">
        <v>73</v>
      </c>
      <c r="M463" t="s">
        <v>74</v>
      </c>
      <c r="N463" t="s">
        <v>838</v>
      </c>
      <c r="O463" t="s">
        <v>49</v>
      </c>
      <c r="P463">
        <v>1</v>
      </c>
      <c r="Q463">
        <v>4499.46</v>
      </c>
      <c r="R463">
        <v>0.1</v>
      </c>
      <c r="S463" t="str">
        <f t="shared" si="58"/>
        <v>OK</v>
      </c>
      <c r="T463">
        <v>4049.51</v>
      </c>
      <c r="U463">
        <v>2509.1999999999998</v>
      </c>
      <c r="V463">
        <v>1540.31</v>
      </c>
      <c r="W463" t="s">
        <v>31</v>
      </c>
      <c r="X463" t="s">
        <v>32</v>
      </c>
      <c r="Y463">
        <f t="shared" si="59"/>
        <v>0.1</v>
      </c>
      <c r="Z463">
        <f t="shared" si="60"/>
        <v>4049.5140000000001</v>
      </c>
      <c r="AA463">
        <f t="shared" si="61"/>
        <v>1540.3140000000003</v>
      </c>
      <c r="AB463">
        <f t="shared" si="62"/>
        <v>38.037008885510716</v>
      </c>
      <c r="AC463">
        <f t="shared" si="63"/>
        <v>7</v>
      </c>
      <c r="AD463">
        <f t="shared" si="64"/>
        <v>2025</v>
      </c>
      <c r="AE463" t="str">
        <f t="shared" si="65"/>
        <v>CLEAN</v>
      </c>
    </row>
    <row r="464" spans="1:31">
      <c r="A464" t="s">
        <v>854</v>
      </c>
      <c r="B464" s="2">
        <v>45870</v>
      </c>
      <c r="C464" s="2">
        <v>45871</v>
      </c>
      <c r="D464" s="5">
        <f>C464-B464</f>
        <v>1</v>
      </c>
      <c r="E464" s="5" t="str">
        <f>IF(D464&lt;0,"INVALID","OK")</f>
        <v>OK</v>
      </c>
      <c r="F464" t="s">
        <v>855</v>
      </c>
      <c r="G464" t="s">
        <v>35</v>
      </c>
      <c r="H464" t="s">
        <v>89</v>
      </c>
      <c r="I464" t="s">
        <v>24</v>
      </c>
      <c r="J464" t="s">
        <v>25</v>
      </c>
      <c r="K464" t="s">
        <v>26</v>
      </c>
      <c r="L464" t="s">
        <v>40</v>
      </c>
      <c r="M464" t="s">
        <v>56</v>
      </c>
      <c r="N464" t="s">
        <v>856</v>
      </c>
      <c r="O464" t="s">
        <v>49</v>
      </c>
      <c r="P464">
        <v>4</v>
      </c>
      <c r="Q464">
        <v>2790.29</v>
      </c>
      <c r="R464">
        <v>0.2</v>
      </c>
      <c r="S464" t="str">
        <f t="shared" si="58"/>
        <v>OK</v>
      </c>
      <c r="T464">
        <v>8928.93</v>
      </c>
      <c r="U464">
        <v>5634.38</v>
      </c>
      <c r="V464">
        <v>3294.55</v>
      </c>
      <c r="W464" t="s">
        <v>31</v>
      </c>
      <c r="X464" t="s">
        <v>32</v>
      </c>
      <c r="Y464">
        <f t="shared" si="59"/>
        <v>0.2</v>
      </c>
      <c r="Z464">
        <f t="shared" si="60"/>
        <v>8928.9279999999999</v>
      </c>
      <c r="AA464">
        <f t="shared" si="61"/>
        <v>3294.5479999999998</v>
      </c>
      <c r="AB464">
        <f t="shared" si="62"/>
        <v>36.897464062875187</v>
      </c>
      <c r="AC464">
        <f t="shared" si="63"/>
        <v>8</v>
      </c>
      <c r="AD464">
        <f t="shared" si="64"/>
        <v>2025</v>
      </c>
      <c r="AE464" t="str">
        <f t="shared" si="65"/>
        <v>CLEAN</v>
      </c>
    </row>
    <row r="465" spans="1:31">
      <c r="A465" t="s">
        <v>860</v>
      </c>
      <c r="B465" s="2">
        <v>45753</v>
      </c>
      <c r="C465" s="2">
        <v>45757</v>
      </c>
      <c r="D465" s="5">
        <f>C465-B465</f>
        <v>4</v>
      </c>
      <c r="E465" s="5" t="str">
        <f>IF(D465&lt;0,"INVALID","OK")</f>
        <v>OK</v>
      </c>
      <c r="F465" t="s">
        <v>861</v>
      </c>
      <c r="G465" t="s">
        <v>61</v>
      </c>
      <c r="H465" t="s">
        <v>89</v>
      </c>
      <c r="I465" t="s">
        <v>62</v>
      </c>
      <c r="J465" t="s">
        <v>179</v>
      </c>
      <c r="K465" t="s">
        <v>180</v>
      </c>
      <c r="L465" t="s">
        <v>40</v>
      </c>
      <c r="M465" t="s">
        <v>41</v>
      </c>
      <c r="N465" t="s">
        <v>862</v>
      </c>
      <c r="O465" t="s">
        <v>30</v>
      </c>
      <c r="P465">
        <v>6</v>
      </c>
      <c r="Q465">
        <v>1022.16</v>
      </c>
      <c r="R465">
        <v>0</v>
      </c>
      <c r="S465" t="str">
        <f t="shared" si="58"/>
        <v>OK</v>
      </c>
      <c r="T465">
        <v>6132.96</v>
      </c>
      <c r="U465">
        <v>4881.1000000000004</v>
      </c>
      <c r="V465">
        <v>1251.8599999999999</v>
      </c>
      <c r="W465" t="s">
        <v>31</v>
      </c>
      <c r="X465" t="s">
        <v>32</v>
      </c>
      <c r="Y465">
        <f t="shared" si="59"/>
        <v>0</v>
      </c>
      <c r="Z465">
        <f t="shared" si="60"/>
        <v>6132.96</v>
      </c>
      <c r="AA465">
        <f t="shared" si="61"/>
        <v>1251.8599999999997</v>
      </c>
      <c r="AB465">
        <f t="shared" si="62"/>
        <v>20.412003339333694</v>
      </c>
      <c r="AC465">
        <f t="shared" si="63"/>
        <v>4</v>
      </c>
      <c r="AD465">
        <f t="shared" si="64"/>
        <v>2025</v>
      </c>
      <c r="AE465" t="str">
        <f t="shared" si="65"/>
        <v>CLEAN</v>
      </c>
    </row>
    <row r="466" spans="1:31">
      <c r="A466" t="s">
        <v>863</v>
      </c>
      <c r="B466" s="2">
        <v>45833</v>
      </c>
      <c r="C466" s="2">
        <v>45836</v>
      </c>
      <c r="D466" s="5">
        <f>C466-B466</f>
        <v>3</v>
      </c>
      <c r="E466" s="5" t="str">
        <f>IF(D466&lt;0,"INVALID","OK")</f>
        <v>OK</v>
      </c>
      <c r="F466" t="s">
        <v>864</v>
      </c>
      <c r="G466" t="s">
        <v>52</v>
      </c>
      <c r="H466" t="s">
        <v>89</v>
      </c>
      <c r="I466" t="s">
        <v>24</v>
      </c>
      <c r="J466" t="s">
        <v>235</v>
      </c>
      <c r="K466" t="s">
        <v>236</v>
      </c>
      <c r="L466" t="s">
        <v>27</v>
      </c>
      <c r="M466" t="s">
        <v>123</v>
      </c>
      <c r="N466" t="s">
        <v>865</v>
      </c>
      <c r="O466" t="s">
        <v>49</v>
      </c>
      <c r="P466">
        <v>2</v>
      </c>
      <c r="Q466">
        <v>1455.92</v>
      </c>
      <c r="R466">
        <v>0.2</v>
      </c>
      <c r="S466" t="str">
        <f t="shared" si="58"/>
        <v>OK</v>
      </c>
      <c r="T466">
        <v>2329.4699999999998</v>
      </c>
      <c r="U466">
        <v>1603.62</v>
      </c>
      <c r="V466">
        <v>725.85</v>
      </c>
      <c r="W466" t="s">
        <v>110</v>
      </c>
      <c r="X466" t="s">
        <v>102</v>
      </c>
      <c r="Y466">
        <f t="shared" si="59"/>
        <v>0.2</v>
      </c>
      <c r="Z466">
        <f t="shared" si="60"/>
        <v>2329.4720000000002</v>
      </c>
      <c r="AA466">
        <f t="shared" si="61"/>
        <v>725.85200000000032</v>
      </c>
      <c r="AB466">
        <f t="shared" si="62"/>
        <v>31.159507390515973</v>
      </c>
      <c r="AC466">
        <f t="shared" si="63"/>
        <v>6</v>
      </c>
      <c r="AD466">
        <f t="shared" si="64"/>
        <v>2025</v>
      </c>
      <c r="AE466" t="str">
        <f t="shared" si="65"/>
        <v>CLEAN</v>
      </c>
    </row>
    <row r="467" spans="1:31">
      <c r="A467" t="s">
        <v>869</v>
      </c>
      <c r="B467" s="2">
        <v>45658</v>
      </c>
      <c r="C467" s="2">
        <v>45717</v>
      </c>
      <c r="D467" s="5">
        <f>C467-B467</f>
        <v>59</v>
      </c>
      <c r="E467" s="5" t="str">
        <f>IF(D467&lt;0,"INVALID","OK")</f>
        <v>OK</v>
      </c>
      <c r="F467" t="s">
        <v>870</v>
      </c>
      <c r="G467" t="s">
        <v>61</v>
      </c>
      <c r="H467" t="s">
        <v>23</v>
      </c>
      <c r="I467" t="s">
        <v>62</v>
      </c>
      <c r="J467" t="s">
        <v>71</v>
      </c>
      <c r="K467" t="s">
        <v>72</v>
      </c>
      <c r="L467" t="s">
        <v>73</v>
      </c>
      <c r="M467" t="s">
        <v>74</v>
      </c>
      <c r="N467" t="s">
        <v>871</v>
      </c>
      <c r="O467" t="s">
        <v>43</v>
      </c>
      <c r="P467">
        <v>7</v>
      </c>
      <c r="Q467">
        <v>1000.55</v>
      </c>
      <c r="R467">
        <v>0.2</v>
      </c>
      <c r="S467" t="str">
        <f t="shared" si="58"/>
        <v>OK</v>
      </c>
      <c r="T467">
        <v>5603.08</v>
      </c>
      <c r="U467">
        <v>3132.52</v>
      </c>
      <c r="V467">
        <v>2470.56</v>
      </c>
      <c r="W467" t="s">
        <v>31</v>
      </c>
      <c r="X467" t="s">
        <v>102</v>
      </c>
      <c r="Y467">
        <f t="shared" si="59"/>
        <v>0.2</v>
      </c>
      <c r="Z467">
        <f t="shared" si="60"/>
        <v>5603.08</v>
      </c>
      <c r="AA467">
        <f t="shared" si="61"/>
        <v>2470.56</v>
      </c>
      <c r="AB467">
        <f t="shared" si="62"/>
        <v>44.092891766671187</v>
      </c>
      <c r="AC467">
        <f t="shared" si="63"/>
        <v>1</v>
      </c>
      <c r="AD467">
        <f t="shared" si="64"/>
        <v>2025</v>
      </c>
      <c r="AE467" t="str">
        <f t="shared" si="65"/>
        <v>CLEAN</v>
      </c>
    </row>
    <row r="468" spans="1:31">
      <c r="A468" t="s">
        <v>872</v>
      </c>
      <c r="B468" s="2">
        <v>45692</v>
      </c>
      <c r="C468" s="2">
        <v>45698</v>
      </c>
      <c r="D468" s="5">
        <f>C468-B468</f>
        <v>6</v>
      </c>
      <c r="E468" s="5" t="str">
        <f>IF(D468&lt;0,"INVALID","OK")</f>
        <v>OK</v>
      </c>
      <c r="F468" t="s">
        <v>873</v>
      </c>
      <c r="G468" t="s">
        <v>46</v>
      </c>
      <c r="H468" t="s">
        <v>89</v>
      </c>
      <c r="I468" t="s">
        <v>62</v>
      </c>
      <c r="J468" t="s">
        <v>63</v>
      </c>
      <c r="K468" t="s">
        <v>64</v>
      </c>
      <c r="L468" t="s">
        <v>73</v>
      </c>
      <c r="M468" t="s">
        <v>170</v>
      </c>
      <c r="N468" t="s">
        <v>874</v>
      </c>
      <c r="O468" t="s">
        <v>49</v>
      </c>
      <c r="P468">
        <v>7</v>
      </c>
      <c r="Q468">
        <v>1830</v>
      </c>
      <c r="R468">
        <v>0</v>
      </c>
      <c r="S468" t="str">
        <f t="shared" si="58"/>
        <v>OK</v>
      </c>
      <c r="T468">
        <v>12810</v>
      </c>
      <c r="U468">
        <v>9334.1200000000008</v>
      </c>
      <c r="V468">
        <v>3475.88</v>
      </c>
      <c r="W468" t="s">
        <v>31</v>
      </c>
      <c r="X468" t="s">
        <v>32</v>
      </c>
      <c r="Y468">
        <f t="shared" si="59"/>
        <v>0</v>
      </c>
      <c r="Z468">
        <f t="shared" si="60"/>
        <v>12810</v>
      </c>
      <c r="AA468">
        <f t="shared" si="61"/>
        <v>3475.8799999999992</v>
      </c>
      <c r="AB468">
        <f t="shared" si="62"/>
        <v>27.134113973458231</v>
      </c>
      <c r="AC468">
        <f t="shared" si="63"/>
        <v>2</v>
      </c>
      <c r="AD468">
        <f t="shared" si="64"/>
        <v>2025</v>
      </c>
      <c r="AE468" t="str">
        <f t="shared" si="65"/>
        <v>CLEAN</v>
      </c>
    </row>
    <row r="469" spans="1:31">
      <c r="A469" t="s">
        <v>893</v>
      </c>
      <c r="B469" s="2">
        <v>45803</v>
      </c>
      <c r="C469" s="2">
        <v>45809</v>
      </c>
      <c r="D469" s="5">
        <f>C469-B469</f>
        <v>6</v>
      </c>
      <c r="E469" s="5" t="str">
        <f>IF(D469&lt;0,"INVALID","OK")</f>
        <v>OK</v>
      </c>
      <c r="F469" t="s">
        <v>628</v>
      </c>
      <c r="G469" t="s">
        <v>52</v>
      </c>
      <c r="H469" t="s">
        <v>36</v>
      </c>
      <c r="I469" t="s">
        <v>24</v>
      </c>
      <c r="J469" t="s">
        <v>349</v>
      </c>
      <c r="K469" t="s">
        <v>350</v>
      </c>
      <c r="L469" t="s">
        <v>73</v>
      </c>
      <c r="M469" t="s">
        <v>170</v>
      </c>
      <c r="N469" t="s">
        <v>894</v>
      </c>
      <c r="O469" t="s">
        <v>43</v>
      </c>
      <c r="P469">
        <v>4</v>
      </c>
      <c r="Q469">
        <v>3349.86</v>
      </c>
      <c r="R469">
        <v>0</v>
      </c>
      <c r="S469" t="str">
        <f t="shared" si="58"/>
        <v>OK</v>
      </c>
      <c r="T469">
        <v>13399.44</v>
      </c>
      <c r="U469">
        <v>8581.35</v>
      </c>
      <c r="V469">
        <v>4818.09</v>
      </c>
      <c r="W469" t="s">
        <v>110</v>
      </c>
      <c r="X469" t="s">
        <v>102</v>
      </c>
      <c r="Y469">
        <f t="shared" si="59"/>
        <v>0</v>
      </c>
      <c r="Z469">
        <f t="shared" si="60"/>
        <v>13399.44</v>
      </c>
      <c r="AA469">
        <f t="shared" si="61"/>
        <v>4818.09</v>
      </c>
      <c r="AB469">
        <f t="shared" si="62"/>
        <v>35.957398219627088</v>
      </c>
      <c r="AC469">
        <f t="shared" si="63"/>
        <v>5</v>
      </c>
      <c r="AD469">
        <f t="shared" si="64"/>
        <v>2025</v>
      </c>
      <c r="AE469" t="str">
        <f t="shared" si="65"/>
        <v>CLEAN</v>
      </c>
    </row>
    <row r="470" spans="1:31">
      <c r="A470" t="s">
        <v>895</v>
      </c>
      <c r="B470" s="2">
        <v>45875</v>
      </c>
      <c r="C470" s="2">
        <v>45938</v>
      </c>
      <c r="D470" s="5">
        <f>C470-B470</f>
        <v>63</v>
      </c>
      <c r="E470" s="5" t="str">
        <f>IF(D470&lt;0,"INVALID","OK")</f>
        <v>OK</v>
      </c>
      <c r="F470" t="s">
        <v>896</v>
      </c>
      <c r="G470" t="s">
        <v>140</v>
      </c>
      <c r="H470" t="s">
        <v>36</v>
      </c>
      <c r="I470" t="s">
        <v>24</v>
      </c>
      <c r="J470" t="s">
        <v>349</v>
      </c>
      <c r="K470" t="s">
        <v>350</v>
      </c>
      <c r="L470" t="s">
        <v>27</v>
      </c>
      <c r="M470" t="s">
        <v>152</v>
      </c>
      <c r="N470" t="s">
        <v>897</v>
      </c>
      <c r="O470" t="s">
        <v>30</v>
      </c>
      <c r="P470">
        <v>9</v>
      </c>
      <c r="Q470">
        <v>4042.45</v>
      </c>
      <c r="R470">
        <v>0.1</v>
      </c>
      <c r="S470" t="str">
        <f t="shared" si="58"/>
        <v>OK</v>
      </c>
      <c r="T470">
        <v>32743.84</v>
      </c>
      <c r="U470">
        <v>22452.05</v>
      </c>
      <c r="V470">
        <v>10291.790000000001</v>
      </c>
      <c r="W470" t="s">
        <v>110</v>
      </c>
      <c r="X470" t="s">
        <v>102</v>
      </c>
      <c r="Y470">
        <f t="shared" si="59"/>
        <v>0.1</v>
      </c>
      <c r="Z470">
        <f t="shared" si="60"/>
        <v>32743.844999999998</v>
      </c>
      <c r="AA470">
        <f t="shared" si="61"/>
        <v>10291.794999999998</v>
      </c>
      <c r="AB470">
        <f t="shared" si="62"/>
        <v>31.4312353970647</v>
      </c>
      <c r="AC470">
        <f t="shared" si="63"/>
        <v>8</v>
      </c>
      <c r="AD470">
        <f t="shared" si="64"/>
        <v>2025</v>
      </c>
      <c r="AE470" t="str">
        <f t="shared" si="65"/>
        <v>CLEAN</v>
      </c>
    </row>
    <row r="471" spans="1:31">
      <c r="A471" t="s">
        <v>904</v>
      </c>
      <c r="B471" s="2">
        <v>45780</v>
      </c>
      <c r="C471" s="2">
        <v>45787</v>
      </c>
      <c r="D471" s="5">
        <f>C471-B471</f>
        <v>7</v>
      </c>
      <c r="E471" s="5" t="str">
        <f>IF(D471&lt;0,"INVALID","OK")</f>
        <v>OK</v>
      </c>
      <c r="F471" t="s">
        <v>905</v>
      </c>
      <c r="G471" t="s">
        <v>78</v>
      </c>
      <c r="H471" t="s">
        <v>94</v>
      </c>
      <c r="I471" t="s">
        <v>62</v>
      </c>
      <c r="J471" t="s">
        <v>63</v>
      </c>
      <c r="K471" t="s">
        <v>64</v>
      </c>
      <c r="L471" t="s">
        <v>27</v>
      </c>
      <c r="M471" t="s">
        <v>123</v>
      </c>
      <c r="N471" t="s">
        <v>906</v>
      </c>
      <c r="O471" t="s">
        <v>30</v>
      </c>
      <c r="P471">
        <v>3</v>
      </c>
      <c r="Q471">
        <v>4339.24</v>
      </c>
      <c r="R471">
        <v>0</v>
      </c>
      <c r="S471" t="str">
        <f t="shared" si="58"/>
        <v>OK</v>
      </c>
      <c r="T471">
        <v>13017.72</v>
      </c>
      <c r="U471">
        <v>10170.57</v>
      </c>
      <c r="V471">
        <v>2847.15</v>
      </c>
      <c r="W471" t="s">
        <v>31</v>
      </c>
      <c r="X471" t="s">
        <v>32</v>
      </c>
      <c r="Y471">
        <f t="shared" si="59"/>
        <v>0</v>
      </c>
      <c r="Z471">
        <f t="shared" si="60"/>
        <v>13017.72</v>
      </c>
      <c r="AA471">
        <f t="shared" si="61"/>
        <v>2847.1499999999996</v>
      </c>
      <c r="AB471">
        <f t="shared" si="62"/>
        <v>21.871341525244052</v>
      </c>
      <c r="AC471">
        <f t="shared" si="63"/>
        <v>5</v>
      </c>
      <c r="AD471">
        <f t="shared" si="64"/>
        <v>2025</v>
      </c>
      <c r="AE471" t="str">
        <f t="shared" si="65"/>
        <v>CLEAN</v>
      </c>
    </row>
    <row r="472" spans="1:31">
      <c r="A472" t="s">
        <v>907</v>
      </c>
      <c r="B472" s="2">
        <v>45805</v>
      </c>
      <c r="C472" s="2">
        <v>45753</v>
      </c>
      <c r="D472" s="5">
        <f>C472-B472</f>
        <v>-52</v>
      </c>
      <c r="E472" s="5" t="str">
        <f>IF(D472&lt;0,"INVALID","OK")</f>
        <v>INVALID</v>
      </c>
      <c r="F472" t="s">
        <v>908</v>
      </c>
      <c r="G472" t="s">
        <v>161</v>
      </c>
      <c r="H472" t="s">
        <v>89</v>
      </c>
      <c r="I472" t="s">
        <v>37</v>
      </c>
      <c r="J472" t="s">
        <v>227</v>
      </c>
      <c r="K472" t="s">
        <v>228</v>
      </c>
      <c r="L472" t="s">
        <v>40</v>
      </c>
      <c r="M472" t="s">
        <v>56</v>
      </c>
      <c r="N472" t="s">
        <v>909</v>
      </c>
      <c r="O472" t="s">
        <v>49</v>
      </c>
      <c r="P472">
        <v>4</v>
      </c>
      <c r="Q472">
        <v>261.8</v>
      </c>
      <c r="R472">
        <v>0.25</v>
      </c>
      <c r="S472" t="str">
        <f t="shared" si="58"/>
        <v>OK</v>
      </c>
      <c r="T472">
        <v>785.4</v>
      </c>
      <c r="U472">
        <v>557.22</v>
      </c>
      <c r="V472">
        <v>228.18</v>
      </c>
      <c r="W472" t="s">
        <v>31</v>
      </c>
      <c r="X472" t="s">
        <v>32</v>
      </c>
      <c r="Y472">
        <f t="shared" si="59"/>
        <v>0.25</v>
      </c>
      <c r="Z472">
        <f t="shared" si="60"/>
        <v>785.40000000000009</v>
      </c>
      <c r="AA472">
        <f t="shared" si="61"/>
        <v>228.18000000000006</v>
      </c>
      <c r="AB472">
        <f t="shared" si="62"/>
        <v>29.052711993888469</v>
      </c>
      <c r="AC472">
        <f t="shared" si="63"/>
        <v>5</v>
      </c>
      <c r="AD472">
        <f t="shared" si="64"/>
        <v>2025</v>
      </c>
      <c r="AE472" t="str">
        <f t="shared" si="65"/>
        <v>INVALID</v>
      </c>
    </row>
    <row r="473" spans="1:31">
      <c r="A473" t="s">
        <v>910</v>
      </c>
      <c r="B473" s="2">
        <v>45886</v>
      </c>
      <c r="C473" s="2">
        <v>45886</v>
      </c>
      <c r="D473" s="5">
        <f>C473-B473</f>
        <v>0</v>
      </c>
      <c r="E473" s="5" t="str">
        <f>IF(D473&lt;0,"INVALID","OK")</f>
        <v>OK</v>
      </c>
      <c r="F473" t="s">
        <v>911</v>
      </c>
      <c r="G473" t="s">
        <v>127</v>
      </c>
      <c r="H473" t="s">
        <v>94</v>
      </c>
      <c r="I473" t="s">
        <v>24</v>
      </c>
      <c r="J473" t="s">
        <v>121</v>
      </c>
      <c r="K473" t="s">
        <v>122</v>
      </c>
      <c r="L473" t="s">
        <v>73</v>
      </c>
      <c r="M473" t="s">
        <v>74</v>
      </c>
      <c r="N473" t="s">
        <v>912</v>
      </c>
      <c r="O473" t="s">
        <v>49</v>
      </c>
      <c r="P473">
        <v>7</v>
      </c>
      <c r="Q473">
        <v>632.20000000000005</v>
      </c>
      <c r="R473">
        <v>0.25</v>
      </c>
      <c r="S473" t="str">
        <f t="shared" si="58"/>
        <v>OK</v>
      </c>
      <c r="T473">
        <v>3319.05</v>
      </c>
      <c r="U473">
        <v>2124.6</v>
      </c>
      <c r="V473">
        <v>1194.45</v>
      </c>
      <c r="W473" t="s">
        <v>31</v>
      </c>
      <c r="X473" t="s">
        <v>32</v>
      </c>
      <c r="Y473">
        <f t="shared" si="59"/>
        <v>0.25</v>
      </c>
      <c r="Z473">
        <f t="shared" si="60"/>
        <v>3319.05</v>
      </c>
      <c r="AA473">
        <f t="shared" si="61"/>
        <v>1194.4500000000003</v>
      </c>
      <c r="AB473">
        <f t="shared" si="62"/>
        <v>35.987707325891449</v>
      </c>
      <c r="AC473">
        <f t="shared" si="63"/>
        <v>8</v>
      </c>
      <c r="AD473">
        <f t="shared" si="64"/>
        <v>2025</v>
      </c>
      <c r="AE473" t="str">
        <f t="shared" si="65"/>
        <v>CLEAN</v>
      </c>
    </row>
    <row r="474" spans="1:31">
      <c r="A474" t="s">
        <v>913</v>
      </c>
      <c r="B474" s="2">
        <v>45698</v>
      </c>
      <c r="C474" s="2">
        <v>45700</v>
      </c>
      <c r="D474" s="5">
        <f>C474-B474</f>
        <v>2</v>
      </c>
      <c r="E474" s="5" t="str">
        <f>IF(D474&lt;0,"INVALID","OK")</f>
        <v>OK</v>
      </c>
      <c r="F474" t="s">
        <v>914</v>
      </c>
      <c r="G474" t="s">
        <v>117</v>
      </c>
      <c r="H474" t="s">
        <v>36</v>
      </c>
      <c r="I474" t="s">
        <v>62</v>
      </c>
      <c r="J474" t="s">
        <v>25</v>
      </c>
      <c r="K474" t="s">
        <v>108</v>
      </c>
      <c r="L474" t="s">
        <v>40</v>
      </c>
      <c r="M474" t="s">
        <v>41</v>
      </c>
      <c r="N474" t="s">
        <v>915</v>
      </c>
      <c r="O474" t="s">
        <v>43</v>
      </c>
      <c r="P474">
        <v>1</v>
      </c>
      <c r="Q474">
        <v>1925.86</v>
      </c>
      <c r="R474">
        <v>0</v>
      </c>
      <c r="S474" t="str">
        <f t="shared" si="58"/>
        <v>OK</v>
      </c>
      <c r="T474">
        <v>1925.86</v>
      </c>
      <c r="U474">
        <v>1321.89</v>
      </c>
      <c r="V474">
        <v>603.97</v>
      </c>
      <c r="W474" t="s">
        <v>31</v>
      </c>
      <c r="X474" t="s">
        <v>32</v>
      </c>
      <c r="Y474">
        <f t="shared" si="59"/>
        <v>0</v>
      </c>
      <c r="Z474">
        <f t="shared" si="60"/>
        <v>1925.86</v>
      </c>
      <c r="AA474">
        <f t="shared" si="61"/>
        <v>603.9699999999998</v>
      </c>
      <c r="AB474">
        <f t="shared" si="62"/>
        <v>31.36105428224273</v>
      </c>
      <c r="AC474">
        <f t="shared" si="63"/>
        <v>2</v>
      </c>
      <c r="AD474">
        <f t="shared" si="64"/>
        <v>2025</v>
      </c>
      <c r="AE474" t="str">
        <f t="shared" si="65"/>
        <v>CLEAN</v>
      </c>
    </row>
    <row r="475" spans="1:31">
      <c r="A475" t="s">
        <v>925</v>
      </c>
      <c r="B475" s="2">
        <v>45701</v>
      </c>
      <c r="C475" s="2">
        <v>45701</v>
      </c>
      <c r="D475" s="5">
        <f>C475-B475</f>
        <v>0</v>
      </c>
      <c r="E475" s="5" t="str">
        <f>IF(D475&lt;0,"INVALID","OK")</f>
        <v>OK</v>
      </c>
      <c r="F475" t="s">
        <v>926</v>
      </c>
      <c r="G475" t="s">
        <v>46</v>
      </c>
      <c r="H475" t="s">
        <v>23</v>
      </c>
      <c r="I475" t="s">
        <v>37</v>
      </c>
      <c r="J475" t="s">
        <v>144</v>
      </c>
      <c r="K475" t="s">
        <v>145</v>
      </c>
      <c r="L475" t="s">
        <v>27</v>
      </c>
      <c r="M475" t="s">
        <v>28</v>
      </c>
      <c r="N475" t="s">
        <v>927</v>
      </c>
      <c r="O475" t="s">
        <v>30</v>
      </c>
      <c r="P475">
        <v>9</v>
      </c>
      <c r="Q475">
        <v>2521.63</v>
      </c>
      <c r="R475">
        <v>0</v>
      </c>
      <c r="S475" t="str">
        <f t="shared" si="58"/>
        <v>OK</v>
      </c>
      <c r="T475">
        <v>22694.67</v>
      </c>
      <c r="U475">
        <v>15405.36</v>
      </c>
      <c r="V475">
        <v>7289.31</v>
      </c>
      <c r="W475" t="s">
        <v>31</v>
      </c>
      <c r="X475" t="s">
        <v>102</v>
      </c>
      <c r="Y475">
        <f t="shared" si="59"/>
        <v>0</v>
      </c>
      <c r="Z475">
        <f t="shared" si="60"/>
        <v>22694.670000000002</v>
      </c>
      <c r="AA475">
        <f t="shared" si="61"/>
        <v>7289.3100000000013</v>
      </c>
      <c r="AB475">
        <f t="shared" si="62"/>
        <v>32.119039404406415</v>
      </c>
      <c r="AC475">
        <f t="shared" si="63"/>
        <v>2</v>
      </c>
      <c r="AD475">
        <f t="shared" si="64"/>
        <v>2025</v>
      </c>
      <c r="AE475" t="str">
        <f t="shared" si="65"/>
        <v>CLEAN</v>
      </c>
    </row>
    <row r="476" spans="1:31">
      <c r="A476" t="s">
        <v>939</v>
      </c>
      <c r="B476" s="2">
        <v>45841</v>
      </c>
      <c r="C476" s="2">
        <v>45730</v>
      </c>
      <c r="D476" s="5">
        <f>C476-B476</f>
        <v>-111</v>
      </c>
      <c r="E476" s="5" t="str">
        <f>IF(D476&lt;0,"INVALID","OK")</f>
        <v>INVALID</v>
      </c>
      <c r="F476" t="s">
        <v>940</v>
      </c>
      <c r="G476" t="s">
        <v>113</v>
      </c>
      <c r="H476" t="s">
        <v>36</v>
      </c>
      <c r="I476" t="s">
        <v>24</v>
      </c>
      <c r="J476" t="s">
        <v>349</v>
      </c>
      <c r="K476" t="s">
        <v>350</v>
      </c>
      <c r="L476" t="s">
        <v>73</v>
      </c>
      <c r="M476" t="s">
        <v>74</v>
      </c>
      <c r="N476" t="s">
        <v>941</v>
      </c>
      <c r="O476" t="s">
        <v>43</v>
      </c>
      <c r="P476">
        <v>1</v>
      </c>
      <c r="Q476">
        <v>3979.64</v>
      </c>
      <c r="R476">
        <v>0.05</v>
      </c>
      <c r="S476" t="str">
        <f t="shared" si="58"/>
        <v>OK</v>
      </c>
      <c r="T476">
        <v>3780.66</v>
      </c>
      <c r="U476">
        <v>2148.31</v>
      </c>
      <c r="V476">
        <v>1632.35</v>
      </c>
      <c r="W476" t="s">
        <v>31</v>
      </c>
      <c r="X476" t="s">
        <v>102</v>
      </c>
      <c r="Y476">
        <f t="shared" si="59"/>
        <v>0.05</v>
      </c>
      <c r="Z476">
        <f t="shared" si="60"/>
        <v>3780.6579999999999</v>
      </c>
      <c r="AA476">
        <f t="shared" si="61"/>
        <v>1632.348</v>
      </c>
      <c r="AB476">
        <f t="shared" si="62"/>
        <v>43.176293650470363</v>
      </c>
      <c r="AC476">
        <f t="shared" si="63"/>
        <v>7</v>
      </c>
      <c r="AD476">
        <f t="shared" si="64"/>
        <v>2025</v>
      </c>
      <c r="AE476" t="str">
        <f t="shared" si="65"/>
        <v>INVALID</v>
      </c>
    </row>
    <row r="477" spans="1:31">
      <c r="A477" t="s">
        <v>948</v>
      </c>
      <c r="B477" s="2">
        <v>45863</v>
      </c>
      <c r="C477" s="2">
        <v>45865</v>
      </c>
      <c r="D477" s="5">
        <f>C477-B477</f>
        <v>2</v>
      </c>
      <c r="E477" s="5" t="str">
        <f>IF(D477&lt;0,"INVALID","OK")</f>
        <v>OK</v>
      </c>
      <c r="F477" t="s">
        <v>949</v>
      </c>
      <c r="G477" t="s">
        <v>263</v>
      </c>
      <c r="H477" t="s">
        <v>23</v>
      </c>
      <c r="I477" t="s">
        <v>37</v>
      </c>
      <c r="J477" t="s">
        <v>227</v>
      </c>
      <c r="K477" t="s">
        <v>228</v>
      </c>
      <c r="L477" t="s">
        <v>27</v>
      </c>
      <c r="M477" t="s">
        <v>152</v>
      </c>
      <c r="N477" t="s">
        <v>950</v>
      </c>
      <c r="O477" t="s">
        <v>30</v>
      </c>
      <c r="P477">
        <v>6</v>
      </c>
      <c r="Q477">
        <v>3438.38</v>
      </c>
      <c r="R477">
        <v>0.2</v>
      </c>
      <c r="S477" t="str">
        <f t="shared" si="58"/>
        <v>OK</v>
      </c>
      <c r="T477">
        <v>16504.22</v>
      </c>
      <c r="U477">
        <v>11262.71</v>
      </c>
      <c r="V477">
        <v>5241.51</v>
      </c>
      <c r="W477" t="s">
        <v>31</v>
      </c>
      <c r="X477" t="s">
        <v>32</v>
      </c>
      <c r="Y477">
        <f t="shared" si="59"/>
        <v>0.2</v>
      </c>
      <c r="Z477">
        <f t="shared" si="60"/>
        <v>16504.223999999998</v>
      </c>
      <c r="AA477">
        <f t="shared" si="61"/>
        <v>5241.5139999999992</v>
      </c>
      <c r="AB477">
        <f t="shared" si="62"/>
        <v>31.75862130809664</v>
      </c>
      <c r="AC477">
        <f t="shared" si="63"/>
        <v>7</v>
      </c>
      <c r="AD477">
        <f t="shared" si="64"/>
        <v>2025</v>
      </c>
      <c r="AE477" t="str">
        <f t="shared" si="65"/>
        <v>CLEAN</v>
      </c>
    </row>
    <row r="478" spans="1:31">
      <c r="A478" t="s">
        <v>954</v>
      </c>
      <c r="B478" s="2">
        <v>45729</v>
      </c>
      <c r="C478" s="2">
        <v>45736</v>
      </c>
      <c r="D478" s="5">
        <f>C478-B478</f>
        <v>7</v>
      </c>
      <c r="E478" s="5" t="str">
        <f>IF(D478&lt;0,"INVALID","OK")</f>
        <v>OK</v>
      </c>
      <c r="F478" t="s">
        <v>955</v>
      </c>
      <c r="G478" t="s">
        <v>70</v>
      </c>
      <c r="H478" t="s">
        <v>23</v>
      </c>
      <c r="I478" t="s">
        <v>62</v>
      </c>
      <c r="J478" t="s">
        <v>63</v>
      </c>
      <c r="K478" t="s">
        <v>64</v>
      </c>
      <c r="L478" t="s">
        <v>40</v>
      </c>
      <c r="M478" t="s">
        <v>56</v>
      </c>
      <c r="N478" t="s">
        <v>956</v>
      </c>
      <c r="O478" t="s">
        <v>49</v>
      </c>
      <c r="P478">
        <v>1</v>
      </c>
      <c r="Q478">
        <v>1814.01</v>
      </c>
      <c r="R478">
        <v>0</v>
      </c>
      <c r="S478" t="str">
        <f t="shared" si="58"/>
        <v>OK</v>
      </c>
      <c r="T478">
        <v>1814.01</v>
      </c>
      <c r="U478">
        <v>1033.47</v>
      </c>
      <c r="V478">
        <v>780.54</v>
      </c>
      <c r="W478" t="s">
        <v>31</v>
      </c>
      <c r="X478" t="s">
        <v>32</v>
      </c>
      <c r="Y478">
        <f t="shared" si="59"/>
        <v>0</v>
      </c>
      <c r="Z478">
        <f t="shared" si="60"/>
        <v>1814.01</v>
      </c>
      <c r="AA478">
        <f t="shared" si="61"/>
        <v>780.54</v>
      </c>
      <c r="AB478">
        <f t="shared" si="62"/>
        <v>43.028428729720339</v>
      </c>
      <c r="AC478">
        <f t="shared" si="63"/>
        <v>3</v>
      </c>
      <c r="AD478">
        <f t="shared" si="64"/>
        <v>2025</v>
      </c>
      <c r="AE478" t="str">
        <f t="shared" si="65"/>
        <v>CLEAN</v>
      </c>
    </row>
    <row r="479" spans="1:31">
      <c r="A479" t="s">
        <v>960</v>
      </c>
      <c r="B479" s="2">
        <v>45884</v>
      </c>
      <c r="C479" s="2">
        <v>45889</v>
      </c>
      <c r="D479" s="5">
        <f>C479-B479</f>
        <v>5</v>
      </c>
      <c r="E479" s="5" t="str">
        <f>IF(D479&lt;0,"INVALID","OK")</f>
        <v>OK</v>
      </c>
      <c r="F479" t="s">
        <v>961</v>
      </c>
      <c r="G479" t="s">
        <v>78</v>
      </c>
      <c r="H479" t="s">
        <v>94</v>
      </c>
      <c r="I479" t="s">
        <v>24</v>
      </c>
      <c r="J479" t="s">
        <v>25</v>
      </c>
      <c r="K479" t="s">
        <v>26</v>
      </c>
      <c r="L479" t="s">
        <v>27</v>
      </c>
      <c r="M479" t="s">
        <v>123</v>
      </c>
      <c r="N479" t="s">
        <v>962</v>
      </c>
      <c r="O479" t="s">
        <v>58</v>
      </c>
      <c r="P479">
        <v>9</v>
      </c>
      <c r="Q479">
        <v>4081.77</v>
      </c>
      <c r="R479">
        <v>0</v>
      </c>
      <c r="S479" t="str">
        <f t="shared" si="58"/>
        <v>OK</v>
      </c>
      <c r="T479">
        <v>36735.93</v>
      </c>
      <c r="U479">
        <v>30820.84</v>
      </c>
      <c r="V479">
        <v>5915.09</v>
      </c>
      <c r="W479" t="s">
        <v>31</v>
      </c>
      <c r="X479" t="s">
        <v>32</v>
      </c>
      <c r="Y479">
        <f t="shared" si="59"/>
        <v>0</v>
      </c>
      <c r="Z479">
        <f t="shared" si="60"/>
        <v>36735.93</v>
      </c>
      <c r="AA479">
        <f t="shared" si="61"/>
        <v>5915.09</v>
      </c>
      <c r="AB479">
        <f t="shared" si="62"/>
        <v>16.101647624001895</v>
      </c>
      <c r="AC479">
        <f t="shared" si="63"/>
        <v>8</v>
      </c>
      <c r="AD479">
        <f t="shared" si="64"/>
        <v>2025</v>
      </c>
      <c r="AE479" t="str">
        <f t="shared" si="65"/>
        <v>CLEAN</v>
      </c>
    </row>
    <row r="480" spans="1:31">
      <c r="A480" t="s">
        <v>972</v>
      </c>
      <c r="B480" s="2">
        <v>45827</v>
      </c>
      <c r="C480" s="2">
        <v>45835</v>
      </c>
      <c r="D480" s="5">
        <f>C480-B480</f>
        <v>8</v>
      </c>
      <c r="E480" s="5" t="str">
        <f>IF(D480&lt;0,"INVALID","OK")</f>
        <v>OK</v>
      </c>
      <c r="F480" t="s">
        <v>973</v>
      </c>
      <c r="G480" t="s">
        <v>22</v>
      </c>
      <c r="H480" t="s">
        <v>94</v>
      </c>
      <c r="I480" t="s">
        <v>53</v>
      </c>
      <c r="J480" t="s">
        <v>246</v>
      </c>
      <c r="K480" t="s">
        <v>247</v>
      </c>
      <c r="L480" t="s">
        <v>40</v>
      </c>
      <c r="M480" t="s">
        <v>157</v>
      </c>
      <c r="N480" t="s">
        <v>974</v>
      </c>
      <c r="O480" t="s">
        <v>49</v>
      </c>
      <c r="P480">
        <v>2</v>
      </c>
      <c r="Q480">
        <v>4346.6899999999996</v>
      </c>
      <c r="R480">
        <v>0.05</v>
      </c>
      <c r="S480" t="str">
        <f t="shared" si="58"/>
        <v>OK</v>
      </c>
      <c r="T480">
        <v>8258.7099999999991</v>
      </c>
      <c r="U480">
        <v>7018.97</v>
      </c>
      <c r="V480">
        <v>1239.74</v>
      </c>
      <c r="W480" t="s">
        <v>31</v>
      </c>
      <c r="X480" t="s">
        <v>32</v>
      </c>
      <c r="Y480">
        <f t="shared" si="59"/>
        <v>0.05</v>
      </c>
      <c r="Z480">
        <f t="shared" si="60"/>
        <v>8258.7109999999993</v>
      </c>
      <c r="AA480">
        <f t="shared" si="61"/>
        <v>1239.7409999999991</v>
      </c>
      <c r="AB480">
        <f t="shared" si="62"/>
        <v>15.011313508851432</v>
      </c>
      <c r="AC480">
        <f t="shared" si="63"/>
        <v>6</v>
      </c>
      <c r="AD480">
        <f t="shared" si="64"/>
        <v>2025</v>
      </c>
      <c r="AE480" t="str">
        <f t="shared" si="65"/>
        <v>CLEAN</v>
      </c>
    </row>
    <row r="481" spans="1:31">
      <c r="A481" t="s">
        <v>975</v>
      </c>
      <c r="B481" s="2">
        <v>45891</v>
      </c>
      <c r="C481" s="2">
        <v>45895</v>
      </c>
      <c r="D481" s="5">
        <f>C481-B481</f>
        <v>4</v>
      </c>
      <c r="E481" s="5" t="str">
        <f>IF(D481&lt;0,"INVALID","OK")</f>
        <v>OK</v>
      </c>
      <c r="F481" t="s">
        <v>976</v>
      </c>
      <c r="G481" t="s">
        <v>161</v>
      </c>
      <c r="H481" t="s">
        <v>94</v>
      </c>
      <c r="I481" t="s">
        <v>37</v>
      </c>
      <c r="J481" t="s">
        <v>227</v>
      </c>
      <c r="K481" t="s">
        <v>228</v>
      </c>
      <c r="L481" t="s">
        <v>40</v>
      </c>
      <c r="M481" t="s">
        <v>41</v>
      </c>
      <c r="N481" t="s">
        <v>977</v>
      </c>
      <c r="O481" t="s">
        <v>58</v>
      </c>
      <c r="P481">
        <v>1</v>
      </c>
      <c r="Q481">
        <v>1842.63</v>
      </c>
      <c r="R481">
        <v>0.1</v>
      </c>
      <c r="S481" t="str">
        <f t="shared" si="58"/>
        <v>OK</v>
      </c>
      <c r="T481">
        <v>1658.37</v>
      </c>
      <c r="U481">
        <v>971.12</v>
      </c>
      <c r="V481">
        <v>687.25</v>
      </c>
      <c r="W481" t="s">
        <v>31</v>
      </c>
      <c r="X481" t="s">
        <v>32</v>
      </c>
      <c r="Y481">
        <f t="shared" si="59"/>
        <v>0.1</v>
      </c>
      <c r="Z481">
        <f t="shared" si="60"/>
        <v>1658.3670000000002</v>
      </c>
      <c r="AA481">
        <f t="shared" si="61"/>
        <v>687.24700000000018</v>
      </c>
      <c r="AB481">
        <f t="shared" si="62"/>
        <v>41.441188832146331</v>
      </c>
      <c r="AC481">
        <f t="shared" si="63"/>
        <v>8</v>
      </c>
      <c r="AD481">
        <f t="shared" si="64"/>
        <v>2025</v>
      </c>
      <c r="AE481" t="str">
        <f t="shared" si="65"/>
        <v>CLEAN</v>
      </c>
    </row>
    <row r="482" spans="1:31">
      <c r="A482" t="s">
        <v>987</v>
      </c>
      <c r="B482" s="2">
        <v>45854</v>
      </c>
      <c r="C482" s="2">
        <v>45860</v>
      </c>
      <c r="D482" s="5">
        <f>C482-B482</f>
        <v>6</v>
      </c>
      <c r="E482" s="5" t="str">
        <f>IF(D482&lt;0,"INVALID","OK")</f>
        <v>OK</v>
      </c>
      <c r="F482" t="s">
        <v>988</v>
      </c>
      <c r="G482" t="s">
        <v>113</v>
      </c>
      <c r="H482" t="s">
        <v>23</v>
      </c>
      <c r="I482" t="s">
        <v>37</v>
      </c>
      <c r="J482" t="s">
        <v>38</v>
      </c>
      <c r="K482" t="s">
        <v>39</v>
      </c>
      <c r="L482" t="s">
        <v>73</v>
      </c>
      <c r="M482" t="s">
        <v>170</v>
      </c>
      <c r="N482" t="s">
        <v>989</v>
      </c>
      <c r="O482" t="s">
        <v>30</v>
      </c>
      <c r="P482">
        <v>6</v>
      </c>
      <c r="Q482">
        <v>4159.33</v>
      </c>
      <c r="R482">
        <v>0.25</v>
      </c>
      <c r="S482" t="str">
        <f t="shared" si="58"/>
        <v>OK</v>
      </c>
      <c r="T482">
        <v>18716.990000000002</v>
      </c>
      <c r="U482">
        <v>12282.43</v>
      </c>
      <c r="V482">
        <v>6434.56</v>
      </c>
      <c r="W482" t="s">
        <v>31</v>
      </c>
      <c r="X482" t="s">
        <v>102</v>
      </c>
      <c r="Y482">
        <f t="shared" si="59"/>
        <v>0.25</v>
      </c>
      <c r="Z482">
        <f t="shared" si="60"/>
        <v>18716.985000000001</v>
      </c>
      <c r="AA482">
        <f t="shared" si="61"/>
        <v>6434.5550000000003</v>
      </c>
      <c r="AB482">
        <f t="shared" si="62"/>
        <v>34.378159730319815</v>
      </c>
      <c r="AC482">
        <f t="shared" si="63"/>
        <v>7</v>
      </c>
      <c r="AD482">
        <f t="shared" si="64"/>
        <v>2025</v>
      </c>
      <c r="AE482" t="str">
        <f t="shared" si="65"/>
        <v>CLEAN</v>
      </c>
    </row>
    <row r="483" spans="1:31">
      <c r="A483" t="s">
        <v>990</v>
      </c>
      <c r="B483" s="2">
        <v>45833</v>
      </c>
      <c r="C483" s="2">
        <v>45836</v>
      </c>
      <c r="D483" s="5">
        <f>C483-B483</f>
        <v>3</v>
      </c>
      <c r="E483" s="5" t="str">
        <f>IF(D483&lt;0,"INVALID","OK")</f>
        <v>OK</v>
      </c>
      <c r="F483" t="s">
        <v>991</v>
      </c>
      <c r="G483" t="s">
        <v>88</v>
      </c>
      <c r="H483" t="s">
        <v>36</v>
      </c>
      <c r="I483" t="s">
        <v>37</v>
      </c>
      <c r="J483" t="s">
        <v>165</v>
      </c>
      <c r="K483" t="s">
        <v>166</v>
      </c>
      <c r="L483" t="s">
        <v>27</v>
      </c>
      <c r="M483" t="s">
        <v>152</v>
      </c>
      <c r="N483" t="s">
        <v>992</v>
      </c>
      <c r="O483" t="s">
        <v>58</v>
      </c>
      <c r="P483">
        <v>3</v>
      </c>
      <c r="Q483">
        <v>3476.05</v>
      </c>
      <c r="R483">
        <v>0.1</v>
      </c>
      <c r="S483" t="str">
        <f t="shared" si="58"/>
        <v>OK</v>
      </c>
      <c r="T483">
        <v>9385.34</v>
      </c>
      <c r="U483">
        <v>5828.54</v>
      </c>
      <c r="V483">
        <v>3556.8</v>
      </c>
      <c r="W483" t="s">
        <v>31</v>
      </c>
      <c r="X483" t="s">
        <v>32</v>
      </c>
      <c r="Y483">
        <f t="shared" si="59"/>
        <v>0.1</v>
      </c>
      <c r="Z483">
        <f t="shared" si="60"/>
        <v>9385.3350000000009</v>
      </c>
      <c r="AA483">
        <f t="shared" si="61"/>
        <v>3556.795000000001</v>
      </c>
      <c r="AB483">
        <f t="shared" si="62"/>
        <v>37.897368607513748</v>
      </c>
      <c r="AC483">
        <f t="shared" si="63"/>
        <v>6</v>
      </c>
      <c r="AD483">
        <f t="shared" si="64"/>
        <v>2025</v>
      </c>
      <c r="AE483" t="str">
        <f t="shared" si="65"/>
        <v>CLEAN</v>
      </c>
    </row>
    <row r="484" spans="1:31">
      <c r="A484" t="s">
        <v>993</v>
      </c>
      <c r="B484" s="2">
        <v>45801</v>
      </c>
      <c r="C484" s="2">
        <v>45803</v>
      </c>
      <c r="D484" s="5">
        <f>C484-B484</f>
        <v>2</v>
      </c>
      <c r="E484" s="5" t="str">
        <f>IF(D484&lt;0,"INVALID","OK")</f>
        <v>OK</v>
      </c>
      <c r="F484" t="s">
        <v>994</v>
      </c>
      <c r="G484" t="s">
        <v>88</v>
      </c>
      <c r="H484" t="s">
        <v>94</v>
      </c>
      <c r="I484" t="s">
        <v>24</v>
      </c>
      <c r="J484" t="s">
        <v>235</v>
      </c>
      <c r="K484" t="s">
        <v>236</v>
      </c>
      <c r="L484" t="s">
        <v>40</v>
      </c>
      <c r="M484" t="s">
        <v>56</v>
      </c>
      <c r="N484" t="s">
        <v>995</v>
      </c>
      <c r="O484" t="s">
        <v>43</v>
      </c>
      <c r="P484">
        <v>6</v>
      </c>
      <c r="Q484">
        <v>3495.41</v>
      </c>
      <c r="R484">
        <v>0.15</v>
      </c>
      <c r="S484" t="str">
        <f t="shared" si="58"/>
        <v>OK</v>
      </c>
      <c r="T484">
        <v>17826.59</v>
      </c>
      <c r="U484">
        <v>10855.35</v>
      </c>
      <c r="V484">
        <v>6971.24</v>
      </c>
      <c r="W484" t="s">
        <v>31</v>
      </c>
      <c r="X484" t="s">
        <v>32</v>
      </c>
      <c r="Y484">
        <f t="shared" si="59"/>
        <v>0.15</v>
      </c>
      <c r="Z484">
        <f t="shared" si="60"/>
        <v>17826.591</v>
      </c>
      <c r="AA484">
        <f t="shared" si="61"/>
        <v>6971.241</v>
      </c>
      <c r="AB484">
        <f t="shared" si="62"/>
        <v>39.105855965394618</v>
      </c>
      <c r="AC484">
        <f t="shared" si="63"/>
        <v>5</v>
      </c>
      <c r="AD484">
        <f t="shared" si="64"/>
        <v>2025</v>
      </c>
      <c r="AE484" t="str">
        <f t="shared" si="65"/>
        <v>CLEAN</v>
      </c>
    </row>
    <row r="485" spans="1:31">
      <c r="A485" t="s">
        <v>1008</v>
      </c>
      <c r="B485" s="2">
        <v>45805</v>
      </c>
      <c r="C485" s="2">
        <v>45663</v>
      </c>
      <c r="D485" s="5">
        <f>C485-B485</f>
        <v>-142</v>
      </c>
      <c r="E485" s="5" t="str">
        <f>IF(D485&lt;0,"INVALID","OK")</f>
        <v>INVALID</v>
      </c>
      <c r="F485" t="s">
        <v>1009</v>
      </c>
      <c r="G485" t="s">
        <v>46</v>
      </c>
      <c r="H485" t="s">
        <v>94</v>
      </c>
      <c r="I485" t="s">
        <v>37</v>
      </c>
      <c r="J485" t="s">
        <v>144</v>
      </c>
      <c r="K485" t="s">
        <v>145</v>
      </c>
      <c r="L485" t="s">
        <v>73</v>
      </c>
      <c r="M485" t="s">
        <v>170</v>
      </c>
      <c r="N485" t="s">
        <v>1010</v>
      </c>
      <c r="O485" t="s">
        <v>43</v>
      </c>
      <c r="P485">
        <v>4</v>
      </c>
      <c r="Q485">
        <v>1654.11</v>
      </c>
      <c r="R485">
        <v>0.05</v>
      </c>
      <c r="S485" t="str">
        <f t="shared" si="58"/>
        <v>OK</v>
      </c>
      <c r="T485">
        <v>6285.62</v>
      </c>
      <c r="U485">
        <v>3705.38</v>
      </c>
      <c r="V485">
        <v>2580.2399999999998</v>
      </c>
      <c r="W485" t="s">
        <v>31</v>
      </c>
      <c r="X485" t="s">
        <v>32</v>
      </c>
      <c r="Y485">
        <f t="shared" si="59"/>
        <v>0.05</v>
      </c>
      <c r="Z485">
        <f t="shared" si="60"/>
        <v>6285.6179999999995</v>
      </c>
      <c r="AA485">
        <f t="shared" si="61"/>
        <v>2580.2379999999994</v>
      </c>
      <c r="AB485">
        <f t="shared" si="62"/>
        <v>41.049869718458865</v>
      </c>
      <c r="AC485">
        <f t="shared" si="63"/>
        <v>5</v>
      </c>
      <c r="AD485">
        <f t="shared" si="64"/>
        <v>2025</v>
      </c>
      <c r="AE485" t="str">
        <f t="shared" si="65"/>
        <v>INVALID</v>
      </c>
    </row>
    <row r="486" spans="1:31">
      <c r="A486" t="s">
        <v>1011</v>
      </c>
      <c r="B486" s="2">
        <v>45753</v>
      </c>
      <c r="C486" s="2">
        <v>45820</v>
      </c>
      <c r="D486" s="5">
        <f>C486-B486</f>
        <v>67</v>
      </c>
      <c r="E486" s="5" t="str">
        <f>IF(D486&lt;0,"INVALID","OK")</f>
        <v>OK</v>
      </c>
      <c r="F486" t="s">
        <v>1012</v>
      </c>
      <c r="G486" t="s">
        <v>78</v>
      </c>
      <c r="H486" t="s">
        <v>23</v>
      </c>
      <c r="I486" t="s">
        <v>62</v>
      </c>
      <c r="J486" t="s">
        <v>189</v>
      </c>
      <c r="K486" t="s">
        <v>190</v>
      </c>
      <c r="L486" t="s">
        <v>27</v>
      </c>
      <c r="M486" t="s">
        <v>123</v>
      </c>
      <c r="N486" t="s">
        <v>1013</v>
      </c>
      <c r="O486" t="s">
        <v>43</v>
      </c>
      <c r="P486">
        <v>2</v>
      </c>
      <c r="Q486">
        <v>2703.28</v>
      </c>
      <c r="R486">
        <v>0.25</v>
      </c>
      <c r="S486" t="str">
        <f t="shared" si="58"/>
        <v>OK</v>
      </c>
      <c r="T486">
        <v>4054.92</v>
      </c>
      <c r="U486">
        <v>2424.83</v>
      </c>
      <c r="V486">
        <v>1630.09</v>
      </c>
      <c r="W486" t="s">
        <v>31</v>
      </c>
      <c r="X486" t="s">
        <v>32</v>
      </c>
      <c r="Y486">
        <f t="shared" si="59"/>
        <v>0.25</v>
      </c>
      <c r="Z486">
        <f t="shared" si="60"/>
        <v>4054.92</v>
      </c>
      <c r="AA486">
        <f t="shared" si="61"/>
        <v>1630.0900000000001</v>
      </c>
      <c r="AB486">
        <f t="shared" si="62"/>
        <v>40.200299882611745</v>
      </c>
      <c r="AC486">
        <f t="shared" si="63"/>
        <v>4</v>
      </c>
      <c r="AD486">
        <f t="shared" si="64"/>
        <v>2025</v>
      </c>
      <c r="AE486" t="str">
        <f t="shared" si="65"/>
        <v>CLEAN</v>
      </c>
    </row>
    <row r="487" spans="1:31">
      <c r="A487" t="s">
        <v>1023</v>
      </c>
      <c r="B487" s="2">
        <v>45708</v>
      </c>
      <c r="C487" s="2">
        <v>45711</v>
      </c>
      <c r="D487" s="5">
        <f>C487-B487</f>
        <v>3</v>
      </c>
      <c r="E487" s="5" t="str">
        <f>IF(D487&lt;0,"INVALID","OK")</f>
        <v>OK</v>
      </c>
      <c r="F487" t="s">
        <v>1024</v>
      </c>
      <c r="G487" t="s">
        <v>127</v>
      </c>
      <c r="H487" t="s">
        <v>23</v>
      </c>
      <c r="I487" t="s">
        <v>24</v>
      </c>
      <c r="J487" t="s">
        <v>25</v>
      </c>
      <c r="K487" t="s">
        <v>26</v>
      </c>
      <c r="L487" t="s">
        <v>73</v>
      </c>
      <c r="M487" t="s">
        <v>170</v>
      </c>
      <c r="N487" t="s">
        <v>1025</v>
      </c>
      <c r="O487" t="s">
        <v>30</v>
      </c>
      <c r="P487">
        <v>4</v>
      </c>
      <c r="Q487">
        <v>3673.11</v>
      </c>
      <c r="R487">
        <v>0</v>
      </c>
      <c r="S487" t="str">
        <f t="shared" si="58"/>
        <v>OK</v>
      </c>
      <c r="T487">
        <v>14692.44</v>
      </c>
      <c r="U487">
        <v>10082.19</v>
      </c>
      <c r="V487">
        <v>4610.25</v>
      </c>
      <c r="W487" t="s">
        <v>31</v>
      </c>
      <c r="X487" t="s">
        <v>32</v>
      </c>
      <c r="Y487">
        <f t="shared" si="59"/>
        <v>0</v>
      </c>
      <c r="Z487">
        <f t="shared" si="60"/>
        <v>14692.44</v>
      </c>
      <c r="AA487">
        <f t="shared" si="61"/>
        <v>4610.25</v>
      </c>
      <c r="AB487">
        <f t="shared" si="62"/>
        <v>31.378382351740076</v>
      </c>
      <c r="AC487">
        <f t="shared" si="63"/>
        <v>2</v>
      </c>
      <c r="AD487">
        <f t="shared" si="64"/>
        <v>2025</v>
      </c>
      <c r="AE487" t="str">
        <f t="shared" si="65"/>
        <v>CLEAN</v>
      </c>
    </row>
    <row r="488" spans="1:31">
      <c r="A488" t="s">
        <v>1029</v>
      </c>
      <c r="B488" s="2">
        <v>45821</v>
      </c>
      <c r="C488" s="2">
        <v>45827</v>
      </c>
      <c r="D488" s="5">
        <f>C488-B488</f>
        <v>6</v>
      </c>
      <c r="E488" s="5" t="str">
        <f>IF(D488&lt;0,"INVALID","OK")</f>
        <v>OK</v>
      </c>
      <c r="F488" t="s">
        <v>1030</v>
      </c>
      <c r="G488" t="s">
        <v>140</v>
      </c>
      <c r="H488" t="s">
        <v>23</v>
      </c>
      <c r="I488" t="s">
        <v>24</v>
      </c>
      <c r="J488" t="s">
        <v>25</v>
      </c>
      <c r="K488" t="s">
        <v>26</v>
      </c>
      <c r="L488" t="s">
        <v>40</v>
      </c>
      <c r="M488" t="s">
        <v>41</v>
      </c>
      <c r="N488" t="s">
        <v>1031</v>
      </c>
      <c r="O488" t="s">
        <v>49</v>
      </c>
      <c r="P488">
        <v>4</v>
      </c>
      <c r="Q488">
        <v>731.57</v>
      </c>
      <c r="R488">
        <v>0.2</v>
      </c>
      <c r="S488" t="str">
        <f t="shared" si="58"/>
        <v>OK</v>
      </c>
      <c r="T488">
        <v>2341.02</v>
      </c>
      <c r="U488">
        <v>1565.49</v>
      </c>
      <c r="V488">
        <v>775.53</v>
      </c>
      <c r="W488" t="s">
        <v>31</v>
      </c>
      <c r="X488" t="s">
        <v>32</v>
      </c>
      <c r="Y488">
        <f t="shared" si="59"/>
        <v>0.2</v>
      </c>
      <c r="Z488">
        <f t="shared" si="60"/>
        <v>2341.0240000000003</v>
      </c>
      <c r="AA488">
        <f t="shared" si="61"/>
        <v>775.53400000000033</v>
      </c>
      <c r="AB488">
        <f t="shared" si="62"/>
        <v>33.127981601213833</v>
      </c>
      <c r="AC488">
        <f t="shared" si="63"/>
        <v>6</v>
      </c>
      <c r="AD488">
        <f t="shared" si="64"/>
        <v>2025</v>
      </c>
      <c r="AE488" t="str">
        <f t="shared" si="65"/>
        <v>CLEAN</v>
      </c>
    </row>
    <row r="489" spans="1:31">
      <c r="A489" t="s">
        <v>1056</v>
      </c>
      <c r="B489" s="2">
        <v>45898</v>
      </c>
      <c r="C489" s="2">
        <v>45904</v>
      </c>
      <c r="D489" s="5">
        <f>C489-B489</f>
        <v>6</v>
      </c>
      <c r="E489" s="5" t="str">
        <f>IF(D489&lt;0,"INVALID","OK")</f>
        <v>OK</v>
      </c>
      <c r="F489" t="s">
        <v>1057</v>
      </c>
      <c r="G489" t="s">
        <v>78</v>
      </c>
      <c r="H489" t="s">
        <v>89</v>
      </c>
      <c r="I489" t="s">
        <v>53</v>
      </c>
      <c r="J489" t="s">
        <v>184</v>
      </c>
      <c r="K489" t="s">
        <v>185</v>
      </c>
      <c r="L489" t="s">
        <v>40</v>
      </c>
      <c r="M489" t="s">
        <v>41</v>
      </c>
      <c r="N489" t="s">
        <v>1058</v>
      </c>
      <c r="O489" t="s">
        <v>49</v>
      </c>
      <c r="P489">
        <v>9</v>
      </c>
      <c r="Q489">
        <v>2996.97</v>
      </c>
      <c r="R489">
        <v>0.15</v>
      </c>
      <c r="S489" t="str">
        <f t="shared" si="58"/>
        <v>OK</v>
      </c>
      <c r="T489">
        <v>22926.82</v>
      </c>
      <c r="U489">
        <v>14621.59</v>
      </c>
      <c r="V489">
        <v>8305.23</v>
      </c>
      <c r="W489" t="s">
        <v>31</v>
      </c>
      <c r="X489" t="s">
        <v>32</v>
      </c>
      <c r="Y489">
        <f t="shared" si="59"/>
        <v>0.15</v>
      </c>
      <c r="Z489">
        <f t="shared" si="60"/>
        <v>22926.820499999998</v>
      </c>
      <c r="AA489">
        <f t="shared" si="61"/>
        <v>8305.2304999999978</v>
      </c>
      <c r="AB489">
        <f t="shared" si="62"/>
        <v>36.224955396671767</v>
      </c>
      <c r="AC489">
        <f t="shared" si="63"/>
        <v>8</v>
      </c>
      <c r="AD489">
        <f t="shared" si="64"/>
        <v>2025</v>
      </c>
      <c r="AE489" t="str">
        <f t="shared" si="65"/>
        <v>CLEAN</v>
      </c>
    </row>
    <row r="490" spans="1:31">
      <c r="A490" t="s">
        <v>1076</v>
      </c>
      <c r="B490" s="2">
        <v>45869</v>
      </c>
      <c r="C490" s="2">
        <v>45696</v>
      </c>
      <c r="D490" s="5">
        <f>C490-B490</f>
        <v>-173</v>
      </c>
      <c r="E490" s="5" t="str">
        <f>IF(D490&lt;0,"INVALID","OK")</f>
        <v>INVALID</v>
      </c>
      <c r="F490" t="s">
        <v>1077</v>
      </c>
      <c r="G490" t="s">
        <v>140</v>
      </c>
      <c r="H490" t="s">
        <v>94</v>
      </c>
      <c r="I490" t="s">
        <v>53</v>
      </c>
      <c r="J490" t="s">
        <v>83</v>
      </c>
      <c r="K490" t="s">
        <v>84</v>
      </c>
      <c r="L490" t="s">
        <v>27</v>
      </c>
      <c r="M490" t="s">
        <v>90</v>
      </c>
      <c r="N490" t="s">
        <v>1078</v>
      </c>
      <c r="O490" t="s">
        <v>43</v>
      </c>
      <c r="P490">
        <v>1</v>
      </c>
      <c r="Q490">
        <v>1947.88</v>
      </c>
      <c r="R490">
        <v>0.15</v>
      </c>
      <c r="S490" t="str">
        <f t="shared" si="58"/>
        <v>OK</v>
      </c>
      <c r="T490">
        <v>1655.7</v>
      </c>
      <c r="U490">
        <v>1354.8</v>
      </c>
      <c r="V490">
        <v>300.89999999999998</v>
      </c>
      <c r="W490" t="s">
        <v>31</v>
      </c>
      <c r="X490" t="s">
        <v>102</v>
      </c>
      <c r="Y490">
        <f t="shared" si="59"/>
        <v>0.15</v>
      </c>
      <c r="Z490">
        <f t="shared" si="60"/>
        <v>1655.6980000000001</v>
      </c>
      <c r="AA490">
        <f t="shared" si="61"/>
        <v>300.89800000000014</v>
      </c>
      <c r="AB490">
        <f t="shared" si="62"/>
        <v>18.17348332848141</v>
      </c>
      <c r="AC490">
        <f t="shared" si="63"/>
        <v>7</v>
      </c>
      <c r="AD490">
        <f t="shared" si="64"/>
        <v>2025</v>
      </c>
      <c r="AE490" t="str">
        <f t="shared" si="65"/>
        <v>INVALID</v>
      </c>
    </row>
    <row r="491" spans="1:31">
      <c r="A491" t="s">
        <v>1079</v>
      </c>
      <c r="B491" s="2">
        <v>45916</v>
      </c>
      <c r="C491" s="2">
        <v>45922</v>
      </c>
      <c r="D491" s="5">
        <f>C491-B491</f>
        <v>6</v>
      </c>
      <c r="E491" s="5" t="str">
        <f>IF(D491&lt;0,"INVALID","OK")</f>
        <v>OK</v>
      </c>
      <c r="F491" t="s">
        <v>1080</v>
      </c>
      <c r="G491" t="s">
        <v>131</v>
      </c>
      <c r="H491" t="s">
        <v>94</v>
      </c>
      <c r="I491" t="s">
        <v>37</v>
      </c>
      <c r="J491" t="s">
        <v>98</v>
      </c>
      <c r="K491" t="s">
        <v>99</v>
      </c>
      <c r="L491" t="s">
        <v>73</v>
      </c>
      <c r="M491" t="s">
        <v>79</v>
      </c>
      <c r="N491" t="s">
        <v>1081</v>
      </c>
      <c r="O491" t="s">
        <v>30</v>
      </c>
      <c r="P491">
        <v>5</v>
      </c>
      <c r="Q491">
        <v>3671.2</v>
      </c>
      <c r="R491">
        <v>0.15</v>
      </c>
      <c r="S491" t="str">
        <f t="shared" si="58"/>
        <v>OK</v>
      </c>
      <c r="T491">
        <v>15602.6</v>
      </c>
      <c r="U491">
        <v>11908.52</v>
      </c>
      <c r="V491">
        <v>3694.08</v>
      </c>
      <c r="W491" t="s">
        <v>31</v>
      </c>
      <c r="X491" t="s">
        <v>32</v>
      </c>
      <c r="Y491">
        <f t="shared" si="59"/>
        <v>0.15</v>
      </c>
      <c r="Z491">
        <f t="shared" si="60"/>
        <v>15602.6</v>
      </c>
      <c r="AA491">
        <f t="shared" si="61"/>
        <v>3694.08</v>
      </c>
      <c r="AB491">
        <f t="shared" si="62"/>
        <v>23.676053991001499</v>
      </c>
      <c r="AC491">
        <f t="shared" si="63"/>
        <v>9</v>
      </c>
      <c r="AD491">
        <f t="shared" si="64"/>
        <v>2025</v>
      </c>
      <c r="AE491" t="str">
        <f t="shared" si="65"/>
        <v>CLEAN</v>
      </c>
    </row>
    <row r="492" spans="1:31">
      <c r="A492" t="s">
        <v>1082</v>
      </c>
      <c r="B492" s="2">
        <v>45860</v>
      </c>
      <c r="C492" s="2">
        <v>45860</v>
      </c>
      <c r="D492" s="5">
        <f>C492-B492</f>
        <v>0</v>
      </c>
      <c r="E492" s="5" t="str">
        <f>IF(D492&lt;0,"INVALID","OK")</f>
        <v>OK</v>
      </c>
      <c r="F492" t="s">
        <v>1083</v>
      </c>
      <c r="G492" t="s">
        <v>131</v>
      </c>
      <c r="H492" t="s">
        <v>89</v>
      </c>
      <c r="I492" t="s">
        <v>37</v>
      </c>
      <c r="J492" t="s">
        <v>227</v>
      </c>
      <c r="K492" t="s">
        <v>228</v>
      </c>
      <c r="L492" t="s">
        <v>40</v>
      </c>
      <c r="M492" t="s">
        <v>56</v>
      </c>
      <c r="N492" t="s">
        <v>1084</v>
      </c>
      <c r="O492" t="s">
        <v>43</v>
      </c>
      <c r="P492">
        <v>5</v>
      </c>
      <c r="Q492">
        <v>3187.05</v>
      </c>
      <c r="R492">
        <v>0.05</v>
      </c>
      <c r="S492" t="str">
        <f t="shared" si="58"/>
        <v>OK</v>
      </c>
      <c r="T492">
        <v>15138.49</v>
      </c>
      <c r="U492">
        <v>11235.72</v>
      </c>
      <c r="V492">
        <v>3902.77</v>
      </c>
      <c r="W492" t="s">
        <v>31</v>
      </c>
      <c r="X492" t="s">
        <v>32</v>
      </c>
      <c r="Y492">
        <f t="shared" si="59"/>
        <v>0.05</v>
      </c>
      <c r="Z492">
        <f t="shared" si="60"/>
        <v>15138.487499999999</v>
      </c>
      <c r="AA492">
        <f t="shared" si="61"/>
        <v>3902.7674999999999</v>
      </c>
      <c r="AB492">
        <f t="shared" si="62"/>
        <v>25.780432160082047</v>
      </c>
      <c r="AC492">
        <f t="shared" si="63"/>
        <v>7</v>
      </c>
      <c r="AD492">
        <f t="shared" si="64"/>
        <v>2025</v>
      </c>
      <c r="AE492" t="str">
        <f t="shared" si="65"/>
        <v>CLEAN</v>
      </c>
    </row>
    <row r="493" spans="1:31">
      <c r="A493" t="s">
        <v>1088</v>
      </c>
      <c r="B493" s="2">
        <v>45806</v>
      </c>
      <c r="C493" s="2">
        <v>45812</v>
      </c>
      <c r="D493" s="5">
        <f>C493-B493</f>
        <v>6</v>
      </c>
      <c r="E493" s="5" t="str">
        <f>IF(D493&lt;0,"INVALID","OK")</f>
        <v>OK</v>
      </c>
      <c r="F493" t="s">
        <v>1089</v>
      </c>
      <c r="G493" t="s">
        <v>161</v>
      </c>
      <c r="H493" t="s">
        <v>23</v>
      </c>
      <c r="I493" t="s">
        <v>62</v>
      </c>
      <c r="J493" t="s">
        <v>63</v>
      </c>
      <c r="K493" t="s">
        <v>64</v>
      </c>
      <c r="L493" t="s">
        <v>27</v>
      </c>
      <c r="M493" t="s">
        <v>123</v>
      </c>
      <c r="N493" t="s">
        <v>1090</v>
      </c>
      <c r="O493" t="s">
        <v>49</v>
      </c>
      <c r="P493">
        <v>6</v>
      </c>
      <c r="Q493">
        <v>3100.68</v>
      </c>
      <c r="R493">
        <v>0</v>
      </c>
      <c r="S493" t="str">
        <f t="shared" si="58"/>
        <v>OK</v>
      </c>
      <c r="T493">
        <v>18604.080000000002</v>
      </c>
      <c r="U493">
        <v>15834.3</v>
      </c>
      <c r="V493">
        <v>2769.78</v>
      </c>
      <c r="W493" t="s">
        <v>31</v>
      </c>
      <c r="X493" t="s">
        <v>32</v>
      </c>
      <c r="Y493">
        <f t="shared" si="59"/>
        <v>0</v>
      </c>
      <c r="Z493">
        <f t="shared" si="60"/>
        <v>18604.079999999998</v>
      </c>
      <c r="AA493">
        <f t="shared" si="61"/>
        <v>2769.7799999999988</v>
      </c>
      <c r="AB493">
        <f t="shared" si="62"/>
        <v>14.88802456235406</v>
      </c>
      <c r="AC493">
        <f t="shared" si="63"/>
        <v>5</v>
      </c>
      <c r="AD493">
        <f t="shared" si="64"/>
        <v>2025</v>
      </c>
      <c r="AE493" t="str">
        <f t="shared" si="65"/>
        <v>CLEAN</v>
      </c>
    </row>
    <row r="494" spans="1:31">
      <c r="A494" t="s">
        <v>1091</v>
      </c>
      <c r="B494" s="2">
        <v>45789</v>
      </c>
      <c r="C494" s="2">
        <v>45795</v>
      </c>
      <c r="D494" s="5">
        <f>C494-B494</f>
        <v>6</v>
      </c>
      <c r="E494" s="5" t="str">
        <f>IF(D494&lt;0,"INVALID","OK")</f>
        <v>OK</v>
      </c>
      <c r="F494" t="s">
        <v>1092</v>
      </c>
      <c r="G494" t="s">
        <v>78</v>
      </c>
      <c r="H494" t="s">
        <v>36</v>
      </c>
      <c r="I494" t="s">
        <v>62</v>
      </c>
      <c r="J494" t="s">
        <v>63</v>
      </c>
      <c r="K494" t="s">
        <v>64</v>
      </c>
      <c r="L494" t="s">
        <v>27</v>
      </c>
      <c r="M494" t="s">
        <v>123</v>
      </c>
      <c r="N494" t="s">
        <v>1093</v>
      </c>
      <c r="O494" t="s">
        <v>58</v>
      </c>
      <c r="P494">
        <v>4</v>
      </c>
      <c r="Q494">
        <v>4053.03</v>
      </c>
      <c r="R494">
        <v>0.05</v>
      </c>
      <c r="S494" t="str">
        <f t="shared" ref="S494:S543" si="66">IF(R494&lt;0,"INVALID",IF(R494&gt;0.5,"INVALID","OK"))</f>
        <v>OK</v>
      </c>
      <c r="T494">
        <v>15401.51</v>
      </c>
      <c r="U494">
        <v>8650.42</v>
      </c>
      <c r="V494">
        <v>6751.09</v>
      </c>
      <c r="W494" t="s">
        <v>31</v>
      </c>
      <c r="X494" t="s">
        <v>32</v>
      </c>
      <c r="Y494">
        <f t="shared" si="59"/>
        <v>0.05</v>
      </c>
      <c r="Z494">
        <f t="shared" si="60"/>
        <v>15401.513999999999</v>
      </c>
      <c r="AA494">
        <f t="shared" si="61"/>
        <v>6751.0939999999991</v>
      </c>
      <c r="AB494">
        <f t="shared" si="62"/>
        <v>43.833963336331735</v>
      </c>
      <c r="AC494">
        <f t="shared" si="63"/>
        <v>5</v>
      </c>
      <c r="AD494">
        <f t="shared" si="64"/>
        <v>2025</v>
      </c>
      <c r="AE494" t="str">
        <f t="shared" si="65"/>
        <v>CLEAN</v>
      </c>
    </row>
    <row r="495" spans="1:31">
      <c r="A495" t="s">
        <v>1100</v>
      </c>
      <c r="B495" s="2">
        <v>45804</v>
      </c>
      <c r="C495" s="2">
        <v>45805</v>
      </c>
      <c r="D495" s="5">
        <f>C495-B495</f>
        <v>1</v>
      </c>
      <c r="E495" s="5" t="str">
        <f>IF(D495&lt;0,"INVALID","OK")</f>
        <v>OK</v>
      </c>
      <c r="F495" t="s">
        <v>1101</v>
      </c>
      <c r="G495" t="s">
        <v>127</v>
      </c>
      <c r="H495" t="s">
        <v>23</v>
      </c>
      <c r="I495" t="s">
        <v>53</v>
      </c>
      <c r="J495" t="s">
        <v>83</v>
      </c>
      <c r="K495" t="s">
        <v>84</v>
      </c>
      <c r="L495" t="s">
        <v>73</v>
      </c>
      <c r="M495" t="s">
        <v>273</v>
      </c>
      <c r="N495" t="s">
        <v>1102</v>
      </c>
      <c r="O495" t="s">
        <v>30</v>
      </c>
      <c r="P495">
        <v>2</v>
      </c>
      <c r="Q495">
        <v>3911.96</v>
      </c>
      <c r="R495">
        <v>0</v>
      </c>
      <c r="S495" t="str">
        <f t="shared" si="66"/>
        <v>OK</v>
      </c>
      <c r="T495">
        <v>7823.92</v>
      </c>
      <c r="U495">
        <v>6034.63</v>
      </c>
      <c r="V495">
        <v>1789.29</v>
      </c>
      <c r="W495" t="s">
        <v>31</v>
      </c>
      <c r="X495" t="s">
        <v>32</v>
      </c>
      <c r="Y495">
        <f t="shared" si="59"/>
        <v>0</v>
      </c>
      <c r="Z495">
        <f t="shared" si="60"/>
        <v>7823.92</v>
      </c>
      <c r="AA495">
        <f t="shared" si="61"/>
        <v>1789.29</v>
      </c>
      <c r="AB495">
        <f t="shared" si="62"/>
        <v>22.869482305545048</v>
      </c>
      <c r="AC495">
        <f t="shared" si="63"/>
        <v>5</v>
      </c>
      <c r="AD495">
        <f t="shared" si="64"/>
        <v>2025</v>
      </c>
      <c r="AE495" t="str">
        <f t="shared" si="65"/>
        <v>CLEAN</v>
      </c>
    </row>
    <row r="496" spans="1:31">
      <c r="A496" t="s">
        <v>1103</v>
      </c>
      <c r="B496" s="2">
        <v>45830</v>
      </c>
      <c r="C496" s="2">
        <v>45835</v>
      </c>
      <c r="D496" s="5">
        <f>C496-B496</f>
        <v>5</v>
      </c>
      <c r="E496" s="5" t="str">
        <f>IF(D496&lt;0,"INVALID","OK")</f>
        <v>OK</v>
      </c>
      <c r="F496" t="s">
        <v>1104</v>
      </c>
      <c r="G496" t="s">
        <v>140</v>
      </c>
      <c r="H496" t="s">
        <v>94</v>
      </c>
      <c r="I496" t="s">
        <v>2762</v>
      </c>
      <c r="J496" t="s">
        <v>349</v>
      </c>
      <c r="K496" t="s">
        <v>350</v>
      </c>
      <c r="L496" t="s">
        <v>73</v>
      </c>
      <c r="M496" t="s">
        <v>170</v>
      </c>
      <c r="N496" t="s">
        <v>1105</v>
      </c>
      <c r="O496" t="s">
        <v>49</v>
      </c>
      <c r="P496">
        <v>2</v>
      </c>
      <c r="Q496">
        <v>1468.05</v>
      </c>
      <c r="R496">
        <v>0</v>
      </c>
      <c r="S496" t="str">
        <f t="shared" si="66"/>
        <v>OK</v>
      </c>
      <c r="T496">
        <v>2936.1</v>
      </c>
      <c r="U496">
        <v>1923.1</v>
      </c>
      <c r="V496">
        <v>1013</v>
      </c>
      <c r="W496" t="s">
        <v>31</v>
      </c>
      <c r="X496" t="s">
        <v>32</v>
      </c>
      <c r="Y496">
        <f t="shared" si="59"/>
        <v>0</v>
      </c>
      <c r="Z496">
        <f t="shared" si="60"/>
        <v>2936.1</v>
      </c>
      <c r="AA496">
        <f t="shared" si="61"/>
        <v>1013</v>
      </c>
      <c r="AB496">
        <f t="shared" si="62"/>
        <v>34.501549674738605</v>
      </c>
      <c r="AC496">
        <f t="shared" si="63"/>
        <v>6</v>
      </c>
      <c r="AD496">
        <f t="shared" si="64"/>
        <v>2025</v>
      </c>
      <c r="AE496" t="str">
        <f t="shared" si="65"/>
        <v>CLEAN</v>
      </c>
    </row>
    <row r="497" spans="1:31">
      <c r="A497" t="s">
        <v>1109</v>
      </c>
      <c r="B497" s="2">
        <v>45824</v>
      </c>
      <c r="C497" s="2">
        <v>45826</v>
      </c>
      <c r="D497" s="5">
        <f>C497-B497</f>
        <v>2</v>
      </c>
      <c r="E497" s="5" t="str">
        <f>IF(D497&lt;0,"INVALID","OK")</f>
        <v>OK</v>
      </c>
      <c r="F497" t="s">
        <v>1110</v>
      </c>
      <c r="G497" t="s">
        <v>117</v>
      </c>
      <c r="H497" t="s">
        <v>94</v>
      </c>
      <c r="I497" t="s">
        <v>62</v>
      </c>
      <c r="J497" t="s">
        <v>71</v>
      </c>
      <c r="K497" t="s">
        <v>72</v>
      </c>
      <c r="L497" t="s">
        <v>27</v>
      </c>
      <c r="M497" t="s">
        <v>28</v>
      </c>
      <c r="N497" t="s">
        <v>1111</v>
      </c>
      <c r="O497" t="s">
        <v>49</v>
      </c>
      <c r="P497">
        <v>3</v>
      </c>
      <c r="Q497">
        <v>4289.37</v>
      </c>
      <c r="R497">
        <v>0.1</v>
      </c>
      <c r="S497" t="str">
        <f t="shared" si="66"/>
        <v>OK</v>
      </c>
      <c r="T497">
        <v>11581.3</v>
      </c>
      <c r="U497">
        <v>6829.43</v>
      </c>
      <c r="V497">
        <v>4751.87</v>
      </c>
      <c r="W497" t="s">
        <v>31</v>
      </c>
      <c r="X497" t="s">
        <v>32</v>
      </c>
      <c r="Y497">
        <f t="shared" si="59"/>
        <v>0.1</v>
      </c>
      <c r="Z497">
        <f t="shared" si="60"/>
        <v>11581.299000000001</v>
      </c>
      <c r="AA497">
        <f t="shared" si="61"/>
        <v>4751.8690000000006</v>
      </c>
      <c r="AB497">
        <f t="shared" si="62"/>
        <v>41.030535521101733</v>
      </c>
      <c r="AC497">
        <f t="shared" si="63"/>
        <v>6</v>
      </c>
      <c r="AD497">
        <f t="shared" si="64"/>
        <v>2025</v>
      </c>
      <c r="AE497" t="str">
        <f t="shared" si="65"/>
        <v>CLEAN</v>
      </c>
    </row>
    <row r="498" spans="1:31">
      <c r="A498" t="s">
        <v>1109</v>
      </c>
      <c r="B498" s="2">
        <v>45824</v>
      </c>
      <c r="C498" s="2">
        <v>45826</v>
      </c>
      <c r="D498" s="5">
        <f>C498-B498</f>
        <v>2</v>
      </c>
      <c r="E498" s="5" t="str">
        <f>IF(D498&lt;0,"INVALID","OK")</f>
        <v>OK</v>
      </c>
      <c r="F498" t="s">
        <v>1110</v>
      </c>
      <c r="G498" t="s">
        <v>117</v>
      </c>
      <c r="H498" t="s">
        <v>94</v>
      </c>
      <c r="I498" t="s">
        <v>62</v>
      </c>
      <c r="J498" t="s">
        <v>71</v>
      </c>
      <c r="K498" t="s">
        <v>72</v>
      </c>
      <c r="L498" t="s">
        <v>27</v>
      </c>
      <c r="M498" t="s">
        <v>28</v>
      </c>
      <c r="N498" t="s">
        <v>1111</v>
      </c>
      <c r="O498" t="s">
        <v>49</v>
      </c>
      <c r="P498">
        <v>3</v>
      </c>
      <c r="Q498">
        <v>4289.37</v>
      </c>
      <c r="R498">
        <v>0.1</v>
      </c>
      <c r="S498" t="str">
        <f t="shared" si="66"/>
        <v>OK</v>
      </c>
      <c r="T498">
        <v>11778.71</v>
      </c>
      <c r="U498">
        <v>6829.43</v>
      </c>
      <c r="V498">
        <v>4751.87</v>
      </c>
      <c r="W498" t="s">
        <v>31</v>
      </c>
      <c r="X498" t="s">
        <v>102</v>
      </c>
      <c r="Y498">
        <f t="shared" si="59"/>
        <v>0.1</v>
      </c>
      <c r="Z498">
        <f t="shared" si="60"/>
        <v>11581.299000000001</v>
      </c>
      <c r="AA498">
        <f t="shared" si="61"/>
        <v>4751.8690000000006</v>
      </c>
      <c r="AB498">
        <f t="shared" si="62"/>
        <v>41.030535521101733</v>
      </c>
      <c r="AC498">
        <f t="shared" si="63"/>
        <v>6</v>
      </c>
      <c r="AD498">
        <f t="shared" si="64"/>
        <v>2025</v>
      </c>
      <c r="AE498" t="str">
        <f t="shared" si="65"/>
        <v>CLEAN</v>
      </c>
    </row>
    <row r="499" spans="1:31">
      <c r="A499" t="s">
        <v>1120</v>
      </c>
      <c r="B499" s="2">
        <v>45708</v>
      </c>
      <c r="C499" s="2">
        <v>45710</v>
      </c>
      <c r="D499" s="5">
        <f>C499-B499</f>
        <v>2</v>
      </c>
      <c r="E499" s="5" t="str">
        <f>IF(D499&lt;0,"INVALID","OK")</f>
        <v>OK</v>
      </c>
      <c r="F499" t="s">
        <v>1121</v>
      </c>
      <c r="G499" t="s">
        <v>78</v>
      </c>
      <c r="H499" t="s">
        <v>89</v>
      </c>
      <c r="I499" t="s">
        <v>37</v>
      </c>
      <c r="J499" t="s">
        <v>227</v>
      </c>
      <c r="K499" t="s">
        <v>228</v>
      </c>
      <c r="L499" t="s">
        <v>40</v>
      </c>
      <c r="M499" t="s">
        <v>157</v>
      </c>
      <c r="N499" t="s">
        <v>1122</v>
      </c>
      <c r="O499" t="s">
        <v>58</v>
      </c>
      <c r="P499">
        <v>8</v>
      </c>
      <c r="Q499">
        <v>3265.76</v>
      </c>
      <c r="R499">
        <v>0.2</v>
      </c>
      <c r="S499" t="str">
        <f t="shared" si="66"/>
        <v>OK</v>
      </c>
      <c r="T499">
        <v>20900.86</v>
      </c>
      <c r="U499">
        <v>12513.14</v>
      </c>
      <c r="V499">
        <v>8387.7199999999993</v>
      </c>
      <c r="W499" t="s">
        <v>31</v>
      </c>
      <c r="X499" t="s">
        <v>32</v>
      </c>
      <c r="Y499">
        <f t="shared" si="59"/>
        <v>0.2</v>
      </c>
      <c r="Z499">
        <f t="shared" si="60"/>
        <v>20900.864000000001</v>
      </c>
      <c r="AA499">
        <f t="shared" si="61"/>
        <v>8387.724000000002</v>
      </c>
      <c r="AB499">
        <f t="shared" si="62"/>
        <v>40.130991714026756</v>
      </c>
      <c r="AC499">
        <f t="shared" si="63"/>
        <v>2</v>
      </c>
      <c r="AD499">
        <f t="shared" si="64"/>
        <v>2025</v>
      </c>
      <c r="AE499" t="str">
        <f t="shared" si="65"/>
        <v>CLEAN</v>
      </c>
    </row>
    <row r="500" spans="1:31">
      <c r="A500" t="s">
        <v>1126</v>
      </c>
      <c r="B500" s="2">
        <v>45908</v>
      </c>
      <c r="C500" s="2">
        <v>45909</v>
      </c>
      <c r="D500" s="5">
        <f>C500-B500</f>
        <v>1</v>
      </c>
      <c r="E500" s="5" t="str">
        <f>IF(D500&lt;0,"INVALID","OK")</f>
        <v>OK</v>
      </c>
      <c r="F500" t="s">
        <v>1127</v>
      </c>
      <c r="G500" t="s">
        <v>140</v>
      </c>
      <c r="H500" t="s">
        <v>94</v>
      </c>
      <c r="I500" t="s">
        <v>62</v>
      </c>
      <c r="J500" t="s">
        <v>179</v>
      </c>
      <c r="K500" t="s">
        <v>180</v>
      </c>
      <c r="L500" t="s">
        <v>40</v>
      </c>
      <c r="M500" t="s">
        <v>65</v>
      </c>
      <c r="N500" t="s">
        <v>1128</v>
      </c>
      <c r="O500" t="s">
        <v>30</v>
      </c>
      <c r="P500">
        <v>2</v>
      </c>
      <c r="Q500">
        <v>3960.33</v>
      </c>
      <c r="R500">
        <v>0.05</v>
      </c>
      <c r="S500" t="str">
        <f t="shared" si="66"/>
        <v>OK</v>
      </c>
      <c r="T500">
        <v>7524.63</v>
      </c>
      <c r="U500">
        <v>6229.6</v>
      </c>
      <c r="V500">
        <v>1295.03</v>
      </c>
      <c r="W500" t="s">
        <v>31</v>
      </c>
      <c r="X500" t="s">
        <v>32</v>
      </c>
      <c r="Y500">
        <f t="shared" si="59"/>
        <v>0.05</v>
      </c>
      <c r="Z500">
        <f t="shared" si="60"/>
        <v>7524.6269999999995</v>
      </c>
      <c r="AA500">
        <f t="shared" si="61"/>
        <v>1295.0269999999991</v>
      </c>
      <c r="AB500">
        <f t="shared" si="62"/>
        <v>17.210514222166751</v>
      </c>
      <c r="AC500">
        <f t="shared" si="63"/>
        <v>9</v>
      </c>
      <c r="AD500">
        <f t="shared" si="64"/>
        <v>2025</v>
      </c>
      <c r="AE500" t="str">
        <f t="shared" si="65"/>
        <v>CLEAN</v>
      </c>
    </row>
    <row r="501" spans="1:31">
      <c r="A501" t="s">
        <v>1129</v>
      </c>
      <c r="B501" s="2">
        <v>45862</v>
      </c>
      <c r="C501" s="2">
        <v>45665</v>
      </c>
      <c r="D501" s="5">
        <f>C501-B501</f>
        <v>-197</v>
      </c>
      <c r="E501" s="5" t="str">
        <f>IF(D501&lt;0,"INVALID","OK")</f>
        <v>INVALID</v>
      </c>
      <c r="F501" t="s">
        <v>1130</v>
      </c>
      <c r="G501" t="s">
        <v>263</v>
      </c>
      <c r="H501" t="s">
        <v>36</v>
      </c>
      <c r="I501" t="s">
        <v>37</v>
      </c>
      <c r="J501" t="s">
        <v>227</v>
      </c>
      <c r="K501" t="s">
        <v>228</v>
      </c>
      <c r="L501" t="s">
        <v>27</v>
      </c>
      <c r="M501" t="s">
        <v>152</v>
      </c>
      <c r="N501" t="s">
        <v>1131</v>
      </c>
      <c r="O501" t="s">
        <v>49</v>
      </c>
      <c r="P501">
        <v>8</v>
      </c>
      <c r="Q501">
        <v>1528.92</v>
      </c>
      <c r="R501">
        <v>0</v>
      </c>
      <c r="S501" t="str">
        <f t="shared" si="66"/>
        <v>OK</v>
      </c>
      <c r="T501">
        <v>12231.36</v>
      </c>
      <c r="U501">
        <v>8766.9</v>
      </c>
      <c r="V501">
        <v>3464.46</v>
      </c>
      <c r="W501" t="s">
        <v>31</v>
      </c>
      <c r="X501" t="s">
        <v>32</v>
      </c>
      <c r="Y501">
        <f t="shared" si="59"/>
        <v>0</v>
      </c>
      <c r="Z501">
        <f t="shared" si="60"/>
        <v>12231.36</v>
      </c>
      <c r="AA501">
        <f t="shared" si="61"/>
        <v>3464.4600000000009</v>
      </c>
      <c r="AB501">
        <f t="shared" si="62"/>
        <v>28.324405462679547</v>
      </c>
      <c r="AC501">
        <f t="shared" si="63"/>
        <v>7</v>
      </c>
      <c r="AD501">
        <f t="shared" si="64"/>
        <v>2025</v>
      </c>
      <c r="AE501" t="str">
        <f t="shared" si="65"/>
        <v>INVALID</v>
      </c>
    </row>
    <row r="502" spans="1:31">
      <c r="A502" t="s">
        <v>1132</v>
      </c>
      <c r="B502" s="2">
        <v>45933</v>
      </c>
      <c r="C502" s="2">
        <v>45938</v>
      </c>
      <c r="D502" s="5">
        <f>C502-B502</f>
        <v>5</v>
      </c>
      <c r="E502" s="5" t="str">
        <f>IF(D502&lt;0,"INVALID","OK")</f>
        <v>OK</v>
      </c>
      <c r="F502" t="s">
        <v>1133</v>
      </c>
      <c r="G502" t="s">
        <v>127</v>
      </c>
      <c r="H502" t="s">
        <v>89</v>
      </c>
      <c r="I502" t="s">
        <v>62</v>
      </c>
      <c r="J502" t="s">
        <v>71</v>
      </c>
      <c r="K502" t="s">
        <v>72</v>
      </c>
      <c r="L502" t="s">
        <v>73</v>
      </c>
      <c r="M502" t="s">
        <v>273</v>
      </c>
      <c r="N502" t="s">
        <v>1134</v>
      </c>
      <c r="O502" t="s">
        <v>43</v>
      </c>
      <c r="P502">
        <v>9</v>
      </c>
      <c r="Q502">
        <v>3837</v>
      </c>
      <c r="R502">
        <v>0.1</v>
      </c>
      <c r="S502" t="str">
        <f t="shared" si="66"/>
        <v>OK</v>
      </c>
      <c r="T502">
        <v>31079.7</v>
      </c>
      <c r="U502">
        <v>17758.25</v>
      </c>
      <c r="V502">
        <v>13321.45</v>
      </c>
      <c r="W502" t="s">
        <v>31</v>
      </c>
      <c r="X502" t="s">
        <v>32</v>
      </c>
      <c r="Y502">
        <f t="shared" si="59"/>
        <v>0.1</v>
      </c>
      <c r="Z502">
        <f t="shared" si="60"/>
        <v>31079.7</v>
      </c>
      <c r="AA502">
        <f t="shared" si="61"/>
        <v>13321.45</v>
      </c>
      <c r="AB502">
        <f t="shared" si="62"/>
        <v>42.862221964819483</v>
      </c>
      <c r="AC502">
        <f t="shared" si="63"/>
        <v>10</v>
      </c>
      <c r="AD502">
        <f t="shared" si="64"/>
        <v>2025</v>
      </c>
      <c r="AE502" t="str">
        <f t="shared" si="65"/>
        <v>CLEAN</v>
      </c>
    </row>
    <row r="503" spans="1:31">
      <c r="A503" t="s">
        <v>1141</v>
      </c>
      <c r="B503" s="2">
        <v>45860</v>
      </c>
      <c r="C503" s="2">
        <v>45866</v>
      </c>
      <c r="D503" s="5">
        <f>C503-B503</f>
        <v>6</v>
      </c>
      <c r="E503" s="5" t="str">
        <f>IF(D503&lt;0,"INVALID","OK")</f>
        <v>OK</v>
      </c>
      <c r="F503" t="s">
        <v>1142</v>
      </c>
      <c r="G503" t="s">
        <v>117</v>
      </c>
      <c r="H503" t="s">
        <v>89</v>
      </c>
      <c r="I503" t="s">
        <v>53</v>
      </c>
      <c r="J503" t="s">
        <v>184</v>
      </c>
      <c r="K503" t="s">
        <v>185</v>
      </c>
      <c r="L503" t="s">
        <v>40</v>
      </c>
      <c r="M503" t="s">
        <v>65</v>
      </c>
      <c r="N503" t="s">
        <v>1143</v>
      </c>
      <c r="O503" t="s">
        <v>30</v>
      </c>
      <c r="P503">
        <v>6</v>
      </c>
      <c r="Q503">
        <v>1607.46</v>
      </c>
      <c r="R503">
        <v>0.2</v>
      </c>
      <c r="S503" t="str">
        <f t="shared" si="66"/>
        <v>OK</v>
      </c>
      <c r="T503">
        <v>7715.81</v>
      </c>
      <c r="U503">
        <v>4258.42</v>
      </c>
      <c r="V503">
        <v>3457.39</v>
      </c>
      <c r="W503" t="s">
        <v>31</v>
      </c>
      <c r="X503" t="s">
        <v>32</v>
      </c>
      <c r="Y503">
        <f t="shared" si="59"/>
        <v>0.2</v>
      </c>
      <c r="Z503">
        <f t="shared" si="60"/>
        <v>7715.8080000000009</v>
      </c>
      <c r="AA503">
        <f t="shared" si="61"/>
        <v>3457.3880000000008</v>
      </c>
      <c r="AB503">
        <f t="shared" si="62"/>
        <v>44.809150253609218</v>
      </c>
      <c r="AC503">
        <f t="shared" si="63"/>
        <v>7</v>
      </c>
      <c r="AD503">
        <f t="shared" si="64"/>
        <v>2025</v>
      </c>
      <c r="AE503" t="str">
        <f t="shared" si="65"/>
        <v>CLEAN</v>
      </c>
    </row>
    <row r="504" spans="1:31">
      <c r="A504" t="s">
        <v>1150</v>
      </c>
      <c r="B504" s="2">
        <v>45927</v>
      </c>
      <c r="C504" s="2">
        <v>45929</v>
      </c>
      <c r="D504" s="5">
        <f>C504-B504</f>
        <v>2</v>
      </c>
      <c r="E504" s="5" t="str">
        <f>IF(D504&lt;0,"INVALID","OK")</f>
        <v>OK</v>
      </c>
      <c r="F504" t="s">
        <v>1151</v>
      </c>
      <c r="G504" t="s">
        <v>263</v>
      </c>
      <c r="H504" t="s">
        <v>94</v>
      </c>
      <c r="I504" t="s">
        <v>37</v>
      </c>
      <c r="J504" t="s">
        <v>227</v>
      </c>
      <c r="K504" t="s">
        <v>228</v>
      </c>
      <c r="L504" t="s">
        <v>40</v>
      </c>
      <c r="M504" t="s">
        <v>56</v>
      </c>
      <c r="N504" t="s">
        <v>1152</v>
      </c>
      <c r="O504" t="s">
        <v>30</v>
      </c>
      <c r="P504">
        <v>9</v>
      </c>
      <c r="Q504">
        <v>2867.55</v>
      </c>
      <c r="R504">
        <v>0.25</v>
      </c>
      <c r="S504" t="str">
        <f t="shared" si="66"/>
        <v>OK</v>
      </c>
      <c r="T504">
        <v>19355.96</v>
      </c>
      <c r="U504">
        <v>15012.45</v>
      </c>
      <c r="V504">
        <v>4017.4</v>
      </c>
      <c r="W504" t="s">
        <v>31</v>
      </c>
      <c r="X504" t="s">
        <v>32</v>
      </c>
      <c r="Y504">
        <f t="shared" si="59"/>
        <v>0.25</v>
      </c>
      <c r="Z504">
        <f t="shared" si="60"/>
        <v>19355.962500000001</v>
      </c>
      <c r="AA504">
        <f t="shared" si="61"/>
        <v>4343.5125000000007</v>
      </c>
      <c r="AB504">
        <f t="shared" si="62"/>
        <v>22.440178317146461</v>
      </c>
      <c r="AC504">
        <f t="shared" si="63"/>
        <v>9</v>
      </c>
      <c r="AD504">
        <f t="shared" si="64"/>
        <v>2025</v>
      </c>
      <c r="AE504" t="str">
        <f t="shared" si="65"/>
        <v>CLEAN</v>
      </c>
    </row>
    <row r="505" spans="1:31">
      <c r="A505" t="s">
        <v>1159</v>
      </c>
      <c r="B505" s="2">
        <v>45884</v>
      </c>
      <c r="C505" s="2">
        <v>45886</v>
      </c>
      <c r="D505" s="5">
        <f>C505-B505</f>
        <v>2</v>
      </c>
      <c r="E505" s="5" t="str">
        <f>IF(D505&lt;0,"INVALID","OK")</f>
        <v>OK</v>
      </c>
      <c r="F505" t="s">
        <v>1160</v>
      </c>
      <c r="G505" t="s">
        <v>161</v>
      </c>
      <c r="H505" t="s">
        <v>36</v>
      </c>
      <c r="I505" t="s">
        <v>37</v>
      </c>
      <c r="J505" t="s">
        <v>165</v>
      </c>
      <c r="K505" t="s">
        <v>166</v>
      </c>
      <c r="L505" t="s">
        <v>73</v>
      </c>
      <c r="M505" t="s">
        <v>79</v>
      </c>
      <c r="N505" t="s">
        <v>1161</v>
      </c>
      <c r="O505" t="s">
        <v>49</v>
      </c>
      <c r="P505">
        <v>5</v>
      </c>
      <c r="Q505">
        <v>2862.6</v>
      </c>
      <c r="R505">
        <v>0.25</v>
      </c>
      <c r="S505" t="str">
        <f t="shared" si="66"/>
        <v>OK</v>
      </c>
      <c r="T505">
        <v>10734.75</v>
      </c>
      <c r="U505">
        <v>6475.73</v>
      </c>
      <c r="V505">
        <v>4259.0200000000004</v>
      </c>
      <c r="W505" t="s">
        <v>31</v>
      </c>
      <c r="X505" t="s">
        <v>32</v>
      </c>
      <c r="Y505">
        <f t="shared" si="59"/>
        <v>0.25</v>
      </c>
      <c r="Z505">
        <f t="shared" si="60"/>
        <v>10734.75</v>
      </c>
      <c r="AA505">
        <f t="shared" si="61"/>
        <v>4259.0200000000004</v>
      </c>
      <c r="AB505">
        <f t="shared" si="62"/>
        <v>39.675073942103914</v>
      </c>
      <c r="AC505">
        <f t="shared" si="63"/>
        <v>8</v>
      </c>
      <c r="AD505">
        <f t="shared" si="64"/>
        <v>2025</v>
      </c>
      <c r="AE505" t="str">
        <f t="shared" si="65"/>
        <v>CLEAN</v>
      </c>
    </row>
    <row r="506" spans="1:31">
      <c r="A506" t="s">
        <v>1162</v>
      </c>
      <c r="B506" s="2">
        <v>45709</v>
      </c>
      <c r="C506" s="2">
        <v>45715</v>
      </c>
      <c r="D506" s="5">
        <f>C506-B506</f>
        <v>6</v>
      </c>
      <c r="E506" s="5" t="str">
        <f>IF(D506&lt;0,"INVALID","OK")</f>
        <v>OK</v>
      </c>
      <c r="F506" t="s">
        <v>1163</v>
      </c>
      <c r="G506" t="s">
        <v>61</v>
      </c>
      <c r="H506" t="s">
        <v>23</v>
      </c>
      <c r="I506" t="s">
        <v>24</v>
      </c>
      <c r="J506" t="s">
        <v>25</v>
      </c>
      <c r="K506" t="s">
        <v>26</v>
      </c>
      <c r="L506" t="s">
        <v>27</v>
      </c>
      <c r="M506" t="s">
        <v>47</v>
      </c>
      <c r="N506" t="s">
        <v>1164</v>
      </c>
      <c r="O506" t="s">
        <v>43</v>
      </c>
      <c r="P506">
        <v>9</v>
      </c>
      <c r="Q506">
        <v>1431.67</v>
      </c>
      <c r="R506">
        <v>0.2</v>
      </c>
      <c r="S506" t="str">
        <f t="shared" si="66"/>
        <v>OK</v>
      </c>
      <c r="T506">
        <v>10308.02</v>
      </c>
      <c r="U506">
        <v>5822.31</v>
      </c>
      <c r="V506">
        <v>4485.71</v>
      </c>
      <c r="W506" t="s">
        <v>31</v>
      </c>
      <c r="X506" t="s">
        <v>32</v>
      </c>
      <c r="Y506">
        <f t="shared" si="59"/>
        <v>0.2</v>
      </c>
      <c r="Z506">
        <f t="shared" si="60"/>
        <v>10308.024000000001</v>
      </c>
      <c r="AA506">
        <f t="shared" si="61"/>
        <v>4485.7140000000009</v>
      </c>
      <c r="AB506">
        <f t="shared" si="62"/>
        <v>43.516720566424759</v>
      </c>
      <c r="AC506">
        <f t="shared" si="63"/>
        <v>2</v>
      </c>
      <c r="AD506">
        <f t="shared" si="64"/>
        <v>2025</v>
      </c>
      <c r="AE506" t="str">
        <f t="shared" si="65"/>
        <v>CLEAN</v>
      </c>
    </row>
    <row r="507" spans="1:31">
      <c r="A507" t="s">
        <v>1171</v>
      </c>
      <c r="B507" s="2">
        <v>45835</v>
      </c>
      <c r="C507" s="2">
        <v>45837</v>
      </c>
      <c r="D507" s="5">
        <f>C507-B507</f>
        <v>2</v>
      </c>
      <c r="E507" s="5" t="str">
        <f>IF(D507&lt;0,"INVALID","OK")</f>
        <v>OK</v>
      </c>
      <c r="F507" t="s">
        <v>1172</v>
      </c>
      <c r="G507" t="s">
        <v>140</v>
      </c>
      <c r="H507" t="s">
        <v>94</v>
      </c>
      <c r="I507" t="s">
        <v>53</v>
      </c>
      <c r="J507" t="s">
        <v>54</v>
      </c>
      <c r="K507" t="s">
        <v>55</v>
      </c>
      <c r="L507" t="s">
        <v>40</v>
      </c>
      <c r="M507" t="s">
        <v>65</v>
      </c>
      <c r="N507" t="s">
        <v>1173</v>
      </c>
      <c r="O507" t="s">
        <v>49</v>
      </c>
      <c r="P507">
        <v>5</v>
      </c>
      <c r="Q507">
        <v>621.70000000000005</v>
      </c>
      <c r="R507">
        <v>0.2</v>
      </c>
      <c r="S507" t="str">
        <f t="shared" si="66"/>
        <v>OK</v>
      </c>
      <c r="T507">
        <v>2486.8000000000002</v>
      </c>
      <c r="U507">
        <v>2131.73</v>
      </c>
      <c r="V507">
        <v>355.07</v>
      </c>
      <c r="W507" t="s">
        <v>110</v>
      </c>
      <c r="X507" t="s">
        <v>102</v>
      </c>
      <c r="Y507">
        <f t="shared" si="59"/>
        <v>0.2</v>
      </c>
      <c r="Z507">
        <f t="shared" si="60"/>
        <v>2486.8000000000002</v>
      </c>
      <c r="AA507">
        <f t="shared" si="61"/>
        <v>355.07000000000016</v>
      </c>
      <c r="AB507">
        <f t="shared" si="62"/>
        <v>14.27818883705968</v>
      </c>
      <c r="AC507">
        <f t="shared" si="63"/>
        <v>6</v>
      </c>
      <c r="AD507">
        <f t="shared" si="64"/>
        <v>2025</v>
      </c>
      <c r="AE507" t="str">
        <f t="shared" si="65"/>
        <v>CLEAN</v>
      </c>
    </row>
    <row r="508" spans="1:31">
      <c r="A508" t="s">
        <v>1177</v>
      </c>
      <c r="B508" s="2">
        <v>45878</v>
      </c>
      <c r="C508" s="2">
        <v>45876</v>
      </c>
      <c r="D508" s="5">
        <f>C508-B508</f>
        <v>-2</v>
      </c>
      <c r="E508" s="5" t="str">
        <f>IF(D508&lt;0,"INVALID","OK")</f>
        <v>INVALID</v>
      </c>
      <c r="F508" t="s">
        <v>1178</v>
      </c>
      <c r="G508" t="s">
        <v>70</v>
      </c>
      <c r="H508" t="s">
        <v>94</v>
      </c>
      <c r="I508" t="s">
        <v>62</v>
      </c>
      <c r="J508" t="s">
        <v>179</v>
      </c>
      <c r="K508" t="s">
        <v>180</v>
      </c>
      <c r="L508" t="s">
        <v>40</v>
      </c>
      <c r="M508" t="s">
        <v>157</v>
      </c>
      <c r="N508" t="s">
        <v>1179</v>
      </c>
      <c r="O508" t="s">
        <v>30</v>
      </c>
      <c r="P508">
        <v>5</v>
      </c>
      <c r="Q508">
        <v>1253.92</v>
      </c>
      <c r="R508">
        <v>0.05</v>
      </c>
      <c r="S508" t="str">
        <f t="shared" si="66"/>
        <v>OK</v>
      </c>
      <c r="T508">
        <v>5956.12</v>
      </c>
      <c r="U508">
        <v>4379.18</v>
      </c>
      <c r="V508">
        <v>1576.94</v>
      </c>
      <c r="W508" t="s">
        <v>110</v>
      </c>
      <c r="X508" t="s">
        <v>102</v>
      </c>
      <c r="Y508">
        <f t="shared" si="59"/>
        <v>0.05</v>
      </c>
      <c r="Z508">
        <f t="shared" si="60"/>
        <v>5956.12</v>
      </c>
      <c r="AA508">
        <f t="shared" si="61"/>
        <v>1576.9399999999996</v>
      </c>
      <c r="AB508">
        <f t="shared" si="62"/>
        <v>26.475960860425907</v>
      </c>
      <c r="AC508">
        <f t="shared" si="63"/>
        <v>8</v>
      </c>
      <c r="AD508">
        <f t="shared" si="64"/>
        <v>2025</v>
      </c>
      <c r="AE508" t="str">
        <f t="shared" si="65"/>
        <v>INVALID</v>
      </c>
    </row>
    <row r="509" spans="1:31">
      <c r="A509" t="s">
        <v>1186</v>
      </c>
      <c r="B509" s="2">
        <v>45661</v>
      </c>
      <c r="C509" s="2">
        <v>45749</v>
      </c>
      <c r="D509" s="5">
        <f>C509-B509</f>
        <v>88</v>
      </c>
      <c r="E509" s="5" t="str">
        <f>IF(D509&lt;0,"INVALID","OK")</f>
        <v>OK</v>
      </c>
      <c r="F509" t="s">
        <v>1187</v>
      </c>
      <c r="G509" t="s">
        <v>140</v>
      </c>
      <c r="H509" t="s">
        <v>89</v>
      </c>
      <c r="I509" t="s">
        <v>37</v>
      </c>
      <c r="J509" t="s">
        <v>38</v>
      </c>
      <c r="K509" t="s">
        <v>39</v>
      </c>
      <c r="L509" t="s">
        <v>40</v>
      </c>
      <c r="M509" t="s">
        <v>65</v>
      </c>
      <c r="N509" t="s">
        <v>1188</v>
      </c>
      <c r="O509" t="s">
        <v>30</v>
      </c>
      <c r="P509">
        <v>9</v>
      </c>
      <c r="Q509">
        <v>4165.58</v>
      </c>
      <c r="R509">
        <v>0.05</v>
      </c>
      <c r="S509" t="str">
        <f t="shared" si="66"/>
        <v>OK</v>
      </c>
      <c r="T509">
        <v>35615.71</v>
      </c>
      <c r="U509">
        <v>20389.71</v>
      </c>
      <c r="V509">
        <v>15226</v>
      </c>
      <c r="W509" t="s">
        <v>110</v>
      </c>
      <c r="X509" t="s">
        <v>102</v>
      </c>
      <c r="Y509">
        <f t="shared" si="59"/>
        <v>0.05</v>
      </c>
      <c r="Z509">
        <f t="shared" si="60"/>
        <v>35615.709000000003</v>
      </c>
      <c r="AA509">
        <f t="shared" si="61"/>
        <v>15225.999000000003</v>
      </c>
      <c r="AB509">
        <f t="shared" si="62"/>
        <v>42.75079572331412</v>
      </c>
      <c r="AC509">
        <f t="shared" si="63"/>
        <v>1</v>
      </c>
      <c r="AD509">
        <f t="shared" si="64"/>
        <v>2025</v>
      </c>
      <c r="AE509" t="str">
        <f t="shared" si="65"/>
        <v>CLEAN</v>
      </c>
    </row>
    <row r="510" spans="1:31">
      <c r="A510" t="s">
        <v>1192</v>
      </c>
      <c r="B510" s="2">
        <v>45845</v>
      </c>
      <c r="C510" s="2">
        <v>45850</v>
      </c>
      <c r="D510" s="5">
        <f>C510-B510</f>
        <v>5</v>
      </c>
      <c r="E510" s="5" t="str">
        <f>IF(D510&lt;0,"INVALID","OK")</f>
        <v>OK</v>
      </c>
      <c r="F510" t="s">
        <v>1193</v>
      </c>
      <c r="G510" t="s">
        <v>161</v>
      </c>
      <c r="H510" t="s">
        <v>89</v>
      </c>
      <c r="I510" t="s">
        <v>37</v>
      </c>
      <c r="J510" t="s">
        <v>98</v>
      </c>
      <c r="K510" t="s">
        <v>99</v>
      </c>
      <c r="L510" t="s">
        <v>40</v>
      </c>
      <c r="M510" t="s">
        <v>41</v>
      </c>
      <c r="N510" t="s">
        <v>1194</v>
      </c>
      <c r="O510" t="s">
        <v>30</v>
      </c>
      <c r="P510">
        <v>5</v>
      </c>
      <c r="Q510">
        <v>1831.37</v>
      </c>
      <c r="R510">
        <v>0.25</v>
      </c>
      <c r="S510" t="str">
        <f t="shared" si="66"/>
        <v>OK</v>
      </c>
      <c r="T510">
        <v>6867.64</v>
      </c>
      <c r="U510">
        <v>5205.3599999999997</v>
      </c>
      <c r="V510">
        <v>1662.28</v>
      </c>
      <c r="W510" t="s">
        <v>31</v>
      </c>
      <c r="X510" t="s">
        <v>32</v>
      </c>
      <c r="Y510">
        <f t="shared" si="59"/>
        <v>0.25</v>
      </c>
      <c r="Z510">
        <f t="shared" si="60"/>
        <v>6867.6374999999989</v>
      </c>
      <c r="AA510">
        <f t="shared" si="61"/>
        <v>1662.2774999999992</v>
      </c>
      <c r="AB510">
        <f t="shared" si="62"/>
        <v>24.204502640100028</v>
      </c>
      <c r="AC510">
        <f t="shared" si="63"/>
        <v>7</v>
      </c>
      <c r="AD510">
        <f t="shared" si="64"/>
        <v>2025</v>
      </c>
      <c r="AE510" t="str">
        <f t="shared" si="65"/>
        <v>CLEAN</v>
      </c>
    </row>
    <row r="511" spans="1:31">
      <c r="A511" t="s">
        <v>1195</v>
      </c>
      <c r="B511" s="2">
        <v>45737</v>
      </c>
      <c r="C511" s="2">
        <v>45740</v>
      </c>
      <c r="D511" s="5">
        <f>C511-B511</f>
        <v>3</v>
      </c>
      <c r="E511" s="5" t="str">
        <f>IF(D511&lt;0,"INVALID","OK")</f>
        <v>OK</v>
      </c>
      <c r="F511" t="s">
        <v>1196</v>
      </c>
      <c r="G511" t="s">
        <v>127</v>
      </c>
      <c r="H511" t="s">
        <v>36</v>
      </c>
      <c r="I511" t="s">
        <v>53</v>
      </c>
      <c r="J511" t="s">
        <v>83</v>
      </c>
      <c r="K511" t="s">
        <v>84</v>
      </c>
      <c r="L511" t="s">
        <v>40</v>
      </c>
      <c r="M511" t="s">
        <v>65</v>
      </c>
      <c r="N511" t="s">
        <v>1197</v>
      </c>
      <c r="O511" t="s">
        <v>30</v>
      </c>
      <c r="P511">
        <v>5</v>
      </c>
      <c r="Q511">
        <v>1239.1500000000001</v>
      </c>
      <c r="R511">
        <v>0</v>
      </c>
      <c r="S511" t="str">
        <f t="shared" si="66"/>
        <v>OK</v>
      </c>
      <c r="T511">
        <v>6195.75</v>
      </c>
      <c r="U511">
        <v>3967.02</v>
      </c>
      <c r="V511">
        <v>2228.73</v>
      </c>
      <c r="W511" t="s">
        <v>31</v>
      </c>
      <c r="X511" t="s">
        <v>32</v>
      </c>
      <c r="Y511">
        <f t="shared" si="59"/>
        <v>0</v>
      </c>
      <c r="Z511">
        <f t="shared" si="60"/>
        <v>6195.75</v>
      </c>
      <c r="AA511">
        <f t="shared" si="61"/>
        <v>2228.73</v>
      </c>
      <c r="AB511">
        <f t="shared" si="62"/>
        <v>35.971916232901584</v>
      </c>
      <c r="AC511">
        <f t="shared" si="63"/>
        <v>3</v>
      </c>
      <c r="AD511">
        <f t="shared" si="64"/>
        <v>2025</v>
      </c>
      <c r="AE511" t="str">
        <f t="shared" si="65"/>
        <v>CLEAN</v>
      </c>
    </row>
    <row r="512" spans="1:31">
      <c r="A512" t="s">
        <v>1201</v>
      </c>
      <c r="B512" s="2">
        <v>45673</v>
      </c>
      <c r="C512" s="2">
        <v>45679</v>
      </c>
      <c r="D512" s="5">
        <f>C512-B512</f>
        <v>6</v>
      </c>
      <c r="E512" s="5" t="str">
        <f>IF(D512&lt;0,"INVALID","OK")</f>
        <v>OK</v>
      </c>
      <c r="F512" t="s">
        <v>1202</v>
      </c>
      <c r="G512" t="s">
        <v>131</v>
      </c>
      <c r="H512" t="s">
        <v>89</v>
      </c>
      <c r="I512" t="s">
        <v>24</v>
      </c>
      <c r="J512" t="s">
        <v>25</v>
      </c>
      <c r="K512" t="s">
        <v>26</v>
      </c>
      <c r="L512" t="s">
        <v>40</v>
      </c>
      <c r="M512" t="s">
        <v>41</v>
      </c>
      <c r="N512" t="s">
        <v>1203</v>
      </c>
      <c r="O512" t="s">
        <v>43</v>
      </c>
      <c r="P512">
        <v>2</v>
      </c>
      <c r="Q512">
        <v>4418.28</v>
      </c>
      <c r="R512">
        <v>0</v>
      </c>
      <c r="S512" t="str">
        <f t="shared" si="66"/>
        <v>OK</v>
      </c>
      <c r="T512">
        <v>8836.56</v>
      </c>
      <c r="U512">
        <v>5867.75</v>
      </c>
      <c r="V512">
        <v>2968.81</v>
      </c>
      <c r="W512" t="s">
        <v>31</v>
      </c>
      <c r="X512" t="s">
        <v>32</v>
      </c>
      <c r="Y512">
        <f t="shared" si="59"/>
        <v>0</v>
      </c>
      <c r="Z512">
        <f t="shared" si="60"/>
        <v>8836.56</v>
      </c>
      <c r="AA512">
        <f t="shared" si="61"/>
        <v>2968.8099999999995</v>
      </c>
      <c r="AB512">
        <f t="shared" si="62"/>
        <v>33.596897435201022</v>
      </c>
      <c r="AC512">
        <f t="shared" si="63"/>
        <v>1</v>
      </c>
      <c r="AD512">
        <f t="shared" si="64"/>
        <v>2025</v>
      </c>
      <c r="AE512" t="str">
        <f t="shared" si="65"/>
        <v>CLEAN</v>
      </c>
    </row>
    <row r="513" spans="1:31">
      <c r="A513" t="s">
        <v>1210</v>
      </c>
      <c r="B513" s="2">
        <v>45680</v>
      </c>
      <c r="C513" s="2">
        <v>45687</v>
      </c>
      <c r="D513" s="5">
        <f>C513-B513</f>
        <v>7</v>
      </c>
      <c r="E513" s="5" t="str">
        <f>IF(D513&lt;0,"INVALID","OK")</f>
        <v>OK</v>
      </c>
      <c r="F513" t="s">
        <v>1211</v>
      </c>
      <c r="G513" t="s">
        <v>113</v>
      </c>
      <c r="H513" t="s">
        <v>23</v>
      </c>
      <c r="I513" t="s">
        <v>24</v>
      </c>
      <c r="J513" t="s">
        <v>349</v>
      </c>
      <c r="K513" t="s">
        <v>350</v>
      </c>
      <c r="L513" t="s">
        <v>27</v>
      </c>
      <c r="M513" t="s">
        <v>90</v>
      </c>
      <c r="N513" t="s">
        <v>1212</v>
      </c>
      <c r="O513" t="s">
        <v>58</v>
      </c>
      <c r="P513">
        <v>9</v>
      </c>
      <c r="Q513">
        <v>1169.3699999999999</v>
      </c>
      <c r="R513">
        <v>0.15</v>
      </c>
      <c r="S513" t="str">
        <f t="shared" si="66"/>
        <v>OK</v>
      </c>
      <c r="T513">
        <v>8945.68</v>
      </c>
      <c r="U513">
        <v>6740.35</v>
      </c>
      <c r="V513">
        <v>2205.33</v>
      </c>
      <c r="W513" t="s">
        <v>31</v>
      </c>
      <c r="X513" t="s">
        <v>32</v>
      </c>
      <c r="Y513">
        <f t="shared" si="59"/>
        <v>0.15</v>
      </c>
      <c r="Z513">
        <f t="shared" si="60"/>
        <v>8945.6804999999986</v>
      </c>
      <c r="AA513">
        <f t="shared" si="61"/>
        <v>2205.3304999999982</v>
      </c>
      <c r="AB513">
        <f t="shared" si="62"/>
        <v>24.652462157574245</v>
      </c>
      <c r="AC513">
        <f t="shared" si="63"/>
        <v>1</v>
      </c>
      <c r="AD513">
        <f t="shared" si="64"/>
        <v>2025</v>
      </c>
      <c r="AE513" t="str">
        <f t="shared" si="65"/>
        <v>CLEAN</v>
      </c>
    </row>
    <row r="514" spans="1:31">
      <c r="A514" t="s">
        <v>1219</v>
      </c>
      <c r="B514" s="2">
        <v>45885</v>
      </c>
      <c r="C514" s="2">
        <v>45887</v>
      </c>
      <c r="D514" s="5">
        <f>C514-B514</f>
        <v>2</v>
      </c>
      <c r="E514" s="5" t="str">
        <f>IF(D514&lt;0,"INVALID","OK")</f>
        <v>OK</v>
      </c>
      <c r="F514" t="s">
        <v>640</v>
      </c>
      <c r="G514" t="s">
        <v>263</v>
      </c>
      <c r="H514" t="s">
        <v>23</v>
      </c>
      <c r="I514" t="s">
        <v>37</v>
      </c>
      <c r="J514" t="s">
        <v>227</v>
      </c>
      <c r="K514" t="s">
        <v>228</v>
      </c>
      <c r="L514" t="s">
        <v>40</v>
      </c>
      <c r="M514" t="s">
        <v>65</v>
      </c>
      <c r="N514" t="s">
        <v>1220</v>
      </c>
      <c r="O514" t="s">
        <v>43</v>
      </c>
      <c r="P514">
        <v>5</v>
      </c>
      <c r="Q514">
        <v>1530.36</v>
      </c>
      <c r="R514">
        <v>0</v>
      </c>
      <c r="S514" t="str">
        <f t="shared" si="66"/>
        <v>OK</v>
      </c>
      <c r="T514">
        <v>7651.8</v>
      </c>
      <c r="U514">
        <v>5171.78</v>
      </c>
      <c r="V514">
        <v>2480.02</v>
      </c>
      <c r="W514" t="s">
        <v>31</v>
      </c>
      <c r="X514" t="s">
        <v>32</v>
      </c>
      <c r="Y514">
        <f t="shared" si="59"/>
        <v>0</v>
      </c>
      <c r="Z514">
        <f t="shared" si="60"/>
        <v>7651.7999999999993</v>
      </c>
      <c r="AA514">
        <f t="shared" si="61"/>
        <v>2480.0199999999995</v>
      </c>
      <c r="AB514">
        <f t="shared" si="62"/>
        <v>32.410935988917636</v>
      </c>
      <c r="AC514">
        <f t="shared" si="63"/>
        <v>8</v>
      </c>
      <c r="AD514">
        <f t="shared" si="64"/>
        <v>2025</v>
      </c>
      <c r="AE514" t="str">
        <f t="shared" si="65"/>
        <v>CLEAN</v>
      </c>
    </row>
    <row r="515" spans="1:31">
      <c r="A515" t="s">
        <v>1221</v>
      </c>
      <c r="B515" s="2">
        <v>45760</v>
      </c>
      <c r="C515" s="2">
        <v>45760</v>
      </c>
      <c r="D515" s="5">
        <f>C515-B515</f>
        <v>0</v>
      </c>
      <c r="E515" s="5" t="str">
        <f>IF(D515&lt;0,"INVALID","OK")</f>
        <v>OK</v>
      </c>
      <c r="F515" t="s">
        <v>1222</v>
      </c>
      <c r="G515" t="s">
        <v>131</v>
      </c>
      <c r="H515" t="s">
        <v>36</v>
      </c>
      <c r="I515" t="s">
        <v>24</v>
      </c>
      <c r="J515" t="s">
        <v>135</v>
      </c>
      <c r="K515" t="s">
        <v>136</v>
      </c>
      <c r="L515" t="s">
        <v>27</v>
      </c>
      <c r="M515" t="s">
        <v>123</v>
      </c>
      <c r="N515" t="s">
        <v>1223</v>
      </c>
      <c r="O515" t="s">
        <v>30</v>
      </c>
      <c r="P515">
        <v>9</v>
      </c>
      <c r="Q515">
        <v>1118.68</v>
      </c>
      <c r="R515">
        <v>0</v>
      </c>
      <c r="S515" t="str">
        <f t="shared" si="66"/>
        <v>OK</v>
      </c>
      <c r="T515">
        <v>10068.120000000001</v>
      </c>
      <c r="U515">
        <v>8595.3700000000008</v>
      </c>
      <c r="V515">
        <v>1472.75</v>
      </c>
      <c r="W515" t="s">
        <v>31</v>
      </c>
      <c r="X515" t="s">
        <v>32</v>
      </c>
      <c r="Y515">
        <f t="shared" ref="Y515:Y578" si="67">IF(R515&lt;0,0,IF(R515&gt;0.5,0,R515))</f>
        <v>0</v>
      </c>
      <c r="Z515">
        <f t="shared" ref="Z515:Z578" si="68">P515*Q515*(1-Y515)</f>
        <v>10068.120000000001</v>
      </c>
      <c r="AA515">
        <f t="shared" ref="AA515:AA578" si="69">Z515-U515</f>
        <v>1472.75</v>
      </c>
      <c r="AB515">
        <f t="shared" ref="AB515:AB578" si="70">AA515/Z515*100</f>
        <v>14.627855051389933</v>
      </c>
      <c r="AC515">
        <f t="shared" ref="AC515:AC578" si="71">MONTH(B515)</f>
        <v>4</v>
      </c>
      <c r="AD515">
        <f t="shared" ref="AD515:AD578" si="72">YEAR(B515)</f>
        <v>2025</v>
      </c>
      <c r="AE515" t="str">
        <f t="shared" ref="AE515:AE578" si="73">IF(OR(R515&lt;0,NOT(ISNUMBER(R515)),D515&lt;0,W515="Failed"),"INVALID",IF(OR(I515="",O515="",R515="",R515&gt;0.5,AA515&lt;0),"WARNING","CLEAN"))</f>
        <v>CLEAN</v>
      </c>
    </row>
    <row r="516" spans="1:31">
      <c r="A516" t="s">
        <v>1221</v>
      </c>
      <c r="B516" s="2">
        <v>45760</v>
      </c>
      <c r="C516" s="2">
        <v>45760</v>
      </c>
      <c r="D516" s="5">
        <f>C516-B516</f>
        <v>0</v>
      </c>
      <c r="E516" s="5" t="str">
        <f>IF(D516&lt;0,"INVALID","OK")</f>
        <v>OK</v>
      </c>
      <c r="F516" t="s">
        <v>1222</v>
      </c>
      <c r="G516" t="s">
        <v>131</v>
      </c>
      <c r="H516" t="s">
        <v>36</v>
      </c>
      <c r="I516" t="s">
        <v>24</v>
      </c>
      <c r="J516" t="s">
        <v>135</v>
      </c>
      <c r="K516" t="s">
        <v>136</v>
      </c>
      <c r="L516" t="s">
        <v>27</v>
      </c>
      <c r="M516" t="s">
        <v>123</v>
      </c>
      <c r="N516" t="s">
        <v>1223</v>
      </c>
      <c r="O516" t="s">
        <v>30</v>
      </c>
      <c r="P516">
        <v>9</v>
      </c>
      <c r="Q516">
        <v>1118.68</v>
      </c>
      <c r="R516">
        <v>0</v>
      </c>
      <c r="S516" t="str">
        <f t="shared" si="66"/>
        <v>OK</v>
      </c>
      <c r="T516">
        <v>10348.43</v>
      </c>
      <c r="U516">
        <v>8595.3700000000008</v>
      </c>
      <c r="V516">
        <v>1472.75</v>
      </c>
      <c r="W516" t="s">
        <v>31</v>
      </c>
      <c r="X516" t="s">
        <v>102</v>
      </c>
      <c r="Y516">
        <f t="shared" si="67"/>
        <v>0</v>
      </c>
      <c r="Z516">
        <f t="shared" si="68"/>
        <v>10068.120000000001</v>
      </c>
      <c r="AA516">
        <f t="shared" si="69"/>
        <v>1472.75</v>
      </c>
      <c r="AB516">
        <f t="shared" si="70"/>
        <v>14.627855051389933</v>
      </c>
      <c r="AC516">
        <f t="shared" si="71"/>
        <v>4</v>
      </c>
      <c r="AD516">
        <f t="shared" si="72"/>
        <v>2025</v>
      </c>
      <c r="AE516" t="str">
        <f t="shared" si="73"/>
        <v>CLEAN</v>
      </c>
    </row>
    <row r="517" spans="1:31">
      <c r="A517" t="s">
        <v>1224</v>
      </c>
      <c r="B517" s="2">
        <v>45715</v>
      </c>
      <c r="C517" s="2">
        <v>45716</v>
      </c>
      <c r="D517" s="5">
        <f>C517-B517</f>
        <v>1</v>
      </c>
      <c r="E517" s="5" t="str">
        <f>IF(D517&lt;0,"INVALID","OK")</f>
        <v>OK</v>
      </c>
      <c r="F517" t="s">
        <v>1225</v>
      </c>
      <c r="G517" t="s">
        <v>88</v>
      </c>
      <c r="H517" t="s">
        <v>36</v>
      </c>
      <c r="I517" t="s">
        <v>24</v>
      </c>
      <c r="J517" t="s">
        <v>135</v>
      </c>
      <c r="K517" t="s">
        <v>136</v>
      </c>
      <c r="L517" t="s">
        <v>27</v>
      </c>
      <c r="M517" t="s">
        <v>90</v>
      </c>
      <c r="N517" t="s">
        <v>1226</v>
      </c>
      <c r="O517" t="s">
        <v>58</v>
      </c>
      <c r="P517">
        <v>6</v>
      </c>
      <c r="Q517">
        <v>2393.25</v>
      </c>
      <c r="R517">
        <v>0</v>
      </c>
      <c r="S517" t="str">
        <f t="shared" si="66"/>
        <v>OK</v>
      </c>
      <c r="T517">
        <v>14359.5</v>
      </c>
      <c r="U517">
        <v>8117.71</v>
      </c>
      <c r="V517">
        <v>6241.79</v>
      </c>
      <c r="W517" t="s">
        <v>31</v>
      </c>
      <c r="X517" t="s">
        <v>32</v>
      </c>
      <c r="Y517">
        <f t="shared" si="67"/>
        <v>0</v>
      </c>
      <c r="Z517">
        <f t="shared" si="68"/>
        <v>14359.5</v>
      </c>
      <c r="AA517">
        <f t="shared" si="69"/>
        <v>6241.79</v>
      </c>
      <c r="AB517">
        <f t="shared" si="70"/>
        <v>43.468017688638184</v>
      </c>
      <c r="AC517">
        <f t="shared" si="71"/>
        <v>2</v>
      </c>
      <c r="AD517">
        <f t="shared" si="72"/>
        <v>2025</v>
      </c>
      <c r="AE517" t="str">
        <f t="shared" si="73"/>
        <v>CLEAN</v>
      </c>
    </row>
    <row r="518" spans="1:31">
      <c r="A518" t="s">
        <v>1233</v>
      </c>
      <c r="B518" s="2">
        <v>45801</v>
      </c>
      <c r="C518" s="2">
        <v>45807</v>
      </c>
      <c r="D518" s="5">
        <f>C518-B518</f>
        <v>6</v>
      </c>
      <c r="E518" s="5" t="str">
        <f>IF(D518&lt;0,"INVALID","OK")</f>
        <v>OK</v>
      </c>
      <c r="F518" t="s">
        <v>1234</v>
      </c>
      <c r="G518" t="s">
        <v>263</v>
      </c>
      <c r="H518" t="s">
        <v>36</v>
      </c>
      <c r="I518" t="s">
        <v>37</v>
      </c>
      <c r="J518" t="s">
        <v>38</v>
      </c>
      <c r="K518" t="s">
        <v>39</v>
      </c>
      <c r="L518" t="s">
        <v>27</v>
      </c>
      <c r="M518" t="s">
        <v>123</v>
      </c>
      <c r="N518" t="s">
        <v>1235</v>
      </c>
      <c r="O518" t="s">
        <v>43</v>
      </c>
      <c r="P518">
        <v>1</v>
      </c>
      <c r="Q518">
        <v>2564.7399999999998</v>
      </c>
      <c r="R518">
        <v>0</v>
      </c>
      <c r="S518" t="str">
        <f t="shared" si="66"/>
        <v>OK</v>
      </c>
      <c r="T518">
        <v>2564.7399999999998</v>
      </c>
      <c r="U518">
        <v>1754.58</v>
      </c>
      <c r="V518">
        <v>810.16</v>
      </c>
      <c r="W518" t="s">
        <v>31</v>
      </c>
      <c r="X518" t="s">
        <v>32</v>
      </c>
      <c r="Y518">
        <f t="shared" si="67"/>
        <v>0</v>
      </c>
      <c r="Z518">
        <f t="shared" si="68"/>
        <v>2564.7399999999998</v>
      </c>
      <c r="AA518">
        <f t="shared" si="69"/>
        <v>810.15999999999985</v>
      </c>
      <c r="AB518">
        <f t="shared" si="70"/>
        <v>31.588387126960232</v>
      </c>
      <c r="AC518">
        <f t="shared" si="71"/>
        <v>5</v>
      </c>
      <c r="AD518">
        <f t="shared" si="72"/>
        <v>2025</v>
      </c>
      <c r="AE518" t="str">
        <f t="shared" si="73"/>
        <v>CLEAN</v>
      </c>
    </row>
    <row r="519" spans="1:31">
      <c r="A519" t="s">
        <v>1236</v>
      </c>
      <c r="B519" s="2">
        <v>45799</v>
      </c>
      <c r="C519" s="2">
        <v>45799</v>
      </c>
      <c r="D519" s="5">
        <f>C519-B519</f>
        <v>0</v>
      </c>
      <c r="E519" s="5" t="str">
        <f>IF(D519&lt;0,"INVALID","OK")</f>
        <v>OK</v>
      </c>
      <c r="F519" t="s">
        <v>1237</v>
      </c>
      <c r="G519" t="s">
        <v>35</v>
      </c>
      <c r="H519" t="s">
        <v>23</v>
      </c>
      <c r="I519" t="s">
        <v>62</v>
      </c>
      <c r="J519" t="s">
        <v>189</v>
      </c>
      <c r="K519" t="s">
        <v>190</v>
      </c>
      <c r="L519" t="s">
        <v>73</v>
      </c>
      <c r="M519" t="s">
        <v>74</v>
      </c>
      <c r="N519" t="s">
        <v>1238</v>
      </c>
      <c r="O519" t="s">
        <v>58</v>
      </c>
      <c r="P519">
        <v>2</v>
      </c>
      <c r="Q519">
        <v>3910.61</v>
      </c>
      <c r="R519">
        <v>0</v>
      </c>
      <c r="S519" t="str">
        <f t="shared" si="66"/>
        <v>OK</v>
      </c>
      <c r="T519">
        <v>7821.22</v>
      </c>
      <c r="U519">
        <v>4994.46</v>
      </c>
      <c r="V519">
        <v>2826.76</v>
      </c>
      <c r="W519" t="s">
        <v>31</v>
      </c>
      <c r="X519" t="s">
        <v>32</v>
      </c>
      <c r="Y519">
        <f t="shared" si="67"/>
        <v>0</v>
      </c>
      <c r="Z519">
        <f t="shared" si="68"/>
        <v>7821.22</v>
      </c>
      <c r="AA519">
        <f t="shared" si="69"/>
        <v>2826.76</v>
      </c>
      <c r="AB519">
        <f t="shared" si="70"/>
        <v>36.142187535959863</v>
      </c>
      <c r="AC519">
        <f t="shared" si="71"/>
        <v>5</v>
      </c>
      <c r="AD519">
        <f t="shared" si="72"/>
        <v>2025</v>
      </c>
      <c r="AE519" t="str">
        <f t="shared" si="73"/>
        <v>CLEAN</v>
      </c>
    </row>
    <row r="520" spans="1:31">
      <c r="A520" t="s">
        <v>1248</v>
      </c>
      <c r="B520" s="2">
        <v>45720</v>
      </c>
      <c r="C520" s="2">
        <v>45724</v>
      </c>
      <c r="D520" s="5">
        <f>C520-B520</f>
        <v>4</v>
      </c>
      <c r="E520" s="5" t="str">
        <f>IF(D520&lt;0,"INVALID","OK")</f>
        <v>OK</v>
      </c>
      <c r="F520" t="s">
        <v>156</v>
      </c>
      <c r="G520" t="s">
        <v>52</v>
      </c>
      <c r="H520" t="s">
        <v>36</v>
      </c>
      <c r="I520" t="s">
        <v>37</v>
      </c>
      <c r="J520" t="s">
        <v>144</v>
      </c>
      <c r="K520" t="s">
        <v>145</v>
      </c>
      <c r="L520" t="s">
        <v>73</v>
      </c>
      <c r="M520" t="s">
        <v>170</v>
      </c>
      <c r="N520" t="s">
        <v>1249</v>
      </c>
      <c r="O520" t="s">
        <v>49</v>
      </c>
      <c r="P520">
        <v>3</v>
      </c>
      <c r="Q520">
        <v>4361.8500000000004</v>
      </c>
      <c r="R520">
        <v>0.2</v>
      </c>
      <c r="S520" t="str">
        <f t="shared" si="66"/>
        <v>OK</v>
      </c>
      <c r="T520">
        <v>10468.44</v>
      </c>
      <c r="U520">
        <v>8399.8700000000008</v>
      </c>
      <c r="V520">
        <v>2068.5700000000002</v>
      </c>
      <c r="W520" t="s">
        <v>31</v>
      </c>
      <c r="X520" t="s">
        <v>32</v>
      </c>
      <c r="Y520">
        <f t="shared" si="67"/>
        <v>0.2</v>
      </c>
      <c r="Z520">
        <f t="shared" si="68"/>
        <v>10468.440000000002</v>
      </c>
      <c r="AA520">
        <f t="shared" si="69"/>
        <v>2068.5700000000015</v>
      </c>
      <c r="AB520">
        <f t="shared" si="70"/>
        <v>19.760059760575608</v>
      </c>
      <c r="AC520">
        <f t="shared" si="71"/>
        <v>3</v>
      </c>
      <c r="AD520">
        <f t="shared" si="72"/>
        <v>2025</v>
      </c>
      <c r="AE520" t="str">
        <f t="shared" si="73"/>
        <v>CLEAN</v>
      </c>
    </row>
    <row r="521" spans="1:31">
      <c r="A521" t="s">
        <v>1256</v>
      </c>
      <c r="B521" s="2">
        <v>45832</v>
      </c>
      <c r="C521" s="2">
        <v>45838</v>
      </c>
      <c r="D521" s="5">
        <f>C521-B521</f>
        <v>6</v>
      </c>
      <c r="E521" s="5" t="str">
        <f>IF(D521&lt;0,"INVALID","OK")</f>
        <v>OK</v>
      </c>
      <c r="F521" t="s">
        <v>1257</v>
      </c>
      <c r="G521" t="s">
        <v>52</v>
      </c>
      <c r="H521" t="s">
        <v>23</v>
      </c>
      <c r="I521" t="s">
        <v>24</v>
      </c>
      <c r="J521" t="s">
        <v>235</v>
      </c>
      <c r="K521" t="s">
        <v>236</v>
      </c>
      <c r="L521" t="s">
        <v>27</v>
      </c>
      <c r="M521" t="s">
        <v>90</v>
      </c>
      <c r="N521" t="s">
        <v>1258</v>
      </c>
      <c r="O521" t="s">
        <v>58</v>
      </c>
      <c r="P521">
        <v>6</v>
      </c>
      <c r="Q521">
        <v>365.76</v>
      </c>
      <c r="R521">
        <v>0.1</v>
      </c>
      <c r="S521" t="str">
        <f t="shared" si="66"/>
        <v>OK</v>
      </c>
      <c r="T521">
        <v>1975.1</v>
      </c>
      <c r="U521">
        <v>1115.3499999999999</v>
      </c>
      <c r="V521">
        <v>859.75</v>
      </c>
      <c r="W521" t="s">
        <v>31</v>
      </c>
      <c r="X521" t="s">
        <v>32</v>
      </c>
      <c r="Y521">
        <f t="shared" si="67"/>
        <v>0.1</v>
      </c>
      <c r="Z521">
        <f t="shared" si="68"/>
        <v>1975.104</v>
      </c>
      <c r="AA521">
        <f t="shared" si="69"/>
        <v>859.75400000000013</v>
      </c>
      <c r="AB521">
        <f t="shared" si="70"/>
        <v>43.529555911992489</v>
      </c>
      <c r="AC521">
        <f t="shared" si="71"/>
        <v>6</v>
      </c>
      <c r="AD521">
        <f t="shared" si="72"/>
        <v>2025</v>
      </c>
      <c r="AE521" t="str">
        <f t="shared" si="73"/>
        <v>CLEAN</v>
      </c>
    </row>
    <row r="522" spans="1:31">
      <c r="A522" t="s">
        <v>1259</v>
      </c>
      <c r="B522" s="2">
        <v>45700</v>
      </c>
      <c r="C522" s="2">
        <v>45702</v>
      </c>
      <c r="D522" s="5">
        <f>C522-B522</f>
        <v>2</v>
      </c>
      <c r="E522" s="5" t="str">
        <f>IF(D522&lt;0,"INVALID","OK")</f>
        <v>OK</v>
      </c>
      <c r="F522" t="s">
        <v>1260</v>
      </c>
      <c r="G522" t="s">
        <v>131</v>
      </c>
      <c r="H522" t="s">
        <v>23</v>
      </c>
      <c r="I522" t="s">
        <v>62</v>
      </c>
      <c r="J522" t="s">
        <v>63</v>
      </c>
      <c r="K522" t="s">
        <v>64</v>
      </c>
      <c r="L522" t="s">
        <v>40</v>
      </c>
      <c r="M522" t="s">
        <v>56</v>
      </c>
      <c r="N522" t="s">
        <v>1261</v>
      </c>
      <c r="O522" t="s">
        <v>30</v>
      </c>
      <c r="P522">
        <v>8</v>
      </c>
      <c r="Q522">
        <v>2786.66</v>
      </c>
      <c r="R522">
        <v>0.1</v>
      </c>
      <c r="S522" t="str">
        <f t="shared" si="66"/>
        <v>OK</v>
      </c>
      <c r="T522">
        <v>20063.95</v>
      </c>
      <c r="U522">
        <v>14363.38</v>
      </c>
      <c r="V522">
        <v>5700.57</v>
      </c>
      <c r="W522" t="s">
        <v>31</v>
      </c>
      <c r="X522" t="s">
        <v>32</v>
      </c>
      <c r="Y522">
        <f t="shared" si="67"/>
        <v>0.1</v>
      </c>
      <c r="Z522">
        <f t="shared" si="68"/>
        <v>20063.952000000001</v>
      </c>
      <c r="AA522">
        <f t="shared" si="69"/>
        <v>5700.5720000000019</v>
      </c>
      <c r="AB522">
        <f t="shared" si="70"/>
        <v>28.412009757599112</v>
      </c>
      <c r="AC522">
        <f t="shared" si="71"/>
        <v>2</v>
      </c>
      <c r="AD522">
        <f t="shared" si="72"/>
        <v>2025</v>
      </c>
      <c r="AE522" t="str">
        <f t="shared" si="73"/>
        <v>CLEAN</v>
      </c>
    </row>
    <row r="523" spans="1:31">
      <c r="A523" t="s">
        <v>1274</v>
      </c>
      <c r="B523" s="2">
        <v>45702</v>
      </c>
      <c r="C523" s="2">
        <v>45702</v>
      </c>
      <c r="D523" s="5">
        <f>C523-B523</f>
        <v>0</v>
      </c>
      <c r="E523" s="5" t="str">
        <f>IF(D523&lt;0,"INVALID","OK")</f>
        <v>OK</v>
      </c>
      <c r="F523" t="s">
        <v>1275</v>
      </c>
      <c r="G523" t="s">
        <v>161</v>
      </c>
      <c r="H523" t="s">
        <v>23</v>
      </c>
      <c r="I523" t="s">
        <v>53</v>
      </c>
      <c r="J523" t="s">
        <v>174</v>
      </c>
      <c r="K523" t="s">
        <v>175</v>
      </c>
      <c r="L523" t="s">
        <v>27</v>
      </c>
      <c r="M523" t="s">
        <v>123</v>
      </c>
      <c r="N523" t="s">
        <v>1276</v>
      </c>
      <c r="O523" t="s">
        <v>49</v>
      </c>
      <c r="P523">
        <v>1</v>
      </c>
      <c r="Q523">
        <v>714.43</v>
      </c>
      <c r="R523">
        <v>0</v>
      </c>
      <c r="S523" t="str">
        <f t="shared" si="66"/>
        <v>OK</v>
      </c>
      <c r="T523">
        <v>714.43</v>
      </c>
      <c r="U523">
        <v>565.44000000000005</v>
      </c>
      <c r="V523">
        <v>148.99</v>
      </c>
      <c r="W523" t="s">
        <v>31</v>
      </c>
      <c r="X523" t="s">
        <v>32</v>
      </c>
      <c r="Y523">
        <f t="shared" si="67"/>
        <v>0</v>
      </c>
      <c r="Z523">
        <f t="shared" si="68"/>
        <v>714.43</v>
      </c>
      <c r="AA523">
        <f t="shared" si="69"/>
        <v>148.9899999999999</v>
      </c>
      <c r="AB523">
        <f t="shared" si="70"/>
        <v>20.854387413742412</v>
      </c>
      <c r="AC523">
        <f t="shared" si="71"/>
        <v>2</v>
      </c>
      <c r="AD523">
        <f t="shared" si="72"/>
        <v>2025</v>
      </c>
      <c r="AE523" t="str">
        <f t="shared" si="73"/>
        <v>CLEAN</v>
      </c>
    </row>
    <row r="524" spans="1:31">
      <c r="A524" t="s">
        <v>1289</v>
      </c>
      <c r="B524" s="2">
        <v>45761</v>
      </c>
      <c r="C524" s="2">
        <v>45769</v>
      </c>
      <c r="D524" s="5">
        <f>C524-B524</f>
        <v>8</v>
      </c>
      <c r="E524" s="5" t="str">
        <f>IF(D524&lt;0,"INVALID","OK")</f>
        <v>OK</v>
      </c>
      <c r="F524" t="s">
        <v>1290</v>
      </c>
      <c r="G524" t="s">
        <v>88</v>
      </c>
      <c r="H524" t="s">
        <v>36</v>
      </c>
      <c r="I524" t="s">
        <v>53</v>
      </c>
      <c r="J524" t="s">
        <v>174</v>
      </c>
      <c r="K524" t="s">
        <v>175</v>
      </c>
      <c r="L524" t="s">
        <v>73</v>
      </c>
      <c r="M524" t="s">
        <v>273</v>
      </c>
      <c r="N524" t="s">
        <v>1291</v>
      </c>
      <c r="O524" t="s">
        <v>58</v>
      </c>
      <c r="P524">
        <v>2</v>
      </c>
      <c r="Q524">
        <v>638.73</v>
      </c>
      <c r="R524">
        <v>0.05</v>
      </c>
      <c r="S524" t="str">
        <f t="shared" si="66"/>
        <v>OK</v>
      </c>
      <c r="T524">
        <v>1213.5899999999999</v>
      </c>
      <c r="U524">
        <v>956.22</v>
      </c>
      <c r="V524">
        <v>257.37</v>
      </c>
      <c r="W524" t="s">
        <v>31</v>
      </c>
      <c r="X524" t="s">
        <v>32</v>
      </c>
      <c r="Y524">
        <f t="shared" si="67"/>
        <v>0.05</v>
      </c>
      <c r="Z524">
        <f t="shared" si="68"/>
        <v>1213.587</v>
      </c>
      <c r="AA524">
        <f t="shared" si="69"/>
        <v>257.36699999999996</v>
      </c>
      <c r="AB524">
        <f t="shared" si="70"/>
        <v>21.207132245154238</v>
      </c>
      <c r="AC524">
        <f t="shared" si="71"/>
        <v>4</v>
      </c>
      <c r="AD524">
        <f t="shared" si="72"/>
        <v>2025</v>
      </c>
      <c r="AE524" t="str">
        <f t="shared" si="73"/>
        <v>CLEAN</v>
      </c>
    </row>
    <row r="525" spans="1:31">
      <c r="A525" t="s">
        <v>1292</v>
      </c>
      <c r="B525" s="2">
        <v>45817</v>
      </c>
      <c r="C525" s="2">
        <v>45818</v>
      </c>
      <c r="D525" s="5">
        <f>C525-B525</f>
        <v>1</v>
      </c>
      <c r="E525" s="5" t="str">
        <f>IF(D525&lt;0,"INVALID","OK")</f>
        <v>OK</v>
      </c>
      <c r="F525" t="s">
        <v>1293</v>
      </c>
      <c r="G525" t="s">
        <v>131</v>
      </c>
      <c r="H525" t="s">
        <v>36</v>
      </c>
      <c r="I525" t="s">
        <v>24</v>
      </c>
      <c r="J525" t="s">
        <v>135</v>
      </c>
      <c r="K525" t="s">
        <v>136</v>
      </c>
      <c r="L525" t="s">
        <v>40</v>
      </c>
      <c r="M525" t="s">
        <v>41</v>
      </c>
      <c r="N525" t="s">
        <v>1294</v>
      </c>
      <c r="O525" t="s">
        <v>30</v>
      </c>
      <c r="P525">
        <v>2</v>
      </c>
      <c r="Q525">
        <v>1731.88</v>
      </c>
      <c r="R525">
        <v>0</v>
      </c>
      <c r="S525" t="str">
        <f t="shared" si="66"/>
        <v>OK</v>
      </c>
      <c r="T525">
        <v>3463.76</v>
      </c>
      <c r="U525">
        <v>2143.7399999999998</v>
      </c>
      <c r="V525">
        <v>1320.02</v>
      </c>
      <c r="W525" t="s">
        <v>31</v>
      </c>
      <c r="X525" t="s">
        <v>32</v>
      </c>
      <c r="Y525">
        <f t="shared" si="67"/>
        <v>0</v>
      </c>
      <c r="Z525">
        <f t="shared" si="68"/>
        <v>3463.76</v>
      </c>
      <c r="AA525">
        <f t="shared" si="69"/>
        <v>1320.0200000000004</v>
      </c>
      <c r="AB525">
        <f t="shared" si="70"/>
        <v>38.109453310852956</v>
      </c>
      <c r="AC525">
        <f t="shared" si="71"/>
        <v>6</v>
      </c>
      <c r="AD525">
        <f t="shared" si="72"/>
        <v>2025</v>
      </c>
      <c r="AE525" t="str">
        <f t="shared" si="73"/>
        <v>CLEAN</v>
      </c>
    </row>
    <row r="526" spans="1:31">
      <c r="A526" t="s">
        <v>1298</v>
      </c>
      <c r="B526" s="2">
        <v>45771</v>
      </c>
      <c r="C526" s="2">
        <v>45776</v>
      </c>
      <c r="D526" s="5">
        <f>C526-B526</f>
        <v>5</v>
      </c>
      <c r="E526" s="5" t="str">
        <f>IF(D526&lt;0,"INVALID","OK")</f>
        <v>OK</v>
      </c>
      <c r="F526" t="s">
        <v>1299</v>
      </c>
      <c r="G526" t="s">
        <v>161</v>
      </c>
      <c r="H526" t="s">
        <v>36</v>
      </c>
      <c r="I526" t="s">
        <v>53</v>
      </c>
      <c r="J526" t="s">
        <v>83</v>
      </c>
      <c r="K526" t="s">
        <v>84</v>
      </c>
      <c r="L526" t="s">
        <v>27</v>
      </c>
      <c r="M526" t="s">
        <v>28</v>
      </c>
      <c r="N526" t="s">
        <v>1300</v>
      </c>
      <c r="O526" t="s">
        <v>43</v>
      </c>
      <c r="P526">
        <v>1</v>
      </c>
      <c r="Q526">
        <v>4358.5</v>
      </c>
      <c r="R526">
        <v>0.25</v>
      </c>
      <c r="S526" t="str">
        <f t="shared" si="66"/>
        <v>OK</v>
      </c>
      <c r="T526">
        <v>3268.88</v>
      </c>
      <c r="U526">
        <v>1993.74</v>
      </c>
      <c r="V526">
        <v>1275.1400000000001</v>
      </c>
      <c r="W526" t="s">
        <v>31</v>
      </c>
      <c r="X526" t="s">
        <v>32</v>
      </c>
      <c r="Y526">
        <f t="shared" si="67"/>
        <v>0.25</v>
      </c>
      <c r="Z526">
        <f t="shared" si="68"/>
        <v>3268.875</v>
      </c>
      <c r="AA526">
        <f t="shared" si="69"/>
        <v>1275.135</v>
      </c>
      <c r="AB526">
        <f t="shared" si="70"/>
        <v>39.008374440747964</v>
      </c>
      <c r="AC526">
        <f t="shared" si="71"/>
        <v>4</v>
      </c>
      <c r="AD526">
        <f t="shared" si="72"/>
        <v>2025</v>
      </c>
      <c r="AE526" t="str">
        <f t="shared" si="73"/>
        <v>CLEAN</v>
      </c>
    </row>
    <row r="527" spans="1:31">
      <c r="A527" t="s">
        <v>1301</v>
      </c>
      <c r="B527" s="2">
        <v>45814</v>
      </c>
      <c r="C527" s="2">
        <v>45819</v>
      </c>
      <c r="D527" s="5">
        <f>C527-B527</f>
        <v>5</v>
      </c>
      <c r="E527" s="5" t="str">
        <f>IF(D527&lt;0,"INVALID","OK")</f>
        <v>OK</v>
      </c>
      <c r="F527" t="s">
        <v>1302</v>
      </c>
      <c r="G527" t="s">
        <v>131</v>
      </c>
      <c r="H527" t="s">
        <v>36</v>
      </c>
      <c r="I527" t="s">
        <v>24</v>
      </c>
      <c r="J527" t="s">
        <v>135</v>
      </c>
      <c r="K527" t="s">
        <v>136</v>
      </c>
      <c r="L527" t="s">
        <v>27</v>
      </c>
      <c r="M527" t="s">
        <v>28</v>
      </c>
      <c r="N527" t="s">
        <v>1303</v>
      </c>
      <c r="O527" t="s">
        <v>43</v>
      </c>
      <c r="P527">
        <v>7</v>
      </c>
      <c r="Q527">
        <v>878.09</v>
      </c>
      <c r="R527">
        <v>-0.1</v>
      </c>
      <c r="S527" t="str">
        <f t="shared" si="66"/>
        <v>INVALID</v>
      </c>
      <c r="T527">
        <v>5839.3</v>
      </c>
      <c r="U527">
        <v>4877.38</v>
      </c>
      <c r="V527">
        <v>961.92</v>
      </c>
      <c r="W527" t="s">
        <v>31</v>
      </c>
      <c r="X527" t="s">
        <v>32</v>
      </c>
      <c r="Y527">
        <f t="shared" si="67"/>
        <v>0</v>
      </c>
      <c r="Z527">
        <f t="shared" si="68"/>
        <v>6146.63</v>
      </c>
      <c r="AA527">
        <f t="shared" si="69"/>
        <v>1269.25</v>
      </c>
      <c r="AB527">
        <f t="shared" si="70"/>
        <v>20.649526651189351</v>
      </c>
      <c r="AC527">
        <f t="shared" si="71"/>
        <v>6</v>
      </c>
      <c r="AD527">
        <f t="shared" si="72"/>
        <v>2025</v>
      </c>
      <c r="AE527" t="str">
        <f t="shared" si="73"/>
        <v>INVALID</v>
      </c>
    </row>
    <row r="528" spans="1:31">
      <c r="A528" t="s">
        <v>1304</v>
      </c>
      <c r="B528" s="2">
        <v>45725</v>
      </c>
      <c r="C528" s="2">
        <v>45732</v>
      </c>
      <c r="D528" s="5">
        <f>C528-B528</f>
        <v>7</v>
      </c>
      <c r="E528" s="5" t="str">
        <f>IF(D528&lt;0,"INVALID","OK")</f>
        <v>OK</v>
      </c>
      <c r="F528" t="s">
        <v>1305</v>
      </c>
      <c r="G528" t="s">
        <v>52</v>
      </c>
      <c r="H528" t="s">
        <v>36</v>
      </c>
      <c r="I528" t="s">
        <v>37</v>
      </c>
      <c r="J528" t="s">
        <v>227</v>
      </c>
      <c r="K528" t="s">
        <v>228</v>
      </c>
      <c r="L528" t="s">
        <v>40</v>
      </c>
      <c r="M528" t="s">
        <v>41</v>
      </c>
      <c r="N528" t="s">
        <v>1306</v>
      </c>
      <c r="O528" t="s">
        <v>43</v>
      </c>
      <c r="P528">
        <v>3</v>
      </c>
      <c r="Q528">
        <v>2625.85</v>
      </c>
      <c r="R528">
        <v>0</v>
      </c>
      <c r="S528" t="str">
        <f t="shared" si="66"/>
        <v>OK</v>
      </c>
      <c r="T528">
        <v>7877.55</v>
      </c>
      <c r="U528">
        <v>5562.77</v>
      </c>
      <c r="V528">
        <v>2314.7800000000002</v>
      </c>
      <c r="W528" t="s">
        <v>31</v>
      </c>
      <c r="X528" t="s">
        <v>32</v>
      </c>
      <c r="Y528">
        <f t="shared" si="67"/>
        <v>0</v>
      </c>
      <c r="Z528">
        <f t="shared" si="68"/>
        <v>7877.5499999999993</v>
      </c>
      <c r="AA528">
        <f t="shared" si="69"/>
        <v>2314.7799999999988</v>
      </c>
      <c r="AB528">
        <f t="shared" si="70"/>
        <v>29.384516759652417</v>
      </c>
      <c r="AC528">
        <f t="shared" si="71"/>
        <v>3</v>
      </c>
      <c r="AD528">
        <f t="shared" si="72"/>
        <v>2025</v>
      </c>
      <c r="AE528" t="str">
        <f t="shared" si="73"/>
        <v>CLEAN</v>
      </c>
    </row>
    <row r="529" spans="1:31">
      <c r="A529" t="s">
        <v>1319</v>
      </c>
      <c r="B529" s="2">
        <v>45713</v>
      </c>
      <c r="C529" s="2">
        <v>45713</v>
      </c>
      <c r="D529" s="5">
        <f>C529-B529</f>
        <v>0</v>
      </c>
      <c r="E529" s="5" t="str">
        <f>IF(D529&lt;0,"INVALID","OK")</f>
        <v>OK</v>
      </c>
      <c r="F529" t="s">
        <v>1320</v>
      </c>
      <c r="G529" t="s">
        <v>263</v>
      </c>
      <c r="H529" t="s">
        <v>36</v>
      </c>
      <c r="I529" t="s">
        <v>62</v>
      </c>
      <c r="J529" t="s">
        <v>189</v>
      </c>
      <c r="K529" t="s">
        <v>190</v>
      </c>
      <c r="L529" t="s">
        <v>40</v>
      </c>
      <c r="M529" t="s">
        <v>56</v>
      </c>
      <c r="N529" t="s">
        <v>1321</v>
      </c>
      <c r="O529" t="s">
        <v>58</v>
      </c>
      <c r="P529">
        <v>2</v>
      </c>
      <c r="Q529">
        <v>3924.2</v>
      </c>
      <c r="R529">
        <v>0.25</v>
      </c>
      <c r="S529" t="str">
        <f t="shared" si="66"/>
        <v>OK</v>
      </c>
      <c r="T529">
        <v>5886.3</v>
      </c>
      <c r="U529">
        <v>3621.76</v>
      </c>
      <c r="V529">
        <v>2264.54</v>
      </c>
      <c r="W529" t="s">
        <v>110</v>
      </c>
      <c r="X529" t="s">
        <v>102</v>
      </c>
      <c r="Y529">
        <f t="shared" si="67"/>
        <v>0.25</v>
      </c>
      <c r="Z529">
        <f t="shared" si="68"/>
        <v>5886.2999999999993</v>
      </c>
      <c r="AA529">
        <f t="shared" si="69"/>
        <v>2264.5399999999991</v>
      </c>
      <c r="AB529">
        <f t="shared" si="70"/>
        <v>38.471365713606161</v>
      </c>
      <c r="AC529">
        <f t="shared" si="71"/>
        <v>2</v>
      </c>
      <c r="AD529">
        <f t="shared" si="72"/>
        <v>2025</v>
      </c>
      <c r="AE529" t="str">
        <f t="shared" si="73"/>
        <v>CLEAN</v>
      </c>
    </row>
    <row r="530" spans="1:31">
      <c r="A530" t="s">
        <v>1349</v>
      </c>
      <c r="B530" s="2">
        <v>45665</v>
      </c>
      <c r="C530" s="2">
        <v>45673</v>
      </c>
      <c r="D530" s="5">
        <f>C530-B530</f>
        <v>8</v>
      </c>
      <c r="E530" s="5" t="str">
        <f>IF(D530&lt;0,"INVALID","OK")</f>
        <v>OK</v>
      </c>
      <c r="F530" t="s">
        <v>1350</v>
      </c>
      <c r="G530" t="s">
        <v>78</v>
      </c>
      <c r="H530" t="s">
        <v>23</v>
      </c>
      <c r="I530" t="s">
        <v>53</v>
      </c>
      <c r="J530" t="s">
        <v>54</v>
      </c>
      <c r="K530" t="s">
        <v>55</v>
      </c>
      <c r="L530" t="s">
        <v>40</v>
      </c>
      <c r="M530" t="s">
        <v>56</v>
      </c>
      <c r="N530" t="s">
        <v>1351</v>
      </c>
      <c r="O530" t="s">
        <v>49</v>
      </c>
      <c r="P530">
        <v>8</v>
      </c>
      <c r="Q530">
        <v>638.95000000000005</v>
      </c>
      <c r="R530">
        <v>0.25</v>
      </c>
      <c r="S530" t="str">
        <f t="shared" si="66"/>
        <v>OK</v>
      </c>
      <c r="T530">
        <v>3833.7</v>
      </c>
      <c r="U530">
        <v>2886.35</v>
      </c>
      <c r="V530">
        <v>947.35</v>
      </c>
      <c r="W530" t="s">
        <v>31</v>
      </c>
      <c r="X530" t="s">
        <v>32</v>
      </c>
      <c r="Y530">
        <f t="shared" si="67"/>
        <v>0.25</v>
      </c>
      <c r="Z530">
        <f t="shared" si="68"/>
        <v>3833.7000000000003</v>
      </c>
      <c r="AA530">
        <f t="shared" si="69"/>
        <v>947.35000000000036</v>
      </c>
      <c r="AB530">
        <f t="shared" si="70"/>
        <v>24.711114589039319</v>
      </c>
      <c r="AC530">
        <f t="shared" si="71"/>
        <v>1</v>
      </c>
      <c r="AD530">
        <f t="shared" si="72"/>
        <v>2025</v>
      </c>
      <c r="AE530" t="str">
        <f t="shared" si="73"/>
        <v>CLEAN</v>
      </c>
    </row>
    <row r="531" spans="1:31">
      <c r="A531" t="s">
        <v>1352</v>
      </c>
      <c r="B531" s="2">
        <v>45686</v>
      </c>
      <c r="C531" s="2">
        <v>45693</v>
      </c>
      <c r="D531" s="5">
        <f>C531-B531</f>
        <v>7</v>
      </c>
      <c r="E531" s="5" t="str">
        <f>IF(D531&lt;0,"INVALID","OK")</f>
        <v>OK</v>
      </c>
      <c r="F531" t="s">
        <v>1353</v>
      </c>
      <c r="G531" t="s">
        <v>35</v>
      </c>
      <c r="H531" t="s">
        <v>23</v>
      </c>
      <c r="I531" t="s">
        <v>62</v>
      </c>
      <c r="J531" t="s">
        <v>179</v>
      </c>
      <c r="K531" t="s">
        <v>180</v>
      </c>
      <c r="L531" t="s">
        <v>27</v>
      </c>
      <c r="M531" t="s">
        <v>47</v>
      </c>
      <c r="N531" t="s">
        <v>1354</v>
      </c>
      <c r="O531" t="s">
        <v>49</v>
      </c>
      <c r="P531">
        <v>6</v>
      </c>
      <c r="Q531">
        <v>3863</v>
      </c>
      <c r="R531">
        <v>0.2</v>
      </c>
      <c r="S531" t="str">
        <f t="shared" si="66"/>
        <v>OK</v>
      </c>
      <c r="T531">
        <v>18542.400000000001</v>
      </c>
      <c r="U531">
        <v>11193.75</v>
      </c>
      <c r="V531">
        <v>7348.65</v>
      </c>
      <c r="W531" t="s">
        <v>31</v>
      </c>
      <c r="X531" t="s">
        <v>32</v>
      </c>
      <c r="Y531">
        <f t="shared" si="67"/>
        <v>0.2</v>
      </c>
      <c r="Z531">
        <f t="shared" si="68"/>
        <v>18542.400000000001</v>
      </c>
      <c r="AA531">
        <f t="shared" si="69"/>
        <v>7348.6500000000015</v>
      </c>
      <c r="AB531">
        <f t="shared" si="70"/>
        <v>39.631601087237904</v>
      </c>
      <c r="AC531">
        <f t="shared" si="71"/>
        <v>1</v>
      </c>
      <c r="AD531">
        <f t="shared" si="72"/>
        <v>2025</v>
      </c>
      <c r="AE531" t="str">
        <f t="shared" si="73"/>
        <v>CLEAN</v>
      </c>
    </row>
    <row r="532" spans="1:31">
      <c r="A532" t="s">
        <v>1358</v>
      </c>
      <c r="B532" s="2">
        <v>45926</v>
      </c>
      <c r="C532" s="2">
        <v>45930</v>
      </c>
      <c r="D532" s="5">
        <f>C532-B532</f>
        <v>4</v>
      </c>
      <c r="E532" s="5" t="str">
        <f>IF(D532&lt;0,"INVALID","OK")</f>
        <v>OK</v>
      </c>
      <c r="F532" t="s">
        <v>1359</v>
      </c>
      <c r="G532" t="s">
        <v>131</v>
      </c>
      <c r="H532" t="s">
        <v>94</v>
      </c>
      <c r="I532" t="s">
        <v>24</v>
      </c>
      <c r="J532" t="s">
        <v>235</v>
      </c>
      <c r="K532" t="s">
        <v>236</v>
      </c>
      <c r="L532" t="s">
        <v>73</v>
      </c>
      <c r="M532" t="s">
        <v>170</v>
      </c>
      <c r="N532" t="s">
        <v>1360</v>
      </c>
      <c r="O532" t="s">
        <v>43</v>
      </c>
      <c r="P532">
        <v>2</v>
      </c>
      <c r="Q532">
        <v>688.83</v>
      </c>
      <c r="R532">
        <v>0.05</v>
      </c>
      <c r="S532" t="str">
        <f t="shared" si="66"/>
        <v>OK</v>
      </c>
      <c r="T532">
        <v>1308.78</v>
      </c>
      <c r="U532">
        <v>843</v>
      </c>
      <c r="V532">
        <v>465.78</v>
      </c>
      <c r="W532" t="s">
        <v>31</v>
      </c>
      <c r="X532" t="s">
        <v>32</v>
      </c>
      <c r="Y532">
        <f t="shared" si="67"/>
        <v>0.05</v>
      </c>
      <c r="Z532">
        <f t="shared" si="68"/>
        <v>1308.777</v>
      </c>
      <c r="AA532">
        <f t="shared" si="69"/>
        <v>465.77700000000004</v>
      </c>
      <c r="AB532">
        <f t="shared" si="70"/>
        <v>35.588721378813965</v>
      </c>
      <c r="AC532">
        <f t="shared" si="71"/>
        <v>9</v>
      </c>
      <c r="AD532">
        <f t="shared" si="72"/>
        <v>2025</v>
      </c>
      <c r="AE532" t="str">
        <f t="shared" si="73"/>
        <v>CLEAN</v>
      </c>
    </row>
    <row r="533" spans="1:31">
      <c r="A533" t="s">
        <v>1364</v>
      </c>
      <c r="B533" s="2">
        <v>45822</v>
      </c>
      <c r="C533" s="2">
        <v>45827</v>
      </c>
      <c r="D533" s="5">
        <f>C533-B533</f>
        <v>5</v>
      </c>
      <c r="E533" s="5" t="str">
        <f>IF(D533&lt;0,"INVALID","OK")</f>
        <v>OK</v>
      </c>
      <c r="F533" t="s">
        <v>1365</v>
      </c>
      <c r="G533" t="s">
        <v>140</v>
      </c>
      <c r="H533" t="s">
        <v>36</v>
      </c>
      <c r="I533" t="s">
        <v>24</v>
      </c>
      <c r="J533" t="s">
        <v>349</v>
      </c>
      <c r="K533" t="s">
        <v>350</v>
      </c>
      <c r="L533" t="s">
        <v>27</v>
      </c>
      <c r="M533" t="s">
        <v>152</v>
      </c>
      <c r="N533" t="s">
        <v>1366</v>
      </c>
      <c r="O533" t="s">
        <v>43</v>
      </c>
      <c r="P533">
        <v>3</v>
      </c>
      <c r="Q533">
        <v>1037.45</v>
      </c>
      <c r="R533">
        <v>0.2</v>
      </c>
      <c r="S533" t="str">
        <f t="shared" si="66"/>
        <v>OK</v>
      </c>
      <c r="T533">
        <v>2489.88</v>
      </c>
      <c r="U533">
        <v>1707.52</v>
      </c>
      <c r="V533">
        <v>782.36</v>
      </c>
      <c r="W533" t="s">
        <v>110</v>
      </c>
      <c r="X533" t="s">
        <v>102</v>
      </c>
      <c r="Y533">
        <f t="shared" si="67"/>
        <v>0.2</v>
      </c>
      <c r="Z533">
        <f t="shared" si="68"/>
        <v>2489.8800000000006</v>
      </c>
      <c r="AA533">
        <f t="shared" si="69"/>
        <v>782.36000000000058</v>
      </c>
      <c r="AB533">
        <f t="shared" si="70"/>
        <v>31.421594615001542</v>
      </c>
      <c r="AC533">
        <f t="shared" si="71"/>
        <v>6</v>
      </c>
      <c r="AD533">
        <f t="shared" si="72"/>
        <v>2025</v>
      </c>
      <c r="AE533" t="str">
        <f t="shared" si="73"/>
        <v>CLEAN</v>
      </c>
    </row>
    <row r="534" spans="1:31">
      <c r="A534" t="s">
        <v>1367</v>
      </c>
      <c r="B534" s="2">
        <v>45903</v>
      </c>
      <c r="C534" s="2">
        <v>45906</v>
      </c>
      <c r="D534" s="5">
        <f>C534-B534</f>
        <v>3</v>
      </c>
      <c r="E534" s="5" t="str">
        <f>IF(D534&lt;0,"INVALID","OK")</f>
        <v>OK</v>
      </c>
      <c r="F534" t="s">
        <v>1368</v>
      </c>
      <c r="G534" t="s">
        <v>263</v>
      </c>
      <c r="H534" t="s">
        <v>23</v>
      </c>
      <c r="I534" t="s">
        <v>62</v>
      </c>
      <c r="J534" t="s">
        <v>71</v>
      </c>
      <c r="K534" t="s">
        <v>72</v>
      </c>
      <c r="L534" t="s">
        <v>73</v>
      </c>
      <c r="M534" t="s">
        <v>79</v>
      </c>
      <c r="N534" t="s">
        <v>1369</v>
      </c>
      <c r="O534" t="s">
        <v>43</v>
      </c>
      <c r="P534">
        <v>7</v>
      </c>
      <c r="Q534">
        <v>688.85</v>
      </c>
      <c r="R534">
        <v>0.15</v>
      </c>
      <c r="S534" t="str">
        <f t="shared" si="66"/>
        <v>OK</v>
      </c>
      <c r="T534">
        <v>4098.66</v>
      </c>
      <c r="U534">
        <v>2678.06</v>
      </c>
      <c r="V534">
        <v>1420.6</v>
      </c>
      <c r="W534" t="s">
        <v>31</v>
      </c>
      <c r="X534" t="s">
        <v>32</v>
      </c>
      <c r="Y534">
        <f t="shared" si="67"/>
        <v>0.15</v>
      </c>
      <c r="Z534">
        <f t="shared" si="68"/>
        <v>4098.6574999999993</v>
      </c>
      <c r="AA534">
        <f t="shared" si="69"/>
        <v>1420.5974999999994</v>
      </c>
      <c r="AB534">
        <f t="shared" si="70"/>
        <v>34.660068571233374</v>
      </c>
      <c r="AC534">
        <f t="shared" si="71"/>
        <v>9</v>
      </c>
      <c r="AD534">
        <f t="shared" si="72"/>
        <v>2025</v>
      </c>
      <c r="AE534" t="str">
        <f t="shared" si="73"/>
        <v>CLEAN</v>
      </c>
    </row>
    <row r="535" spans="1:31">
      <c r="A535" t="s">
        <v>1382</v>
      </c>
      <c r="B535" s="2">
        <v>45769</v>
      </c>
      <c r="C535" s="2">
        <v>45771</v>
      </c>
      <c r="D535" s="5">
        <f>C535-B535</f>
        <v>2</v>
      </c>
      <c r="E535" s="5" t="str">
        <f>IF(D535&lt;0,"INVALID","OK")</f>
        <v>OK</v>
      </c>
      <c r="F535" t="s">
        <v>1383</v>
      </c>
      <c r="G535" t="s">
        <v>46</v>
      </c>
      <c r="H535" t="s">
        <v>89</v>
      </c>
      <c r="I535" t="s">
        <v>2762</v>
      </c>
      <c r="J535" t="s">
        <v>227</v>
      </c>
      <c r="K535" t="s">
        <v>228</v>
      </c>
      <c r="L535" t="s">
        <v>73</v>
      </c>
      <c r="M535" t="s">
        <v>74</v>
      </c>
      <c r="N535" t="s">
        <v>1384</v>
      </c>
      <c r="O535" t="s">
        <v>58</v>
      </c>
      <c r="P535">
        <v>9</v>
      </c>
      <c r="Q535">
        <v>2939.44</v>
      </c>
      <c r="R535">
        <v>0</v>
      </c>
      <c r="S535" t="str">
        <f t="shared" si="66"/>
        <v>OK</v>
      </c>
      <c r="T535">
        <v>26454.959999999999</v>
      </c>
      <c r="U535">
        <v>17630.25</v>
      </c>
      <c r="V535">
        <v>8824.7099999999991</v>
      </c>
      <c r="W535" t="s">
        <v>31</v>
      </c>
      <c r="X535" t="s">
        <v>32</v>
      </c>
      <c r="Y535">
        <f t="shared" si="67"/>
        <v>0</v>
      </c>
      <c r="Z535">
        <f t="shared" si="68"/>
        <v>26454.959999999999</v>
      </c>
      <c r="AA535">
        <f t="shared" si="69"/>
        <v>8824.7099999999991</v>
      </c>
      <c r="AB535">
        <f t="shared" si="70"/>
        <v>33.35748759400883</v>
      </c>
      <c r="AC535">
        <f t="shared" si="71"/>
        <v>4</v>
      </c>
      <c r="AD535">
        <f t="shared" si="72"/>
        <v>2025</v>
      </c>
      <c r="AE535" t="str">
        <f t="shared" si="73"/>
        <v>CLEAN</v>
      </c>
    </row>
    <row r="536" spans="1:31">
      <c r="A536" t="s">
        <v>1388</v>
      </c>
      <c r="B536" s="2">
        <v>45717</v>
      </c>
      <c r="C536" s="2">
        <v>45872</v>
      </c>
      <c r="D536" s="5">
        <f>C536-B536</f>
        <v>155</v>
      </c>
      <c r="E536" s="5" t="str">
        <f>IF(D536&lt;0,"INVALID","OK")</f>
        <v>OK</v>
      </c>
      <c r="F536" t="s">
        <v>1389</v>
      </c>
      <c r="G536" t="s">
        <v>78</v>
      </c>
      <c r="H536" t="s">
        <v>94</v>
      </c>
      <c r="I536" t="s">
        <v>24</v>
      </c>
      <c r="J536" t="s">
        <v>25</v>
      </c>
      <c r="K536" t="s">
        <v>26</v>
      </c>
      <c r="L536" t="s">
        <v>73</v>
      </c>
      <c r="M536" t="s">
        <v>79</v>
      </c>
      <c r="N536" t="s">
        <v>1390</v>
      </c>
      <c r="O536" t="s">
        <v>43</v>
      </c>
      <c r="P536">
        <v>8</v>
      </c>
      <c r="Q536">
        <v>2943.1</v>
      </c>
      <c r="R536">
        <v>0.25</v>
      </c>
      <c r="S536" t="str">
        <f t="shared" si="66"/>
        <v>OK</v>
      </c>
      <c r="T536">
        <v>17658.599999999999</v>
      </c>
      <c r="U536">
        <v>13842.48</v>
      </c>
      <c r="V536">
        <v>3816.12</v>
      </c>
      <c r="W536" t="s">
        <v>31</v>
      </c>
      <c r="X536" t="s">
        <v>32</v>
      </c>
      <c r="Y536">
        <f t="shared" si="67"/>
        <v>0.25</v>
      </c>
      <c r="Z536">
        <f t="shared" si="68"/>
        <v>17658.599999999999</v>
      </c>
      <c r="AA536">
        <f t="shared" si="69"/>
        <v>3816.119999999999</v>
      </c>
      <c r="AB536">
        <f t="shared" si="70"/>
        <v>21.610546702456588</v>
      </c>
      <c r="AC536">
        <f t="shared" si="71"/>
        <v>3</v>
      </c>
      <c r="AD536">
        <f t="shared" si="72"/>
        <v>2025</v>
      </c>
      <c r="AE536" t="str">
        <f t="shared" si="73"/>
        <v>CLEAN</v>
      </c>
    </row>
    <row r="537" spans="1:31">
      <c r="A537" t="s">
        <v>1403</v>
      </c>
      <c r="B537" s="2">
        <v>45758</v>
      </c>
      <c r="C537" s="2">
        <v>45762</v>
      </c>
      <c r="D537" s="5">
        <f>C537-B537</f>
        <v>4</v>
      </c>
      <c r="E537" s="5" t="str">
        <f>IF(D537&lt;0,"INVALID","OK")</f>
        <v>OK</v>
      </c>
      <c r="F537" t="s">
        <v>1404</v>
      </c>
      <c r="G537" t="s">
        <v>35</v>
      </c>
      <c r="H537" t="s">
        <v>94</v>
      </c>
      <c r="I537" t="s">
        <v>24</v>
      </c>
      <c r="J537" t="s">
        <v>135</v>
      </c>
      <c r="K537" t="s">
        <v>136</v>
      </c>
      <c r="L537" t="s">
        <v>73</v>
      </c>
      <c r="M537" t="s">
        <v>74</v>
      </c>
      <c r="N537" t="s">
        <v>1405</v>
      </c>
      <c r="O537" t="s">
        <v>30</v>
      </c>
      <c r="P537">
        <v>5</v>
      </c>
      <c r="Q537">
        <v>652.78</v>
      </c>
      <c r="R537">
        <v>0</v>
      </c>
      <c r="S537" t="str">
        <f t="shared" si="66"/>
        <v>OK</v>
      </c>
      <c r="T537">
        <v>3263.9</v>
      </c>
      <c r="U537">
        <v>2068.44</v>
      </c>
      <c r="V537">
        <v>1195.46</v>
      </c>
      <c r="W537" t="s">
        <v>31</v>
      </c>
      <c r="X537" t="s">
        <v>32</v>
      </c>
      <c r="Y537">
        <f t="shared" si="67"/>
        <v>0</v>
      </c>
      <c r="Z537">
        <f t="shared" si="68"/>
        <v>3263.8999999999996</v>
      </c>
      <c r="AA537">
        <f t="shared" si="69"/>
        <v>1195.4599999999996</v>
      </c>
      <c r="AB537">
        <f t="shared" si="70"/>
        <v>36.626734887711009</v>
      </c>
      <c r="AC537">
        <f t="shared" si="71"/>
        <v>4</v>
      </c>
      <c r="AD537">
        <f t="shared" si="72"/>
        <v>2025</v>
      </c>
      <c r="AE537" t="str">
        <f t="shared" si="73"/>
        <v>CLEAN</v>
      </c>
    </row>
    <row r="538" spans="1:31">
      <c r="A538" t="s">
        <v>1415</v>
      </c>
      <c r="B538" s="2">
        <v>45784</v>
      </c>
      <c r="C538" s="2">
        <v>45782</v>
      </c>
      <c r="D538" s="5">
        <f>C538-B538</f>
        <v>-2</v>
      </c>
      <c r="E538" s="5" t="str">
        <f>IF(D538&lt;0,"INVALID","OK")</f>
        <v>INVALID</v>
      </c>
      <c r="F538" t="s">
        <v>1416</v>
      </c>
      <c r="G538" t="s">
        <v>78</v>
      </c>
      <c r="H538" t="s">
        <v>89</v>
      </c>
      <c r="I538" t="s">
        <v>37</v>
      </c>
      <c r="J538" t="s">
        <v>227</v>
      </c>
      <c r="K538" t="s">
        <v>228</v>
      </c>
      <c r="L538" t="s">
        <v>73</v>
      </c>
      <c r="M538" t="s">
        <v>170</v>
      </c>
      <c r="N538" t="s">
        <v>1417</v>
      </c>
      <c r="O538" t="s">
        <v>58</v>
      </c>
      <c r="P538">
        <v>1</v>
      </c>
      <c r="Q538">
        <v>2266.4699999999998</v>
      </c>
      <c r="R538">
        <v>0.2</v>
      </c>
      <c r="S538" t="str">
        <f t="shared" si="66"/>
        <v>OK</v>
      </c>
      <c r="T538">
        <v>1813.18</v>
      </c>
      <c r="U538">
        <v>1363.64</v>
      </c>
      <c r="V538">
        <v>449.54</v>
      </c>
      <c r="W538" t="s">
        <v>31</v>
      </c>
      <c r="X538" t="s">
        <v>32</v>
      </c>
      <c r="Y538">
        <f t="shared" si="67"/>
        <v>0.2</v>
      </c>
      <c r="Z538">
        <f t="shared" si="68"/>
        <v>1813.1759999999999</v>
      </c>
      <c r="AA538">
        <f t="shared" si="69"/>
        <v>449.53599999999983</v>
      </c>
      <c r="AB538">
        <f t="shared" si="70"/>
        <v>24.792739370033566</v>
      </c>
      <c r="AC538">
        <f t="shared" si="71"/>
        <v>5</v>
      </c>
      <c r="AD538">
        <f t="shared" si="72"/>
        <v>2025</v>
      </c>
      <c r="AE538" t="str">
        <f t="shared" si="73"/>
        <v>INVALID</v>
      </c>
    </row>
    <row r="539" spans="1:31">
      <c r="A539" t="s">
        <v>1426</v>
      </c>
      <c r="B539" s="2">
        <v>45669</v>
      </c>
      <c r="C539" s="2">
        <v>45676</v>
      </c>
      <c r="D539" s="5">
        <f>C539-B539</f>
        <v>7</v>
      </c>
      <c r="E539" s="5" t="str">
        <f>IF(D539&lt;0,"INVALID","OK")</f>
        <v>OK</v>
      </c>
      <c r="F539" t="s">
        <v>1427</v>
      </c>
      <c r="G539" t="s">
        <v>127</v>
      </c>
      <c r="H539" t="s">
        <v>23</v>
      </c>
      <c r="I539" t="s">
        <v>37</v>
      </c>
      <c r="J539" t="s">
        <v>227</v>
      </c>
      <c r="K539" t="s">
        <v>228</v>
      </c>
      <c r="L539" t="s">
        <v>40</v>
      </c>
      <c r="M539" t="s">
        <v>41</v>
      </c>
      <c r="N539" t="s">
        <v>1428</v>
      </c>
      <c r="O539" t="s">
        <v>49</v>
      </c>
      <c r="P539">
        <v>1</v>
      </c>
      <c r="Q539">
        <v>1842.31</v>
      </c>
      <c r="R539">
        <v>0</v>
      </c>
      <c r="S539" t="str">
        <f t="shared" si="66"/>
        <v>OK</v>
      </c>
      <c r="T539">
        <v>1842.31</v>
      </c>
      <c r="U539">
        <v>1019.17</v>
      </c>
      <c r="V539">
        <v>823.14</v>
      </c>
      <c r="W539" t="s">
        <v>31</v>
      </c>
      <c r="X539" t="s">
        <v>32</v>
      </c>
      <c r="Y539">
        <f t="shared" si="67"/>
        <v>0</v>
      </c>
      <c r="Z539">
        <f t="shared" si="68"/>
        <v>1842.31</v>
      </c>
      <c r="AA539">
        <f t="shared" si="69"/>
        <v>823.14</v>
      </c>
      <c r="AB539">
        <f t="shared" si="70"/>
        <v>44.679777019068453</v>
      </c>
      <c r="AC539">
        <f t="shared" si="71"/>
        <v>1</v>
      </c>
      <c r="AD539">
        <f t="shared" si="72"/>
        <v>2025</v>
      </c>
      <c r="AE539" t="str">
        <f t="shared" si="73"/>
        <v>CLEAN</v>
      </c>
    </row>
    <row r="540" spans="1:31">
      <c r="A540" t="s">
        <v>1432</v>
      </c>
      <c r="B540" s="2">
        <v>45881</v>
      </c>
      <c r="C540" s="2">
        <v>45885</v>
      </c>
      <c r="D540" s="5">
        <f>C540-B540</f>
        <v>4</v>
      </c>
      <c r="E540" s="5" t="str">
        <f>IF(D540&lt;0,"INVALID","OK")</f>
        <v>OK</v>
      </c>
      <c r="F540" t="s">
        <v>1433</v>
      </c>
      <c r="G540" t="s">
        <v>61</v>
      </c>
      <c r="H540" t="s">
        <v>23</v>
      </c>
      <c r="I540" t="s">
        <v>37</v>
      </c>
      <c r="J540" t="s">
        <v>165</v>
      </c>
      <c r="K540" t="s">
        <v>166</v>
      </c>
      <c r="L540" t="s">
        <v>73</v>
      </c>
      <c r="M540" t="s">
        <v>74</v>
      </c>
      <c r="N540" t="s">
        <v>1434</v>
      </c>
      <c r="O540" t="s">
        <v>43</v>
      </c>
      <c r="P540">
        <v>9</v>
      </c>
      <c r="Q540">
        <v>2379.2399999999998</v>
      </c>
      <c r="R540">
        <v>0.05</v>
      </c>
      <c r="S540" t="str">
        <f t="shared" si="66"/>
        <v>OK</v>
      </c>
      <c r="T540">
        <v>20342.5</v>
      </c>
      <c r="U540">
        <v>12407.51</v>
      </c>
      <c r="V540">
        <v>7934.99</v>
      </c>
      <c r="W540" t="s">
        <v>31</v>
      </c>
      <c r="X540" t="s">
        <v>32</v>
      </c>
      <c r="Y540">
        <f t="shared" si="67"/>
        <v>0.05</v>
      </c>
      <c r="Z540">
        <f t="shared" si="68"/>
        <v>20342.501999999997</v>
      </c>
      <c r="AA540">
        <f t="shared" si="69"/>
        <v>7934.9919999999966</v>
      </c>
      <c r="AB540">
        <f t="shared" si="70"/>
        <v>39.00696187715748</v>
      </c>
      <c r="AC540">
        <f t="shared" si="71"/>
        <v>8</v>
      </c>
      <c r="AD540">
        <f t="shared" si="72"/>
        <v>2025</v>
      </c>
      <c r="AE540" t="str">
        <f t="shared" si="73"/>
        <v>CLEAN</v>
      </c>
    </row>
    <row r="541" spans="1:31">
      <c r="A541" t="s">
        <v>1438</v>
      </c>
      <c r="B541" s="2">
        <v>45918</v>
      </c>
      <c r="C541" s="2">
        <v>45919</v>
      </c>
      <c r="D541" s="5">
        <f>C541-B541</f>
        <v>1</v>
      </c>
      <c r="E541" s="5" t="str">
        <f>IF(D541&lt;0,"INVALID","OK")</f>
        <v>OK</v>
      </c>
      <c r="F541" t="s">
        <v>1439</v>
      </c>
      <c r="G541" t="s">
        <v>131</v>
      </c>
      <c r="H541" t="s">
        <v>94</v>
      </c>
      <c r="I541" t="s">
        <v>53</v>
      </c>
      <c r="J541" t="s">
        <v>83</v>
      </c>
      <c r="K541" t="s">
        <v>84</v>
      </c>
      <c r="L541" t="s">
        <v>27</v>
      </c>
      <c r="M541" t="s">
        <v>123</v>
      </c>
      <c r="N541" t="s">
        <v>1440</v>
      </c>
      <c r="O541" t="s">
        <v>43</v>
      </c>
      <c r="P541">
        <v>8</v>
      </c>
      <c r="Q541">
        <v>4242.51</v>
      </c>
      <c r="R541">
        <v>0</v>
      </c>
      <c r="S541" t="str">
        <f t="shared" si="66"/>
        <v>OK</v>
      </c>
      <c r="T541">
        <v>33940.080000000002</v>
      </c>
      <c r="U541">
        <v>23754.19</v>
      </c>
      <c r="V541">
        <v>10185.89</v>
      </c>
      <c r="W541" t="s">
        <v>31</v>
      </c>
      <c r="X541" t="s">
        <v>32</v>
      </c>
      <c r="Y541">
        <f t="shared" si="67"/>
        <v>0</v>
      </c>
      <c r="Z541">
        <f t="shared" si="68"/>
        <v>33940.080000000002</v>
      </c>
      <c r="AA541">
        <f t="shared" si="69"/>
        <v>10185.890000000003</v>
      </c>
      <c r="AB541">
        <f t="shared" si="70"/>
        <v>30.011390662603045</v>
      </c>
      <c r="AC541">
        <f t="shared" si="71"/>
        <v>9</v>
      </c>
      <c r="AD541">
        <f t="shared" si="72"/>
        <v>2025</v>
      </c>
      <c r="AE541" t="str">
        <f t="shared" si="73"/>
        <v>CLEAN</v>
      </c>
    </row>
    <row r="542" spans="1:31">
      <c r="A542" t="s">
        <v>1441</v>
      </c>
      <c r="B542" s="2">
        <v>45938</v>
      </c>
      <c r="C542" s="2">
        <v>45879</v>
      </c>
      <c r="D542" s="5">
        <f>C542-B542</f>
        <v>-59</v>
      </c>
      <c r="E542" s="5" t="str">
        <f>IF(D542&lt;0,"INVALID","OK")</f>
        <v>INVALID</v>
      </c>
      <c r="F542" t="s">
        <v>1442</v>
      </c>
      <c r="G542" t="s">
        <v>140</v>
      </c>
      <c r="H542" t="s">
        <v>94</v>
      </c>
      <c r="I542" t="s">
        <v>53</v>
      </c>
      <c r="J542" t="s">
        <v>54</v>
      </c>
      <c r="K542" t="s">
        <v>55</v>
      </c>
      <c r="L542" t="s">
        <v>40</v>
      </c>
      <c r="M542" t="s">
        <v>157</v>
      </c>
      <c r="N542" t="s">
        <v>1443</v>
      </c>
      <c r="O542" t="s">
        <v>58</v>
      </c>
      <c r="P542">
        <v>6</v>
      </c>
      <c r="Q542">
        <v>4288.7</v>
      </c>
      <c r="R542">
        <v>0.15</v>
      </c>
      <c r="S542" t="str">
        <f t="shared" si="66"/>
        <v>OK</v>
      </c>
      <c r="T542">
        <v>21872.37</v>
      </c>
      <c r="U542">
        <v>13829.5</v>
      </c>
      <c r="V542">
        <v>8042.87</v>
      </c>
      <c r="W542" t="s">
        <v>110</v>
      </c>
      <c r="X542" t="s">
        <v>102</v>
      </c>
      <c r="Y542">
        <f t="shared" si="67"/>
        <v>0.15</v>
      </c>
      <c r="Z542">
        <f t="shared" si="68"/>
        <v>21872.369999999995</v>
      </c>
      <c r="AA542">
        <f t="shared" si="69"/>
        <v>8042.8699999999953</v>
      </c>
      <c r="AB542">
        <f t="shared" si="70"/>
        <v>36.771826738483284</v>
      </c>
      <c r="AC542">
        <f t="shared" si="71"/>
        <v>10</v>
      </c>
      <c r="AD542">
        <f t="shared" si="72"/>
        <v>2025</v>
      </c>
      <c r="AE542" t="str">
        <f t="shared" si="73"/>
        <v>INVALID</v>
      </c>
    </row>
    <row r="543" spans="1:31">
      <c r="A543" t="s">
        <v>1449</v>
      </c>
      <c r="B543" s="2">
        <v>45820</v>
      </c>
      <c r="C543" s="2">
        <v>45827</v>
      </c>
      <c r="D543" s="5">
        <f>C543-B543</f>
        <v>7</v>
      </c>
      <c r="E543" s="5" t="str">
        <f>IF(D543&lt;0,"INVALID","OK")</f>
        <v>OK</v>
      </c>
      <c r="F543" t="s">
        <v>1450</v>
      </c>
      <c r="G543" t="s">
        <v>61</v>
      </c>
      <c r="H543" t="s">
        <v>89</v>
      </c>
      <c r="I543" t="s">
        <v>24</v>
      </c>
      <c r="J543" t="s">
        <v>349</v>
      </c>
      <c r="K543" t="s">
        <v>350</v>
      </c>
      <c r="L543" t="s">
        <v>40</v>
      </c>
      <c r="M543" t="s">
        <v>65</v>
      </c>
      <c r="N543" t="s">
        <v>1451</v>
      </c>
      <c r="O543" t="s">
        <v>58</v>
      </c>
      <c r="P543">
        <v>9</v>
      </c>
      <c r="Q543">
        <v>2278.5700000000002</v>
      </c>
      <c r="R543">
        <v>0.25</v>
      </c>
      <c r="S543" t="str">
        <f t="shared" si="66"/>
        <v>OK</v>
      </c>
      <c r="T543">
        <v>15380.35</v>
      </c>
      <c r="U543">
        <v>9907.3700000000008</v>
      </c>
      <c r="V543">
        <v>5472.98</v>
      </c>
      <c r="W543" t="s">
        <v>31</v>
      </c>
      <c r="X543" t="s">
        <v>32</v>
      </c>
      <c r="Y543">
        <f t="shared" si="67"/>
        <v>0.25</v>
      </c>
      <c r="Z543">
        <f t="shared" si="68"/>
        <v>15380.3475</v>
      </c>
      <c r="AA543">
        <f t="shared" si="69"/>
        <v>5472.9774999999991</v>
      </c>
      <c r="AB543">
        <f t="shared" si="70"/>
        <v>35.584225258889624</v>
      </c>
      <c r="AC543">
        <f t="shared" si="71"/>
        <v>6</v>
      </c>
      <c r="AD543">
        <f t="shared" si="72"/>
        <v>2025</v>
      </c>
      <c r="AE543" t="str">
        <f t="shared" si="73"/>
        <v>CLEAN</v>
      </c>
    </row>
    <row r="544" spans="1:31">
      <c r="A544" t="s">
        <v>1458</v>
      </c>
      <c r="B544" s="2">
        <v>45780</v>
      </c>
      <c r="C544" s="2">
        <v>45788</v>
      </c>
      <c r="D544" s="5">
        <f>C544-B544</f>
        <v>8</v>
      </c>
      <c r="E544" s="5" t="str">
        <f>IF(D544&lt;0,"INVALID","OK")</f>
        <v>OK</v>
      </c>
      <c r="F544" t="s">
        <v>1459</v>
      </c>
      <c r="G544" t="s">
        <v>140</v>
      </c>
      <c r="H544" t="s">
        <v>36</v>
      </c>
      <c r="I544" t="s">
        <v>62</v>
      </c>
      <c r="J544" t="s">
        <v>71</v>
      </c>
      <c r="K544" t="s">
        <v>72</v>
      </c>
      <c r="L544" t="s">
        <v>27</v>
      </c>
      <c r="M544" t="s">
        <v>90</v>
      </c>
      <c r="N544" t="s">
        <v>1460</v>
      </c>
      <c r="O544" t="s">
        <v>43</v>
      </c>
      <c r="P544">
        <v>5</v>
      </c>
      <c r="Q544">
        <v>1483.52</v>
      </c>
      <c r="R544">
        <v>0</v>
      </c>
      <c r="S544" t="str">
        <f t="shared" ref="S544:S586" si="74">IF(R544&lt;0,"INVALID",IF(R544&gt;0.5,"INVALID","OK"))</f>
        <v>OK</v>
      </c>
      <c r="T544">
        <v>7417.6</v>
      </c>
      <c r="U544">
        <v>4955.8599999999997</v>
      </c>
      <c r="V544">
        <v>2461.7399999999998</v>
      </c>
      <c r="W544" t="s">
        <v>31</v>
      </c>
      <c r="X544" t="s">
        <v>32</v>
      </c>
      <c r="Y544">
        <f t="shared" si="67"/>
        <v>0</v>
      </c>
      <c r="Z544">
        <f t="shared" si="68"/>
        <v>7417.6</v>
      </c>
      <c r="AA544">
        <f t="shared" si="69"/>
        <v>2461.7400000000007</v>
      </c>
      <c r="AB544">
        <f t="shared" si="70"/>
        <v>33.187823554788622</v>
      </c>
      <c r="AC544">
        <f t="shared" si="71"/>
        <v>5</v>
      </c>
      <c r="AD544">
        <f t="shared" si="72"/>
        <v>2025</v>
      </c>
      <c r="AE544" t="str">
        <f t="shared" si="73"/>
        <v>CLEAN</v>
      </c>
    </row>
    <row r="545" spans="1:31">
      <c r="A545" t="s">
        <v>1461</v>
      </c>
      <c r="B545" s="2">
        <v>45739</v>
      </c>
      <c r="C545" s="2">
        <v>45744</v>
      </c>
      <c r="D545" s="5">
        <f>C545-B545</f>
        <v>5</v>
      </c>
      <c r="E545" s="5" t="str">
        <f>IF(D545&lt;0,"INVALID","OK")</f>
        <v>OK</v>
      </c>
      <c r="F545" t="s">
        <v>1462</v>
      </c>
      <c r="G545" t="s">
        <v>70</v>
      </c>
      <c r="H545" t="s">
        <v>36</v>
      </c>
      <c r="I545" t="s">
        <v>24</v>
      </c>
      <c r="J545" t="s">
        <v>25</v>
      </c>
      <c r="K545" t="s">
        <v>26</v>
      </c>
      <c r="L545" t="s">
        <v>40</v>
      </c>
      <c r="M545" t="s">
        <v>56</v>
      </c>
      <c r="N545" t="s">
        <v>1463</v>
      </c>
      <c r="O545" t="s">
        <v>58</v>
      </c>
      <c r="P545">
        <v>9</v>
      </c>
      <c r="Q545">
        <v>3298</v>
      </c>
      <c r="R545">
        <v>0.15</v>
      </c>
      <c r="S545" t="str">
        <f t="shared" si="74"/>
        <v>OK</v>
      </c>
      <c r="T545">
        <v>25229.7</v>
      </c>
      <c r="U545">
        <v>20170.43</v>
      </c>
      <c r="V545">
        <v>5059.2700000000004</v>
      </c>
      <c r="W545" t="s">
        <v>31</v>
      </c>
      <c r="X545" t="s">
        <v>32</v>
      </c>
      <c r="Y545">
        <f t="shared" si="67"/>
        <v>0.15</v>
      </c>
      <c r="Z545">
        <f t="shared" si="68"/>
        <v>25229.7</v>
      </c>
      <c r="AA545">
        <f t="shared" si="69"/>
        <v>5059.2700000000004</v>
      </c>
      <c r="AB545">
        <f t="shared" si="70"/>
        <v>20.052834556098567</v>
      </c>
      <c r="AC545">
        <f t="shared" si="71"/>
        <v>3</v>
      </c>
      <c r="AD545">
        <f t="shared" si="72"/>
        <v>2025</v>
      </c>
      <c r="AE545" t="str">
        <f t="shared" si="73"/>
        <v>CLEAN</v>
      </c>
    </row>
    <row r="546" spans="1:31">
      <c r="A546" t="s">
        <v>1479</v>
      </c>
      <c r="B546" s="2">
        <v>45930</v>
      </c>
      <c r="C546" s="2">
        <v>45936</v>
      </c>
      <c r="D546" s="5">
        <f>C546-B546</f>
        <v>6</v>
      </c>
      <c r="E546" s="5" t="str">
        <f>IF(D546&lt;0,"INVALID","OK")</f>
        <v>OK</v>
      </c>
      <c r="F546" t="s">
        <v>1480</v>
      </c>
      <c r="G546" t="s">
        <v>127</v>
      </c>
      <c r="H546" t="s">
        <v>89</v>
      </c>
      <c r="I546" t="s">
        <v>2762</v>
      </c>
      <c r="J546" t="s">
        <v>25</v>
      </c>
      <c r="K546" t="s">
        <v>26</v>
      </c>
      <c r="L546" t="s">
        <v>73</v>
      </c>
      <c r="M546" t="s">
        <v>79</v>
      </c>
      <c r="N546" t="s">
        <v>1481</v>
      </c>
      <c r="O546" t="s">
        <v>30</v>
      </c>
      <c r="P546">
        <v>9</v>
      </c>
      <c r="Q546">
        <v>1359.88</v>
      </c>
      <c r="R546">
        <v>0.05</v>
      </c>
      <c r="S546" t="str">
        <f t="shared" si="74"/>
        <v>OK</v>
      </c>
      <c r="T546">
        <v>11626.97</v>
      </c>
      <c r="U546">
        <v>7394.07</v>
      </c>
      <c r="V546">
        <v>4232.8999999999996</v>
      </c>
      <c r="W546" t="s">
        <v>31</v>
      </c>
      <c r="X546" t="s">
        <v>32</v>
      </c>
      <c r="Y546">
        <f t="shared" si="67"/>
        <v>0.05</v>
      </c>
      <c r="Z546">
        <f t="shared" si="68"/>
        <v>11626.974000000002</v>
      </c>
      <c r="AA546">
        <f t="shared" si="69"/>
        <v>4232.9040000000023</v>
      </c>
      <c r="AB546">
        <f t="shared" si="70"/>
        <v>36.405895463428415</v>
      </c>
      <c r="AC546">
        <f t="shared" si="71"/>
        <v>9</v>
      </c>
      <c r="AD546">
        <f t="shared" si="72"/>
        <v>2025</v>
      </c>
      <c r="AE546" t="str">
        <f t="shared" si="73"/>
        <v>CLEAN</v>
      </c>
    </row>
    <row r="547" spans="1:31">
      <c r="A547" t="s">
        <v>1482</v>
      </c>
      <c r="B547" s="2">
        <v>45802</v>
      </c>
      <c r="C547" s="2">
        <v>45803</v>
      </c>
      <c r="D547" s="5">
        <f>C547-B547</f>
        <v>1</v>
      </c>
      <c r="E547" s="5" t="str">
        <f>IF(D547&lt;0,"INVALID","OK")</f>
        <v>OK</v>
      </c>
      <c r="F547" t="s">
        <v>1483</v>
      </c>
      <c r="G547" t="s">
        <v>78</v>
      </c>
      <c r="H547" t="s">
        <v>89</v>
      </c>
      <c r="I547" t="s">
        <v>53</v>
      </c>
      <c r="J547" t="s">
        <v>83</v>
      </c>
      <c r="K547" t="s">
        <v>84</v>
      </c>
      <c r="L547" t="s">
        <v>27</v>
      </c>
      <c r="M547" t="s">
        <v>28</v>
      </c>
      <c r="N547" t="s">
        <v>1484</v>
      </c>
      <c r="O547" t="s">
        <v>58</v>
      </c>
      <c r="P547">
        <v>3</v>
      </c>
      <c r="Q547">
        <v>3378.15</v>
      </c>
      <c r="R547">
        <v>0.15</v>
      </c>
      <c r="S547" t="str">
        <f t="shared" si="74"/>
        <v>OK</v>
      </c>
      <c r="T547">
        <v>8614.2800000000007</v>
      </c>
      <c r="U547">
        <v>7052.08</v>
      </c>
      <c r="V547">
        <v>1562.2</v>
      </c>
      <c r="W547" t="s">
        <v>31</v>
      </c>
      <c r="X547" t="s">
        <v>32</v>
      </c>
      <c r="Y547">
        <f t="shared" si="67"/>
        <v>0.15</v>
      </c>
      <c r="Z547">
        <f t="shared" si="68"/>
        <v>8614.2825000000012</v>
      </c>
      <c r="AA547">
        <f t="shared" si="69"/>
        <v>1562.2025000000012</v>
      </c>
      <c r="AB547">
        <f t="shared" si="70"/>
        <v>18.135027496486224</v>
      </c>
      <c r="AC547">
        <f t="shared" si="71"/>
        <v>5</v>
      </c>
      <c r="AD547">
        <f t="shared" si="72"/>
        <v>2025</v>
      </c>
      <c r="AE547" t="str">
        <f t="shared" si="73"/>
        <v>CLEAN</v>
      </c>
    </row>
    <row r="548" spans="1:31">
      <c r="A548" t="s">
        <v>1488</v>
      </c>
      <c r="B548" s="2">
        <v>45840</v>
      </c>
      <c r="C548" s="2">
        <v>45696</v>
      </c>
      <c r="D548" s="5">
        <f>C548-B548</f>
        <v>-144</v>
      </c>
      <c r="E548" s="5" t="str">
        <f>IF(D548&lt;0,"INVALID","OK")</f>
        <v>INVALID</v>
      </c>
      <c r="F548" t="s">
        <v>1489</v>
      </c>
      <c r="G548" t="s">
        <v>52</v>
      </c>
      <c r="H548" t="s">
        <v>89</v>
      </c>
      <c r="I548" t="s">
        <v>62</v>
      </c>
      <c r="J548" t="s">
        <v>71</v>
      </c>
      <c r="K548" t="s">
        <v>72</v>
      </c>
      <c r="L548" t="s">
        <v>73</v>
      </c>
      <c r="M548" t="s">
        <v>170</v>
      </c>
      <c r="N548" t="s">
        <v>1490</v>
      </c>
      <c r="O548" t="s">
        <v>58</v>
      </c>
      <c r="P548">
        <v>4</v>
      </c>
      <c r="Q548">
        <v>889.5</v>
      </c>
      <c r="R548">
        <v>0.2</v>
      </c>
      <c r="S548" t="str">
        <f t="shared" si="74"/>
        <v>OK</v>
      </c>
      <c r="T548">
        <v>2846.4</v>
      </c>
      <c r="U548">
        <v>2132.37</v>
      </c>
      <c r="V548">
        <v>714.03</v>
      </c>
      <c r="W548" t="s">
        <v>31</v>
      </c>
      <c r="X548" t="s">
        <v>32</v>
      </c>
      <c r="Y548">
        <f t="shared" si="67"/>
        <v>0.2</v>
      </c>
      <c r="Z548">
        <f t="shared" si="68"/>
        <v>2846.4</v>
      </c>
      <c r="AA548">
        <f t="shared" si="69"/>
        <v>714.0300000000002</v>
      </c>
      <c r="AB548">
        <f t="shared" si="70"/>
        <v>25.085370994940988</v>
      </c>
      <c r="AC548">
        <f t="shared" si="71"/>
        <v>7</v>
      </c>
      <c r="AD548">
        <f t="shared" si="72"/>
        <v>2025</v>
      </c>
      <c r="AE548" t="str">
        <f t="shared" si="73"/>
        <v>INVALID</v>
      </c>
    </row>
    <row r="549" spans="1:31">
      <c r="A549" t="s">
        <v>1503</v>
      </c>
      <c r="B549" s="2">
        <v>45666</v>
      </c>
      <c r="C549" s="2">
        <v>45664</v>
      </c>
      <c r="D549" s="5">
        <f>C549-B549</f>
        <v>-2</v>
      </c>
      <c r="E549" s="5" t="str">
        <f>IF(D549&lt;0,"INVALID","OK")</f>
        <v>INVALID</v>
      </c>
      <c r="F549" t="s">
        <v>1504</v>
      </c>
      <c r="G549" t="s">
        <v>127</v>
      </c>
      <c r="H549" t="s">
        <v>94</v>
      </c>
      <c r="I549" t="s">
        <v>37</v>
      </c>
      <c r="J549" t="s">
        <v>98</v>
      </c>
      <c r="K549" t="s">
        <v>99</v>
      </c>
      <c r="L549" t="s">
        <v>27</v>
      </c>
      <c r="M549" t="s">
        <v>152</v>
      </c>
      <c r="N549" t="s">
        <v>1505</v>
      </c>
      <c r="O549" t="s">
        <v>30</v>
      </c>
      <c r="P549">
        <v>3</v>
      </c>
      <c r="Q549">
        <v>2188.33</v>
      </c>
      <c r="R549">
        <v>0</v>
      </c>
      <c r="S549" t="str">
        <f t="shared" si="74"/>
        <v>OK</v>
      </c>
      <c r="T549">
        <v>6564.99</v>
      </c>
      <c r="U549">
        <v>5407.24</v>
      </c>
      <c r="V549">
        <v>1157.75</v>
      </c>
      <c r="W549" t="s">
        <v>31</v>
      </c>
      <c r="X549" t="s">
        <v>32</v>
      </c>
      <c r="Y549">
        <f t="shared" si="67"/>
        <v>0</v>
      </c>
      <c r="Z549">
        <f t="shared" si="68"/>
        <v>6564.99</v>
      </c>
      <c r="AA549">
        <f t="shared" si="69"/>
        <v>1157.75</v>
      </c>
      <c r="AB549">
        <f t="shared" si="70"/>
        <v>17.635213458055535</v>
      </c>
      <c r="AC549">
        <f t="shared" si="71"/>
        <v>1</v>
      </c>
      <c r="AD549">
        <f t="shared" si="72"/>
        <v>2025</v>
      </c>
      <c r="AE549" t="str">
        <f t="shared" si="73"/>
        <v>INVALID</v>
      </c>
    </row>
    <row r="550" spans="1:31">
      <c r="A550" t="s">
        <v>1524</v>
      </c>
      <c r="B550" s="2">
        <v>45717</v>
      </c>
      <c r="C550" s="2">
        <v>45724</v>
      </c>
      <c r="D550" s="5">
        <f>C550-B550</f>
        <v>7</v>
      </c>
      <c r="E550" s="5" t="str">
        <f>IF(D550&lt;0,"INVALID","OK")</f>
        <v>OK</v>
      </c>
      <c r="F550" t="s">
        <v>1525</v>
      </c>
      <c r="G550" t="s">
        <v>70</v>
      </c>
      <c r="H550" t="s">
        <v>23</v>
      </c>
      <c r="I550" t="s">
        <v>37</v>
      </c>
      <c r="J550" t="s">
        <v>98</v>
      </c>
      <c r="K550" t="s">
        <v>99</v>
      </c>
      <c r="L550" t="s">
        <v>40</v>
      </c>
      <c r="M550" t="s">
        <v>65</v>
      </c>
      <c r="N550" t="s">
        <v>1526</v>
      </c>
      <c r="O550" t="s">
        <v>43</v>
      </c>
      <c r="P550">
        <v>8</v>
      </c>
      <c r="Q550">
        <v>3378.82</v>
      </c>
      <c r="R550">
        <v>0.25</v>
      </c>
      <c r="S550" t="str">
        <f t="shared" si="74"/>
        <v>OK</v>
      </c>
      <c r="T550">
        <v>20272.919999999998</v>
      </c>
      <c r="U550">
        <v>15873.38</v>
      </c>
      <c r="V550">
        <v>4399.54</v>
      </c>
      <c r="W550" t="s">
        <v>110</v>
      </c>
      <c r="X550" t="s">
        <v>102</v>
      </c>
      <c r="Y550">
        <f t="shared" si="67"/>
        <v>0.25</v>
      </c>
      <c r="Z550">
        <f t="shared" si="68"/>
        <v>20272.920000000002</v>
      </c>
      <c r="AA550">
        <f t="shared" si="69"/>
        <v>4399.5400000000027</v>
      </c>
      <c r="AB550">
        <f t="shared" si="70"/>
        <v>21.701560505344087</v>
      </c>
      <c r="AC550">
        <f t="shared" si="71"/>
        <v>3</v>
      </c>
      <c r="AD550">
        <f t="shared" si="72"/>
        <v>2025</v>
      </c>
      <c r="AE550" t="str">
        <f t="shared" si="73"/>
        <v>CLEAN</v>
      </c>
    </row>
    <row r="551" spans="1:31">
      <c r="A551" t="s">
        <v>1539</v>
      </c>
      <c r="B551" s="2">
        <v>45662</v>
      </c>
      <c r="C551" s="2">
        <v>45666</v>
      </c>
      <c r="D551" s="5">
        <f>C551-B551</f>
        <v>4</v>
      </c>
      <c r="E551" s="5" t="str">
        <f>IF(D551&lt;0,"INVALID","OK")</f>
        <v>OK</v>
      </c>
      <c r="F551" t="s">
        <v>1540</v>
      </c>
      <c r="G551" t="s">
        <v>78</v>
      </c>
      <c r="H551" t="s">
        <v>36</v>
      </c>
      <c r="I551" t="s">
        <v>53</v>
      </c>
      <c r="J551" t="s">
        <v>246</v>
      </c>
      <c r="K551" t="s">
        <v>247</v>
      </c>
      <c r="L551" t="s">
        <v>27</v>
      </c>
      <c r="M551" t="s">
        <v>123</v>
      </c>
      <c r="N551" t="s">
        <v>1541</v>
      </c>
      <c r="O551" t="s">
        <v>2762</v>
      </c>
      <c r="P551">
        <v>5</v>
      </c>
      <c r="Q551">
        <v>905.16</v>
      </c>
      <c r="R551">
        <v>0</v>
      </c>
      <c r="S551" t="str">
        <f t="shared" si="74"/>
        <v>OK</v>
      </c>
      <c r="T551">
        <v>4525.8</v>
      </c>
      <c r="U551">
        <v>2714.51</v>
      </c>
      <c r="V551">
        <v>1811.29</v>
      </c>
      <c r="W551" t="s">
        <v>31</v>
      </c>
      <c r="X551" t="s">
        <v>32</v>
      </c>
      <c r="Y551">
        <f t="shared" si="67"/>
        <v>0</v>
      </c>
      <c r="Z551">
        <f t="shared" si="68"/>
        <v>4525.8</v>
      </c>
      <c r="AA551">
        <f t="shared" si="69"/>
        <v>1811.29</v>
      </c>
      <c r="AB551">
        <f t="shared" si="70"/>
        <v>40.021432674886206</v>
      </c>
      <c r="AC551">
        <f t="shared" si="71"/>
        <v>1</v>
      </c>
      <c r="AD551">
        <f t="shared" si="72"/>
        <v>2025</v>
      </c>
      <c r="AE551" t="str">
        <f t="shared" si="73"/>
        <v>CLEAN</v>
      </c>
    </row>
    <row r="552" spans="1:31">
      <c r="A552" t="s">
        <v>1542</v>
      </c>
      <c r="B552" s="2">
        <v>45813</v>
      </c>
      <c r="C552" s="2">
        <v>45821</v>
      </c>
      <c r="D552" s="5">
        <f>C552-B552</f>
        <v>8</v>
      </c>
      <c r="E552" s="5" t="str">
        <f>IF(D552&lt;0,"INVALID","OK")</f>
        <v>OK</v>
      </c>
      <c r="F552" t="s">
        <v>1543</v>
      </c>
      <c r="G552" t="s">
        <v>46</v>
      </c>
      <c r="H552" t="s">
        <v>23</v>
      </c>
      <c r="I552" t="s">
        <v>24</v>
      </c>
      <c r="J552" t="s">
        <v>135</v>
      </c>
      <c r="K552" t="s">
        <v>136</v>
      </c>
      <c r="L552" t="s">
        <v>73</v>
      </c>
      <c r="M552" t="s">
        <v>273</v>
      </c>
      <c r="N552" t="s">
        <v>1544</v>
      </c>
      <c r="O552" t="s">
        <v>43</v>
      </c>
      <c r="P552">
        <v>4</v>
      </c>
      <c r="Q552">
        <v>2793.88</v>
      </c>
      <c r="R552" t="s">
        <v>766</v>
      </c>
      <c r="S552" t="str">
        <f t="shared" si="74"/>
        <v>INVALID</v>
      </c>
      <c r="T552">
        <v>10616.74</v>
      </c>
      <c r="U552">
        <v>6353.59</v>
      </c>
      <c r="V552">
        <v>4263.1499999999996</v>
      </c>
      <c r="W552" t="s">
        <v>31</v>
      </c>
      <c r="X552" t="s">
        <v>32</v>
      </c>
      <c r="Y552">
        <f t="shared" si="67"/>
        <v>0</v>
      </c>
      <c r="Z552">
        <f t="shared" si="68"/>
        <v>11175.52</v>
      </c>
      <c r="AA552">
        <f t="shared" si="69"/>
        <v>4821.93</v>
      </c>
      <c r="AB552">
        <f t="shared" si="70"/>
        <v>43.147253998024254</v>
      </c>
      <c r="AC552">
        <f t="shared" si="71"/>
        <v>6</v>
      </c>
      <c r="AD552">
        <f t="shared" si="72"/>
        <v>2025</v>
      </c>
      <c r="AE552" t="str">
        <f t="shared" si="73"/>
        <v>INVALID</v>
      </c>
    </row>
    <row r="553" spans="1:31">
      <c r="A553" t="s">
        <v>1554</v>
      </c>
      <c r="B553" s="2">
        <v>45679</v>
      </c>
      <c r="C553" s="2">
        <v>45680</v>
      </c>
      <c r="D553" s="5">
        <f>C553-B553</f>
        <v>1</v>
      </c>
      <c r="E553" s="5" t="str">
        <f>IF(D553&lt;0,"INVALID","OK")</f>
        <v>OK</v>
      </c>
      <c r="F553" t="s">
        <v>1555</v>
      </c>
      <c r="G553" t="s">
        <v>117</v>
      </c>
      <c r="H553" t="s">
        <v>89</v>
      </c>
      <c r="I553" t="s">
        <v>62</v>
      </c>
      <c r="J553" t="s">
        <v>189</v>
      </c>
      <c r="K553" t="s">
        <v>190</v>
      </c>
      <c r="L553" t="s">
        <v>40</v>
      </c>
      <c r="M553" t="s">
        <v>157</v>
      </c>
      <c r="N553" t="s">
        <v>1556</v>
      </c>
      <c r="O553" t="s">
        <v>58</v>
      </c>
      <c r="P553">
        <v>4</v>
      </c>
      <c r="Q553">
        <v>2555.19</v>
      </c>
      <c r="R553">
        <v>0.25</v>
      </c>
      <c r="S553" t="str">
        <f t="shared" si="74"/>
        <v>OK</v>
      </c>
      <c r="T553">
        <v>7665.57</v>
      </c>
      <c r="U553">
        <v>5595.6</v>
      </c>
      <c r="V553">
        <v>2069.9699999999998</v>
      </c>
      <c r="W553" t="s">
        <v>31</v>
      </c>
      <c r="X553" t="s">
        <v>32</v>
      </c>
      <c r="Y553">
        <f t="shared" si="67"/>
        <v>0.25</v>
      </c>
      <c r="Z553">
        <f t="shared" si="68"/>
        <v>7665.57</v>
      </c>
      <c r="AA553">
        <f t="shared" si="69"/>
        <v>2069.9699999999993</v>
      </c>
      <c r="AB553">
        <f t="shared" si="70"/>
        <v>27.003471366121495</v>
      </c>
      <c r="AC553">
        <f t="shared" si="71"/>
        <v>1</v>
      </c>
      <c r="AD553">
        <f t="shared" si="72"/>
        <v>2025</v>
      </c>
      <c r="AE553" t="str">
        <f t="shared" si="73"/>
        <v>CLEAN</v>
      </c>
    </row>
    <row r="554" spans="1:31">
      <c r="A554" t="s">
        <v>1557</v>
      </c>
      <c r="B554" s="2">
        <v>45830</v>
      </c>
      <c r="C554" s="2">
        <v>45834</v>
      </c>
      <c r="D554" s="5">
        <f>C554-B554</f>
        <v>4</v>
      </c>
      <c r="E554" s="5" t="str">
        <f>IF(D554&lt;0,"INVALID","OK")</f>
        <v>OK</v>
      </c>
      <c r="F554" t="s">
        <v>1558</v>
      </c>
      <c r="G554" t="s">
        <v>117</v>
      </c>
      <c r="H554" t="s">
        <v>89</v>
      </c>
      <c r="I554" t="s">
        <v>62</v>
      </c>
      <c r="J554" t="s">
        <v>189</v>
      </c>
      <c r="K554" t="s">
        <v>190</v>
      </c>
      <c r="L554" t="s">
        <v>40</v>
      </c>
      <c r="M554" t="s">
        <v>41</v>
      </c>
      <c r="N554" t="s">
        <v>1559</v>
      </c>
      <c r="O554" t="s">
        <v>58</v>
      </c>
      <c r="P554">
        <v>3</v>
      </c>
      <c r="Q554">
        <v>1946.18</v>
      </c>
      <c r="R554">
        <v>0.2</v>
      </c>
      <c r="S554" t="str">
        <f t="shared" si="74"/>
        <v>OK</v>
      </c>
      <c r="T554">
        <v>4670.83</v>
      </c>
      <c r="U554">
        <v>3166.49</v>
      </c>
      <c r="V554">
        <v>1504.34</v>
      </c>
      <c r="W554" t="s">
        <v>31</v>
      </c>
      <c r="X554" t="s">
        <v>32</v>
      </c>
      <c r="Y554">
        <f t="shared" si="67"/>
        <v>0.2</v>
      </c>
      <c r="Z554">
        <f t="shared" si="68"/>
        <v>4670.8320000000003</v>
      </c>
      <c r="AA554">
        <f t="shared" si="69"/>
        <v>1504.3420000000006</v>
      </c>
      <c r="AB554">
        <f t="shared" si="70"/>
        <v>32.207152815601169</v>
      </c>
      <c r="AC554">
        <f t="shared" si="71"/>
        <v>6</v>
      </c>
      <c r="AD554">
        <f t="shared" si="72"/>
        <v>2025</v>
      </c>
      <c r="AE554" t="str">
        <f t="shared" si="73"/>
        <v>CLEAN</v>
      </c>
    </row>
    <row r="555" spans="1:31">
      <c r="A555" t="s">
        <v>1572</v>
      </c>
      <c r="B555" s="2">
        <v>45776</v>
      </c>
      <c r="C555" s="2">
        <v>45777</v>
      </c>
      <c r="D555" s="5">
        <f>C555-B555</f>
        <v>1</v>
      </c>
      <c r="E555" s="5" t="str">
        <f>IF(D555&lt;0,"INVALID","OK")</f>
        <v>OK</v>
      </c>
      <c r="F555" t="s">
        <v>1573</v>
      </c>
      <c r="G555" t="s">
        <v>35</v>
      </c>
      <c r="H555" t="s">
        <v>89</v>
      </c>
      <c r="I555" t="s">
        <v>53</v>
      </c>
      <c r="J555" t="s">
        <v>184</v>
      </c>
      <c r="K555" t="s">
        <v>185</v>
      </c>
      <c r="L555" t="s">
        <v>73</v>
      </c>
      <c r="M555" t="s">
        <v>74</v>
      </c>
      <c r="N555" t="s">
        <v>1574</v>
      </c>
      <c r="O555" t="s">
        <v>58</v>
      </c>
      <c r="P555">
        <v>4</v>
      </c>
      <c r="Q555">
        <v>606.58000000000004</v>
      </c>
      <c r="R555">
        <v>0.2</v>
      </c>
      <c r="S555" t="str">
        <f t="shared" si="74"/>
        <v>OK</v>
      </c>
      <c r="T555">
        <v>1941.06</v>
      </c>
      <c r="U555">
        <v>1207.42</v>
      </c>
      <c r="V555">
        <v>733.64</v>
      </c>
      <c r="W555" t="s">
        <v>31</v>
      </c>
      <c r="X555" t="s">
        <v>32</v>
      </c>
      <c r="Y555">
        <f t="shared" si="67"/>
        <v>0.2</v>
      </c>
      <c r="Z555">
        <f t="shared" si="68"/>
        <v>1941.0560000000003</v>
      </c>
      <c r="AA555">
        <f t="shared" si="69"/>
        <v>733.63600000000019</v>
      </c>
      <c r="AB555">
        <f t="shared" si="70"/>
        <v>37.795715321969077</v>
      </c>
      <c r="AC555">
        <f t="shared" si="71"/>
        <v>4</v>
      </c>
      <c r="AD555">
        <f t="shared" si="72"/>
        <v>2025</v>
      </c>
      <c r="AE555" t="str">
        <f t="shared" si="73"/>
        <v>CLEAN</v>
      </c>
    </row>
    <row r="556" spans="1:31">
      <c r="A556" t="s">
        <v>1575</v>
      </c>
      <c r="B556" s="2">
        <v>45836</v>
      </c>
      <c r="C556" s="2">
        <v>45840</v>
      </c>
      <c r="D556" s="5">
        <f>C556-B556</f>
        <v>4</v>
      </c>
      <c r="E556" s="5" t="str">
        <f>IF(D556&lt;0,"INVALID","OK")</f>
        <v>OK</v>
      </c>
      <c r="F556" t="s">
        <v>1576</v>
      </c>
      <c r="G556" t="s">
        <v>61</v>
      </c>
      <c r="H556" t="s">
        <v>89</v>
      </c>
      <c r="I556" t="s">
        <v>53</v>
      </c>
      <c r="J556" t="s">
        <v>83</v>
      </c>
      <c r="K556" t="s">
        <v>84</v>
      </c>
      <c r="L556" t="s">
        <v>27</v>
      </c>
      <c r="M556" t="s">
        <v>123</v>
      </c>
      <c r="N556" t="s">
        <v>1577</v>
      </c>
      <c r="O556" t="s">
        <v>30</v>
      </c>
      <c r="P556">
        <v>2</v>
      </c>
      <c r="Q556">
        <v>2725.44</v>
      </c>
      <c r="R556">
        <v>0.25</v>
      </c>
      <c r="S556" t="str">
        <f t="shared" si="74"/>
        <v>OK</v>
      </c>
      <c r="T556">
        <v>4088.16</v>
      </c>
      <c r="U556">
        <v>3205.68</v>
      </c>
      <c r="V556">
        <v>882.48</v>
      </c>
      <c r="W556" t="s">
        <v>31</v>
      </c>
      <c r="X556" t="s">
        <v>32</v>
      </c>
      <c r="Y556">
        <f t="shared" si="67"/>
        <v>0.25</v>
      </c>
      <c r="Z556">
        <f t="shared" si="68"/>
        <v>4088.16</v>
      </c>
      <c r="AA556">
        <f t="shared" si="69"/>
        <v>882.48</v>
      </c>
      <c r="AB556">
        <f t="shared" si="70"/>
        <v>21.586239286133615</v>
      </c>
      <c r="AC556">
        <f t="shared" si="71"/>
        <v>6</v>
      </c>
      <c r="AD556">
        <f t="shared" si="72"/>
        <v>2025</v>
      </c>
      <c r="AE556" t="str">
        <f t="shared" si="73"/>
        <v>CLEAN</v>
      </c>
    </row>
    <row r="557" spans="1:31">
      <c r="A557" t="s">
        <v>1578</v>
      </c>
      <c r="B557" s="2">
        <v>45701</v>
      </c>
      <c r="C557" s="2">
        <v>45701</v>
      </c>
      <c r="D557" s="5">
        <f>C557-B557</f>
        <v>0</v>
      </c>
      <c r="E557" s="5" t="str">
        <f>IF(D557&lt;0,"INVALID","OK")</f>
        <v>OK</v>
      </c>
      <c r="F557" t="s">
        <v>1579</v>
      </c>
      <c r="G557" t="s">
        <v>263</v>
      </c>
      <c r="H557" t="s">
        <v>89</v>
      </c>
      <c r="I557" t="s">
        <v>37</v>
      </c>
      <c r="J557" t="s">
        <v>38</v>
      </c>
      <c r="K557" t="s">
        <v>39</v>
      </c>
      <c r="L557" t="s">
        <v>27</v>
      </c>
      <c r="M557" t="s">
        <v>28</v>
      </c>
      <c r="N557" t="s">
        <v>1580</v>
      </c>
      <c r="O557" t="s">
        <v>30</v>
      </c>
      <c r="P557">
        <v>7</v>
      </c>
      <c r="Q557">
        <v>2296.6999999999998</v>
      </c>
      <c r="R557">
        <v>0.05</v>
      </c>
      <c r="S557" t="str">
        <f t="shared" si="74"/>
        <v>OK</v>
      </c>
      <c r="T557">
        <v>15273.05</v>
      </c>
      <c r="U557">
        <v>11088.76</v>
      </c>
      <c r="V557">
        <v>4184.29</v>
      </c>
      <c r="W557" t="s">
        <v>31</v>
      </c>
      <c r="X557" t="s">
        <v>32</v>
      </c>
      <c r="Y557">
        <f t="shared" si="67"/>
        <v>0.05</v>
      </c>
      <c r="Z557">
        <f t="shared" si="68"/>
        <v>15273.054999999997</v>
      </c>
      <c r="AA557">
        <f t="shared" si="69"/>
        <v>4184.2949999999964</v>
      </c>
      <c r="AB557">
        <f t="shared" si="70"/>
        <v>27.396581757873573</v>
      </c>
      <c r="AC557">
        <f t="shared" si="71"/>
        <v>2</v>
      </c>
      <c r="AD557">
        <f t="shared" si="72"/>
        <v>2025</v>
      </c>
      <c r="AE557" t="str">
        <f t="shared" si="73"/>
        <v>CLEAN</v>
      </c>
    </row>
    <row r="558" spans="1:31">
      <c r="A558" t="s">
        <v>1587</v>
      </c>
      <c r="B558" s="2">
        <v>45842</v>
      </c>
      <c r="C558" s="2">
        <v>45844</v>
      </c>
      <c r="D558" s="5">
        <f>C558-B558</f>
        <v>2</v>
      </c>
      <c r="E558" s="5" t="str">
        <f>IF(D558&lt;0,"INVALID","OK")</f>
        <v>OK</v>
      </c>
      <c r="F558" t="s">
        <v>1588</v>
      </c>
      <c r="G558" t="s">
        <v>263</v>
      </c>
      <c r="H558" t="s">
        <v>36</v>
      </c>
      <c r="I558" t="s">
        <v>37</v>
      </c>
      <c r="J558" t="s">
        <v>227</v>
      </c>
      <c r="K558" t="s">
        <v>228</v>
      </c>
      <c r="L558" t="s">
        <v>40</v>
      </c>
      <c r="M558" t="s">
        <v>65</v>
      </c>
      <c r="N558" t="s">
        <v>1589</v>
      </c>
      <c r="O558" t="s">
        <v>30</v>
      </c>
      <c r="P558">
        <v>2</v>
      </c>
      <c r="Q558">
        <v>3686.42</v>
      </c>
      <c r="R558">
        <v>0.1</v>
      </c>
      <c r="S558" t="str">
        <f t="shared" si="74"/>
        <v>OK</v>
      </c>
      <c r="T558">
        <v>6635.56</v>
      </c>
      <c r="U558">
        <v>3652.91</v>
      </c>
      <c r="V558">
        <v>2982.65</v>
      </c>
      <c r="W558" t="s">
        <v>31</v>
      </c>
      <c r="X558" t="s">
        <v>32</v>
      </c>
      <c r="Y558">
        <f t="shared" si="67"/>
        <v>0.1</v>
      </c>
      <c r="Z558">
        <f t="shared" si="68"/>
        <v>6635.5560000000005</v>
      </c>
      <c r="AA558">
        <f t="shared" si="69"/>
        <v>2982.6460000000006</v>
      </c>
      <c r="AB558">
        <f t="shared" si="70"/>
        <v>44.94945110854313</v>
      </c>
      <c r="AC558">
        <f t="shared" si="71"/>
        <v>7</v>
      </c>
      <c r="AD558">
        <f t="shared" si="72"/>
        <v>2025</v>
      </c>
      <c r="AE558" t="str">
        <f t="shared" si="73"/>
        <v>CLEAN</v>
      </c>
    </row>
    <row r="559" spans="1:31">
      <c r="A559" t="s">
        <v>1610</v>
      </c>
      <c r="B559" s="2">
        <v>45700</v>
      </c>
      <c r="C559" s="2">
        <v>45705</v>
      </c>
      <c r="D559" s="5">
        <f>C559-B559</f>
        <v>5</v>
      </c>
      <c r="E559" s="5" t="str">
        <f>IF(D559&lt;0,"INVALID","OK")</f>
        <v>OK</v>
      </c>
      <c r="F559" t="s">
        <v>1611</v>
      </c>
      <c r="G559" t="s">
        <v>52</v>
      </c>
      <c r="H559" t="s">
        <v>89</v>
      </c>
      <c r="I559" t="s">
        <v>62</v>
      </c>
      <c r="J559" t="s">
        <v>179</v>
      </c>
      <c r="K559" t="s">
        <v>180</v>
      </c>
      <c r="L559" t="s">
        <v>27</v>
      </c>
      <c r="M559" t="s">
        <v>47</v>
      </c>
      <c r="N559" t="s">
        <v>1612</v>
      </c>
      <c r="O559" t="s">
        <v>58</v>
      </c>
      <c r="P559">
        <v>4</v>
      </c>
      <c r="Q559">
        <v>4328.12</v>
      </c>
      <c r="R559">
        <v>0</v>
      </c>
      <c r="S559" t="str">
        <f t="shared" si="74"/>
        <v>OK</v>
      </c>
      <c r="T559">
        <v>17312.48</v>
      </c>
      <c r="U559">
        <v>14424.22</v>
      </c>
      <c r="V559">
        <v>2888.26</v>
      </c>
      <c r="W559" t="s">
        <v>31</v>
      </c>
      <c r="X559" t="s">
        <v>32</v>
      </c>
      <c r="Y559">
        <f t="shared" si="67"/>
        <v>0</v>
      </c>
      <c r="Z559">
        <f t="shared" si="68"/>
        <v>17312.48</v>
      </c>
      <c r="AA559">
        <f t="shared" si="69"/>
        <v>2888.26</v>
      </c>
      <c r="AB559">
        <f t="shared" si="70"/>
        <v>16.683109525613894</v>
      </c>
      <c r="AC559">
        <f t="shared" si="71"/>
        <v>2</v>
      </c>
      <c r="AD559">
        <f t="shared" si="72"/>
        <v>2025</v>
      </c>
      <c r="AE559" t="str">
        <f t="shared" si="73"/>
        <v>CLEAN</v>
      </c>
    </row>
    <row r="560" spans="1:31">
      <c r="A560" t="s">
        <v>1619</v>
      </c>
      <c r="B560" s="2">
        <v>45762</v>
      </c>
      <c r="C560" s="2">
        <v>45769</v>
      </c>
      <c r="D560" s="5">
        <f>C560-B560</f>
        <v>7</v>
      </c>
      <c r="E560" s="5" t="str">
        <f>IF(D560&lt;0,"INVALID","OK")</f>
        <v>OK</v>
      </c>
      <c r="F560" t="s">
        <v>1620</v>
      </c>
      <c r="G560" t="s">
        <v>46</v>
      </c>
      <c r="H560" t="s">
        <v>36</v>
      </c>
      <c r="I560" t="s">
        <v>24</v>
      </c>
      <c r="J560" t="s">
        <v>235</v>
      </c>
      <c r="K560" t="s">
        <v>236</v>
      </c>
      <c r="L560" t="s">
        <v>27</v>
      </c>
      <c r="M560" t="s">
        <v>152</v>
      </c>
      <c r="N560" t="s">
        <v>1621</v>
      </c>
      <c r="O560" t="s">
        <v>43</v>
      </c>
      <c r="P560">
        <v>4</v>
      </c>
      <c r="Q560">
        <v>2990.42</v>
      </c>
      <c r="R560">
        <v>0.25</v>
      </c>
      <c r="S560" t="str">
        <f t="shared" si="74"/>
        <v>OK</v>
      </c>
      <c r="T560">
        <v>8971.26</v>
      </c>
      <c r="U560">
        <v>6814.35</v>
      </c>
      <c r="V560">
        <v>2156.91</v>
      </c>
      <c r="W560" t="s">
        <v>31</v>
      </c>
      <c r="X560" t="s">
        <v>32</v>
      </c>
      <c r="Y560">
        <f t="shared" si="67"/>
        <v>0.25</v>
      </c>
      <c r="Z560">
        <f t="shared" si="68"/>
        <v>8971.26</v>
      </c>
      <c r="AA560">
        <f t="shared" si="69"/>
        <v>2156.91</v>
      </c>
      <c r="AB560">
        <f t="shared" si="70"/>
        <v>24.042442198754689</v>
      </c>
      <c r="AC560">
        <f t="shared" si="71"/>
        <v>4</v>
      </c>
      <c r="AD560">
        <f t="shared" si="72"/>
        <v>2025</v>
      </c>
      <c r="AE560" t="str">
        <f t="shared" si="73"/>
        <v>CLEAN</v>
      </c>
    </row>
    <row r="561" spans="1:31">
      <c r="A561" t="s">
        <v>1625</v>
      </c>
      <c r="B561" s="2">
        <v>45789</v>
      </c>
      <c r="C561" s="2">
        <v>45791</v>
      </c>
      <c r="D561" s="5">
        <f>C561-B561</f>
        <v>2</v>
      </c>
      <c r="E561" s="5" t="str">
        <f>IF(D561&lt;0,"INVALID","OK")</f>
        <v>OK</v>
      </c>
      <c r="F561" t="s">
        <v>1626</v>
      </c>
      <c r="G561" t="s">
        <v>78</v>
      </c>
      <c r="H561" t="s">
        <v>23</v>
      </c>
      <c r="I561" t="s">
        <v>62</v>
      </c>
      <c r="J561" t="s">
        <v>179</v>
      </c>
      <c r="K561" t="s">
        <v>180</v>
      </c>
      <c r="L561" t="s">
        <v>73</v>
      </c>
      <c r="M561" t="s">
        <v>273</v>
      </c>
      <c r="N561" t="s">
        <v>1627</v>
      </c>
      <c r="O561" t="s">
        <v>43</v>
      </c>
      <c r="P561">
        <v>8</v>
      </c>
      <c r="Q561">
        <v>3631.44</v>
      </c>
      <c r="R561">
        <v>0.2</v>
      </c>
      <c r="S561" t="str">
        <f t="shared" si="74"/>
        <v>OK</v>
      </c>
      <c r="T561">
        <v>23241.22</v>
      </c>
      <c r="U561">
        <v>17220.900000000001</v>
      </c>
      <c r="V561">
        <v>6020.32</v>
      </c>
      <c r="W561" t="s">
        <v>31</v>
      </c>
      <c r="X561" t="s">
        <v>32</v>
      </c>
      <c r="Y561">
        <f t="shared" si="67"/>
        <v>0.2</v>
      </c>
      <c r="Z561">
        <f t="shared" si="68"/>
        <v>23241.216</v>
      </c>
      <c r="AA561">
        <f t="shared" si="69"/>
        <v>6020.3159999999989</v>
      </c>
      <c r="AB561">
        <f t="shared" si="70"/>
        <v>25.903618812371949</v>
      </c>
      <c r="AC561">
        <f t="shared" si="71"/>
        <v>5</v>
      </c>
      <c r="AD561">
        <f t="shared" si="72"/>
        <v>2025</v>
      </c>
      <c r="AE561" t="str">
        <f t="shared" si="73"/>
        <v>CLEAN</v>
      </c>
    </row>
    <row r="562" spans="1:31">
      <c r="A562" t="s">
        <v>1634</v>
      </c>
      <c r="B562" s="2">
        <v>45718</v>
      </c>
      <c r="C562" s="2">
        <v>45719</v>
      </c>
      <c r="D562" s="5">
        <f>C562-B562</f>
        <v>1</v>
      </c>
      <c r="E562" s="5" t="str">
        <f>IF(D562&lt;0,"INVALID","OK")</f>
        <v>OK</v>
      </c>
      <c r="F562" t="s">
        <v>1246</v>
      </c>
      <c r="G562" t="s">
        <v>46</v>
      </c>
      <c r="H562" t="s">
        <v>89</v>
      </c>
      <c r="I562" t="s">
        <v>53</v>
      </c>
      <c r="J562" t="s">
        <v>184</v>
      </c>
      <c r="K562" t="s">
        <v>185</v>
      </c>
      <c r="L562" t="s">
        <v>27</v>
      </c>
      <c r="M562" t="s">
        <v>90</v>
      </c>
      <c r="N562" t="s">
        <v>1635</v>
      </c>
      <c r="O562" t="s">
        <v>30</v>
      </c>
      <c r="P562">
        <v>2</v>
      </c>
      <c r="Q562">
        <v>4031.45</v>
      </c>
      <c r="R562">
        <v>0.25</v>
      </c>
      <c r="S562" t="str">
        <f t="shared" si="74"/>
        <v>OK</v>
      </c>
      <c r="T562">
        <v>6047.17</v>
      </c>
      <c r="U562">
        <v>3368.79</v>
      </c>
      <c r="V562">
        <v>2678.38</v>
      </c>
      <c r="W562" t="s">
        <v>31</v>
      </c>
      <c r="X562" t="s">
        <v>32</v>
      </c>
      <c r="Y562">
        <f t="shared" si="67"/>
        <v>0.25</v>
      </c>
      <c r="Z562">
        <f t="shared" si="68"/>
        <v>6047.1749999999993</v>
      </c>
      <c r="AA562">
        <f t="shared" si="69"/>
        <v>2678.3849999999993</v>
      </c>
      <c r="AB562">
        <f t="shared" si="70"/>
        <v>44.291508018206841</v>
      </c>
      <c r="AC562">
        <f t="shared" si="71"/>
        <v>3</v>
      </c>
      <c r="AD562">
        <f t="shared" si="72"/>
        <v>2025</v>
      </c>
      <c r="AE562" t="str">
        <f t="shared" si="73"/>
        <v>CLEAN</v>
      </c>
    </row>
    <row r="563" spans="1:31">
      <c r="A563" t="s">
        <v>1636</v>
      </c>
      <c r="B563" s="2">
        <v>45835</v>
      </c>
      <c r="C563" s="2">
        <v>45840</v>
      </c>
      <c r="D563" s="5">
        <f>C563-B563</f>
        <v>5</v>
      </c>
      <c r="E563" s="5" t="str">
        <f>IF(D563&lt;0,"INVALID","OK")</f>
        <v>OK</v>
      </c>
      <c r="F563" t="s">
        <v>1637</v>
      </c>
      <c r="G563" t="s">
        <v>127</v>
      </c>
      <c r="H563" t="s">
        <v>89</v>
      </c>
      <c r="I563" t="s">
        <v>53</v>
      </c>
      <c r="J563" t="s">
        <v>184</v>
      </c>
      <c r="K563" t="s">
        <v>185</v>
      </c>
      <c r="L563" t="s">
        <v>73</v>
      </c>
      <c r="M563" t="s">
        <v>74</v>
      </c>
      <c r="N563" t="s">
        <v>1638</v>
      </c>
      <c r="O563" t="s">
        <v>49</v>
      </c>
      <c r="P563">
        <v>6</v>
      </c>
      <c r="Q563">
        <v>1099.49</v>
      </c>
      <c r="R563">
        <v>0.1</v>
      </c>
      <c r="S563" t="str">
        <f t="shared" si="74"/>
        <v>OK</v>
      </c>
      <c r="T563">
        <v>6212.38</v>
      </c>
      <c r="U563">
        <v>4088.46</v>
      </c>
      <c r="V563">
        <v>1848.79</v>
      </c>
      <c r="W563" t="s">
        <v>31</v>
      </c>
      <c r="X563" t="s">
        <v>32</v>
      </c>
      <c r="Y563">
        <f t="shared" si="67"/>
        <v>0.1</v>
      </c>
      <c r="Z563">
        <f t="shared" si="68"/>
        <v>5937.246000000001</v>
      </c>
      <c r="AA563">
        <f t="shared" si="69"/>
        <v>1848.786000000001</v>
      </c>
      <c r="AB563">
        <f t="shared" si="70"/>
        <v>31.138780505304997</v>
      </c>
      <c r="AC563">
        <f t="shared" si="71"/>
        <v>6</v>
      </c>
      <c r="AD563">
        <f t="shared" si="72"/>
        <v>2025</v>
      </c>
      <c r="AE563" t="str">
        <f t="shared" si="73"/>
        <v>CLEAN</v>
      </c>
    </row>
    <row r="564" spans="1:31">
      <c r="A564" t="s">
        <v>1642</v>
      </c>
      <c r="B564" s="2">
        <v>45758</v>
      </c>
      <c r="C564" s="2">
        <v>45758</v>
      </c>
      <c r="D564" s="5">
        <f>C564-B564</f>
        <v>0</v>
      </c>
      <c r="E564" s="5" t="str">
        <f>IF(D564&lt;0,"INVALID","OK")</f>
        <v>OK</v>
      </c>
      <c r="F564" t="s">
        <v>1643</v>
      </c>
      <c r="G564" t="s">
        <v>117</v>
      </c>
      <c r="H564" t="s">
        <v>89</v>
      </c>
      <c r="I564" t="s">
        <v>24</v>
      </c>
      <c r="J564" t="s">
        <v>349</v>
      </c>
      <c r="K564" t="s">
        <v>350</v>
      </c>
      <c r="L564" t="s">
        <v>27</v>
      </c>
      <c r="M564" t="s">
        <v>28</v>
      </c>
      <c r="N564" t="s">
        <v>1644</v>
      </c>
      <c r="O564" t="s">
        <v>58</v>
      </c>
      <c r="P564">
        <v>1</v>
      </c>
      <c r="Q564">
        <v>4458.49</v>
      </c>
      <c r="R564">
        <v>-7.0000000000000007E-2</v>
      </c>
      <c r="S564" t="str">
        <f t="shared" si="74"/>
        <v>INVALID</v>
      </c>
      <c r="T564">
        <v>3566.79</v>
      </c>
      <c r="U564">
        <v>2083.41</v>
      </c>
      <c r="V564">
        <v>1483.38</v>
      </c>
      <c r="W564" t="s">
        <v>31</v>
      </c>
      <c r="X564" t="s">
        <v>32</v>
      </c>
      <c r="Y564">
        <f t="shared" si="67"/>
        <v>0</v>
      </c>
      <c r="Z564">
        <f t="shared" si="68"/>
        <v>4458.49</v>
      </c>
      <c r="AA564">
        <f t="shared" si="69"/>
        <v>2375.08</v>
      </c>
      <c r="AB564">
        <f t="shared" si="70"/>
        <v>53.270950478749533</v>
      </c>
      <c r="AC564">
        <f t="shared" si="71"/>
        <v>4</v>
      </c>
      <c r="AD564">
        <f t="shared" si="72"/>
        <v>2025</v>
      </c>
      <c r="AE564" t="str">
        <f t="shared" si="73"/>
        <v>INVALID</v>
      </c>
    </row>
    <row r="565" spans="1:31">
      <c r="A565" t="s">
        <v>1660</v>
      </c>
      <c r="B565" s="2">
        <v>45741</v>
      </c>
      <c r="C565" s="2">
        <v>45748</v>
      </c>
      <c r="D565" s="5">
        <f>C565-B565</f>
        <v>7</v>
      </c>
      <c r="E565" s="5" t="str">
        <f>IF(D565&lt;0,"INVALID","OK")</f>
        <v>OK</v>
      </c>
      <c r="F565" t="s">
        <v>1661</v>
      </c>
      <c r="G565" t="s">
        <v>161</v>
      </c>
      <c r="H565" t="s">
        <v>23</v>
      </c>
      <c r="I565" t="s">
        <v>24</v>
      </c>
      <c r="J565" t="s">
        <v>121</v>
      </c>
      <c r="K565" t="s">
        <v>122</v>
      </c>
      <c r="L565" t="s">
        <v>27</v>
      </c>
      <c r="M565" t="s">
        <v>90</v>
      </c>
      <c r="N565" t="s">
        <v>1662</v>
      </c>
      <c r="O565" t="s">
        <v>30</v>
      </c>
      <c r="P565">
        <v>6</v>
      </c>
      <c r="Q565">
        <v>2192.11</v>
      </c>
      <c r="R565">
        <v>0.05</v>
      </c>
      <c r="S565" t="str">
        <f t="shared" si="74"/>
        <v>OK</v>
      </c>
      <c r="T565">
        <v>12495.03</v>
      </c>
      <c r="U565">
        <v>9184.52</v>
      </c>
      <c r="V565">
        <v>3310.51</v>
      </c>
      <c r="W565" t="s">
        <v>31</v>
      </c>
      <c r="X565" t="s">
        <v>32</v>
      </c>
      <c r="Y565">
        <f t="shared" si="67"/>
        <v>0.05</v>
      </c>
      <c r="Z565">
        <f t="shared" si="68"/>
        <v>12495.027</v>
      </c>
      <c r="AA565">
        <f t="shared" si="69"/>
        <v>3310.5069999999996</v>
      </c>
      <c r="AB565">
        <f t="shared" si="70"/>
        <v>26.494596610315448</v>
      </c>
      <c r="AC565">
        <f t="shared" si="71"/>
        <v>3</v>
      </c>
      <c r="AD565">
        <f t="shared" si="72"/>
        <v>2025</v>
      </c>
      <c r="AE565" t="str">
        <f t="shared" si="73"/>
        <v>CLEAN</v>
      </c>
    </row>
    <row r="566" spans="1:31">
      <c r="A566" t="s">
        <v>1663</v>
      </c>
      <c r="B566" s="2">
        <v>45716</v>
      </c>
      <c r="C566" s="2">
        <v>45724</v>
      </c>
      <c r="D566" s="5">
        <f>C566-B566</f>
        <v>8</v>
      </c>
      <c r="E566" s="5" t="str">
        <f>IF(D566&lt;0,"INVALID","OK")</f>
        <v>OK</v>
      </c>
      <c r="F566" t="s">
        <v>1664</v>
      </c>
      <c r="G566" t="s">
        <v>78</v>
      </c>
      <c r="H566" t="s">
        <v>36</v>
      </c>
      <c r="I566" t="s">
        <v>37</v>
      </c>
      <c r="J566" t="s">
        <v>227</v>
      </c>
      <c r="K566" t="s">
        <v>228</v>
      </c>
      <c r="L566" t="s">
        <v>73</v>
      </c>
      <c r="M566" t="s">
        <v>170</v>
      </c>
      <c r="N566" t="s">
        <v>1665</v>
      </c>
      <c r="O566" t="s">
        <v>49</v>
      </c>
      <c r="P566">
        <v>9</v>
      </c>
      <c r="Q566">
        <v>3670.54</v>
      </c>
      <c r="R566">
        <v>0</v>
      </c>
      <c r="S566" t="str">
        <f t="shared" si="74"/>
        <v>OK</v>
      </c>
      <c r="T566">
        <v>33034.86</v>
      </c>
      <c r="U566">
        <v>24539.83</v>
      </c>
      <c r="V566">
        <v>8495.0300000000007</v>
      </c>
      <c r="W566" t="s">
        <v>31</v>
      </c>
      <c r="X566" t="s">
        <v>32</v>
      </c>
      <c r="Y566">
        <f t="shared" si="67"/>
        <v>0</v>
      </c>
      <c r="Z566">
        <f t="shared" si="68"/>
        <v>33034.86</v>
      </c>
      <c r="AA566">
        <f t="shared" si="69"/>
        <v>8495.0299999999988</v>
      </c>
      <c r="AB566">
        <f t="shared" si="70"/>
        <v>25.715350390466305</v>
      </c>
      <c r="AC566">
        <f t="shared" si="71"/>
        <v>2</v>
      </c>
      <c r="AD566">
        <f t="shared" si="72"/>
        <v>2025</v>
      </c>
      <c r="AE566" t="str">
        <f t="shared" si="73"/>
        <v>CLEAN</v>
      </c>
    </row>
    <row r="567" spans="1:31">
      <c r="A567" t="s">
        <v>1675</v>
      </c>
      <c r="B567" s="2">
        <v>45856</v>
      </c>
      <c r="C567" s="2">
        <v>45859</v>
      </c>
      <c r="D567" s="5">
        <f>C567-B567</f>
        <v>3</v>
      </c>
      <c r="E567" s="5" t="str">
        <f>IF(D567&lt;0,"INVALID","OK")</f>
        <v>OK</v>
      </c>
      <c r="F567" t="s">
        <v>1676</v>
      </c>
      <c r="G567" t="s">
        <v>113</v>
      </c>
      <c r="H567" t="s">
        <v>23</v>
      </c>
      <c r="I567" t="s">
        <v>37</v>
      </c>
      <c r="J567" t="s">
        <v>38</v>
      </c>
      <c r="K567" t="s">
        <v>39</v>
      </c>
      <c r="L567" t="s">
        <v>40</v>
      </c>
      <c r="M567" t="s">
        <v>41</v>
      </c>
      <c r="N567" t="s">
        <v>1677</v>
      </c>
      <c r="O567" t="s">
        <v>30</v>
      </c>
      <c r="P567">
        <v>4</v>
      </c>
      <c r="Q567">
        <v>284.04000000000002</v>
      </c>
      <c r="R567">
        <v>0</v>
      </c>
      <c r="S567" t="str">
        <f t="shared" si="74"/>
        <v>OK</v>
      </c>
      <c r="T567">
        <v>908.93</v>
      </c>
      <c r="U567">
        <v>572.08000000000004</v>
      </c>
      <c r="V567">
        <v>336.85</v>
      </c>
      <c r="W567" t="s">
        <v>31</v>
      </c>
      <c r="X567" t="s">
        <v>32</v>
      </c>
      <c r="Y567">
        <f t="shared" si="67"/>
        <v>0</v>
      </c>
      <c r="Z567">
        <f t="shared" si="68"/>
        <v>1136.1600000000001</v>
      </c>
      <c r="AA567">
        <f t="shared" si="69"/>
        <v>564.08000000000004</v>
      </c>
      <c r="AB567">
        <f t="shared" si="70"/>
        <v>49.647936910294327</v>
      </c>
      <c r="AC567">
        <f t="shared" si="71"/>
        <v>7</v>
      </c>
      <c r="AD567">
        <f t="shared" si="72"/>
        <v>2025</v>
      </c>
      <c r="AE567" t="str">
        <f t="shared" si="73"/>
        <v>CLEAN</v>
      </c>
    </row>
    <row r="568" spans="1:31">
      <c r="A568" t="s">
        <v>1678</v>
      </c>
      <c r="B568" s="2">
        <v>45667</v>
      </c>
      <c r="C568" s="2">
        <v>45935</v>
      </c>
      <c r="D568" s="5">
        <f>C568-B568</f>
        <v>268</v>
      </c>
      <c r="E568" s="5" t="str">
        <f>IF(D568&lt;0,"INVALID","OK")</f>
        <v>OK</v>
      </c>
      <c r="F568" t="s">
        <v>1679</v>
      </c>
      <c r="G568" t="s">
        <v>88</v>
      </c>
      <c r="H568" t="s">
        <v>94</v>
      </c>
      <c r="I568" t="s">
        <v>24</v>
      </c>
      <c r="J568" t="s">
        <v>235</v>
      </c>
      <c r="K568" t="s">
        <v>236</v>
      </c>
      <c r="L568" t="s">
        <v>27</v>
      </c>
      <c r="M568" t="s">
        <v>28</v>
      </c>
      <c r="N568" t="s">
        <v>1680</v>
      </c>
      <c r="O568" t="s">
        <v>49</v>
      </c>
      <c r="P568">
        <v>5</v>
      </c>
      <c r="Q568">
        <v>3247.56</v>
      </c>
      <c r="R568">
        <v>0.15</v>
      </c>
      <c r="S568" t="str">
        <f t="shared" si="74"/>
        <v>OK</v>
      </c>
      <c r="T568">
        <v>13802.13</v>
      </c>
      <c r="U568">
        <v>10075.93</v>
      </c>
      <c r="V568">
        <v>3726.2</v>
      </c>
      <c r="W568" t="s">
        <v>31</v>
      </c>
      <c r="X568" t="s">
        <v>32</v>
      </c>
      <c r="Y568">
        <f t="shared" si="67"/>
        <v>0.15</v>
      </c>
      <c r="Z568">
        <f t="shared" si="68"/>
        <v>13802.13</v>
      </c>
      <c r="AA568">
        <f t="shared" si="69"/>
        <v>3726.1999999999989</v>
      </c>
      <c r="AB568">
        <f t="shared" si="70"/>
        <v>26.997282303528507</v>
      </c>
      <c r="AC568">
        <f t="shared" si="71"/>
        <v>1</v>
      </c>
      <c r="AD568">
        <f t="shared" si="72"/>
        <v>2025</v>
      </c>
      <c r="AE568" t="str">
        <f t="shared" si="73"/>
        <v>CLEAN</v>
      </c>
    </row>
    <row r="569" spans="1:31">
      <c r="A569" t="s">
        <v>1686</v>
      </c>
      <c r="B569" s="2">
        <v>45807</v>
      </c>
      <c r="C569" s="2">
        <v>45809</v>
      </c>
      <c r="D569" s="5">
        <f>C569-B569</f>
        <v>2</v>
      </c>
      <c r="E569" s="5" t="str">
        <f>IF(D569&lt;0,"INVALID","OK")</f>
        <v>OK</v>
      </c>
      <c r="F569" t="s">
        <v>1687</v>
      </c>
      <c r="G569" t="s">
        <v>117</v>
      </c>
      <c r="H569" t="s">
        <v>94</v>
      </c>
      <c r="I569" t="s">
        <v>53</v>
      </c>
      <c r="J569" t="s">
        <v>246</v>
      </c>
      <c r="K569" t="s">
        <v>247</v>
      </c>
      <c r="L569" t="s">
        <v>27</v>
      </c>
      <c r="M569" t="s">
        <v>152</v>
      </c>
      <c r="N569" t="s">
        <v>1688</v>
      </c>
      <c r="O569" t="s">
        <v>58</v>
      </c>
      <c r="P569">
        <v>9</v>
      </c>
      <c r="Q569">
        <v>1994.51</v>
      </c>
      <c r="R569">
        <v>0.05</v>
      </c>
      <c r="S569" t="str">
        <f t="shared" si="74"/>
        <v>OK</v>
      </c>
      <c r="T569">
        <v>17053.060000000001</v>
      </c>
      <c r="U569">
        <v>10742.38</v>
      </c>
      <c r="V569">
        <v>6310.68</v>
      </c>
      <c r="W569" t="s">
        <v>31</v>
      </c>
      <c r="X569" t="s">
        <v>32</v>
      </c>
      <c r="Y569">
        <f t="shared" si="67"/>
        <v>0.05</v>
      </c>
      <c r="Z569">
        <f t="shared" si="68"/>
        <v>17053.0605</v>
      </c>
      <c r="AA569">
        <f t="shared" si="69"/>
        <v>6310.6805000000004</v>
      </c>
      <c r="AB569">
        <f t="shared" si="70"/>
        <v>37.00614619880109</v>
      </c>
      <c r="AC569">
        <f t="shared" si="71"/>
        <v>5</v>
      </c>
      <c r="AD569">
        <f t="shared" si="72"/>
        <v>2025</v>
      </c>
      <c r="AE569" t="str">
        <f t="shared" si="73"/>
        <v>CLEAN</v>
      </c>
    </row>
    <row r="570" spans="1:31">
      <c r="A570" t="s">
        <v>1698</v>
      </c>
      <c r="B570" s="2">
        <v>45774</v>
      </c>
      <c r="C570" s="2">
        <v>45782</v>
      </c>
      <c r="D570" s="5">
        <f>C570-B570</f>
        <v>8</v>
      </c>
      <c r="E570" s="5" t="str">
        <f>IF(D570&lt;0,"INVALID","OK")</f>
        <v>OK</v>
      </c>
      <c r="F570" t="s">
        <v>1699</v>
      </c>
      <c r="G570" t="s">
        <v>140</v>
      </c>
      <c r="H570" t="s">
        <v>94</v>
      </c>
      <c r="I570" t="s">
        <v>37</v>
      </c>
      <c r="J570" t="s">
        <v>144</v>
      </c>
      <c r="K570" t="s">
        <v>145</v>
      </c>
      <c r="L570" t="s">
        <v>73</v>
      </c>
      <c r="M570" t="s">
        <v>74</v>
      </c>
      <c r="N570" t="s">
        <v>1700</v>
      </c>
      <c r="O570" t="s">
        <v>30</v>
      </c>
      <c r="P570">
        <v>4</v>
      </c>
      <c r="Q570">
        <v>3963.39</v>
      </c>
      <c r="R570">
        <v>0.1</v>
      </c>
      <c r="S570" t="str">
        <f t="shared" si="74"/>
        <v>OK</v>
      </c>
      <c r="T570">
        <v>14268.2</v>
      </c>
      <c r="U570">
        <v>11705.3</v>
      </c>
      <c r="V570">
        <v>2562.9</v>
      </c>
      <c r="W570" t="s">
        <v>110</v>
      </c>
      <c r="X570" t="s">
        <v>102</v>
      </c>
      <c r="Y570">
        <f t="shared" si="67"/>
        <v>0.1</v>
      </c>
      <c r="Z570">
        <f t="shared" si="68"/>
        <v>14268.204</v>
      </c>
      <c r="AA570">
        <f t="shared" si="69"/>
        <v>2562.9040000000005</v>
      </c>
      <c r="AB570">
        <f t="shared" si="70"/>
        <v>17.962344805274725</v>
      </c>
      <c r="AC570">
        <f t="shared" si="71"/>
        <v>4</v>
      </c>
      <c r="AD570">
        <f t="shared" si="72"/>
        <v>2025</v>
      </c>
      <c r="AE570" t="str">
        <f t="shared" si="73"/>
        <v>CLEAN</v>
      </c>
    </row>
    <row r="571" spans="1:31">
      <c r="A571" t="s">
        <v>1719</v>
      </c>
      <c r="B571" s="2">
        <v>45876</v>
      </c>
      <c r="C571" s="2">
        <v>45847</v>
      </c>
      <c r="D571" s="5">
        <f>C571-B571</f>
        <v>-29</v>
      </c>
      <c r="E571" s="5" t="str">
        <f>IF(D571&lt;0,"INVALID","OK")</f>
        <v>INVALID</v>
      </c>
      <c r="F571" t="s">
        <v>1720</v>
      </c>
      <c r="G571" t="s">
        <v>131</v>
      </c>
      <c r="H571" t="s">
        <v>23</v>
      </c>
      <c r="I571" t="s">
        <v>62</v>
      </c>
      <c r="J571" t="s">
        <v>63</v>
      </c>
      <c r="K571" t="s">
        <v>64</v>
      </c>
      <c r="L571" t="s">
        <v>73</v>
      </c>
      <c r="M571" t="s">
        <v>79</v>
      </c>
      <c r="N571" t="s">
        <v>1721</v>
      </c>
      <c r="O571" t="s">
        <v>43</v>
      </c>
      <c r="P571">
        <v>3</v>
      </c>
      <c r="Q571">
        <v>2880.56</v>
      </c>
      <c r="R571">
        <v>0</v>
      </c>
      <c r="S571" t="str">
        <f t="shared" si="74"/>
        <v>OK</v>
      </c>
      <c r="T571">
        <v>8641.68</v>
      </c>
      <c r="U571">
        <v>5747.09</v>
      </c>
      <c r="V571">
        <v>2894.59</v>
      </c>
      <c r="W571" t="s">
        <v>31</v>
      </c>
      <c r="X571" t="s">
        <v>102</v>
      </c>
      <c r="Y571">
        <f t="shared" si="67"/>
        <v>0</v>
      </c>
      <c r="Z571">
        <f t="shared" si="68"/>
        <v>8641.68</v>
      </c>
      <c r="AA571">
        <f t="shared" si="69"/>
        <v>2894.59</v>
      </c>
      <c r="AB571">
        <f t="shared" si="70"/>
        <v>33.49568602401385</v>
      </c>
      <c r="AC571">
        <f t="shared" si="71"/>
        <v>8</v>
      </c>
      <c r="AD571">
        <f t="shared" si="72"/>
        <v>2025</v>
      </c>
      <c r="AE571" t="str">
        <f t="shared" si="73"/>
        <v>INVALID</v>
      </c>
    </row>
    <row r="572" spans="1:31">
      <c r="A572" t="s">
        <v>1734</v>
      </c>
      <c r="B572" s="2">
        <v>45883</v>
      </c>
      <c r="C572" s="2">
        <v>45891</v>
      </c>
      <c r="D572" s="5">
        <f>C572-B572</f>
        <v>8</v>
      </c>
      <c r="E572" s="5" t="str">
        <f>IF(D572&lt;0,"INVALID","OK")</f>
        <v>OK</v>
      </c>
      <c r="F572" t="s">
        <v>1735</v>
      </c>
      <c r="G572" t="s">
        <v>52</v>
      </c>
      <c r="H572" t="s">
        <v>89</v>
      </c>
      <c r="I572" t="s">
        <v>62</v>
      </c>
      <c r="J572" t="s">
        <v>179</v>
      </c>
      <c r="K572" t="s">
        <v>180</v>
      </c>
      <c r="L572" t="s">
        <v>27</v>
      </c>
      <c r="M572" t="s">
        <v>28</v>
      </c>
      <c r="N572" t="s">
        <v>1736</v>
      </c>
      <c r="O572" t="s">
        <v>49</v>
      </c>
      <c r="P572">
        <v>5</v>
      </c>
      <c r="Q572">
        <v>2567.37</v>
      </c>
      <c r="R572">
        <v>0.15</v>
      </c>
      <c r="S572" t="str">
        <f t="shared" si="74"/>
        <v>OK</v>
      </c>
      <c r="T572">
        <v>10911.32</v>
      </c>
      <c r="U572">
        <v>6966.44</v>
      </c>
      <c r="V572">
        <v>4395.17</v>
      </c>
      <c r="W572" t="s">
        <v>31</v>
      </c>
      <c r="X572" t="s">
        <v>32</v>
      </c>
      <c r="Y572">
        <f t="shared" si="67"/>
        <v>0.15</v>
      </c>
      <c r="Z572">
        <f t="shared" si="68"/>
        <v>10911.322499999998</v>
      </c>
      <c r="AA572">
        <f t="shared" si="69"/>
        <v>3944.8824999999988</v>
      </c>
      <c r="AB572">
        <f t="shared" si="70"/>
        <v>36.154027158486052</v>
      </c>
      <c r="AC572">
        <f t="shared" si="71"/>
        <v>8</v>
      </c>
      <c r="AD572">
        <f t="shared" si="72"/>
        <v>2025</v>
      </c>
      <c r="AE572" t="str">
        <f t="shared" si="73"/>
        <v>CLEAN</v>
      </c>
    </row>
    <row r="573" spans="1:31">
      <c r="A573" t="s">
        <v>1743</v>
      </c>
      <c r="B573" s="2">
        <v>45941</v>
      </c>
      <c r="C573" s="2">
        <v>45943</v>
      </c>
      <c r="D573" s="5">
        <f>C573-B573</f>
        <v>2</v>
      </c>
      <c r="E573" s="5" t="str">
        <f>IF(D573&lt;0,"INVALID","OK")</f>
        <v>OK</v>
      </c>
      <c r="F573" t="s">
        <v>1744</v>
      </c>
      <c r="G573" t="s">
        <v>35</v>
      </c>
      <c r="H573" t="s">
        <v>89</v>
      </c>
      <c r="I573" t="s">
        <v>53</v>
      </c>
      <c r="J573" t="s">
        <v>54</v>
      </c>
      <c r="K573" t="s">
        <v>55</v>
      </c>
      <c r="L573" t="s">
        <v>27</v>
      </c>
      <c r="M573" t="s">
        <v>47</v>
      </c>
      <c r="N573" t="s">
        <v>1745</v>
      </c>
      <c r="O573" t="s">
        <v>30</v>
      </c>
      <c r="P573">
        <v>3</v>
      </c>
      <c r="Q573">
        <v>3804.27</v>
      </c>
      <c r="R573">
        <v>0.1</v>
      </c>
      <c r="S573" t="str">
        <f t="shared" si="74"/>
        <v>OK</v>
      </c>
      <c r="T573">
        <v>10271.530000000001</v>
      </c>
      <c r="U573">
        <v>8272.24</v>
      </c>
      <c r="V573">
        <v>1999.29</v>
      </c>
      <c r="W573" t="s">
        <v>31</v>
      </c>
      <c r="X573" t="s">
        <v>32</v>
      </c>
      <c r="Y573">
        <f t="shared" si="67"/>
        <v>0.1</v>
      </c>
      <c r="Z573">
        <f t="shared" si="68"/>
        <v>10271.529</v>
      </c>
      <c r="AA573">
        <f t="shared" si="69"/>
        <v>1999.2890000000007</v>
      </c>
      <c r="AB573">
        <f t="shared" si="70"/>
        <v>19.464375751652948</v>
      </c>
      <c r="AC573">
        <f t="shared" si="71"/>
        <v>10</v>
      </c>
      <c r="AD573">
        <f t="shared" si="72"/>
        <v>2025</v>
      </c>
      <c r="AE573" t="str">
        <f t="shared" si="73"/>
        <v>CLEAN</v>
      </c>
    </row>
    <row r="574" spans="1:31">
      <c r="A574" t="s">
        <v>1752</v>
      </c>
      <c r="B574" s="2">
        <v>45681</v>
      </c>
      <c r="C574" s="2">
        <v>45687</v>
      </c>
      <c r="D574" s="5">
        <f>C574-B574</f>
        <v>6</v>
      </c>
      <c r="E574" s="5" t="str">
        <f>IF(D574&lt;0,"INVALID","OK")</f>
        <v>OK</v>
      </c>
      <c r="F574" t="s">
        <v>1753</v>
      </c>
      <c r="G574" t="s">
        <v>61</v>
      </c>
      <c r="H574" t="s">
        <v>89</v>
      </c>
      <c r="I574" t="s">
        <v>37</v>
      </c>
      <c r="J574" t="s">
        <v>98</v>
      </c>
      <c r="K574" t="s">
        <v>99</v>
      </c>
      <c r="L574" t="s">
        <v>73</v>
      </c>
      <c r="M574" t="s">
        <v>79</v>
      </c>
      <c r="N574" t="s">
        <v>1754</v>
      </c>
      <c r="O574" t="s">
        <v>58</v>
      </c>
      <c r="P574">
        <v>8</v>
      </c>
      <c r="Q574">
        <v>312.52999999999997</v>
      </c>
      <c r="R574" t="s">
        <v>462</v>
      </c>
      <c r="S574" t="str">
        <f t="shared" si="74"/>
        <v>INVALID</v>
      </c>
      <c r="T574">
        <v>1875.18</v>
      </c>
      <c r="U574">
        <v>1579.17</v>
      </c>
      <c r="V574">
        <v>296.01</v>
      </c>
      <c r="W574" t="s">
        <v>31</v>
      </c>
      <c r="X574" t="s">
        <v>32</v>
      </c>
      <c r="Y574">
        <f t="shared" si="67"/>
        <v>0</v>
      </c>
      <c r="Z574">
        <f t="shared" si="68"/>
        <v>2500.2399999999998</v>
      </c>
      <c r="AA574">
        <f t="shared" si="69"/>
        <v>921.06999999999971</v>
      </c>
      <c r="AB574">
        <f t="shared" si="70"/>
        <v>36.839263430710645</v>
      </c>
      <c r="AC574">
        <f t="shared" si="71"/>
        <v>1</v>
      </c>
      <c r="AD574">
        <f t="shared" si="72"/>
        <v>2025</v>
      </c>
      <c r="AE574" t="str">
        <f t="shared" si="73"/>
        <v>INVALID</v>
      </c>
    </row>
    <row r="575" spans="1:31">
      <c r="A575" t="s">
        <v>1755</v>
      </c>
      <c r="B575" s="2">
        <v>45772</v>
      </c>
      <c r="C575" s="2">
        <v>45775</v>
      </c>
      <c r="D575" s="5">
        <f>C575-B575</f>
        <v>3</v>
      </c>
      <c r="E575" s="5" t="str">
        <f>IF(D575&lt;0,"INVALID","OK")</f>
        <v>OK</v>
      </c>
      <c r="F575" t="s">
        <v>1756</v>
      </c>
      <c r="G575" t="s">
        <v>127</v>
      </c>
      <c r="H575" t="s">
        <v>36</v>
      </c>
      <c r="I575" t="s">
        <v>62</v>
      </c>
      <c r="J575" t="s">
        <v>179</v>
      </c>
      <c r="K575" t="s">
        <v>180</v>
      </c>
      <c r="L575" t="s">
        <v>27</v>
      </c>
      <c r="M575" t="s">
        <v>123</v>
      </c>
      <c r="N575" t="s">
        <v>1757</v>
      </c>
      <c r="O575" t="s">
        <v>49</v>
      </c>
      <c r="P575">
        <v>9</v>
      </c>
      <c r="Q575">
        <v>1294.1099999999999</v>
      </c>
      <c r="R575">
        <v>0.25</v>
      </c>
      <c r="S575" t="str">
        <f t="shared" si="74"/>
        <v>OK</v>
      </c>
      <c r="T575">
        <v>8735.24</v>
      </c>
      <c r="U575">
        <v>6620.07</v>
      </c>
      <c r="V575">
        <v>2115.17</v>
      </c>
      <c r="W575" t="s">
        <v>31</v>
      </c>
      <c r="X575" t="s">
        <v>32</v>
      </c>
      <c r="Y575">
        <f t="shared" si="67"/>
        <v>0.25</v>
      </c>
      <c r="Z575">
        <f t="shared" si="68"/>
        <v>8735.2425000000003</v>
      </c>
      <c r="AA575">
        <f t="shared" si="69"/>
        <v>2115.1725000000006</v>
      </c>
      <c r="AB575">
        <f t="shared" si="70"/>
        <v>24.21423904373577</v>
      </c>
      <c r="AC575">
        <f t="shared" si="71"/>
        <v>4</v>
      </c>
      <c r="AD575">
        <f t="shared" si="72"/>
        <v>2025</v>
      </c>
      <c r="AE575" t="str">
        <f t="shared" si="73"/>
        <v>CLEAN</v>
      </c>
    </row>
    <row r="576" spans="1:31">
      <c r="A576" t="s">
        <v>1761</v>
      </c>
      <c r="B576" s="2">
        <v>45749</v>
      </c>
      <c r="C576" s="2">
        <v>45698</v>
      </c>
      <c r="D576" s="5">
        <f>C576-B576</f>
        <v>-51</v>
      </c>
      <c r="E576" s="5" t="str">
        <f>IF(D576&lt;0,"INVALID","OK")</f>
        <v>INVALID</v>
      </c>
      <c r="F576" t="s">
        <v>1762</v>
      </c>
      <c r="G576" t="s">
        <v>61</v>
      </c>
      <c r="H576" t="s">
        <v>36</v>
      </c>
      <c r="I576" t="s">
        <v>53</v>
      </c>
      <c r="J576" t="s">
        <v>54</v>
      </c>
      <c r="K576" t="s">
        <v>55</v>
      </c>
      <c r="L576" t="s">
        <v>27</v>
      </c>
      <c r="M576" t="s">
        <v>123</v>
      </c>
      <c r="N576" t="s">
        <v>1763</v>
      </c>
      <c r="O576" t="s">
        <v>58</v>
      </c>
      <c r="P576">
        <v>6</v>
      </c>
      <c r="Q576">
        <v>1042.8</v>
      </c>
      <c r="R576">
        <v>0.05</v>
      </c>
      <c r="S576" t="str">
        <f t="shared" si="74"/>
        <v>OK</v>
      </c>
      <c r="T576">
        <v>5943.96</v>
      </c>
      <c r="U576">
        <v>3604.14</v>
      </c>
      <c r="V576">
        <v>2339.8200000000002</v>
      </c>
      <c r="W576" t="s">
        <v>31</v>
      </c>
      <c r="X576" t="s">
        <v>32</v>
      </c>
      <c r="Y576">
        <f t="shared" si="67"/>
        <v>0.05</v>
      </c>
      <c r="Z576">
        <f t="shared" si="68"/>
        <v>5943.9599999999991</v>
      </c>
      <c r="AA576">
        <f t="shared" si="69"/>
        <v>2339.8199999999993</v>
      </c>
      <c r="AB576">
        <f t="shared" si="70"/>
        <v>39.36466598025558</v>
      </c>
      <c r="AC576">
        <f t="shared" si="71"/>
        <v>4</v>
      </c>
      <c r="AD576">
        <f t="shared" si="72"/>
        <v>2025</v>
      </c>
      <c r="AE576" t="str">
        <f t="shared" si="73"/>
        <v>INVALID</v>
      </c>
    </row>
    <row r="577" spans="1:31">
      <c r="A577" t="s">
        <v>1770</v>
      </c>
      <c r="B577" s="2">
        <v>45904</v>
      </c>
      <c r="C577" s="2">
        <v>45904</v>
      </c>
      <c r="D577" s="5">
        <f>C577-B577</f>
        <v>0</v>
      </c>
      <c r="E577" s="5" t="str">
        <f>IF(D577&lt;0,"INVALID","OK")</f>
        <v>OK</v>
      </c>
      <c r="F577" t="s">
        <v>1771</v>
      </c>
      <c r="G577" t="s">
        <v>88</v>
      </c>
      <c r="H577" t="s">
        <v>89</v>
      </c>
      <c r="I577" t="s">
        <v>24</v>
      </c>
      <c r="J577" t="s">
        <v>121</v>
      </c>
      <c r="K577" t="s">
        <v>122</v>
      </c>
      <c r="L577" t="s">
        <v>73</v>
      </c>
      <c r="M577" t="s">
        <v>273</v>
      </c>
      <c r="N577" t="s">
        <v>1772</v>
      </c>
      <c r="O577" t="s">
        <v>49</v>
      </c>
      <c r="P577">
        <v>8</v>
      </c>
      <c r="Q577">
        <v>3079.95</v>
      </c>
      <c r="R577">
        <v>0.2</v>
      </c>
      <c r="S577" t="str">
        <f t="shared" si="74"/>
        <v>OK</v>
      </c>
      <c r="T577">
        <v>19711.68</v>
      </c>
      <c r="U577">
        <v>14461.8</v>
      </c>
      <c r="V577">
        <v>5249.88</v>
      </c>
      <c r="W577" t="s">
        <v>31</v>
      </c>
      <c r="X577" t="s">
        <v>32</v>
      </c>
      <c r="Y577">
        <f t="shared" si="67"/>
        <v>0.2</v>
      </c>
      <c r="Z577">
        <f t="shared" si="68"/>
        <v>19711.68</v>
      </c>
      <c r="AA577">
        <f t="shared" si="69"/>
        <v>5249.880000000001</v>
      </c>
      <c r="AB577">
        <f t="shared" si="70"/>
        <v>26.633346320557155</v>
      </c>
      <c r="AC577">
        <f t="shared" si="71"/>
        <v>9</v>
      </c>
      <c r="AD577">
        <f t="shared" si="72"/>
        <v>2025</v>
      </c>
      <c r="AE577" t="str">
        <f t="shared" si="73"/>
        <v>CLEAN</v>
      </c>
    </row>
    <row r="578" spans="1:31">
      <c r="A578" t="s">
        <v>1773</v>
      </c>
      <c r="B578" s="2">
        <v>45930</v>
      </c>
      <c r="C578" s="2">
        <v>45937</v>
      </c>
      <c r="D578" s="5">
        <f>C578-B578</f>
        <v>7</v>
      </c>
      <c r="E578" s="5" t="str">
        <f>IF(D578&lt;0,"INVALID","OK")</f>
        <v>OK</v>
      </c>
      <c r="F578" t="s">
        <v>1774</v>
      </c>
      <c r="G578" t="s">
        <v>161</v>
      </c>
      <c r="H578" t="s">
        <v>89</v>
      </c>
      <c r="I578" t="s">
        <v>37</v>
      </c>
      <c r="J578" t="s">
        <v>144</v>
      </c>
      <c r="K578" t="s">
        <v>145</v>
      </c>
      <c r="L578" t="s">
        <v>73</v>
      </c>
      <c r="M578" t="s">
        <v>79</v>
      </c>
      <c r="N578" t="s">
        <v>1775</v>
      </c>
      <c r="O578" t="s">
        <v>30</v>
      </c>
      <c r="P578">
        <v>5</v>
      </c>
      <c r="Q578">
        <v>3277.82</v>
      </c>
      <c r="R578">
        <v>0.1</v>
      </c>
      <c r="S578" t="str">
        <f t="shared" si="74"/>
        <v>OK</v>
      </c>
      <c r="T578">
        <v>14750.19</v>
      </c>
      <c r="U578">
        <v>9482.58</v>
      </c>
      <c r="V578">
        <v>5267.61</v>
      </c>
      <c r="W578" t="s">
        <v>31</v>
      </c>
      <c r="X578" t="s">
        <v>102</v>
      </c>
      <c r="Y578">
        <f t="shared" si="67"/>
        <v>0.1</v>
      </c>
      <c r="Z578">
        <f t="shared" si="68"/>
        <v>14750.190000000002</v>
      </c>
      <c r="AA578">
        <f t="shared" si="69"/>
        <v>5267.6100000000024</v>
      </c>
      <c r="AB578">
        <f t="shared" si="70"/>
        <v>35.712150148574366</v>
      </c>
      <c r="AC578">
        <f t="shared" si="71"/>
        <v>9</v>
      </c>
      <c r="AD578">
        <f t="shared" si="72"/>
        <v>2025</v>
      </c>
      <c r="AE578" t="str">
        <f t="shared" si="73"/>
        <v>CLEAN</v>
      </c>
    </row>
    <row r="579" spans="1:31">
      <c r="A579" t="s">
        <v>1779</v>
      </c>
      <c r="B579" s="2">
        <v>45852</v>
      </c>
      <c r="C579" s="2">
        <v>45856</v>
      </c>
      <c r="D579" s="5">
        <f>C579-B579</f>
        <v>4</v>
      </c>
      <c r="E579" s="5" t="str">
        <f>IF(D579&lt;0,"INVALID","OK")</f>
        <v>OK</v>
      </c>
      <c r="F579" t="s">
        <v>1780</v>
      </c>
      <c r="G579" t="s">
        <v>88</v>
      </c>
      <c r="H579" t="s">
        <v>23</v>
      </c>
      <c r="I579" t="s">
        <v>24</v>
      </c>
      <c r="J579" t="s">
        <v>121</v>
      </c>
      <c r="K579" t="s">
        <v>122</v>
      </c>
      <c r="L579" t="s">
        <v>73</v>
      </c>
      <c r="M579" t="s">
        <v>79</v>
      </c>
      <c r="N579" t="s">
        <v>1781</v>
      </c>
      <c r="O579" t="s">
        <v>49</v>
      </c>
      <c r="P579">
        <v>4</v>
      </c>
      <c r="Q579">
        <v>725.22</v>
      </c>
      <c r="R579">
        <v>0</v>
      </c>
      <c r="S579" t="str">
        <f t="shared" si="74"/>
        <v>OK</v>
      </c>
      <c r="T579">
        <v>2900.88</v>
      </c>
      <c r="U579">
        <v>2391.85</v>
      </c>
      <c r="V579">
        <v>509.03</v>
      </c>
      <c r="W579" t="s">
        <v>110</v>
      </c>
      <c r="X579" t="s">
        <v>102</v>
      </c>
      <c r="Y579">
        <f t="shared" ref="Y579:Y642" si="75">IF(R579&lt;0,0,IF(R579&gt;0.5,0,R579))</f>
        <v>0</v>
      </c>
      <c r="Z579">
        <f t="shared" ref="Z579:Z642" si="76">P579*Q579*(1-Y579)</f>
        <v>2900.88</v>
      </c>
      <c r="AA579">
        <f t="shared" ref="AA579:AA642" si="77">Z579-U579</f>
        <v>509.0300000000002</v>
      </c>
      <c r="AB579">
        <f t="shared" ref="AB579:AB642" si="78">AA579/Z579*100</f>
        <v>17.547433882132324</v>
      </c>
      <c r="AC579">
        <f t="shared" ref="AC579:AC642" si="79">MONTH(B579)</f>
        <v>7</v>
      </c>
      <c r="AD579">
        <f t="shared" ref="AD579:AD642" si="80">YEAR(B579)</f>
        <v>2025</v>
      </c>
      <c r="AE579" t="str">
        <f t="shared" ref="AE579:AE642" si="81">IF(OR(R579&lt;0,NOT(ISNUMBER(R579)),D579&lt;0,W579="Failed"),"INVALID",IF(OR(I579="",O579="",R579="",R579&gt;0.5,AA579&lt;0),"WARNING","CLEAN"))</f>
        <v>CLEAN</v>
      </c>
    </row>
    <row r="580" spans="1:31">
      <c r="A580" t="s">
        <v>1814</v>
      </c>
      <c r="B580" s="2">
        <v>45922</v>
      </c>
      <c r="C580" s="2">
        <v>45926</v>
      </c>
      <c r="D580" s="5">
        <f>C580-B580</f>
        <v>4</v>
      </c>
      <c r="E580" s="5" t="str">
        <f>IF(D580&lt;0,"INVALID","OK")</f>
        <v>OK</v>
      </c>
      <c r="F580" t="s">
        <v>1815</v>
      </c>
      <c r="G580" t="s">
        <v>46</v>
      </c>
      <c r="H580" t="s">
        <v>23</v>
      </c>
      <c r="I580" t="s">
        <v>53</v>
      </c>
      <c r="J580" t="s">
        <v>83</v>
      </c>
      <c r="K580" t="s">
        <v>84</v>
      </c>
      <c r="L580" t="s">
        <v>73</v>
      </c>
      <c r="M580" t="s">
        <v>170</v>
      </c>
      <c r="N580" t="s">
        <v>1816</v>
      </c>
      <c r="O580" t="s">
        <v>58</v>
      </c>
      <c r="P580">
        <v>1</v>
      </c>
      <c r="Q580">
        <v>573.65</v>
      </c>
      <c r="R580">
        <v>0</v>
      </c>
      <c r="S580" t="str">
        <f t="shared" si="74"/>
        <v>OK</v>
      </c>
      <c r="T580">
        <v>573.65</v>
      </c>
      <c r="U580">
        <v>322.67</v>
      </c>
      <c r="V580">
        <v>250.98</v>
      </c>
      <c r="W580" t="s">
        <v>31</v>
      </c>
      <c r="X580" t="s">
        <v>32</v>
      </c>
      <c r="Y580">
        <f t="shared" si="75"/>
        <v>0</v>
      </c>
      <c r="Z580">
        <f t="shared" si="76"/>
        <v>573.65</v>
      </c>
      <c r="AA580">
        <f t="shared" si="77"/>
        <v>250.97999999999996</v>
      </c>
      <c r="AB580">
        <f t="shared" si="78"/>
        <v>43.751416368866032</v>
      </c>
      <c r="AC580">
        <f t="shared" si="79"/>
        <v>9</v>
      </c>
      <c r="AD580">
        <f t="shared" si="80"/>
        <v>2025</v>
      </c>
      <c r="AE580" t="str">
        <f t="shared" si="81"/>
        <v>CLEAN</v>
      </c>
    </row>
    <row r="581" spans="1:31">
      <c r="A581" t="s">
        <v>1825</v>
      </c>
      <c r="B581" s="2">
        <v>45897</v>
      </c>
      <c r="C581" s="2">
        <v>45903</v>
      </c>
      <c r="D581" s="5">
        <f>C581-B581</f>
        <v>6</v>
      </c>
      <c r="E581" s="5" t="str">
        <f>IF(D581&lt;0,"INVALID","OK")</f>
        <v>OK</v>
      </c>
      <c r="F581" t="s">
        <v>1826</v>
      </c>
      <c r="G581" t="s">
        <v>113</v>
      </c>
      <c r="H581" t="s">
        <v>89</v>
      </c>
      <c r="I581" t="s">
        <v>62</v>
      </c>
      <c r="J581" t="s">
        <v>71</v>
      </c>
      <c r="K581" t="s">
        <v>72</v>
      </c>
      <c r="L581" t="s">
        <v>40</v>
      </c>
      <c r="M581" t="s">
        <v>56</v>
      </c>
      <c r="N581" t="s">
        <v>1827</v>
      </c>
      <c r="O581" t="s">
        <v>58</v>
      </c>
      <c r="P581">
        <v>7</v>
      </c>
      <c r="Q581">
        <v>268.45</v>
      </c>
      <c r="R581">
        <v>0</v>
      </c>
      <c r="S581" t="str">
        <f t="shared" si="74"/>
        <v>OK</v>
      </c>
      <c r="T581">
        <v>1879.15</v>
      </c>
      <c r="U581">
        <v>1134.9000000000001</v>
      </c>
      <c r="V581">
        <v>744.25</v>
      </c>
      <c r="W581" t="s">
        <v>31</v>
      </c>
      <c r="X581" t="s">
        <v>32</v>
      </c>
      <c r="Y581">
        <f t="shared" si="75"/>
        <v>0</v>
      </c>
      <c r="Z581">
        <f t="shared" si="76"/>
        <v>1879.1499999999999</v>
      </c>
      <c r="AA581">
        <f t="shared" si="77"/>
        <v>744.24999999999977</v>
      </c>
      <c r="AB581">
        <f t="shared" si="78"/>
        <v>39.605672777585596</v>
      </c>
      <c r="AC581">
        <f t="shared" si="79"/>
        <v>8</v>
      </c>
      <c r="AD581">
        <f t="shared" si="80"/>
        <v>2025</v>
      </c>
      <c r="AE581" t="str">
        <f t="shared" si="81"/>
        <v>CLEAN</v>
      </c>
    </row>
    <row r="582" spans="1:31">
      <c r="A582" t="s">
        <v>1848</v>
      </c>
      <c r="B582" s="2">
        <v>45830</v>
      </c>
      <c r="C582" s="2">
        <v>45833</v>
      </c>
      <c r="D582" s="5">
        <f>C582-B582</f>
        <v>3</v>
      </c>
      <c r="E582" s="5" t="str">
        <f>IF(D582&lt;0,"INVALID","OK")</f>
        <v>OK</v>
      </c>
      <c r="F582" t="s">
        <v>1849</v>
      </c>
      <c r="G582" t="s">
        <v>161</v>
      </c>
      <c r="H582" t="s">
        <v>36</v>
      </c>
      <c r="I582" t="s">
        <v>62</v>
      </c>
      <c r="J582" t="s">
        <v>63</v>
      </c>
      <c r="K582" t="s">
        <v>64</v>
      </c>
      <c r="L582" t="s">
        <v>73</v>
      </c>
      <c r="M582" t="s">
        <v>170</v>
      </c>
      <c r="N582" t="s">
        <v>1850</v>
      </c>
      <c r="O582" t="s">
        <v>49</v>
      </c>
      <c r="P582">
        <v>8</v>
      </c>
      <c r="Q582">
        <v>3453.66</v>
      </c>
      <c r="R582">
        <v>0</v>
      </c>
      <c r="S582" t="str">
        <f t="shared" si="74"/>
        <v>OK</v>
      </c>
      <c r="T582">
        <v>27629.279999999999</v>
      </c>
      <c r="U582">
        <v>22026.48</v>
      </c>
      <c r="V582">
        <v>5602.8</v>
      </c>
      <c r="W582" t="s">
        <v>31</v>
      </c>
      <c r="X582" t="s">
        <v>32</v>
      </c>
      <c r="Y582">
        <f t="shared" si="75"/>
        <v>0</v>
      </c>
      <c r="Z582">
        <f t="shared" si="76"/>
        <v>27629.279999999999</v>
      </c>
      <c r="AA582">
        <f t="shared" si="77"/>
        <v>5602.7999999999993</v>
      </c>
      <c r="AB582">
        <f t="shared" si="78"/>
        <v>20.278487170132554</v>
      </c>
      <c r="AC582">
        <f t="shared" si="79"/>
        <v>6</v>
      </c>
      <c r="AD582">
        <f t="shared" si="80"/>
        <v>2025</v>
      </c>
      <c r="AE582" t="str">
        <f t="shared" si="81"/>
        <v>CLEAN</v>
      </c>
    </row>
    <row r="583" spans="1:31">
      <c r="A583" t="s">
        <v>1851</v>
      </c>
      <c r="B583" s="2">
        <v>45995</v>
      </c>
      <c r="C583" s="2">
        <v>45759</v>
      </c>
      <c r="D583" s="5">
        <f>C583-B583</f>
        <v>-236</v>
      </c>
      <c r="E583" s="5" t="str">
        <f>IF(D583&lt;0,"INVALID","OK")</f>
        <v>INVALID</v>
      </c>
      <c r="F583" t="s">
        <v>1852</v>
      </c>
      <c r="G583" t="s">
        <v>35</v>
      </c>
      <c r="H583" t="s">
        <v>94</v>
      </c>
      <c r="I583" t="s">
        <v>24</v>
      </c>
      <c r="J583" t="s">
        <v>121</v>
      </c>
      <c r="K583" t="s">
        <v>122</v>
      </c>
      <c r="L583" t="s">
        <v>27</v>
      </c>
      <c r="M583" t="s">
        <v>152</v>
      </c>
      <c r="N583" t="s">
        <v>1853</v>
      </c>
      <c r="O583" t="s">
        <v>30</v>
      </c>
      <c r="P583">
        <v>7</v>
      </c>
      <c r="Q583">
        <v>1334.2</v>
      </c>
      <c r="R583">
        <v>0.2</v>
      </c>
      <c r="S583" t="str">
        <f t="shared" si="74"/>
        <v>OK</v>
      </c>
      <c r="T583">
        <v>7471.52</v>
      </c>
      <c r="U583">
        <v>6184.32</v>
      </c>
      <c r="V583">
        <v>1287.2</v>
      </c>
      <c r="W583" t="s">
        <v>31</v>
      </c>
      <c r="X583" t="s">
        <v>32</v>
      </c>
      <c r="Y583">
        <f t="shared" si="75"/>
        <v>0.2</v>
      </c>
      <c r="Z583">
        <f t="shared" si="76"/>
        <v>7471.52</v>
      </c>
      <c r="AA583">
        <f t="shared" si="77"/>
        <v>1287.2000000000007</v>
      </c>
      <c r="AB583">
        <f t="shared" si="78"/>
        <v>17.228087457438388</v>
      </c>
      <c r="AC583">
        <f t="shared" si="79"/>
        <v>12</v>
      </c>
      <c r="AD583">
        <f t="shared" si="80"/>
        <v>2025</v>
      </c>
      <c r="AE583" t="str">
        <f t="shared" si="81"/>
        <v>INVALID</v>
      </c>
    </row>
    <row r="584" spans="1:31">
      <c r="A584" t="s">
        <v>1872</v>
      </c>
      <c r="B584" s="2">
        <v>45927</v>
      </c>
      <c r="C584" s="2">
        <v>45929</v>
      </c>
      <c r="D584" s="5">
        <f>C584-B584</f>
        <v>2</v>
      </c>
      <c r="E584" s="5" t="str">
        <f>IF(D584&lt;0,"INVALID","OK")</f>
        <v>OK</v>
      </c>
      <c r="F584" t="s">
        <v>1664</v>
      </c>
      <c r="G584" t="s">
        <v>52</v>
      </c>
      <c r="H584" t="s">
        <v>94</v>
      </c>
      <c r="I584" t="s">
        <v>24</v>
      </c>
      <c r="J584" t="s">
        <v>135</v>
      </c>
      <c r="K584" t="s">
        <v>136</v>
      </c>
      <c r="L584" t="s">
        <v>40</v>
      </c>
      <c r="M584" t="s">
        <v>41</v>
      </c>
      <c r="N584" t="s">
        <v>1873</v>
      </c>
      <c r="O584" t="s">
        <v>30</v>
      </c>
      <c r="P584">
        <v>9</v>
      </c>
      <c r="Q584">
        <v>4100.1099999999997</v>
      </c>
      <c r="R584">
        <v>0.25</v>
      </c>
      <c r="S584" t="str">
        <f t="shared" si="74"/>
        <v>OK</v>
      </c>
      <c r="T584">
        <v>27675.74</v>
      </c>
      <c r="U584">
        <v>15571.08</v>
      </c>
      <c r="V584">
        <v>12104.66</v>
      </c>
      <c r="W584" t="s">
        <v>31</v>
      </c>
      <c r="X584" t="s">
        <v>32</v>
      </c>
      <c r="Y584">
        <f t="shared" si="75"/>
        <v>0.25</v>
      </c>
      <c r="Z584">
        <f t="shared" si="76"/>
        <v>27675.7425</v>
      </c>
      <c r="AA584">
        <f t="shared" si="77"/>
        <v>12104.6625</v>
      </c>
      <c r="AB584">
        <f t="shared" si="78"/>
        <v>43.737444442547478</v>
      </c>
      <c r="AC584">
        <f t="shared" si="79"/>
        <v>9</v>
      </c>
      <c r="AD584">
        <f t="shared" si="80"/>
        <v>2025</v>
      </c>
      <c r="AE584" t="str">
        <f t="shared" si="81"/>
        <v>CLEAN</v>
      </c>
    </row>
    <row r="585" spans="1:31">
      <c r="A585" t="s">
        <v>1877</v>
      </c>
      <c r="B585" s="2">
        <v>45699</v>
      </c>
      <c r="C585" s="2">
        <v>45704</v>
      </c>
      <c r="D585" s="5">
        <f>C585-B585</f>
        <v>5</v>
      </c>
      <c r="E585" s="5" t="str">
        <f>IF(D585&lt;0,"INVALID","OK")</f>
        <v>OK</v>
      </c>
      <c r="F585" t="s">
        <v>1878</v>
      </c>
      <c r="G585" t="s">
        <v>35</v>
      </c>
      <c r="H585" t="s">
        <v>89</v>
      </c>
      <c r="I585" t="s">
        <v>24</v>
      </c>
      <c r="J585" t="s">
        <v>135</v>
      </c>
      <c r="K585" t="s">
        <v>136</v>
      </c>
      <c r="L585" t="s">
        <v>73</v>
      </c>
      <c r="M585" t="s">
        <v>170</v>
      </c>
      <c r="N585" t="s">
        <v>1879</v>
      </c>
      <c r="O585" t="s">
        <v>49</v>
      </c>
      <c r="P585">
        <v>8</v>
      </c>
      <c r="Q585">
        <v>1825.56</v>
      </c>
      <c r="R585">
        <v>0.1</v>
      </c>
      <c r="S585" t="str">
        <f t="shared" si="74"/>
        <v>OK</v>
      </c>
      <c r="T585">
        <v>13144.03</v>
      </c>
      <c r="U585">
        <v>9764</v>
      </c>
      <c r="V585">
        <v>3380.03</v>
      </c>
      <c r="W585" t="s">
        <v>31</v>
      </c>
      <c r="X585" t="s">
        <v>32</v>
      </c>
      <c r="Y585">
        <f t="shared" si="75"/>
        <v>0.1</v>
      </c>
      <c r="Z585">
        <f t="shared" si="76"/>
        <v>13144.031999999999</v>
      </c>
      <c r="AA585">
        <f t="shared" si="77"/>
        <v>3380.0319999999992</v>
      </c>
      <c r="AB585">
        <f t="shared" si="78"/>
        <v>25.715336055176973</v>
      </c>
      <c r="AC585">
        <f t="shared" si="79"/>
        <v>2</v>
      </c>
      <c r="AD585">
        <f t="shared" si="80"/>
        <v>2025</v>
      </c>
      <c r="AE585" t="str">
        <f t="shared" si="81"/>
        <v>CLEAN</v>
      </c>
    </row>
    <row r="586" spans="1:31">
      <c r="A586" t="s">
        <v>1883</v>
      </c>
      <c r="B586" s="2">
        <v>45846</v>
      </c>
      <c r="C586" s="2">
        <v>45846</v>
      </c>
      <c r="D586" s="5">
        <f>C586-B586</f>
        <v>0</v>
      </c>
      <c r="E586" s="5" t="str">
        <f>IF(D586&lt;0,"INVALID","OK")</f>
        <v>OK</v>
      </c>
      <c r="F586" t="s">
        <v>1884</v>
      </c>
      <c r="G586" t="s">
        <v>88</v>
      </c>
      <c r="H586" t="s">
        <v>23</v>
      </c>
      <c r="I586" t="s">
        <v>53</v>
      </c>
      <c r="J586" t="s">
        <v>54</v>
      </c>
      <c r="K586" t="s">
        <v>55</v>
      </c>
      <c r="L586" t="s">
        <v>73</v>
      </c>
      <c r="M586" t="s">
        <v>79</v>
      </c>
      <c r="N586" t="s">
        <v>1885</v>
      </c>
      <c r="O586" t="s">
        <v>43</v>
      </c>
      <c r="P586">
        <v>9</v>
      </c>
      <c r="Q586">
        <v>274.88</v>
      </c>
      <c r="R586">
        <v>0.25</v>
      </c>
      <c r="S586" t="str">
        <f t="shared" si="74"/>
        <v>OK</v>
      </c>
      <c r="T586">
        <v>1855.44</v>
      </c>
      <c r="U586">
        <v>1262.74</v>
      </c>
      <c r="V586">
        <v>592.70000000000005</v>
      </c>
      <c r="W586" t="s">
        <v>31</v>
      </c>
      <c r="X586" t="s">
        <v>32</v>
      </c>
      <c r="Y586">
        <f t="shared" si="75"/>
        <v>0.25</v>
      </c>
      <c r="Z586">
        <f t="shared" si="76"/>
        <v>1855.44</v>
      </c>
      <c r="AA586">
        <f t="shared" si="77"/>
        <v>592.70000000000005</v>
      </c>
      <c r="AB586">
        <f t="shared" si="78"/>
        <v>31.943905488725051</v>
      </c>
      <c r="AC586">
        <f t="shared" si="79"/>
        <v>7</v>
      </c>
      <c r="AD586">
        <f t="shared" si="80"/>
        <v>2025</v>
      </c>
      <c r="AE586" t="str">
        <f t="shared" si="81"/>
        <v>CLEAN</v>
      </c>
    </row>
    <row r="587" spans="1:31">
      <c r="A587" t="s">
        <v>1892</v>
      </c>
      <c r="B587" s="2">
        <v>45780</v>
      </c>
      <c r="C587" s="2">
        <v>45728</v>
      </c>
      <c r="D587" s="5">
        <f>C587-B587</f>
        <v>-52</v>
      </c>
      <c r="E587" s="5" t="str">
        <f>IF(D587&lt;0,"INVALID","OK")</f>
        <v>INVALID</v>
      </c>
      <c r="F587" t="s">
        <v>1893</v>
      </c>
      <c r="G587" t="s">
        <v>61</v>
      </c>
      <c r="H587" t="s">
        <v>89</v>
      </c>
      <c r="I587" t="s">
        <v>62</v>
      </c>
      <c r="J587" t="s">
        <v>71</v>
      </c>
      <c r="K587" t="s">
        <v>72</v>
      </c>
      <c r="L587" t="s">
        <v>27</v>
      </c>
      <c r="M587" t="s">
        <v>123</v>
      </c>
      <c r="N587" t="s">
        <v>1894</v>
      </c>
      <c r="O587" t="s">
        <v>43</v>
      </c>
      <c r="P587">
        <v>3</v>
      </c>
      <c r="Q587">
        <v>3682.75</v>
      </c>
      <c r="R587">
        <v>0</v>
      </c>
      <c r="S587" t="str">
        <f t="shared" ref="S587:S634" si="82">IF(R587&lt;0,"INVALID",IF(R587&gt;0.5,"INVALID","OK"))</f>
        <v>OK</v>
      </c>
      <c r="T587">
        <v>11048.25</v>
      </c>
      <c r="U587">
        <v>9062.7199999999993</v>
      </c>
      <c r="V587">
        <v>1985.53</v>
      </c>
      <c r="W587" t="s">
        <v>31</v>
      </c>
      <c r="X587" t="s">
        <v>32</v>
      </c>
      <c r="Y587">
        <f t="shared" si="75"/>
        <v>0</v>
      </c>
      <c r="Z587">
        <f t="shared" si="76"/>
        <v>11048.25</v>
      </c>
      <c r="AA587">
        <f t="shared" si="77"/>
        <v>1985.5300000000007</v>
      </c>
      <c r="AB587">
        <f t="shared" si="78"/>
        <v>17.971443441268985</v>
      </c>
      <c r="AC587">
        <f t="shared" si="79"/>
        <v>5</v>
      </c>
      <c r="AD587">
        <f t="shared" si="80"/>
        <v>2025</v>
      </c>
      <c r="AE587" t="str">
        <f t="shared" si="81"/>
        <v>INVALID</v>
      </c>
    </row>
    <row r="588" spans="1:31">
      <c r="A588" t="s">
        <v>1903</v>
      </c>
      <c r="B588" s="2">
        <v>45779</v>
      </c>
      <c r="C588" s="2">
        <v>45694</v>
      </c>
      <c r="D588" s="5">
        <f>C588-B588</f>
        <v>-85</v>
      </c>
      <c r="E588" s="5" t="str">
        <f>IF(D588&lt;0,"INVALID","OK")</f>
        <v>INVALID</v>
      </c>
      <c r="F588" t="s">
        <v>1904</v>
      </c>
      <c r="G588" t="s">
        <v>61</v>
      </c>
      <c r="H588" t="s">
        <v>23</v>
      </c>
      <c r="I588" t="s">
        <v>62</v>
      </c>
      <c r="J588" t="s">
        <v>71</v>
      </c>
      <c r="K588" t="s">
        <v>72</v>
      </c>
      <c r="L588" t="s">
        <v>27</v>
      </c>
      <c r="M588" t="s">
        <v>152</v>
      </c>
      <c r="N588" t="s">
        <v>1905</v>
      </c>
      <c r="O588" t="s">
        <v>43</v>
      </c>
      <c r="P588">
        <v>3</v>
      </c>
      <c r="Q588">
        <v>1076.3</v>
      </c>
      <c r="R588">
        <v>0</v>
      </c>
      <c r="S588" t="str">
        <f t="shared" si="82"/>
        <v>OK</v>
      </c>
      <c r="T588">
        <v>3228.9</v>
      </c>
      <c r="U588">
        <v>1853.23</v>
      </c>
      <c r="V588">
        <v>1375.67</v>
      </c>
      <c r="W588" t="s">
        <v>31</v>
      </c>
      <c r="X588" t="s">
        <v>32</v>
      </c>
      <c r="Y588">
        <f t="shared" si="75"/>
        <v>0</v>
      </c>
      <c r="Z588">
        <f t="shared" si="76"/>
        <v>3228.8999999999996</v>
      </c>
      <c r="AA588">
        <f t="shared" si="77"/>
        <v>1375.6699999999996</v>
      </c>
      <c r="AB588">
        <f t="shared" si="78"/>
        <v>42.604911889497963</v>
      </c>
      <c r="AC588">
        <f t="shared" si="79"/>
        <v>5</v>
      </c>
      <c r="AD588">
        <f t="shared" si="80"/>
        <v>2025</v>
      </c>
      <c r="AE588" t="str">
        <f t="shared" si="81"/>
        <v>INVALID</v>
      </c>
    </row>
    <row r="589" spans="1:31">
      <c r="A589" t="s">
        <v>1909</v>
      </c>
      <c r="B589" s="2">
        <v>45710</v>
      </c>
      <c r="C589" s="2">
        <v>45716</v>
      </c>
      <c r="D589" s="5">
        <f>C589-B589</f>
        <v>6</v>
      </c>
      <c r="E589" s="5" t="str">
        <f>IF(D589&lt;0,"INVALID","OK")</f>
        <v>OK</v>
      </c>
      <c r="F589" t="s">
        <v>1910</v>
      </c>
      <c r="G589" t="s">
        <v>117</v>
      </c>
      <c r="H589" t="s">
        <v>94</v>
      </c>
      <c r="I589" t="s">
        <v>62</v>
      </c>
      <c r="J589" t="s">
        <v>71</v>
      </c>
      <c r="K589" t="s">
        <v>72</v>
      </c>
      <c r="L589" t="s">
        <v>73</v>
      </c>
      <c r="M589" t="s">
        <v>79</v>
      </c>
      <c r="N589" t="s">
        <v>1911</v>
      </c>
      <c r="O589" t="s">
        <v>43</v>
      </c>
      <c r="P589">
        <v>3</v>
      </c>
      <c r="Q589">
        <v>3890.81</v>
      </c>
      <c r="R589">
        <v>0.25</v>
      </c>
      <c r="S589" t="str">
        <f t="shared" si="82"/>
        <v>OK</v>
      </c>
      <c r="T589">
        <v>8754.32</v>
      </c>
      <c r="U589">
        <v>6238.9</v>
      </c>
      <c r="V589">
        <v>2515.42</v>
      </c>
      <c r="W589" t="s">
        <v>31</v>
      </c>
      <c r="X589" t="s">
        <v>32</v>
      </c>
      <c r="Y589">
        <f t="shared" si="75"/>
        <v>0.25</v>
      </c>
      <c r="Z589">
        <f t="shared" si="76"/>
        <v>8754.3225000000002</v>
      </c>
      <c r="AA589">
        <f t="shared" si="77"/>
        <v>2515.4225000000006</v>
      </c>
      <c r="AB589">
        <f t="shared" si="78"/>
        <v>28.733491369549164</v>
      </c>
      <c r="AC589">
        <f t="shared" si="79"/>
        <v>2</v>
      </c>
      <c r="AD589">
        <f t="shared" si="80"/>
        <v>2025</v>
      </c>
      <c r="AE589" t="str">
        <f t="shared" si="81"/>
        <v>CLEAN</v>
      </c>
    </row>
    <row r="590" spans="1:31">
      <c r="A590" t="s">
        <v>1912</v>
      </c>
      <c r="B590" s="2">
        <v>45704</v>
      </c>
      <c r="C590" s="2">
        <v>45710</v>
      </c>
      <c r="D590" s="5">
        <f>C590-B590</f>
        <v>6</v>
      </c>
      <c r="E590" s="5" t="str">
        <f>IF(D590&lt;0,"INVALID","OK")</f>
        <v>OK</v>
      </c>
      <c r="F590" t="s">
        <v>1913</v>
      </c>
      <c r="G590" t="s">
        <v>131</v>
      </c>
      <c r="H590" t="s">
        <v>94</v>
      </c>
      <c r="I590" t="s">
        <v>37</v>
      </c>
      <c r="J590" t="s">
        <v>144</v>
      </c>
      <c r="K590" t="s">
        <v>145</v>
      </c>
      <c r="L590" t="s">
        <v>27</v>
      </c>
      <c r="M590" t="s">
        <v>123</v>
      </c>
      <c r="N590" t="s">
        <v>1914</v>
      </c>
      <c r="O590" t="s">
        <v>43</v>
      </c>
      <c r="P590">
        <v>5</v>
      </c>
      <c r="Q590">
        <v>954.67</v>
      </c>
      <c r="R590">
        <v>0.15</v>
      </c>
      <c r="S590" t="str">
        <f t="shared" si="82"/>
        <v>OK</v>
      </c>
      <c r="T590">
        <v>4057.35</v>
      </c>
      <c r="U590">
        <v>2862.03</v>
      </c>
      <c r="V590">
        <v>1195.32</v>
      </c>
      <c r="W590" t="s">
        <v>31</v>
      </c>
      <c r="X590" t="s">
        <v>32</v>
      </c>
      <c r="Y590">
        <f t="shared" si="75"/>
        <v>0.15</v>
      </c>
      <c r="Z590">
        <f t="shared" si="76"/>
        <v>4057.3474999999994</v>
      </c>
      <c r="AA590">
        <f t="shared" si="77"/>
        <v>1195.3174999999992</v>
      </c>
      <c r="AB590">
        <f t="shared" si="78"/>
        <v>29.460565061286946</v>
      </c>
      <c r="AC590">
        <f t="shared" si="79"/>
        <v>2</v>
      </c>
      <c r="AD590">
        <f t="shared" si="80"/>
        <v>2025</v>
      </c>
      <c r="AE590" t="str">
        <f t="shared" si="81"/>
        <v>CLEAN</v>
      </c>
    </row>
    <row r="591" spans="1:31">
      <c r="A591" t="s">
        <v>1917</v>
      </c>
      <c r="B591" s="2">
        <v>45665</v>
      </c>
      <c r="C591" s="2">
        <v>45992</v>
      </c>
      <c r="D591" s="5">
        <f>C591-B591</f>
        <v>327</v>
      </c>
      <c r="E591" s="5" t="str">
        <f>IF(D591&lt;0,"INVALID","OK")</f>
        <v>OK</v>
      </c>
      <c r="F591" t="s">
        <v>1918</v>
      </c>
      <c r="G591" t="s">
        <v>131</v>
      </c>
      <c r="H591" t="s">
        <v>94</v>
      </c>
      <c r="I591" t="s">
        <v>53</v>
      </c>
      <c r="J591" t="s">
        <v>174</v>
      </c>
      <c r="K591" t="s">
        <v>175</v>
      </c>
      <c r="L591" t="s">
        <v>40</v>
      </c>
      <c r="M591" t="s">
        <v>65</v>
      </c>
      <c r="N591" t="s">
        <v>1919</v>
      </c>
      <c r="O591" t="s">
        <v>58</v>
      </c>
      <c r="P591">
        <v>7</v>
      </c>
      <c r="Q591">
        <v>4337.4799999999996</v>
      </c>
      <c r="R591">
        <v>0</v>
      </c>
      <c r="S591" t="str">
        <f t="shared" si="82"/>
        <v>OK</v>
      </c>
      <c r="T591">
        <v>30362.36</v>
      </c>
      <c r="U591">
        <v>25065.4</v>
      </c>
      <c r="V591">
        <v>5296.96</v>
      </c>
      <c r="W591" t="s">
        <v>31</v>
      </c>
      <c r="X591" t="s">
        <v>32</v>
      </c>
      <c r="Y591">
        <f t="shared" si="75"/>
        <v>0</v>
      </c>
      <c r="Z591">
        <f t="shared" si="76"/>
        <v>30362.359999999997</v>
      </c>
      <c r="AA591">
        <f t="shared" si="77"/>
        <v>5296.9599999999955</v>
      </c>
      <c r="AB591">
        <f t="shared" si="78"/>
        <v>17.445811195177175</v>
      </c>
      <c r="AC591">
        <f t="shared" si="79"/>
        <v>1</v>
      </c>
      <c r="AD591">
        <f t="shared" si="80"/>
        <v>2025</v>
      </c>
      <c r="AE591" t="str">
        <f t="shared" si="81"/>
        <v>CLEAN</v>
      </c>
    </row>
    <row r="592" spans="1:31">
      <c r="A592" t="s">
        <v>1922</v>
      </c>
      <c r="B592" s="2">
        <v>45876</v>
      </c>
      <c r="C592" s="2">
        <v>45853</v>
      </c>
      <c r="D592" s="5">
        <f>C592-B592</f>
        <v>-23</v>
      </c>
      <c r="E592" s="5" t="str">
        <f>IF(D592&lt;0,"INVALID","OK")</f>
        <v>INVALID</v>
      </c>
      <c r="F592" t="s">
        <v>1923</v>
      </c>
      <c r="G592" t="s">
        <v>61</v>
      </c>
      <c r="H592" t="s">
        <v>36</v>
      </c>
      <c r="I592" t="s">
        <v>24</v>
      </c>
      <c r="J592" t="s">
        <v>25</v>
      </c>
      <c r="K592" t="s">
        <v>26</v>
      </c>
      <c r="L592" t="s">
        <v>27</v>
      </c>
      <c r="M592" t="s">
        <v>152</v>
      </c>
      <c r="N592" t="s">
        <v>1924</v>
      </c>
      <c r="O592" t="s">
        <v>43</v>
      </c>
      <c r="P592">
        <v>8</v>
      </c>
      <c r="Q592">
        <v>655.28</v>
      </c>
      <c r="R592">
        <v>0.1</v>
      </c>
      <c r="S592" t="str">
        <f t="shared" si="82"/>
        <v>OK</v>
      </c>
      <c r="T592">
        <v>4718.0200000000004</v>
      </c>
      <c r="U592">
        <v>3908.23</v>
      </c>
      <c r="V592">
        <v>809.79</v>
      </c>
      <c r="W592" t="s">
        <v>31</v>
      </c>
      <c r="X592" t="s">
        <v>32</v>
      </c>
      <c r="Y592">
        <f t="shared" si="75"/>
        <v>0.1</v>
      </c>
      <c r="Z592">
        <f t="shared" si="76"/>
        <v>4718.0159999999996</v>
      </c>
      <c r="AA592">
        <f t="shared" si="77"/>
        <v>809.7859999999996</v>
      </c>
      <c r="AB592">
        <f t="shared" si="78"/>
        <v>17.163697622051295</v>
      </c>
      <c r="AC592">
        <f t="shared" si="79"/>
        <v>8</v>
      </c>
      <c r="AD592">
        <f t="shared" si="80"/>
        <v>2025</v>
      </c>
      <c r="AE592" t="str">
        <f t="shared" si="81"/>
        <v>INVALID</v>
      </c>
    </row>
    <row r="593" spans="1:31">
      <c r="A593" t="s">
        <v>1925</v>
      </c>
      <c r="B593" s="2">
        <v>45753</v>
      </c>
      <c r="C593" s="2">
        <v>45760</v>
      </c>
      <c r="D593" s="5">
        <f>C593-B593</f>
        <v>7</v>
      </c>
      <c r="E593" s="5" t="str">
        <f>IF(D593&lt;0,"INVALID","OK")</f>
        <v>OK</v>
      </c>
      <c r="F593" t="s">
        <v>1926</v>
      </c>
      <c r="G593" t="s">
        <v>88</v>
      </c>
      <c r="H593" t="s">
        <v>23</v>
      </c>
      <c r="I593" t="s">
        <v>2762</v>
      </c>
      <c r="J593" t="s">
        <v>38</v>
      </c>
      <c r="K593" t="s">
        <v>39</v>
      </c>
      <c r="L593" t="s">
        <v>73</v>
      </c>
      <c r="M593" t="s">
        <v>170</v>
      </c>
      <c r="N593" t="s">
        <v>1927</v>
      </c>
      <c r="O593" t="s">
        <v>58</v>
      </c>
      <c r="P593">
        <v>1</v>
      </c>
      <c r="Q593">
        <v>3844.01</v>
      </c>
      <c r="R593">
        <v>0</v>
      </c>
      <c r="S593" t="str">
        <f t="shared" si="82"/>
        <v>OK</v>
      </c>
      <c r="T593">
        <v>3844.01</v>
      </c>
      <c r="U593">
        <v>2195.79</v>
      </c>
      <c r="V593">
        <v>1648.22</v>
      </c>
      <c r="W593" t="s">
        <v>31</v>
      </c>
      <c r="X593" t="s">
        <v>32</v>
      </c>
      <c r="Y593">
        <f t="shared" si="75"/>
        <v>0</v>
      </c>
      <c r="Z593">
        <f t="shared" si="76"/>
        <v>3844.01</v>
      </c>
      <c r="AA593">
        <f t="shared" si="77"/>
        <v>1648.2200000000003</v>
      </c>
      <c r="AB593">
        <f t="shared" si="78"/>
        <v>42.877619985379859</v>
      </c>
      <c r="AC593">
        <f t="shared" si="79"/>
        <v>4</v>
      </c>
      <c r="AD593">
        <f t="shared" si="80"/>
        <v>2025</v>
      </c>
      <c r="AE593" t="str">
        <f t="shared" si="81"/>
        <v>CLEAN</v>
      </c>
    </row>
    <row r="594" spans="1:31">
      <c r="A594" t="s">
        <v>1955</v>
      </c>
      <c r="B594" s="2">
        <v>45686</v>
      </c>
      <c r="C594" s="2">
        <v>45694</v>
      </c>
      <c r="D594" s="5">
        <f>C594-B594</f>
        <v>8</v>
      </c>
      <c r="E594" s="5" t="str">
        <f>IF(D594&lt;0,"INVALID","OK")</f>
        <v>OK</v>
      </c>
      <c r="F594" t="s">
        <v>1956</v>
      </c>
      <c r="G594" t="s">
        <v>70</v>
      </c>
      <c r="H594" t="s">
        <v>23</v>
      </c>
      <c r="I594" t="s">
        <v>37</v>
      </c>
      <c r="J594" t="s">
        <v>144</v>
      </c>
      <c r="K594" t="s">
        <v>145</v>
      </c>
      <c r="L594" t="s">
        <v>27</v>
      </c>
      <c r="M594" t="s">
        <v>123</v>
      </c>
      <c r="N594" t="s">
        <v>1957</v>
      </c>
      <c r="O594" t="s">
        <v>58</v>
      </c>
      <c r="P594">
        <v>4</v>
      </c>
      <c r="Q594">
        <v>2759.01</v>
      </c>
      <c r="R594">
        <v>0.05</v>
      </c>
      <c r="S594" t="str">
        <f t="shared" si="82"/>
        <v>OK</v>
      </c>
      <c r="T594">
        <v>10484.24</v>
      </c>
      <c r="U594">
        <v>6680.15</v>
      </c>
      <c r="V594">
        <v>3804.09</v>
      </c>
      <c r="W594" t="s">
        <v>31</v>
      </c>
      <c r="X594" t="s">
        <v>32</v>
      </c>
      <c r="Y594">
        <f t="shared" si="75"/>
        <v>0.05</v>
      </c>
      <c r="Z594">
        <f t="shared" si="76"/>
        <v>10484.238000000001</v>
      </c>
      <c r="AA594">
        <f t="shared" si="77"/>
        <v>3804.0880000000016</v>
      </c>
      <c r="AB594">
        <f t="shared" si="78"/>
        <v>36.283876806306772</v>
      </c>
      <c r="AC594">
        <f t="shared" si="79"/>
        <v>1</v>
      </c>
      <c r="AD594">
        <f t="shared" si="80"/>
        <v>2025</v>
      </c>
      <c r="AE594" t="str">
        <f t="shared" si="81"/>
        <v>CLEAN</v>
      </c>
    </row>
    <row r="595" spans="1:31">
      <c r="A595" t="s">
        <v>1967</v>
      </c>
      <c r="B595" s="2">
        <v>45753</v>
      </c>
      <c r="C595" s="2">
        <v>45815</v>
      </c>
      <c r="D595" s="5">
        <f>C595-B595</f>
        <v>62</v>
      </c>
      <c r="E595" s="5" t="str">
        <f>IF(D595&lt;0,"INVALID","OK")</f>
        <v>OK</v>
      </c>
      <c r="F595" t="s">
        <v>1968</v>
      </c>
      <c r="G595" t="s">
        <v>131</v>
      </c>
      <c r="H595" t="s">
        <v>94</v>
      </c>
      <c r="I595" t="s">
        <v>37</v>
      </c>
      <c r="J595" t="s">
        <v>165</v>
      </c>
      <c r="K595" t="s">
        <v>166</v>
      </c>
      <c r="L595" t="s">
        <v>73</v>
      </c>
      <c r="M595" t="s">
        <v>273</v>
      </c>
      <c r="N595" t="s">
        <v>1969</v>
      </c>
      <c r="O595" t="s">
        <v>58</v>
      </c>
      <c r="P595">
        <v>8</v>
      </c>
      <c r="Q595">
        <v>1434.13</v>
      </c>
      <c r="R595">
        <v>0</v>
      </c>
      <c r="S595" t="str">
        <f t="shared" si="82"/>
        <v>OK</v>
      </c>
      <c r="T595">
        <v>11473.04</v>
      </c>
      <c r="U595">
        <v>8931.33</v>
      </c>
      <c r="V595">
        <v>2541.71</v>
      </c>
      <c r="W595" t="s">
        <v>110</v>
      </c>
      <c r="X595" t="s">
        <v>102</v>
      </c>
      <c r="Y595">
        <f t="shared" si="75"/>
        <v>0</v>
      </c>
      <c r="Z595">
        <f t="shared" si="76"/>
        <v>11473.04</v>
      </c>
      <c r="AA595">
        <f t="shared" si="77"/>
        <v>2541.7100000000009</v>
      </c>
      <c r="AB595">
        <f t="shared" si="78"/>
        <v>22.153762211236085</v>
      </c>
      <c r="AC595">
        <f t="shared" si="79"/>
        <v>4</v>
      </c>
      <c r="AD595">
        <f t="shared" si="80"/>
        <v>2025</v>
      </c>
      <c r="AE595" t="str">
        <f t="shared" si="81"/>
        <v>CLEAN</v>
      </c>
    </row>
    <row r="596" spans="1:31">
      <c r="A596" t="s">
        <v>1973</v>
      </c>
      <c r="B596" s="2">
        <v>45935</v>
      </c>
      <c r="C596" s="2">
        <v>45942</v>
      </c>
      <c r="D596" s="5">
        <f>C596-B596</f>
        <v>7</v>
      </c>
      <c r="E596" s="5" t="str">
        <f>IF(D596&lt;0,"INVALID","OK")</f>
        <v>OK</v>
      </c>
      <c r="F596" t="s">
        <v>1974</v>
      </c>
      <c r="G596" t="s">
        <v>61</v>
      </c>
      <c r="H596" t="s">
        <v>94</v>
      </c>
      <c r="I596" t="s">
        <v>37</v>
      </c>
      <c r="J596" t="s">
        <v>227</v>
      </c>
      <c r="K596" t="s">
        <v>228</v>
      </c>
      <c r="L596" t="s">
        <v>73</v>
      </c>
      <c r="M596" t="s">
        <v>74</v>
      </c>
      <c r="N596" t="s">
        <v>1975</v>
      </c>
      <c r="O596" t="s">
        <v>43</v>
      </c>
      <c r="P596">
        <v>7</v>
      </c>
      <c r="Q596">
        <v>806.67</v>
      </c>
      <c r="R596">
        <v>0.05</v>
      </c>
      <c r="S596" t="str">
        <f t="shared" si="82"/>
        <v>OK</v>
      </c>
      <c r="T596">
        <v>5364.36</v>
      </c>
      <c r="U596">
        <v>4391.29</v>
      </c>
      <c r="V596">
        <v>973.07</v>
      </c>
      <c r="W596" t="s">
        <v>31</v>
      </c>
      <c r="X596" t="s">
        <v>32</v>
      </c>
      <c r="Y596">
        <f t="shared" si="75"/>
        <v>0.05</v>
      </c>
      <c r="Z596">
        <f t="shared" si="76"/>
        <v>5364.3554999999997</v>
      </c>
      <c r="AA596">
        <f t="shared" si="77"/>
        <v>973.0654999999997</v>
      </c>
      <c r="AB596">
        <f t="shared" si="78"/>
        <v>18.139467080434915</v>
      </c>
      <c r="AC596">
        <f t="shared" si="79"/>
        <v>10</v>
      </c>
      <c r="AD596">
        <f t="shared" si="80"/>
        <v>2025</v>
      </c>
      <c r="AE596" t="str">
        <f t="shared" si="81"/>
        <v>CLEAN</v>
      </c>
    </row>
    <row r="597" spans="1:31">
      <c r="A597" t="s">
        <v>1976</v>
      </c>
      <c r="B597" s="2">
        <v>45910</v>
      </c>
      <c r="C597" s="2">
        <v>45914</v>
      </c>
      <c r="D597" s="5">
        <f>C597-B597</f>
        <v>4</v>
      </c>
      <c r="E597" s="5" t="str">
        <f>IF(D597&lt;0,"INVALID","OK")</f>
        <v>OK</v>
      </c>
      <c r="F597" t="s">
        <v>1977</v>
      </c>
      <c r="G597" t="s">
        <v>52</v>
      </c>
      <c r="H597" t="s">
        <v>94</v>
      </c>
      <c r="I597" t="s">
        <v>62</v>
      </c>
      <c r="J597" t="s">
        <v>179</v>
      </c>
      <c r="K597" t="s">
        <v>180</v>
      </c>
      <c r="L597" t="s">
        <v>40</v>
      </c>
      <c r="M597" t="s">
        <v>41</v>
      </c>
      <c r="N597" t="s">
        <v>1978</v>
      </c>
      <c r="O597" t="s">
        <v>43</v>
      </c>
      <c r="P597">
        <v>3</v>
      </c>
      <c r="Q597">
        <v>4198.46</v>
      </c>
      <c r="R597">
        <v>0.15</v>
      </c>
      <c r="S597" t="str">
        <f t="shared" si="82"/>
        <v>OK</v>
      </c>
      <c r="T597">
        <v>10706.07</v>
      </c>
      <c r="U597">
        <v>5927.1</v>
      </c>
      <c r="V597">
        <v>4778.97</v>
      </c>
      <c r="W597" t="s">
        <v>31</v>
      </c>
      <c r="X597" t="s">
        <v>32</v>
      </c>
      <c r="Y597">
        <f t="shared" si="75"/>
        <v>0.15</v>
      </c>
      <c r="Z597">
        <f t="shared" si="76"/>
        <v>10706.073</v>
      </c>
      <c r="AA597">
        <f t="shared" si="77"/>
        <v>4778.973</v>
      </c>
      <c r="AB597">
        <f t="shared" si="78"/>
        <v>44.637963892082553</v>
      </c>
      <c r="AC597">
        <f t="shared" si="79"/>
        <v>9</v>
      </c>
      <c r="AD597">
        <f t="shared" si="80"/>
        <v>2025</v>
      </c>
      <c r="AE597" t="str">
        <f t="shared" si="81"/>
        <v>CLEAN</v>
      </c>
    </row>
    <row r="598" spans="1:31">
      <c r="A598" t="s">
        <v>1985</v>
      </c>
      <c r="B598" s="2">
        <v>45762</v>
      </c>
      <c r="C598" s="2">
        <v>45763</v>
      </c>
      <c r="D598" s="5">
        <f>C598-B598</f>
        <v>1</v>
      </c>
      <c r="E598" s="5" t="str">
        <f>IF(D598&lt;0,"INVALID","OK")</f>
        <v>OK</v>
      </c>
      <c r="F598" t="s">
        <v>1986</v>
      </c>
      <c r="G598" t="s">
        <v>131</v>
      </c>
      <c r="H598" t="s">
        <v>36</v>
      </c>
      <c r="I598" t="s">
        <v>53</v>
      </c>
      <c r="J598" t="s">
        <v>174</v>
      </c>
      <c r="K598" t="s">
        <v>175</v>
      </c>
      <c r="L598" t="s">
        <v>40</v>
      </c>
      <c r="M598" t="s">
        <v>56</v>
      </c>
      <c r="N598" t="s">
        <v>1987</v>
      </c>
      <c r="O598" t="s">
        <v>49</v>
      </c>
      <c r="P598">
        <v>5</v>
      </c>
      <c r="Q598">
        <v>2850.53</v>
      </c>
      <c r="R598">
        <v>0</v>
      </c>
      <c r="S598" t="str">
        <f t="shared" si="82"/>
        <v>OK</v>
      </c>
      <c r="T598">
        <v>14252.65</v>
      </c>
      <c r="U598">
        <v>11558.31</v>
      </c>
      <c r="V598">
        <v>2694.34</v>
      </c>
      <c r="W598" t="s">
        <v>31</v>
      </c>
      <c r="X598" t="s">
        <v>32</v>
      </c>
      <c r="Y598">
        <f t="shared" si="75"/>
        <v>0</v>
      </c>
      <c r="Z598">
        <f t="shared" si="76"/>
        <v>14252.650000000001</v>
      </c>
      <c r="AA598">
        <f t="shared" si="77"/>
        <v>2694.340000000002</v>
      </c>
      <c r="AB598">
        <f t="shared" si="78"/>
        <v>18.904133617257155</v>
      </c>
      <c r="AC598">
        <f t="shared" si="79"/>
        <v>4</v>
      </c>
      <c r="AD598">
        <f t="shared" si="80"/>
        <v>2025</v>
      </c>
      <c r="AE598" t="str">
        <f t="shared" si="81"/>
        <v>CLEAN</v>
      </c>
    </row>
    <row r="599" spans="1:31">
      <c r="A599" t="s">
        <v>1988</v>
      </c>
      <c r="B599" s="2">
        <v>45765</v>
      </c>
      <c r="C599" s="2">
        <v>45767</v>
      </c>
      <c r="D599" s="5">
        <f>C599-B599</f>
        <v>2</v>
      </c>
      <c r="E599" s="5" t="str">
        <f>IF(D599&lt;0,"INVALID","OK")</f>
        <v>OK</v>
      </c>
      <c r="F599" t="s">
        <v>1989</v>
      </c>
      <c r="G599" t="s">
        <v>127</v>
      </c>
      <c r="H599" t="s">
        <v>36</v>
      </c>
      <c r="I599" t="s">
        <v>53</v>
      </c>
      <c r="J599" t="s">
        <v>246</v>
      </c>
      <c r="K599" t="s">
        <v>247</v>
      </c>
      <c r="L599" t="s">
        <v>73</v>
      </c>
      <c r="M599" t="s">
        <v>74</v>
      </c>
      <c r="N599" t="s">
        <v>1990</v>
      </c>
      <c r="O599" t="s">
        <v>30</v>
      </c>
      <c r="P599">
        <v>1</v>
      </c>
      <c r="Q599">
        <v>1626.08</v>
      </c>
      <c r="R599">
        <v>0.15</v>
      </c>
      <c r="S599" t="str">
        <f t="shared" si="82"/>
        <v>OK</v>
      </c>
      <c r="T599">
        <v>1382.17</v>
      </c>
      <c r="U599">
        <v>810.03</v>
      </c>
      <c r="V599">
        <v>572.14</v>
      </c>
      <c r="W599" t="s">
        <v>31</v>
      </c>
      <c r="X599" t="s">
        <v>32</v>
      </c>
      <c r="Y599">
        <f t="shared" si="75"/>
        <v>0.15</v>
      </c>
      <c r="Z599">
        <f t="shared" si="76"/>
        <v>1382.1679999999999</v>
      </c>
      <c r="AA599">
        <f t="shared" si="77"/>
        <v>572.13799999999992</v>
      </c>
      <c r="AB599">
        <f t="shared" si="78"/>
        <v>41.394244404442873</v>
      </c>
      <c r="AC599">
        <f t="shared" si="79"/>
        <v>4</v>
      </c>
      <c r="AD599">
        <f t="shared" si="80"/>
        <v>2025</v>
      </c>
      <c r="AE599" t="str">
        <f t="shared" si="81"/>
        <v>CLEAN</v>
      </c>
    </row>
    <row r="600" spans="1:31">
      <c r="A600" t="s">
        <v>1991</v>
      </c>
      <c r="B600" s="2">
        <v>45668</v>
      </c>
      <c r="C600" s="2">
        <v>45669</v>
      </c>
      <c r="D600" s="5">
        <f>C600-B600</f>
        <v>1</v>
      </c>
      <c r="E600" s="5" t="str">
        <f>IF(D600&lt;0,"INVALID","OK")</f>
        <v>OK</v>
      </c>
      <c r="F600" t="s">
        <v>1992</v>
      </c>
      <c r="G600" t="s">
        <v>88</v>
      </c>
      <c r="H600" t="s">
        <v>23</v>
      </c>
      <c r="I600" t="s">
        <v>53</v>
      </c>
      <c r="J600" t="s">
        <v>54</v>
      </c>
      <c r="K600" t="s">
        <v>55</v>
      </c>
      <c r="L600" t="s">
        <v>40</v>
      </c>
      <c r="M600" t="s">
        <v>65</v>
      </c>
      <c r="N600" t="s">
        <v>1993</v>
      </c>
      <c r="O600" t="s">
        <v>30</v>
      </c>
      <c r="P600">
        <v>4</v>
      </c>
      <c r="Q600">
        <v>2427.15</v>
      </c>
      <c r="R600">
        <v>0.05</v>
      </c>
      <c r="S600" t="str">
        <f t="shared" si="82"/>
        <v>OK</v>
      </c>
      <c r="T600">
        <v>9223.17</v>
      </c>
      <c r="U600">
        <v>5103.7</v>
      </c>
      <c r="V600">
        <v>4119.47</v>
      </c>
      <c r="W600" t="s">
        <v>31</v>
      </c>
      <c r="X600" t="s">
        <v>32</v>
      </c>
      <c r="Y600">
        <f t="shared" si="75"/>
        <v>0.05</v>
      </c>
      <c r="Z600">
        <f t="shared" si="76"/>
        <v>9223.17</v>
      </c>
      <c r="AA600">
        <f t="shared" si="77"/>
        <v>4119.47</v>
      </c>
      <c r="AB600">
        <f t="shared" si="78"/>
        <v>44.664361602355804</v>
      </c>
      <c r="AC600">
        <f t="shared" si="79"/>
        <v>1</v>
      </c>
      <c r="AD600">
        <f t="shared" si="80"/>
        <v>2025</v>
      </c>
      <c r="AE600" t="str">
        <f t="shared" si="81"/>
        <v>CLEAN</v>
      </c>
    </row>
    <row r="601" spans="1:31">
      <c r="A601" t="s">
        <v>2009</v>
      </c>
      <c r="B601" s="2">
        <v>45671</v>
      </c>
      <c r="C601" s="2">
        <v>45674</v>
      </c>
      <c r="D601" s="5">
        <f>C601-B601</f>
        <v>3</v>
      </c>
      <c r="E601" s="5" t="str">
        <f>IF(D601&lt;0,"INVALID","OK")</f>
        <v>OK</v>
      </c>
      <c r="F601" t="s">
        <v>2010</v>
      </c>
      <c r="G601" t="s">
        <v>70</v>
      </c>
      <c r="H601" t="s">
        <v>23</v>
      </c>
      <c r="I601" t="s">
        <v>62</v>
      </c>
      <c r="J601" t="s">
        <v>189</v>
      </c>
      <c r="K601" t="s">
        <v>190</v>
      </c>
      <c r="L601" t="s">
        <v>27</v>
      </c>
      <c r="M601" t="s">
        <v>123</v>
      </c>
      <c r="N601" t="s">
        <v>2011</v>
      </c>
      <c r="O601" t="s">
        <v>49</v>
      </c>
      <c r="P601">
        <v>1</v>
      </c>
      <c r="Q601">
        <v>1584.12</v>
      </c>
      <c r="R601">
        <v>0.2</v>
      </c>
      <c r="S601" t="str">
        <f t="shared" si="82"/>
        <v>OK</v>
      </c>
      <c r="T601">
        <v>1267.3</v>
      </c>
      <c r="U601">
        <v>923.53</v>
      </c>
      <c r="V601">
        <v>343.77</v>
      </c>
      <c r="W601" t="s">
        <v>31</v>
      </c>
      <c r="X601" t="s">
        <v>32</v>
      </c>
      <c r="Y601">
        <f t="shared" si="75"/>
        <v>0.2</v>
      </c>
      <c r="Z601">
        <f t="shared" si="76"/>
        <v>1267.296</v>
      </c>
      <c r="AA601">
        <f t="shared" si="77"/>
        <v>343.76600000000008</v>
      </c>
      <c r="AB601">
        <f t="shared" si="78"/>
        <v>27.125943741635737</v>
      </c>
      <c r="AC601">
        <f t="shared" si="79"/>
        <v>1</v>
      </c>
      <c r="AD601">
        <f t="shared" si="80"/>
        <v>2025</v>
      </c>
      <c r="AE601" t="str">
        <f t="shared" si="81"/>
        <v>CLEAN</v>
      </c>
    </row>
    <row r="602" spans="1:31">
      <c r="A602" t="s">
        <v>2012</v>
      </c>
      <c r="B602" s="2">
        <v>45756</v>
      </c>
      <c r="C602" s="2">
        <v>45761</v>
      </c>
      <c r="D602" s="5">
        <f>C602-B602</f>
        <v>5</v>
      </c>
      <c r="E602" s="5" t="str">
        <f>IF(D602&lt;0,"INVALID","OK")</f>
        <v>OK</v>
      </c>
      <c r="F602" t="s">
        <v>2013</v>
      </c>
      <c r="G602" t="s">
        <v>22</v>
      </c>
      <c r="H602" t="s">
        <v>23</v>
      </c>
      <c r="I602" t="s">
        <v>24</v>
      </c>
      <c r="J602" t="s">
        <v>349</v>
      </c>
      <c r="K602" t="s">
        <v>350</v>
      </c>
      <c r="L602" t="s">
        <v>40</v>
      </c>
      <c r="M602" t="s">
        <v>56</v>
      </c>
      <c r="N602" t="s">
        <v>2014</v>
      </c>
      <c r="O602" t="s">
        <v>43</v>
      </c>
      <c r="P602">
        <v>2</v>
      </c>
      <c r="Q602">
        <v>3202.87</v>
      </c>
      <c r="R602">
        <v>0</v>
      </c>
      <c r="S602" t="str">
        <f t="shared" si="82"/>
        <v>OK</v>
      </c>
      <c r="T602">
        <v>6405.74</v>
      </c>
      <c r="U602">
        <v>3561.87</v>
      </c>
      <c r="V602">
        <v>2843.87</v>
      </c>
      <c r="W602" t="s">
        <v>31</v>
      </c>
      <c r="X602" t="s">
        <v>32</v>
      </c>
      <c r="Y602">
        <f t="shared" si="75"/>
        <v>0</v>
      </c>
      <c r="Z602">
        <f t="shared" si="76"/>
        <v>6405.74</v>
      </c>
      <c r="AA602">
        <f t="shared" si="77"/>
        <v>2843.87</v>
      </c>
      <c r="AB602">
        <f t="shared" si="78"/>
        <v>44.395651400150484</v>
      </c>
      <c r="AC602">
        <f t="shared" si="79"/>
        <v>4</v>
      </c>
      <c r="AD602">
        <f t="shared" si="80"/>
        <v>2025</v>
      </c>
      <c r="AE602" t="str">
        <f t="shared" si="81"/>
        <v>CLEAN</v>
      </c>
    </row>
    <row r="603" spans="1:31">
      <c r="A603" t="s">
        <v>2020</v>
      </c>
      <c r="B603" s="2">
        <v>45757</v>
      </c>
      <c r="C603" s="2">
        <v>45764</v>
      </c>
      <c r="D603" s="5">
        <f>C603-B603</f>
        <v>7</v>
      </c>
      <c r="E603" s="5" t="str">
        <f>IF(D603&lt;0,"INVALID","OK")</f>
        <v>OK</v>
      </c>
      <c r="F603" t="s">
        <v>2021</v>
      </c>
      <c r="G603" t="s">
        <v>70</v>
      </c>
      <c r="H603" t="s">
        <v>23</v>
      </c>
      <c r="I603" t="s">
        <v>37</v>
      </c>
      <c r="J603" t="s">
        <v>98</v>
      </c>
      <c r="K603" t="s">
        <v>99</v>
      </c>
      <c r="L603" t="s">
        <v>40</v>
      </c>
      <c r="M603" t="s">
        <v>65</v>
      </c>
      <c r="N603" t="s">
        <v>2022</v>
      </c>
      <c r="O603" t="s">
        <v>58</v>
      </c>
      <c r="P603">
        <v>4</v>
      </c>
      <c r="Q603">
        <v>3750.02</v>
      </c>
      <c r="R603">
        <v>0.05</v>
      </c>
      <c r="S603" t="str">
        <f t="shared" si="82"/>
        <v>OK</v>
      </c>
      <c r="T603">
        <v>14250.08</v>
      </c>
      <c r="U603">
        <v>10914.92</v>
      </c>
      <c r="V603">
        <v>3335.16</v>
      </c>
      <c r="W603" t="s">
        <v>31</v>
      </c>
      <c r="X603" t="s">
        <v>32</v>
      </c>
      <c r="Y603">
        <f t="shared" si="75"/>
        <v>0.05</v>
      </c>
      <c r="Z603">
        <f t="shared" si="76"/>
        <v>14250.075999999999</v>
      </c>
      <c r="AA603">
        <f t="shared" si="77"/>
        <v>3335.155999999999</v>
      </c>
      <c r="AB603">
        <f t="shared" si="78"/>
        <v>23.404478684885603</v>
      </c>
      <c r="AC603">
        <f t="shared" si="79"/>
        <v>4</v>
      </c>
      <c r="AD603">
        <f t="shared" si="80"/>
        <v>2025</v>
      </c>
      <c r="AE603" t="str">
        <f t="shared" si="81"/>
        <v>CLEAN</v>
      </c>
    </row>
    <row r="604" spans="1:31">
      <c r="A604" t="s">
        <v>2029</v>
      </c>
      <c r="B604" s="2">
        <v>45658</v>
      </c>
      <c r="C604" s="2">
        <v>45901</v>
      </c>
      <c r="D604" s="5">
        <f>C604-B604</f>
        <v>243</v>
      </c>
      <c r="E604" s="5" t="str">
        <f>IF(D604&lt;0,"INVALID","OK")</f>
        <v>OK</v>
      </c>
      <c r="F604" t="s">
        <v>2030</v>
      </c>
      <c r="G604" t="s">
        <v>140</v>
      </c>
      <c r="H604" t="s">
        <v>36</v>
      </c>
      <c r="I604" t="s">
        <v>24</v>
      </c>
      <c r="J604" t="s">
        <v>121</v>
      </c>
      <c r="K604" t="s">
        <v>122</v>
      </c>
      <c r="L604" t="s">
        <v>27</v>
      </c>
      <c r="M604" t="s">
        <v>47</v>
      </c>
      <c r="N604" t="s">
        <v>2031</v>
      </c>
      <c r="O604" t="s">
        <v>49</v>
      </c>
      <c r="P604">
        <v>8</v>
      </c>
      <c r="Q604">
        <v>2123.81</v>
      </c>
      <c r="R604">
        <v>0.15</v>
      </c>
      <c r="S604" t="str">
        <f t="shared" si="82"/>
        <v>OK</v>
      </c>
      <c r="T604">
        <v>14441.91</v>
      </c>
      <c r="U604">
        <v>10872.89</v>
      </c>
      <c r="V604">
        <v>3569.02</v>
      </c>
      <c r="W604" t="s">
        <v>31</v>
      </c>
      <c r="X604" t="s">
        <v>32</v>
      </c>
      <c r="Y604">
        <f t="shared" si="75"/>
        <v>0.15</v>
      </c>
      <c r="Z604">
        <f t="shared" si="76"/>
        <v>14441.907999999999</v>
      </c>
      <c r="AA604">
        <f t="shared" si="77"/>
        <v>3569.018</v>
      </c>
      <c r="AB604">
        <f t="shared" si="78"/>
        <v>24.712925743606732</v>
      </c>
      <c r="AC604">
        <f t="shared" si="79"/>
        <v>1</v>
      </c>
      <c r="AD604">
        <f t="shared" si="80"/>
        <v>2025</v>
      </c>
      <c r="AE604" t="str">
        <f t="shared" si="81"/>
        <v>CLEAN</v>
      </c>
    </row>
    <row r="605" spans="1:31">
      <c r="A605" t="s">
        <v>2035</v>
      </c>
      <c r="B605" s="2">
        <v>45880</v>
      </c>
      <c r="C605" s="2">
        <v>45888</v>
      </c>
      <c r="D605" s="5">
        <f>C605-B605</f>
        <v>8</v>
      </c>
      <c r="E605" s="5" t="str">
        <f>IF(D605&lt;0,"INVALID","OK")</f>
        <v>OK</v>
      </c>
      <c r="F605" t="s">
        <v>2036</v>
      </c>
      <c r="G605" t="s">
        <v>263</v>
      </c>
      <c r="H605" t="s">
        <v>36</v>
      </c>
      <c r="I605" t="s">
        <v>53</v>
      </c>
      <c r="J605" t="s">
        <v>184</v>
      </c>
      <c r="K605" t="s">
        <v>185</v>
      </c>
      <c r="L605" t="s">
        <v>73</v>
      </c>
      <c r="M605" t="s">
        <v>74</v>
      </c>
      <c r="N605" t="s">
        <v>2037</v>
      </c>
      <c r="O605" t="s">
        <v>58</v>
      </c>
      <c r="P605">
        <v>4</v>
      </c>
      <c r="Q605">
        <v>2258.96</v>
      </c>
      <c r="R605">
        <v>0.25</v>
      </c>
      <c r="S605" t="str">
        <f t="shared" si="82"/>
        <v>OK</v>
      </c>
      <c r="T605">
        <v>6776.88</v>
      </c>
      <c r="U605">
        <v>3836.24</v>
      </c>
      <c r="V605">
        <v>2940.64</v>
      </c>
      <c r="W605" t="s">
        <v>31</v>
      </c>
      <c r="X605" t="s">
        <v>32</v>
      </c>
      <c r="Y605">
        <f t="shared" si="75"/>
        <v>0.25</v>
      </c>
      <c r="Z605">
        <f t="shared" si="76"/>
        <v>6776.88</v>
      </c>
      <c r="AA605">
        <f t="shared" si="77"/>
        <v>2940.6400000000003</v>
      </c>
      <c r="AB605">
        <f t="shared" si="78"/>
        <v>43.39223949664153</v>
      </c>
      <c r="AC605">
        <f t="shared" si="79"/>
        <v>8</v>
      </c>
      <c r="AD605">
        <f t="shared" si="80"/>
        <v>2025</v>
      </c>
      <c r="AE605" t="str">
        <f t="shared" si="81"/>
        <v>CLEAN</v>
      </c>
    </row>
    <row r="606" spans="1:31">
      <c r="A606" t="s">
        <v>2040</v>
      </c>
      <c r="B606" s="2">
        <v>45875</v>
      </c>
      <c r="C606" s="2">
        <v>45908</v>
      </c>
      <c r="D606" s="5">
        <f>C606-B606</f>
        <v>33</v>
      </c>
      <c r="E606" s="5" t="str">
        <f>IF(D606&lt;0,"INVALID","OK")</f>
        <v>OK</v>
      </c>
      <c r="F606" t="s">
        <v>2041</v>
      </c>
      <c r="G606" t="s">
        <v>35</v>
      </c>
      <c r="H606" t="s">
        <v>36</v>
      </c>
      <c r="I606" t="s">
        <v>53</v>
      </c>
      <c r="J606" t="s">
        <v>83</v>
      </c>
      <c r="K606" t="s">
        <v>84</v>
      </c>
      <c r="L606" t="s">
        <v>27</v>
      </c>
      <c r="M606" t="s">
        <v>28</v>
      </c>
      <c r="N606" t="s">
        <v>2042</v>
      </c>
      <c r="O606" t="s">
        <v>30</v>
      </c>
      <c r="P606">
        <v>3</v>
      </c>
      <c r="Q606">
        <v>598.54999999999995</v>
      </c>
      <c r="R606">
        <v>0</v>
      </c>
      <c r="S606" t="str">
        <f t="shared" si="82"/>
        <v>OK</v>
      </c>
      <c r="T606">
        <v>1795.65</v>
      </c>
      <c r="U606">
        <v>996.72</v>
      </c>
      <c r="V606">
        <v>798.93</v>
      </c>
      <c r="W606" t="s">
        <v>31</v>
      </c>
      <c r="X606" t="s">
        <v>32</v>
      </c>
      <c r="Y606">
        <f t="shared" si="75"/>
        <v>0</v>
      </c>
      <c r="Z606">
        <f t="shared" si="76"/>
        <v>1795.6499999999999</v>
      </c>
      <c r="AA606">
        <f t="shared" si="77"/>
        <v>798.92999999999984</v>
      </c>
      <c r="AB606">
        <f t="shared" si="78"/>
        <v>44.492523598696842</v>
      </c>
      <c r="AC606">
        <f t="shared" si="79"/>
        <v>8</v>
      </c>
      <c r="AD606">
        <f t="shared" si="80"/>
        <v>2025</v>
      </c>
      <c r="AE606" t="str">
        <f t="shared" si="81"/>
        <v>CLEAN</v>
      </c>
    </row>
    <row r="607" spans="1:31">
      <c r="A607" t="s">
        <v>2043</v>
      </c>
      <c r="B607" s="2">
        <v>45733</v>
      </c>
      <c r="C607" s="2">
        <v>45737</v>
      </c>
      <c r="D607" s="5">
        <f>C607-B607</f>
        <v>4</v>
      </c>
      <c r="E607" s="5" t="str">
        <f>IF(D607&lt;0,"INVALID","OK")</f>
        <v>OK</v>
      </c>
      <c r="F607" t="s">
        <v>1687</v>
      </c>
      <c r="G607" t="s">
        <v>131</v>
      </c>
      <c r="H607" t="s">
        <v>23</v>
      </c>
      <c r="I607" t="s">
        <v>24</v>
      </c>
      <c r="J607" t="s">
        <v>135</v>
      </c>
      <c r="K607" t="s">
        <v>136</v>
      </c>
      <c r="L607" t="s">
        <v>27</v>
      </c>
      <c r="M607" t="s">
        <v>152</v>
      </c>
      <c r="N607" t="s">
        <v>2044</v>
      </c>
      <c r="O607" t="s">
        <v>58</v>
      </c>
      <c r="P607">
        <v>5</v>
      </c>
      <c r="Q607">
        <v>4320.59</v>
      </c>
      <c r="R607">
        <v>0.15</v>
      </c>
      <c r="S607" t="str">
        <f t="shared" si="82"/>
        <v>OK</v>
      </c>
      <c r="T607">
        <v>18362.509999999998</v>
      </c>
      <c r="U607">
        <v>11133.97</v>
      </c>
      <c r="V607">
        <v>7228.54</v>
      </c>
      <c r="W607" t="s">
        <v>31</v>
      </c>
      <c r="X607" t="s">
        <v>32</v>
      </c>
      <c r="Y607">
        <f t="shared" si="75"/>
        <v>0.15</v>
      </c>
      <c r="Z607">
        <f t="shared" si="76"/>
        <v>18362.5075</v>
      </c>
      <c r="AA607">
        <f t="shared" si="77"/>
        <v>7228.5375000000004</v>
      </c>
      <c r="AB607">
        <f t="shared" si="78"/>
        <v>39.365742941153329</v>
      </c>
      <c r="AC607">
        <f t="shared" si="79"/>
        <v>3</v>
      </c>
      <c r="AD607">
        <f t="shared" si="80"/>
        <v>2025</v>
      </c>
      <c r="AE607" t="str">
        <f t="shared" si="81"/>
        <v>CLEAN</v>
      </c>
    </row>
    <row r="608" spans="1:31">
      <c r="A608" t="s">
        <v>2045</v>
      </c>
      <c r="B608" s="2">
        <v>45751</v>
      </c>
      <c r="C608" s="2">
        <v>45754</v>
      </c>
      <c r="D608" s="5">
        <f>C608-B608</f>
        <v>3</v>
      </c>
      <c r="E608" s="5" t="str">
        <f>IF(D608&lt;0,"INVALID","OK")</f>
        <v>OK</v>
      </c>
      <c r="F608" t="s">
        <v>2046</v>
      </c>
      <c r="G608" t="s">
        <v>113</v>
      </c>
      <c r="H608" t="s">
        <v>36</v>
      </c>
      <c r="I608" t="s">
        <v>53</v>
      </c>
      <c r="J608" t="s">
        <v>246</v>
      </c>
      <c r="K608" t="s">
        <v>247</v>
      </c>
      <c r="L608" t="s">
        <v>73</v>
      </c>
      <c r="M608" t="s">
        <v>79</v>
      </c>
      <c r="N608" t="s">
        <v>2047</v>
      </c>
      <c r="O608" t="s">
        <v>30</v>
      </c>
      <c r="P608">
        <v>7</v>
      </c>
      <c r="Q608">
        <v>4457.93</v>
      </c>
      <c r="R608">
        <v>0.15</v>
      </c>
      <c r="S608" t="str">
        <f t="shared" si="82"/>
        <v>OK</v>
      </c>
      <c r="T608">
        <v>26524.68</v>
      </c>
      <c r="U608">
        <v>20574.3</v>
      </c>
      <c r="V608">
        <v>5950.38</v>
      </c>
      <c r="W608" t="s">
        <v>31</v>
      </c>
      <c r="X608" t="s">
        <v>32</v>
      </c>
      <c r="Y608">
        <f t="shared" si="75"/>
        <v>0.15</v>
      </c>
      <c r="Z608">
        <f t="shared" si="76"/>
        <v>26524.683500000003</v>
      </c>
      <c r="AA608">
        <f t="shared" si="77"/>
        <v>5950.3835000000036</v>
      </c>
      <c r="AB608">
        <f t="shared" si="78"/>
        <v>22.433381721595293</v>
      </c>
      <c r="AC608">
        <f t="shared" si="79"/>
        <v>4</v>
      </c>
      <c r="AD608">
        <f t="shared" si="80"/>
        <v>2025</v>
      </c>
      <c r="AE608" t="str">
        <f t="shared" si="81"/>
        <v>CLEAN</v>
      </c>
    </row>
    <row r="609" spans="1:31">
      <c r="A609" t="s">
        <v>2048</v>
      </c>
      <c r="B609" s="2">
        <v>45942</v>
      </c>
      <c r="C609" s="2">
        <v>45946</v>
      </c>
      <c r="D609" s="5">
        <f>C609-B609</f>
        <v>4</v>
      </c>
      <c r="E609" s="5" t="str">
        <f>IF(D609&lt;0,"INVALID","OK")</f>
        <v>OK</v>
      </c>
      <c r="F609" t="s">
        <v>926</v>
      </c>
      <c r="G609" t="s">
        <v>161</v>
      </c>
      <c r="H609" t="s">
        <v>89</v>
      </c>
      <c r="I609" t="s">
        <v>37</v>
      </c>
      <c r="J609" t="s">
        <v>144</v>
      </c>
      <c r="K609" t="s">
        <v>145</v>
      </c>
      <c r="L609" t="s">
        <v>73</v>
      </c>
      <c r="M609" t="s">
        <v>273</v>
      </c>
      <c r="N609" t="s">
        <v>2049</v>
      </c>
      <c r="O609" t="s">
        <v>43</v>
      </c>
      <c r="P609">
        <v>1</v>
      </c>
      <c r="Q609">
        <v>2570.06</v>
      </c>
      <c r="R609">
        <v>0.2</v>
      </c>
      <c r="S609" t="str">
        <f t="shared" si="82"/>
        <v>OK</v>
      </c>
      <c r="T609">
        <v>2056.0500000000002</v>
      </c>
      <c r="U609">
        <v>1662.39</v>
      </c>
      <c r="V609">
        <v>393.66</v>
      </c>
      <c r="W609" t="s">
        <v>31</v>
      </c>
      <c r="X609" t="s">
        <v>32</v>
      </c>
      <c r="Y609">
        <f t="shared" si="75"/>
        <v>0.2</v>
      </c>
      <c r="Z609">
        <f t="shared" si="76"/>
        <v>2056.0480000000002</v>
      </c>
      <c r="AA609">
        <f t="shared" si="77"/>
        <v>393.65800000000013</v>
      </c>
      <c r="AB609">
        <f t="shared" si="78"/>
        <v>19.146342886936495</v>
      </c>
      <c r="AC609">
        <f t="shared" si="79"/>
        <v>10</v>
      </c>
      <c r="AD609">
        <f t="shared" si="80"/>
        <v>2025</v>
      </c>
      <c r="AE609" t="str">
        <f t="shared" si="81"/>
        <v>CLEAN</v>
      </c>
    </row>
    <row r="610" spans="1:31">
      <c r="A610" t="s">
        <v>2050</v>
      </c>
      <c r="B610" s="2">
        <v>45895</v>
      </c>
      <c r="C610" s="2">
        <v>45895</v>
      </c>
      <c r="D610" s="5">
        <f>C610-B610</f>
        <v>0</v>
      </c>
      <c r="E610" s="5" t="str">
        <f>IF(D610&lt;0,"INVALID","OK")</f>
        <v>OK</v>
      </c>
      <c r="F610" t="s">
        <v>2051</v>
      </c>
      <c r="G610" t="s">
        <v>78</v>
      </c>
      <c r="H610" t="s">
        <v>94</v>
      </c>
      <c r="I610" t="s">
        <v>37</v>
      </c>
      <c r="J610" t="s">
        <v>98</v>
      </c>
      <c r="K610" t="s">
        <v>99</v>
      </c>
      <c r="L610" t="s">
        <v>40</v>
      </c>
      <c r="M610" t="s">
        <v>56</v>
      </c>
      <c r="N610" t="s">
        <v>2052</v>
      </c>
      <c r="O610" t="s">
        <v>58</v>
      </c>
      <c r="P610">
        <v>4</v>
      </c>
      <c r="Q610">
        <v>2151.8200000000002</v>
      </c>
      <c r="R610">
        <v>0</v>
      </c>
      <c r="S610" t="str">
        <f t="shared" si="82"/>
        <v>OK</v>
      </c>
      <c r="T610">
        <v>8607.2800000000007</v>
      </c>
      <c r="U610">
        <v>5124.01</v>
      </c>
      <c r="V610">
        <v>3483.27</v>
      </c>
      <c r="W610" t="s">
        <v>31</v>
      </c>
      <c r="X610" t="s">
        <v>32</v>
      </c>
      <c r="Y610">
        <f t="shared" si="75"/>
        <v>0</v>
      </c>
      <c r="Z610">
        <f t="shared" si="76"/>
        <v>8607.2800000000007</v>
      </c>
      <c r="AA610">
        <f t="shared" si="77"/>
        <v>3483.2700000000004</v>
      </c>
      <c r="AB610">
        <f t="shared" si="78"/>
        <v>40.468882155570633</v>
      </c>
      <c r="AC610">
        <f t="shared" si="79"/>
        <v>8</v>
      </c>
      <c r="AD610">
        <f t="shared" si="80"/>
        <v>2025</v>
      </c>
      <c r="AE610" t="str">
        <f t="shared" si="81"/>
        <v>CLEAN</v>
      </c>
    </row>
    <row r="611" spans="1:31">
      <c r="A611" t="s">
        <v>2056</v>
      </c>
      <c r="B611" s="2">
        <v>45876</v>
      </c>
      <c r="C611" s="2">
        <v>45879</v>
      </c>
      <c r="D611" s="5">
        <f>C611-B611</f>
        <v>3</v>
      </c>
      <c r="E611" s="5" t="str">
        <f>IF(D611&lt;0,"INVALID","OK")</f>
        <v>OK</v>
      </c>
      <c r="F611" t="s">
        <v>2057</v>
      </c>
      <c r="G611" t="s">
        <v>88</v>
      </c>
      <c r="H611" t="s">
        <v>94</v>
      </c>
      <c r="I611" t="s">
        <v>37</v>
      </c>
      <c r="J611" t="s">
        <v>144</v>
      </c>
      <c r="K611" t="s">
        <v>145</v>
      </c>
      <c r="L611" t="s">
        <v>27</v>
      </c>
      <c r="M611" t="s">
        <v>123</v>
      </c>
      <c r="N611" t="s">
        <v>2058</v>
      </c>
      <c r="O611" t="s">
        <v>30</v>
      </c>
      <c r="P611">
        <v>1</v>
      </c>
      <c r="Q611">
        <v>2541.25</v>
      </c>
      <c r="R611">
        <v>0.2</v>
      </c>
      <c r="S611" t="str">
        <f t="shared" si="82"/>
        <v>OK</v>
      </c>
      <c r="T611">
        <v>2033</v>
      </c>
      <c r="U611">
        <v>1291.4100000000001</v>
      </c>
      <c r="V611">
        <v>741.59</v>
      </c>
      <c r="W611" t="s">
        <v>31</v>
      </c>
      <c r="X611" t="s">
        <v>32</v>
      </c>
      <c r="Y611">
        <f t="shared" si="75"/>
        <v>0.2</v>
      </c>
      <c r="Z611">
        <f t="shared" si="76"/>
        <v>2033</v>
      </c>
      <c r="AA611">
        <f t="shared" si="77"/>
        <v>741.58999999999992</v>
      </c>
      <c r="AB611">
        <f t="shared" si="78"/>
        <v>36.477619281849478</v>
      </c>
      <c r="AC611">
        <f t="shared" si="79"/>
        <v>8</v>
      </c>
      <c r="AD611">
        <f t="shared" si="80"/>
        <v>2025</v>
      </c>
      <c r="AE611" t="str">
        <f t="shared" si="81"/>
        <v>CLEAN</v>
      </c>
    </row>
    <row r="612" spans="1:31">
      <c r="A612" t="s">
        <v>2065</v>
      </c>
      <c r="B612" s="2">
        <v>45853</v>
      </c>
      <c r="C612" s="2">
        <v>45853</v>
      </c>
      <c r="D612" s="5">
        <f>C612-B612</f>
        <v>0</v>
      </c>
      <c r="E612" s="5" t="str">
        <f>IF(D612&lt;0,"INVALID","OK")</f>
        <v>OK</v>
      </c>
      <c r="F612" t="s">
        <v>2066</v>
      </c>
      <c r="G612" t="s">
        <v>52</v>
      </c>
      <c r="H612" t="s">
        <v>36</v>
      </c>
      <c r="I612" t="s">
        <v>37</v>
      </c>
      <c r="J612" t="s">
        <v>227</v>
      </c>
      <c r="K612" t="s">
        <v>228</v>
      </c>
      <c r="L612" t="s">
        <v>73</v>
      </c>
      <c r="M612" t="s">
        <v>170</v>
      </c>
      <c r="N612" t="s">
        <v>2067</v>
      </c>
      <c r="O612" t="s">
        <v>43</v>
      </c>
      <c r="P612">
        <v>4</v>
      </c>
      <c r="Q612">
        <v>4442.91</v>
      </c>
      <c r="R612">
        <v>0.1</v>
      </c>
      <c r="S612" t="str">
        <f t="shared" si="82"/>
        <v>OK</v>
      </c>
      <c r="T612">
        <v>15994.48</v>
      </c>
      <c r="U612">
        <v>9224.2800000000007</v>
      </c>
      <c r="V612">
        <v>6770.2</v>
      </c>
      <c r="W612" t="s">
        <v>31</v>
      </c>
      <c r="X612" t="s">
        <v>32</v>
      </c>
      <c r="Y612">
        <f t="shared" si="75"/>
        <v>0.1</v>
      </c>
      <c r="Z612">
        <f t="shared" si="76"/>
        <v>15994.476000000001</v>
      </c>
      <c r="AA612">
        <f t="shared" si="77"/>
        <v>6770.1959999999999</v>
      </c>
      <c r="AB612">
        <f t="shared" si="78"/>
        <v>42.328338858991067</v>
      </c>
      <c r="AC612">
        <f t="shared" si="79"/>
        <v>7</v>
      </c>
      <c r="AD612">
        <f t="shared" si="80"/>
        <v>2025</v>
      </c>
      <c r="AE612" t="str">
        <f t="shared" si="81"/>
        <v>CLEAN</v>
      </c>
    </row>
    <row r="613" spans="1:31">
      <c r="A613" t="s">
        <v>2086</v>
      </c>
      <c r="B613" s="2">
        <v>45797</v>
      </c>
      <c r="C613" s="2">
        <v>45804</v>
      </c>
      <c r="D613" s="5">
        <f>C613-B613</f>
        <v>7</v>
      </c>
      <c r="E613" s="5" t="str">
        <f>IF(D613&lt;0,"INVALID","OK")</f>
        <v>OK</v>
      </c>
      <c r="F613" t="s">
        <v>2087</v>
      </c>
      <c r="G613" t="s">
        <v>161</v>
      </c>
      <c r="H613" t="s">
        <v>36</v>
      </c>
      <c r="I613" t="s">
        <v>37</v>
      </c>
      <c r="J613" t="s">
        <v>144</v>
      </c>
      <c r="K613" t="s">
        <v>145</v>
      </c>
      <c r="L613" t="s">
        <v>73</v>
      </c>
      <c r="M613" t="s">
        <v>273</v>
      </c>
      <c r="N613" t="s">
        <v>2088</v>
      </c>
      <c r="O613" t="s">
        <v>58</v>
      </c>
      <c r="P613">
        <v>1</v>
      </c>
      <c r="Q613">
        <v>3959.14</v>
      </c>
      <c r="R613">
        <v>0</v>
      </c>
      <c r="S613" t="str">
        <f t="shared" si="82"/>
        <v>OK</v>
      </c>
      <c r="T613">
        <v>3959.14</v>
      </c>
      <c r="U613">
        <v>3239.53</v>
      </c>
      <c r="V613">
        <v>719.61</v>
      </c>
      <c r="W613" t="s">
        <v>110</v>
      </c>
      <c r="X613" t="s">
        <v>102</v>
      </c>
      <c r="Y613">
        <f t="shared" si="75"/>
        <v>0</v>
      </c>
      <c r="Z613">
        <f t="shared" si="76"/>
        <v>3959.14</v>
      </c>
      <c r="AA613">
        <f t="shared" si="77"/>
        <v>719.60999999999967</v>
      </c>
      <c r="AB613">
        <f t="shared" si="78"/>
        <v>18.175916992074029</v>
      </c>
      <c r="AC613">
        <f t="shared" si="79"/>
        <v>5</v>
      </c>
      <c r="AD613">
        <f t="shared" si="80"/>
        <v>2025</v>
      </c>
      <c r="AE613" t="str">
        <f t="shared" si="81"/>
        <v>CLEAN</v>
      </c>
    </row>
    <row r="614" spans="1:31">
      <c r="A614" t="s">
        <v>2095</v>
      </c>
      <c r="B614" s="2">
        <v>45690</v>
      </c>
      <c r="C614" s="2">
        <v>45694</v>
      </c>
      <c r="D614" s="5">
        <f>C614-B614</f>
        <v>4</v>
      </c>
      <c r="E614" s="5" t="str">
        <f>IF(D614&lt;0,"INVALID","OK")</f>
        <v>OK</v>
      </c>
      <c r="F614" t="s">
        <v>1597</v>
      </c>
      <c r="G614" t="s">
        <v>131</v>
      </c>
      <c r="H614" t="s">
        <v>89</v>
      </c>
      <c r="I614" t="s">
        <v>24</v>
      </c>
      <c r="J614" t="s">
        <v>135</v>
      </c>
      <c r="K614" t="s">
        <v>136</v>
      </c>
      <c r="L614" t="s">
        <v>40</v>
      </c>
      <c r="M614" t="s">
        <v>41</v>
      </c>
      <c r="N614" t="s">
        <v>2096</v>
      </c>
      <c r="O614" t="s">
        <v>58</v>
      </c>
      <c r="P614">
        <v>8</v>
      </c>
      <c r="Q614">
        <v>857.86</v>
      </c>
      <c r="R614">
        <v>0.1</v>
      </c>
      <c r="S614" t="str">
        <f t="shared" si="82"/>
        <v>OK</v>
      </c>
      <c r="T614">
        <v>6176.59</v>
      </c>
      <c r="U614">
        <v>3560.96</v>
      </c>
      <c r="V614">
        <v>2615.63</v>
      </c>
      <c r="W614" t="s">
        <v>31</v>
      </c>
      <c r="X614" t="s">
        <v>32</v>
      </c>
      <c r="Y614">
        <f t="shared" si="75"/>
        <v>0.1</v>
      </c>
      <c r="Z614">
        <f t="shared" si="76"/>
        <v>6176.5920000000006</v>
      </c>
      <c r="AA614">
        <f t="shared" si="77"/>
        <v>2615.6320000000005</v>
      </c>
      <c r="AB614">
        <f t="shared" si="78"/>
        <v>42.347495188285066</v>
      </c>
      <c r="AC614">
        <f t="shared" si="79"/>
        <v>2</v>
      </c>
      <c r="AD614">
        <f t="shared" si="80"/>
        <v>2025</v>
      </c>
      <c r="AE614" t="str">
        <f t="shared" si="81"/>
        <v>CLEAN</v>
      </c>
    </row>
    <row r="615" spans="1:31">
      <c r="A615" t="s">
        <v>2103</v>
      </c>
      <c r="B615" s="2">
        <v>45701</v>
      </c>
      <c r="C615" s="2">
        <v>45704</v>
      </c>
      <c r="D615" s="5">
        <f>C615-B615</f>
        <v>3</v>
      </c>
      <c r="E615" s="5" t="str">
        <f>IF(D615&lt;0,"INVALID","OK")</f>
        <v>OK</v>
      </c>
      <c r="F615" t="s">
        <v>2104</v>
      </c>
      <c r="G615" t="s">
        <v>52</v>
      </c>
      <c r="H615" t="s">
        <v>36</v>
      </c>
      <c r="I615" t="s">
        <v>62</v>
      </c>
      <c r="J615" t="s">
        <v>25</v>
      </c>
      <c r="K615" t="s">
        <v>108</v>
      </c>
      <c r="L615" t="s">
        <v>40</v>
      </c>
      <c r="M615" t="s">
        <v>157</v>
      </c>
      <c r="N615" t="s">
        <v>2105</v>
      </c>
      <c r="O615" t="s">
        <v>30</v>
      </c>
      <c r="P615">
        <v>4</v>
      </c>
      <c r="Q615">
        <v>4072.9</v>
      </c>
      <c r="R615">
        <v>0.15</v>
      </c>
      <c r="S615" t="str">
        <f t="shared" si="82"/>
        <v>OK</v>
      </c>
      <c r="T615">
        <v>13847.86</v>
      </c>
      <c r="U615">
        <v>8471.7800000000007</v>
      </c>
      <c r="V615">
        <v>5376.08</v>
      </c>
      <c r="W615" t="s">
        <v>31</v>
      </c>
      <c r="X615" t="s">
        <v>32</v>
      </c>
      <c r="Y615">
        <f t="shared" si="75"/>
        <v>0.15</v>
      </c>
      <c r="Z615">
        <f t="shared" si="76"/>
        <v>13847.86</v>
      </c>
      <c r="AA615">
        <f t="shared" si="77"/>
        <v>5376.08</v>
      </c>
      <c r="AB615">
        <f t="shared" si="78"/>
        <v>38.822460654570449</v>
      </c>
      <c r="AC615">
        <f t="shared" si="79"/>
        <v>2</v>
      </c>
      <c r="AD615">
        <f t="shared" si="80"/>
        <v>2025</v>
      </c>
      <c r="AE615" t="str">
        <f t="shared" si="81"/>
        <v>CLEAN</v>
      </c>
    </row>
    <row r="616" spans="1:31">
      <c r="A616" t="s">
        <v>2109</v>
      </c>
      <c r="B616" s="2">
        <v>45844</v>
      </c>
      <c r="C616" s="2">
        <v>45818</v>
      </c>
      <c r="D616" s="5">
        <f>C616-B616</f>
        <v>-26</v>
      </c>
      <c r="E616" s="5" t="str">
        <f>IF(D616&lt;0,"INVALID","OK")</f>
        <v>INVALID</v>
      </c>
      <c r="F616" t="s">
        <v>2010</v>
      </c>
      <c r="G616" t="s">
        <v>127</v>
      </c>
      <c r="H616" t="s">
        <v>23</v>
      </c>
      <c r="I616" t="s">
        <v>24</v>
      </c>
      <c r="J616" t="s">
        <v>25</v>
      </c>
      <c r="K616" t="s">
        <v>26</v>
      </c>
      <c r="L616" t="s">
        <v>40</v>
      </c>
      <c r="M616" t="s">
        <v>56</v>
      </c>
      <c r="N616" t="s">
        <v>2110</v>
      </c>
      <c r="O616" t="s">
        <v>43</v>
      </c>
      <c r="P616">
        <v>3</v>
      </c>
      <c r="Q616">
        <v>963.26</v>
      </c>
      <c r="R616">
        <v>0</v>
      </c>
      <c r="S616" t="str">
        <f t="shared" si="82"/>
        <v>OK</v>
      </c>
      <c r="T616">
        <v>2889.78</v>
      </c>
      <c r="U616">
        <v>1811.23</v>
      </c>
      <c r="V616">
        <v>1078.55</v>
      </c>
      <c r="W616" t="s">
        <v>31</v>
      </c>
      <c r="X616" t="s">
        <v>32</v>
      </c>
      <c r="Y616">
        <f t="shared" si="75"/>
        <v>0</v>
      </c>
      <c r="Z616">
        <f t="shared" si="76"/>
        <v>2889.7799999999997</v>
      </c>
      <c r="AA616">
        <f t="shared" si="77"/>
        <v>1078.5499999999997</v>
      </c>
      <c r="AB616">
        <f t="shared" si="78"/>
        <v>37.322910394562903</v>
      </c>
      <c r="AC616">
        <f t="shared" si="79"/>
        <v>7</v>
      </c>
      <c r="AD616">
        <f t="shared" si="80"/>
        <v>2025</v>
      </c>
      <c r="AE616" t="str">
        <f t="shared" si="81"/>
        <v>INVALID</v>
      </c>
    </row>
    <row r="617" spans="1:31">
      <c r="A617" t="s">
        <v>2111</v>
      </c>
      <c r="B617" s="2">
        <v>45911</v>
      </c>
      <c r="C617" s="2">
        <v>45918</v>
      </c>
      <c r="D617" s="5">
        <f>C617-B617</f>
        <v>7</v>
      </c>
      <c r="E617" s="5" t="str">
        <f>IF(D617&lt;0,"INVALID","OK")</f>
        <v>OK</v>
      </c>
      <c r="F617" t="s">
        <v>2112</v>
      </c>
      <c r="G617" t="s">
        <v>117</v>
      </c>
      <c r="H617" t="s">
        <v>36</v>
      </c>
      <c r="I617" t="s">
        <v>24</v>
      </c>
      <c r="J617" t="s">
        <v>349</v>
      </c>
      <c r="K617" t="s">
        <v>350</v>
      </c>
      <c r="L617" t="s">
        <v>73</v>
      </c>
      <c r="M617" t="s">
        <v>170</v>
      </c>
      <c r="N617" t="s">
        <v>2113</v>
      </c>
      <c r="O617" t="s">
        <v>43</v>
      </c>
      <c r="P617">
        <v>7</v>
      </c>
      <c r="Q617">
        <v>3411.21</v>
      </c>
      <c r="R617">
        <v>0.15</v>
      </c>
      <c r="S617" t="str">
        <f t="shared" si="82"/>
        <v>OK</v>
      </c>
      <c r="T617">
        <v>20296.7</v>
      </c>
      <c r="U617">
        <v>14920.87</v>
      </c>
      <c r="V617">
        <v>5375.83</v>
      </c>
      <c r="W617" t="s">
        <v>31</v>
      </c>
      <c r="X617" t="s">
        <v>32</v>
      </c>
      <c r="Y617">
        <f t="shared" si="75"/>
        <v>0.15</v>
      </c>
      <c r="Z617">
        <f t="shared" si="76"/>
        <v>20296.699499999999</v>
      </c>
      <c r="AA617">
        <f t="shared" si="77"/>
        <v>5375.829499999998</v>
      </c>
      <c r="AB617">
        <f t="shared" si="78"/>
        <v>26.486225014071863</v>
      </c>
      <c r="AC617">
        <f t="shared" si="79"/>
        <v>9</v>
      </c>
      <c r="AD617">
        <f t="shared" si="80"/>
        <v>2025</v>
      </c>
      <c r="AE617" t="str">
        <f t="shared" si="81"/>
        <v>CLEAN</v>
      </c>
    </row>
    <row r="618" spans="1:31">
      <c r="A618" t="s">
        <v>2128</v>
      </c>
      <c r="B618" s="2">
        <v>45693</v>
      </c>
      <c r="C618" s="2">
        <v>45779</v>
      </c>
      <c r="D618" s="5">
        <f>C618-B618</f>
        <v>86</v>
      </c>
      <c r="E618" s="5" t="str">
        <f>IF(D618&lt;0,"INVALID","OK")</f>
        <v>OK</v>
      </c>
      <c r="F618" t="s">
        <v>2129</v>
      </c>
      <c r="G618" t="s">
        <v>61</v>
      </c>
      <c r="H618" t="s">
        <v>89</v>
      </c>
      <c r="I618" t="s">
        <v>24</v>
      </c>
      <c r="J618" t="s">
        <v>235</v>
      </c>
      <c r="K618" t="s">
        <v>236</v>
      </c>
      <c r="L618" t="s">
        <v>27</v>
      </c>
      <c r="M618" t="s">
        <v>123</v>
      </c>
      <c r="N618" t="s">
        <v>2130</v>
      </c>
      <c r="O618" t="s">
        <v>43</v>
      </c>
      <c r="P618">
        <v>3</v>
      </c>
      <c r="Q618">
        <v>2590.7800000000002</v>
      </c>
      <c r="R618">
        <v>0</v>
      </c>
      <c r="S618" t="str">
        <f t="shared" si="82"/>
        <v>OK</v>
      </c>
      <c r="T618">
        <v>7383.72</v>
      </c>
      <c r="U618">
        <v>4113.66</v>
      </c>
      <c r="V618">
        <v>3270.06</v>
      </c>
      <c r="W618" t="s">
        <v>31</v>
      </c>
      <c r="X618" t="s">
        <v>32</v>
      </c>
      <c r="Y618">
        <f t="shared" si="75"/>
        <v>0</v>
      </c>
      <c r="Z618">
        <f t="shared" si="76"/>
        <v>7772.34</v>
      </c>
      <c r="AA618">
        <f t="shared" si="77"/>
        <v>3658.6800000000003</v>
      </c>
      <c r="AB618">
        <f t="shared" si="78"/>
        <v>47.073082237781676</v>
      </c>
      <c r="AC618">
        <f t="shared" si="79"/>
        <v>2</v>
      </c>
      <c r="AD618">
        <f t="shared" si="80"/>
        <v>2025</v>
      </c>
      <c r="AE618" t="str">
        <f t="shared" si="81"/>
        <v>CLEAN</v>
      </c>
    </row>
    <row r="619" spans="1:31">
      <c r="A619" t="s">
        <v>2145</v>
      </c>
      <c r="B619" s="2">
        <v>45714</v>
      </c>
      <c r="C619" s="2">
        <v>45715</v>
      </c>
      <c r="D619" s="5">
        <f>C619-B619</f>
        <v>1</v>
      </c>
      <c r="E619" s="5" t="str">
        <f>IF(D619&lt;0,"INVALID","OK")</f>
        <v>OK</v>
      </c>
      <c r="F619" t="s">
        <v>2146</v>
      </c>
      <c r="G619" t="s">
        <v>78</v>
      </c>
      <c r="H619" t="s">
        <v>94</v>
      </c>
      <c r="I619" t="s">
        <v>24</v>
      </c>
      <c r="J619" t="s">
        <v>235</v>
      </c>
      <c r="K619" t="s">
        <v>236</v>
      </c>
      <c r="L619" t="s">
        <v>27</v>
      </c>
      <c r="M619" t="s">
        <v>47</v>
      </c>
      <c r="N619" t="s">
        <v>2147</v>
      </c>
      <c r="O619" t="s">
        <v>30</v>
      </c>
      <c r="P619">
        <v>6</v>
      </c>
      <c r="Q619">
        <v>3037.66</v>
      </c>
      <c r="R619">
        <v>0.15</v>
      </c>
      <c r="S619" t="str">
        <f t="shared" si="82"/>
        <v>OK</v>
      </c>
      <c r="T619">
        <v>15492.07</v>
      </c>
      <c r="U619">
        <v>12581.23</v>
      </c>
      <c r="V619">
        <v>2910.84</v>
      </c>
      <c r="W619" t="s">
        <v>31</v>
      </c>
      <c r="X619" t="s">
        <v>32</v>
      </c>
      <c r="Y619">
        <f t="shared" si="75"/>
        <v>0.15</v>
      </c>
      <c r="Z619">
        <f t="shared" si="76"/>
        <v>15492.065999999999</v>
      </c>
      <c r="AA619">
        <f t="shared" si="77"/>
        <v>2910.8359999999993</v>
      </c>
      <c r="AB619">
        <f t="shared" si="78"/>
        <v>18.789204745190212</v>
      </c>
      <c r="AC619">
        <f t="shared" si="79"/>
        <v>2</v>
      </c>
      <c r="AD619">
        <f t="shared" si="80"/>
        <v>2025</v>
      </c>
      <c r="AE619" t="str">
        <f t="shared" si="81"/>
        <v>CLEAN</v>
      </c>
    </row>
    <row r="620" spans="1:31">
      <c r="A620" t="s">
        <v>2157</v>
      </c>
      <c r="B620" s="2">
        <v>45787</v>
      </c>
      <c r="C620" s="2">
        <v>45940</v>
      </c>
      <c r="D620" s="5">
        <f>C620-B620</f>
        <v>153</v>
      </c>
      <c r="E620" s="5" t="str">
        <f>IF(D620&lt;0,"INVALID","OK")</f>
        <v>OK</v>
      </c>
      <c r="F620" t="s">
        <v>2158</v>
      </c>
      <c r="G620" t="s">
        <v>46</v>
      </c>
      <c r="H620" t="s">
        <v>89</v>
      </c>
      <c r="I620" t="s">
        <v>53</v>
      </c>
      <c r="J620" t="s">
        <v>174</v>
      </c>
      <c r="K620" t="s">
        <v>175</v>
      </c>
      <c r="L620" t="s">
        <v>40</v>
      </c>
      <c r="M620" t="s">
        <v>56</v>
      </c>
      <c r="N620" t="s">
        <v>2159</v>
      </c>
      <c r="O620" t="s">
        <v>30</v>
      </c>
      <c r="P620">
        <v>4</v>
      </c>
      <c r="Q620">
        <v>2365.6799999999998</v>
      </c>
      <c r="R620">
        <v>0.1</v>
      </c>
      <c r="S620" t="str">
        <f t="shared" si="82"/>
        <v>OK</v>
      </c>
      <c r="T620">
        <v>8516.4500000000007</v>
      </c>
      <c r="U620">
        <v>5903.81</v>
      </c>
      <c r="V620">
        <v>2612.64</v>
      </c>
      <c r="W620" t="s">
        <v>31</v>
      </c>
      <c r="X620" t="s">
        <v>32</v>
      </c>
      <c r="Y620">
        <f t="shared" si="75"/>
        <v>0.1</v>
      </c>
      <c r="Z620">
        <f t="shared" si="76"/>
        <v>8516.4480000000003</v>
      </c>
      <c r="AA620">
        <f t="shared" si="77"/>
        <v>2612.6379999999999</v>
      </c>
      <c r="AB620">
        <f t="shared" si="78"/>
        <v>30.677554774009071</v>
      </c>
      <c r="AC620">
        <f t="shared" si="79"/>
        <v>5</v>
      </c>
      <c r="AD620">
        <f t="shared" si="80"/>
        <v>2025</v>
      </c>
      <c r="AE620" t="str">
        <f t="shared" si="81"/>
        <v>CLEAN</v>
      </c>
    </row>
    <row r="621" spans="1:31">
      <c r="A621" t="s">
        <v>2160</v>
      </c>
      <c r="B621" s="2">
        <v>45720</v>
      </c>
      <c r="C621" s="2">
        <v>45758</v>
      </c>
      <c r="D621" s="5">
        <f>C621-B621</f>
        <v>38</v>
      </c>
      <c r="E621" s="5" t="str">
        <f>IF(D621&lt;0,"INVALID","OK")</f>
        <v>OK</v>
      </c>
      <c r="F621" t="s">
        <v>2161</v>
      </c>
      <c r="G621" t="s">
        <v>52</v>
      </c>
      <c r="H621" t="s">
        <v>23</v>
      </c>
      <c r="I621" t="s">
        <v>53</v>
      </c>
      <c r="J621" t="s">
        <v>246</v>
      </c>
      <c r="K621" t="s">
        <v>247</v>
      </c>
      <c r="L621" t="s">
        <v>40</v>
      </c>
      <c r="M621" t="s">
        <v>157</v>
      </c>
      <c r="N621" t="s">
        <v>2162</v>
      </c>
      <c r="O621" t="s">
        <v>30</v>
      </c>
      <c r="P621">
        <v>3</v>
      </c>
      <c r="Q621">
        <v>4149.7700000000004</v>
      </c>
      <c r="R621">
        <v>0.05</v>
      </c>
      <c r="S621" t="str">
        <f t="shared" si="82"/>
        <v>OK</v>
      </c>
      <c r="T621">
        <v>11826.84</v>
      </c>
      <c r="U621">
        <v>8035.96</v>
      </c>
      <c r="V621">
        <v>3790.88</v>
      </c>
      <c r="W621" t="s">
        <v>31</v>
      </c>
      <c r="X621" t="s">
        <v>32</v>
      </c>
      <c r="Y621">
        <f t="shared" si="75"/>
        <v>0.05</v>
      </c>
      <c r="Z621">
        <f t="shared" si="76"/>
        <v>11826.844500000001</v>
      </c>
      <c r="AA621">
        <f t="shared" si="77"/>
        <v>3790.884500000001</v>
      </c>
      <c r="AB621">
        <f t="shared" si="78"/>
        <v>32.053220112938838</v>
      </c>
      <c r="AC621">
        <f t="shared" si="79"/>
        <v>3</v>
      </c>
      <c r="AD621">
        <f t="shared" si="80"/>
        <v>2025</v>
      </c>
      <c r="AE621" t="str">
        <f t="shared" si="81"/>
        <v>CLEAN</v>
      </c>
    </row>
    <row r="622" spans="1:31">
      <c r="A622" t="s">
        <v>2163</v>
      </c>
      <c r="B622" s="2">
        <v>45665</v>
      </c>
      <c r="C622" s="2">
        <v>45908</v>
      </c>
      <c r="D622" s="5">
        <f>C622-B622</f>
        <v>243</v>
      </c>
      <c r="E622" s="5" t="str">
        <f>IF(D622&lt;0,"INVALID","OK")</f>
        <v>OK</v>
      </c>
      <c r="F622" t="s">
        <v>1136</v>
      </c>
      <c r="G622" t="s">
        <v>46</v>
      </c>
      <c r="H622" t="s">
        <v>23</v>
      </c>
      <c r="I622" t="s">
        <v>53</v>
      </c>
      <c r="J622" t="s">
        <v>83</v>
      </c>
      <c r="K622" t="s">
        <v>84</v>
      </c>
      <c r="L622" t="s">
        <v>27</v>
      </c>
      <c r="M622" t="s">
        <v>123</v>
      </c>
      <c r="N622" t="s">
        <v>2164</v>
      </c>
      <c r="O622" t="s">
        <v>49</v>
      </c>
      <c r="P622">
        <v>5</v>
      </c>
      <c r="Q622">
        <v>2736.24</v>
      </c>
      <c r="R622">
        <v>0.15</v>
      </c>
      <c r="S622" t="str">
        <f t="shared" si="82"/>
        <v>OK</v>
      </c>
      <c r="T622">
        <v>11629.02</v>
      </c>
      <c r="U622">
        <v>9627.2099999999991</v>
      </c>
      <c r="V622">
        <v>2001.81</v>
      </c>
      <c r="W622" t="s">
        <v>31</v>
      </c>
      <c r="X622" t="s">
        <v>32</v>
      </c>
      <c r="Y622">
        <f t="shared" si="75"/>
        <v>0.15</v>
      </c>
      <c r="Z622">
        <f t="shared" si="76"/>
        <v>11629.019999999999</v>
      </c>
      <c r="AA622">
        <f t="shared" si="77"/>
        <v>2001.8099999999995</v>
      </c>
      <c r="AB622">
        <f t="shared" si="78"/>
        <v>17.213918283741876</v>
      </c>
      <c r="AC622">
        <f t="shared" si="79"/>
        <v>1</v>
      </c>
      <c r="AD622">
        <f t="shared" si="80"/>
        <v>2025</v>
      </c>
      <c r="AE622" t="str">
        <f t="shared" si="81"/>
        <v>CLEAN</v>
      </c>
    </row>
    <row r="623" spans="1:31">
      <c r="A623" t="s">
        <v>2168</v>
      </c>
      <c r="B623" s="2">
        <v>45922</v>
      </c>
      <c r="C623" s="2">
        <v>45925</v>
      </c>
      <c r="D623" s="5">
        <f>C623-B623</f>
        <v>3</v>
      </c>
      <c r="E623" s="5" t="str">
        <f>IF(D623&lt;0,"INVALID","OK")</f>
        <v>OK</v>
      </c>
      <c r="F623" t="s">
        <v>2169</v>
      </c>
      <c r="G623" t="s">
        <v>46</v>
      </c>
      <c r="H623" t="s">
        <v>36</v>
      </c>
      <c r="I623" t="s">
        <v>53</v>
      </c>
      <c r="J623" t="s">
        <v>184</v>
      </c>
      <c r="K623" t="s">
        <v>185</v>
      </c>
      <c r="L623" t="s">
        <v>73</v>
      </c>
      <c r="M623" t="s">
        <v>170</v>
      </c>
      <c r="N623" t="s">
        <v>2170</v>
      </c>
      <c r="O623" t="s">
        <v>2762</v>
      </c>
      <c r="P623">
        <v>4</v>
      </c>
      <c r="Q623">
        <v>1178.8399999999999</v>
      </c>
      <c r="R623">
        <v>0.25</v>
      </c>
      <c r="S623" t="str">
        <f t="shared" si="82"/>
        <v>OK</v>
      </c>
      <c r="T623">
        <v>3536.52</v>
      </c>
      <c r="U623">
        <v>2102.41</v>
      </c>
      <c r="V623">
        <v>1363.28</v>
      </c>
      <c r="W623" t="s">
        <v>31</v>
      </c>
      <c r="X623" t="s">
        <v>32</v>
      </c>
      <c r="Y623">
        <f t="shared" si="75"/>
        <v>0.25</v>
      </c>
      <c r="Z623">
        <f t="shared" si="76"/>
        <v>3536.5199999999995</v>
      </c>
      <c r="AA623">
        <f t="shared" si="77"/>
        <v>1434.1099999999997</v>
      </c>
      <c r="AB623">
        <f t="shared" si="78"/>
        <v>40.551446054313281</v>
      </c>
      <c r="AC623">
        <f t="shared" si="79"/>
        <v>9</v>
      </c>
      <c r="AD623">
        <f t="shared" si="80"/>
        <v>2025</v>
      </c>
      <c r="AE623" t="str">
        <f t="shared" si="81"/>
        <v>CLEAN</v>
      </c>
    </row>
    <row r="624" spans="1:31">
      <c r="A624" t="s">
        <v>2186</v>
      </c>
      <c r="B624" s="2">
        <v>45690</v>
      </c>
      <c r="C624" s="2">
        <v>45694</v>
      </c>
      <c r="D624" s="5">
        <f>C624-B624</f>
        <v>4</v>
      </c>
      <c r="E624" s="5" t="str">
        <f>IF(D624&lt;0,"INVALID","OK")</f>
        <v>OK</v>
      </c>
      <c r="F624" t="s">
        <v>2187</v>
      </c>
      <c r="G624" t="s">
        <v>22</v>
      </c>
      <c r="H624" t="s">
        <v>36</v>
      </c>
      <c r="I624" t="s">
        <v>62</v>
      </c>
      <c r="J624" t="s">
        <v>25</v>
      </c>
      <c r="K624" t="s">
        <v>108</v>
      </c>
      <c r="L624" t="s">
        <v>40</v>
      </c>
      <c r="M624" t="s">
        <v>41</v>
      </c>
      <c r="N624" t="s">
        <v>2188</v>
      </c>
      <c r="O624" t="s">
        <v>30</v>
      </c>
      <c r="P624">
        <v>3</v>
      </c>
      <c r="Q624">
        <v>997.34</v>
      </c>
      <c r="R624">
        <v>0.1</v>
      </c>
      <c r="S624" t="str">
        <f t="shared" si="82"/>
        <v>OK</v>
      </c>
      <c r="T624">
        <v>2692.82</v>
      </c>
      <c r="U624">
        <v>1820.08</v>
      </c>
      <c r="V624">
        <v>872.74</v>
      </c>
      <c r="W624" t="s">
        <v>31</v>
      </c>
      <c r="X624" t="s">
        <v>32</v>
      </c>
      <c r="Y624">
        <f t="shared" si="75"/>
        <v>0.1</v>
      </c>
      <c r="Z624">
        <f t="shared" si="76"/>
        <v>2692.8180000000002</v>
      </c>
      <c r="AA624">
        <f t="shared" si="77"/>
        <v>872.73800000000028</v>
      </c>
      <c r="AB624">
        <f t="shared" si="78"/>
        <v>32.409839803506969</v>
      </c>
      <c r="AC624">
        <f t="shared" si="79"/>
        <v>2</v>
      </c>
      <c r="AD624">
        <f t="shared" si="80"/>
        <v>2025</v>
      </c>
      <c r="AE624" t="str">
        <f t="shared" si="81"/>
        <v>CLEAN</v>
      </c>
    </row>
    <row r="625" spans="1:31">
      <c r="A625" t="s">
        <v>2201</v>
      </c>
      <c r="B625" s="2">
        <v>45832</v>
      </c>
      <c r="C625" s="2">
        <v>45834</v>
      </c>
      <c r="D625" s="5">
        <f>C625-B625</f>
        <v>2</v>
      </c>
      <c r="E625" s="5" t="str">
        <f>IF(D625&lt;0,"INVALID","OK")</f>
        <v>OK</v>
      </c>
      <c r="F625" t="s">
        <v>2202</v>
      </c>
      <c r="G625" t="s">
        <v>70</v>
      </c>
      <c r="H625" t="s">
        <v>23</v>
      </c>
      <c r="I625" t="s">
        <v>24</v>
      </c>
      <c r="J625" t="s">
        <v>25</v>
      </c>
      <c r="K625" t="s">
        <v>26</v>
      </c>
      <c r="L625" t="s">
        <v>73</v>
      </c>
      <c r="M625" t="s">
        <v>74</v>
      </c>
      <c r="N625" t="s">
        <v>2203</v>
      </c>
      <c r="O625" t="s">
        <v>43</v>
      </c>
      <c r="P625">
        <v>5</v>
      </c>
      <c r="Q625">
        <v>3722.66</v>
      </c>
      <c r="R625">
        <v>0.55000000000000004</v>
      </c>
      <c r="S625" t="str">
        <f t="shared" si="82"/>
        <v>INVALID</v>
      </c>
      <c r="T625">
        <v>16751.97</v>
      </c>
      <c r="U625">
        <v>11678.32</v>
      </c>
      <c r="V625">
        <v>5073.6499999999996</v>
      </c>
      <c r="W625" t="s">
        <v>31</v>
      </c>
      <c r="X625" t="s">
        <v>32</v>
      </c>
      <c r="Y625">
        <f t="shared" si="75"/>
        <v>0</v>
      </c>
      <c r="Z625">
        <f t="shared" si="76"/>
        <v>18613.3</v>
      </c>
      <c r="AA625">
        <f t="shared" si="77"/>
        <v>6934.98</v>
      </c>
      <c r="AB625">
        <f t="shared" si="78"/>
        <v>37.258197095625171</v>
      </c>
      <c r="AC625">
        <f t="shared" si="79"/>
        <v>6</v>
      </c>
      <c r="AD625">
        <f t="shared" si="80"/>
        <v>2025</v>
      </c>
      <c r="AE625" t="str">
        <f t="shared" si="81"/>
        <v>WARNING</v>
      </c>
    </row>
    <row r="626" spans="1:31">
      <c r="A626" t="s">
        <v>2204</v>
      </c>
      <c r="B626" s="2">
        <v>45736</v>
      </c>
      <c r="C626" s="2">
        <v>45742</v>
      </c>
      <c r="D626" s="5">
        <f>C626-B626</f>
        <v>6</v>
      </c>
      <c r="E626" s="5" t="str">
        <f>IF(D626&lt;0,"INVALID","OK")</f>
        <v>OK</v>
      </c>
      <c r="F626" t="s">
        <v>2205</v>
      </c>
      <c r="G626" t="s">
        <v>131</v>
      </c>
      <c r="H626" t="s">
        <v>23</v>
      </c>
      <c r="I626" t="s">
        <v>37</v>
      </c>
      <c r="J626" t="s">
        <v>165</v>
      </c>
      <c r="K626" t="s">
        <v>166</v>
      </c>
      <c r="L626" t="s">
        <v>40</v>
      </c>
      <c r="M626" t="s">
        <v>157</v>
      </c>
      <c r="N626" t="s">
        <v>2206</v>
      </c>
      <c r="O626" t="s">
        <v>49</v>
      </c>
      <c r="P626">
        <v>4</v>
      </c>
      <c r="Q626">
        <v>4357.66</v>
      </c>
      <c r="R626">
        <v>0.05</v>
      </c>
      <c r="S626" t="str">
        <f t="shared" si="82"/>
        <v>OK</v>
      </c>
      <c r="T626">
        <v>16559.11</v>
      </c>
      <c r="U626">
        <v>13233.79</v>
      </c>
      <c r="V626">
        <v>3325.32</v>
      </c>
      <c r="W626" t="s">
        <v>31</v>
      </c>
      <c r="X626" t="s">
        <v>32</v>
      </c>
      <c r="Y626">
        <f t="shared" si="75"/>
        <v>0.05</v>
      </c>
      <c r="Z626">
        <f t="shared" si="76"/>
        <v>16559.108</v>
      </c>
      <c r="AA626">
        <f t="shared" si="77"/>
        <v>3325.3179999999993</v>
      </c>
      <c r="AB626">
        <f t="shared" si="78"/>
        <v>20.081504390212316</v>
      </c>
      <c r="AC626">
        <f t="shared" si="79"/>
        <v>3</v>
      </c>
      <c r="AD626">
        <f t="shared" si="80"/>
        <v>2025</v>
      </c>
      <c r="AE626" t="str">
        <f t="shared" si="81"/>
        <v>CLEAN</v>
      </c>
    </row>
    <row r="627" spans="1:31">
      <c r="A627" t="s">
        <v>2213</v>
      </c>
      <c r="B627" s="2">
        <v>45690</v>
      </c>
      <c r="C627" s="2">
        <v>45690</v>
      </c>
      <c r="D627" s="5">
        <f>C627-B627</f>
        <v>0</v>
      </c>
      <c r="E627" s="5" t="str">
        <f>IF(D627&lt;0,"INVALID","OK")</f>
        <v>OK</v>
      </c>
      <c r="F627" t="s">
        <v>2214</v>
      </c>
      <c r="G627" t="s">
        <v>263</v>
      </c>
      <c r="H627" t="s">
        <v>89</v>
      </c>
      <c r="I627" t="s">
        <v>37</v>
      </c>
      <c r="J627" t="s">
        <v>98</v>
      </c>
      <c r="K627" t="s">
        <v>99</v>
      </c>
      <c r="L627" t="s">
        <v>73</v>
      </c>
      <c r="M627" t="s">
        <v>273</v>
      </c>
      <c r="N627" t="s">
        <v>2215</v>
      </c>
      <c r="O627" t="s">
        <v>49</v>
      </c>
      <c r="P627">
        <v>1</v>
      </c>
      <c r="Q627">
        <v>4326.75</v>
      </c>
      <c r="R627">
        <v>0.05</v>
      </c>
      <c r="S627" t="str">
        <f t="shared" si="82"/>
        <v>OK</v>
      </c>
      <c r="T627">
        <v>4110.41</v>
      </c>
      <c r="U627">
        <v>2394.14</v>
      </c>
      <c r="V627">
        <v>1716.27</v>
      </c>
      <c r="W627" t="s">
        <v>110</v>
      </c>
      <c r="X627" t="s">
        <v>102</v>
      </c>
      <c r="Y627">
        <f t="shared" si="75"/>
        <v>0.05</v>
      </c>
      <c r="Z627">
        <f t="shared" si="76"/>
        <v>4110.4124999999995</v>
      </c>
      <c r="AA627">
        <f t="shared" si="77"/>
        <v>1716.2724999999996</v>
      </c>
      <c r="AB627">
        <f t="shared" si="78"/>
        <v>41.754264322619683</v>
      </c>
      <c r="AC627">
        <f t="shared" si="79"/>
        <v>2</v>
      </c>
      <c r="AD627">
        <f t="shared" si="80"/>
        <v>2025</v>
      </c>
      <c r="AE627" t="str">
        <f t="shared" si="81"/>
        <v>CLEAN</v>
      </c>
    </row>
    <row r="628" spans="1:31">
      <c r="A628" t="s">
        <v>2219</v>
      </c>
      <c r="B628" s="2">
        <v>45814</v>
      </c>
      <c r="C628" s="2">
        <v>45818</v>
      </c>
      <c r="D628" s="5">
        <f>C628-B628</f>
        <v>4</v>
      </c>
      <c r="E628" s="5" t="str">
        <f>IF(D628&lt;0,"INVALID","OK")</f>
        <v>OK</v>
      </c>
      <c r="F628" t="s">
        <v>598</v>
      </c>
      <c r="G628" t="s">
        <v>35</v>
      </c>
      <c r="H628" t="s">
        <v>23</v>
      </c>
      <c r="I628" t="s">
        <v>62</v>
      </c>
      <c r="J628" t="s">
        <v>25</v>
      </c>
      <c r="K628" t="s">
        <v>108</v>
      </c>
      <c r="L628" t="s">
        <v>73</v>
      </c>
      <c r="M628" t="s">
        <v>273</v>
      </c>
      <c r="N628" t="s">
        <v>2220</v>
      </c>
      <c r="O628" t="s">
        <v>30</v>
      </c>
      <c r="P628">
        <v>1</v>
      </c>
      <c r="Q628">
        <v>289.97000000000003</v>
      </c>
      <c r="R628">
        <v>0.25</v>
      </c>
      <c r="S628" t="str">
        <f t="shared" si="82"/>
        <v>OK</v>
      </c>
      <c r="T628">
        <v>217.48</v>
      </c>
      <c r="U628">
        <v>132.13</v>
      </c>
      <c r="V628">
        <v>85.35</v>
      </c>
      <c r="W628" t="s">
        <v>31</v>
      </c>
      <c r="X628" t="s">
        <v>32</v>
      </c>
      <c r="Y628">
        <f t="shared" si="75"/>
        <v>0.25</v>
      </c>
      <c r="Z628">
        <f t="shared" si="76"/>
        <v>217.47750000000002</v>
      </c>
      <c r="AA628">
        <f t="shared" si="77"/>
        <v>85.347500000000025</v>
      </c>
      <c r="AB628">
        <f t="shared" si="78"/>
        <v>39.244289639158083</v>
      </c>
      <c r="AC628">
        <f t="shared" si="79"/>
        <v>6</v>
      </c>
      <c r="AD628">
        <f t="shared" si="80"/>
        <v>2025</v>
      </c>
      <c r="AE628" t="str">
        <f t="shared" si="81"/>
        <v>CLEAN</v>
      </c>
    </row>
    <row r="629" spans="1:31">
      <c r="A629" t="s">
        <v>2221</v>
      </c>
      <c r="B629" s="2">
        <v>45738</v>
      </c>
      <c r="C629" s="2">
        <v>45739</v>
      </c>
      <c r="D629" s="5">
        <f>C629-B629</f>
        <v>1</v>
      </c>
      <c r="E629" s="5" t="str">
        <f>IF(D629&lt;0,"INVALID","OK")</f>
        <v>OK</v>
      </c>
      <c r="F629" t="s">
        <v>2222</v>
      </c>
      <c r="G629" t="s">
        <v>22</v>
      </c>
      <c r="H629" t="s">
        <v>94</v>
      </c>
      <c r="I629" t="s">
        <v>24</v>
      </c>
      <c r="J629" t="s">
        <v>349</v>
      </c>
      <c r="K629" t="s">
        <v>350</v>
      </c>
      <c r="L629" t="s">
        <v>73</v>
      </c>
      <c r="M629" t="s">
        <v>79</v>
      </c>
      <c r="N629" t="s">
        <v>2223</v>
      </c>
      <c r="O629" t="s">
        <v>58</v>
      </c>
      <c r="P629">
        <v>9</v>
      </c>
      <c r="Q629">
        <v>2075.02</v>
      </c>
      <c r="R629">
        <v>0</v>
      </c>
      <c r="S629" t="str">
        <f t="shared" si="82"/>
        <v>OK</v>
      </c>
      <c r="T629">
        <v>18675.18</v>
      </c>
      <c r="U629">
        <v>13974.7</v>
      </c>
      <c r="V629">
        <v>4700.4799999999996</v>
      </c>
      <c r="W629" t="s">
        <v>31</v>
      </c>
      <c r="X629" t="s">
        <v>32</v>
      </c>
      <c r="Y629">
        <f t="shared" si="75"/>
        <v>0</v>
      </c>
      <c r="Z629">
        <f t="shared" si="76"/>
        <v>18675.18</v>
      </c>
      <c r="AA629">
        <f t="shared" si="77"/>
        <v>4700.4799999999996</v>
      </c>
      <c r="AB629">
        <f t="shared" si="78"/>
        <v>25.169663692665878</v>
      </c>
      <c r="AC629">
        <f t="shared" si="79"/>
        <v>3</v>
      </c>
      <c r="AD629">
        <f t="shared" si="80"/>
        <v>2025</v>
      </c>
      <c r="AE629" t="str">
        <f t="shared" si="81"/>
        <v>CLEAN</v>
      </c>
    </row>
    <row r="630" spans="1:31">
      <c r="A630" t="s">
        <v>2227</v>
      </c>
      <c r="B630" s="2">
        <v>45895</v>
      </c>
      <c r="C630" s="2">
        <v>45900</v>
      </c>
      <c r="D630" s="5">
        <f>C630-B630</f>
        <v>5</v>
      </c>
      <c r="E630" s="5" t="str">
        <f>IF(D630&lt;0,"INVALID","OK")</f>
        <v>OK</v>
      </c>
      <c r="F630" t="s">
        <v>2228</v>
      </c>
      <c r="G630" t="s">
        <v>161</v>
      </c>
      <c r="H630" t="s">
        <v>36</v>
      </c>
      <c r="I630" t="s">
        <v>24</v>
      </c>
      <c r="J630" t="s">
        <v>235</v>
      </c>
      <c r="K630" t="s">
        <v>236</v>
      </c>
      <c r="L630" t="s">
        <v>73</v>
      </c>
      <c r="M630" t="s">
        <v>170</v>
      </c>
      <c r="N630" t="s">
        <v>2229</v>
      </c>
      <c r="O630" t="s">
        <v>49</v>
      </c>
      <c r="P630">
        <v>1</v>
      </c>
      <c r="Q630">
        <v>3388.02</v>
      </c>
      <c r="R630">
        <v>0.15</v>
      </c>
      <c r="S630" t="str">
        <f t="shared" si="82"/>
        <v>OK</v>
      </c>
      <c r="T630">
        <v>2879.82</v>
      </c>
      <c r="U630">
        <v>1824.88</v>
      </c>
      <c r="V630">
        <v>1054.94</v>
      </c>
      <c r="W630" t="s">
        <v>31</v>
      </c>
      <c r="X630" t="s">
        <v>32</v>
      </c>
      <c r="Y630">
        <f t="shared" si="75"/>
        <v>0.15</v>
      </c>
      <c r="Z630">
        <f t="shared" si="76"/>
        <v>2879.817</v>
      </c>
      <c r="AA630">
        <f t="shared" si="77"/>
        <v>1054.9369999999999</v>
      </c>
      <c r="AB630">
        <f t="shared" si="78"/>
        <v>36.632084608153917</v>
      </c>
      <c r="AC630">
        <f t="shared" si="79"/>
        <v>8</v>
      </c>
      <c r="AD630">
        <f t="shared" si="80"/>
        <v>2025</v>
      </c>
      <c r="AE630" t="str">
        <f t="shared" si="81"/>
        <v>CLEAN</v>
      </c>
    </row>
    <row r="631" spans="1:31">
      <c r="A631" t="s">
        <v>2236</v>
      </c>
      <c r="B631" s="2">
        <v>45908</v>
      </c>
      <c r="C631" s="2">
        <v>45909</v>
      </c>
      <c r="D631" s="5">
        <f>C631-B631</f>
        <v>1</v>
      </c>
      <c r="E631" s="5" t="str">
        <f>IF(D631&lt;0,"INVALID","OK")</f>
        <v>OK</v>
      </c>
      <c r="F631" t="s">
        <v>143</v>
      </c>
      <c r="G631" t="s">
        <v>263</v>
      </c>
      <c r="H631" t="s">
        <v>89</v>
      </c>
      <c r="I631" t="s">
        <v>62</v>
      </c>
      <c r="J631" t="s">
        <v>179</v>
      </c>
      <c r="K631" t="s">
        <v>180</v>
      </c>
      <c r="L631" t="s">
        <v>27</v>
      </c>
      <c r="M631" t="s">
        <v>47</v>
      </c>
      <c r="N631" t="s">
        <v>2237</v>
      </c>
      <c r="O631" t="s">
        <v>43</v>
      </c>
      <c r="P631">
        <v>2</v>
      </c>
      <c r="Q631">
        <v>2372.41</v>
      </c>
      <c r="R631">
        <v>0.2</v>
      </c>
      <c r="S631" t="str">
        <f t="shared" si="82"/>
        <v>OK</v>
      </c>
      <c r="T631">
        <v>3795.86</v>
      </c>
      <c r="U631">
        <v>2264.92</v>
      </c>
      <c r="V631">
        <v>1530.94</v>
      </c>
      <c r="W631" t="s">
        <v>31</v>
      </c>
      <c r="X631" t="s">
        <v>32</v>
      </c>
      <c r="Y631">
        <f t="shared" si="75"/>
        <v>0.2</v>
      </c>
      <c r="Z631">
        <f t="shared" si="76"/>
        <v>3795.8559999999998</v>
      </c>
      <c r="AA631">
        <f t="shared" si="77"/>
        <v>1530.9359999999997</v>
      </c>
      <c r="AB631">
        <f t="shared" si="78"/>
        <v>40.331772332775529</v>
      </c>
      <c r="AC631">
        <f t="shared" si="79"/>
        <v>9</v>
      </c>
      <c r="AD631">
        <f t="shared" si="80"/>
        <v>2025</v>
      </c>
      <c r="AE631" t="str">
        <f t="shared" si="81"/>
        <v>CLEAN</v>
      </c>
    </row>
    <row r="632" spans="1:31">
      <c r="A632" t="s">
        <v>2241</v>
      </c>
      <c r="B632" s="2">
        <v>45827</v>
      </c>
      <c r="C632" s="2">
        <v>45831</v>
      </c>
      <c r="D632" s="5">
        <f>C632-B632</f>
        <v>4</v>
      </c>
      <c r="E632" s="5" t="str">
        <f>IF(D632&lt;0,"INVALID","OK")</f>
        <v>OK</v>
      </c>
      <c r="F632" t="s">
        <v>2242</v>
      </c>
      <c r="G632" t="s">
        <v>131</v>
      </c>
      <c r="H632" t="s">
        <v>23</v>
      </c>
      <c r="I632" t="s">
        <v>53</v>
      </c>
      <c r="J632" t="s">
        <v>174</v>
      </c>
      <c r="K632" t="s">
        <v>175</v>
      </c>
      <c r="L632" t="s">
        <v>73</v>
      </c>
      <c r="M632" t="s">
        <v>79</v>
      </c>
      <c r="N632" t="s">
        <v>2243</v>
      </c>
      <c r="O632" t="s">
        <v>49</v>
      </c>
      <c r="P632">
        <v>5</v>
      </c>
      <c r="Q632">
        <v>2729.95</v>
      </c>
      <c r="R632">
        <v>0</v>
      </c>
      <c r="S632" t="str">
        <f t="shared" si="82"/>
        <v>OK</v>
      </c>
      <c r="T632">
        <v>13649.75</v>
      </c>
      <c r="U632">
        <v>10288.030000000001</v>
      </c>
      <c r="V632">
        <v>3361.72</v>
      </c>
      <c r="W632" t="s">
        <v>31</v>
      </c>
      <c r="X632" t="s">
        <v>32</v>
      </c>
      <c r="Y632">
        <f t="shared" si="75"/>
        <v>0</v>
      </c>
      <c r="Z632">
        <f t="shared" si="76"/>
        <v>13649.75</v>
      </c>
      <c r="AA632">
        <f t="shared" si="77"/>
        <v>3361.7199999999993</v>
      </c>
      <c r="AB632">
        <f t="shared" si="78"/>
        <v>24.628436418249414</v>
      </c>
      <c r="AC632">
        <f t="shared" si="79"/>
        <v>6</v>
      </c>
      <c r="AD632">
        <f t="shared" si="80"/>
        <v>2025</v>
      </c>
      <c r="AE632" t="str">
        <f t="shared" si="81"/>
        <v>CLEAN</v>
      </c>
    </row>
    <row r="633" spans="1:31">
      <c r="A633" t="s">
        <v>2253</v>
      </c>
      <c r="B633" s="2">
        <v>45935</v>
      </c>
      <c r="C633" s="2">
        <v>45942</v>
      </c>
      <c r="D633" s="5">
        <f>C633-B633</f>
        <v>7</v>
      </c>
      <c r="E633" s="5" t="str">
        <f>IF(D633&lt;0,"INVALID","OK")</f>
        <v>OK</v>
      </c>
      <c r="F633" t="s">
        <v>2254</v>
      </c>
      <c r="G633" t="s">
        <v>113</v>
      </c>
      <c r="H633" t="s">
        <v>89</v>
      </c>
      <c r="I633" t="s">
        <v>53</v>
      </c>
      <c r="J633" t="s">
        <v>174</v>
      </c>
      <c r="K633" t="s">
        <v>175</v>
      </c>
      <c r="L633" t="s">
        <v>40</v>
      </c>
      <c r="M633" t="s">
        <v>41</v>
      </c>
      <c r="N633" t="s">
        <v>2255</v>
      </c>
      <c r="O633" t="s">
        <v>30</v>
      </c>
      <c r="P633">
        <v>7</v>
      </c>
      <c r="Q633">
        <v>2134.73</v>
      </c>
      <c r="R633">
        <v>0</v>
      </c>
      <c r="S633" t="str">
        <f t="shared" si="82"/>
        <v>OK</v>
      </c>
      <c r="T633">
        <v>14943.11</v>
      </c>
      <c r="U633">
        <v>8521.5</v>
      </c>
      <c r="V633">
        <v>6421.61</v>
      </c>
      <c r="W633" t="s">
        <v>31</v>
      </c>
      <c r="X633" t="s">
        <v>32</v>
      </c>
      <c r="Y633">
        <f t="shared" si="75"/>
        <v>0</v>
      </c>
      <c r="Z633">
        <f t="shared" si="76"/>
        <v>14943.11</v>
      </c>
      <c r="AA633">
        <f t="shared" si="77"/>
        <v>6421.6100000000006</v>
      </c>
      <c r="AB633">
        <f t="shared" si="78"/>
        <v>42.973718322357264</v>
      </c>
      <c r="AC633">
        <f t="shared" si="79"/>
        <v>10</v>
      </c>
      <c r="AD633">
        <f t="shared" si="80"/>
        <v>2025</v>
      </c>
      <c r="AE633" t="str">
        <f t="shared" si="81"/>
        <v>CLEAN</v>
      </c>
    </row>
    <row r="634" spans="1:31">
      <c r="A634" t="s">
        <v>2265</v>
      </c>
      <c r="B634" s="2">
        <v>45794</v>
      </c>
      <c r="C634" s="2">
        <v>45802</v>
      </c>
      <c r="D634" s="5">
        <f>C634-B634</f>
        <v>8</v>
      </c>
      <c r="E634" s="5" t="str">
        <f>IF(D634&lt;0,"INVALID","OK")</f>
        <v>OK</v>
      </c>
      <c r="F634" t="s">
        <v>2266</v>
      </c>
      <c r="G634" t="s">
        <v>61</v>
      </c>
      <c r="H634" t="s">
        <v>89</v>
      </c>
      <c r="I634" t="s">
        <v>53</v>
      </c>
      <c r="J634" t="s">
        <v>246</v>
      </c>
      <c r="K634" t="s">
        <v>247</v>
      </c>
      <c r="L634" t="s">
        <v>73</v>
      </c>
      <c r="M634" t="s">
        <v>273</v>
      </c>
      <c r="N634" t="s">
        <v>2267</v>
      </c>
      <c r="O634" t="s">
        <v>43</v>
      </c>
      <c r="P634">
        <v>6</v>
      </c>
      <c r="Q634">
        <v>1810.63</v>
      </c>
      <c r="R634">
        <v>0.15</v>
      </c>
      <c r="S634" t="str">
        <f t="shared" si="82"/>
        <v>OK</v>
      </c>
      <c r="T634">
        <v>9234.2099999999991</v>
      </c>
      <c r="U634">
        <v>5516.52</v>
      </c>
      <c r="V634">
        <v>3717.69</v>
      </c>
      <c r="W634" t="s">
        <v>31</v>
      </c>
      <c r="X634" t="s">
        <v>32</v>
      </c>
      <c r="Y634">
        <f t="shared" si="75"/>
        <v>0.15</v>
      </c>
      <c r="Z634">
        <f t="shared" si="76"/>
        <v>9234.2129999999997</v>
      </c>
      <c r="AA634">
        <f t="shared" si="77"/>
        <v>3717.6929999999993</v>
      </c>
      <c r="AB634">
        <f t="shared" si="78"/>
        <v>40.259987505161504</v>
      </c>
      <c r="AC634">
        <f t="shared" si="79"/>
        <v>5</v>
      </c>
      <c r="AD634">
        <f t="shared" si="80"/>
        <v>2025</v>
      </c>
      <c r="AE634" t="str">
        <f t="shared" si="81"/>
        <v>CLEAN</v>
      </c>
    </row>
    <row r="635" spans="1:31">
      <c r="A635" t="s">
        <v>2292</v>
      </c>
      <c r="B635" s="2">
        <v>45708</v>
      </c>
      <c r="C635" s="2">
        <v>45710</v>
      </c>
      <c r="D635" s="5">
        <f>C635-B635</f>
        <v>2</v>
      </c>
      <c r="E635" s="5" t="str">
        <f>IF(D635&lt;0,"INVALID","OK")</f>
        <v>OK</v>
      </c>
      <c r="F635" t="s">
        <v>2293</v>
      </c>
      <c r="G635" t="s">
        <v>113</v>
      </c>
      <c r="H635" t="s">
        <v>89</v>
      </c>
      <c r="I635" t="s">
        <v>53</v>
      </c>
      <c r="J635" t="s">
        <v>184</v>
      </c>
      <c r="K635" t="s">
        <v>185</v>
      </c>
      <c r="L635" t="s">
        <v>27</v>
      </c>
      <c r="M635" t="s">
        <v>28</v>
      </c>
      <c r="N635" t="s">
        <v>2294</v>
      </c>
      <c r="O635" t="s">
        <v>49</v>
      </c>
      <c r="P635">
        <v>1</v>
      </c>
      <c r="Q635">
        <v>2188.19</v>
      </c>
      <c r="R635">
        <v>0</v>
      </c>
      <c r="S635" t="str">
        <f t="shared" ref="S635:S686" si="83">IF(R635&lt;0,"INVALID",IF(R635&gt;0.5,"INVALID","OK"))</f>
        <v>OK</v>
      </c>
      <c r="T635">
        <v>2188.19</v>
      </c>
      <c r="U635">
        <v>1298.8399999999999</v>
      </c>
      <c r="V635">
        <v>889.35</v>
      </c>
      <c r="W635" t="s">
        <v>31</v>
      </c>
      <c r="X635" t="s">
        <v>32</v>
      </c>
      <c r="Y635">
        <f t="shared" si="75"/>
        <v>0</v>
      </c>
      <c r="Z635">
        <f t="shared" si="76"/>
        <v>2188.19</v>
      </c>
      <c r="AA635">
        <f t="shared" si="77"/>
        <v>889.35000000000014</v>
      </c>
      <c r="AB635">
        <f t="shared" si="78"/>
        <v>40.643179979800664</v>
      </c>
      <c r="AC635">
        <f t="shared" si="79"/>
        <v>2</v>
      </c>
      <c r="AD635">
        <f t="shared" si="80"/>
        <v>2025</v>
      </c>
      <c r="AE635" t="str">
        <f t="shared" si="81"/>
        <v>CLEAN</v>
      </c>
    </row>
    <row r="636" spans="1:31">
      <c r="A636" t="s">
        <v>2306</v>
      </c>
      <c r="B636" s="2">
        <v>45700</v>
      </c>
      <c r="C636" s="2">
        <v>45702</v>
      </c>
      <c r="D636" s="5">
        <f>C636-B636</f>
        <v>2</v>
      </c>
      <c r="E636" s="5" t="str">
        <f>IF(D636&lt;0,"INVALID","OK")</f>
        <v>OK</v>
      </c>
      <c r="F636" t="s">
        <v>2307</v>
      </c>
      <c r="G636" t="s">
        <v>131</v>
      </c>
      <c r="H636" t="s">
        <v>23</v>
      </c>
      <c r="I636" t="s">
        <v>24</v>
      </c>
      <c r="J636" t="s">
        <v>135</v>
      </c>
      <c r="K636" t="s">
        <v>136</v>
      </c>
      <c r="L636" t="s">
        <v>27</v>
      </c>
      <c r="M636" t="s">
        <v>47</v>
      </c>
      <c r="N636" t="s">
        <v>2308</v>
      </c>
      <c r="O636" t="s">
        <v>58</v>
      </c>
      <c r="P636">
        <v>6</v>
      </c>
      <c r="Q636">
        <v>491.4</v>
      </c>
      <c r="R636">
        <v>0.25</v>
      </c>
      <c r="S636" t="str">
        <f t="shared" si="83"/>
        <v>OK</v>
      </c>
      <c r="T636">
        <v>2211.3000000000002</v>
      </c>
      <c r="U636">
        <v>1735.64</v>
      </c>
      <c r="V636">
        <v>475.66</v>
      </c>
      <c r="W636" t="s">
        <v>31</v>
      </c>
      <c r="X636" t="s">
        <v>32</v>
      </c>
      <c r="Y636">
        <f t="shared" si="75"/>
        <v>0.25</v>
      </c>
      <c r="Z636">
        <f t="shared" si="76"/>
        <v>2211.2999999999997</v>
      </c>
      <c r="AA636">
        <f t="shared" si="77"/>
        <v>475.65999999999963</v>
      </c>
      <c r="AB636">
        <f t="shared" si="78"/>
        <v>21.510423732645943</v>
      </c>
      <c r="AC636">
        <f t="shared" si="79"/>
        <v>2</v>
      </c>
      <c r="AD636">
        <f t="shared" si="80"/>
        <v>2025</v>
      </c>
      <c r="AE636" t="str">
        <f t="shared" si="81"/>
        <v>CLEAN</v>
      </c>
    </row>
    <row r="637" spans="1:31">
      <c r="A637" t="s">
        <v>2315</v>
      </c>
      <c r="B637" s="2">
        <v>45661</v>
      </c>
      <c r="C637" s="2">
        <v>45931</v>
      </c>
      <c r="D637" s="5">
        <f>C637-B637</f>
        <v>270</v>
      </c>
      <c r="E637" s="5" t="str">
        <f>IF(D637&lt;0,"INVALID","OK")</f>
        <v>OK</v>
      </c>
      <c r="F637" t="s">
        <v>2024</v>
      </c>
      <c r="G637" t="s">
        <v>127</v>
      </c>
      <c r="H637" t="s">
        <v>94</v>
      </c>
      <c r="I637" t="s">
        <v>37</v>
      </c>
      <c r="J637" t="s">
        <v>98</v>
      </c>
      <c r="K637" t="s">
        <v>99</v>
      </c>
      <c r="L637" t="s">
        <v>27</v>
      </c>
      <c r="M637" t="s">
        <v>28</v>
      </c>
      <c r="N637" t="s">
        <v>2316</v>
      </c>
      <c r="O637" t="s">
        <v>58</v>
      </c>
      <c r="P637">
        <v>4</v>
      </c>
      <c r="Q637">
        <v>2583.19</v>
      </c>
      <c r="R637">
        <v>0.2</v>
      </c>
      <c r="S637" t="str">
        <f t="shared" si="83"/>
        <v>OK</v>
      </c>
      <c r="T637">
        <v>8266.2099999999991</v>
      </c>
      <c r="U637">
        <v>6236.32</v>
      </c>
      <c r="V637">
        <v>2029.89</v>
      </c>
      <c r="W637" t="s">
        <v>31</v>
      </c>
      <c r="X637" t="s">
        <v>32</v>
      </c>
      <c r="Y637">
        <f t="shared" si="75"/>
        <v>0.2</v>
      </c>
      <c r="Z637">
        <f t="shared" si="76"/>
        <v>8266.2080000000005</v>
      </c>
      <c r="AA637">
        <f t="shared" si="77"/>
        <v>2029.8880000000008</v>
      </c>
      <c r="AB637">
        <f t="shared" si="78"/>
        <v>24.556459261610652</v>
      </c>
      <c r="AC637">
        <f t="shared" si="79"/>
        <v>1</v>
      </c>
      <c r="AD637">
        <f t="shared" si="80"/>
        <v>2025</v>
      </c>
      <c r="AE637" t="str">
        <f t="shared" si="81"/>
        <v>CLEAN</v>
      </c>
    </row>
    <row r="638" spans="1:31">
      <c r="A638" t="s">
        <v>2326</v>
      </c>
      <c r="B638" s="2">
        <v>45810</v>
      </c>
      <c r="C638" s="2">
        <v>45810</v>
      </c>
      <c r="D638" s="5">
        <f>C638-B638</f>
        <v>0</v>
      </c>
      <c r="E638" s="5" t="str">
        <f>IF(D638&lt;0,"INVALID","OK")</f>
        <v>OK</v>
      </c>
      <c r="F638" t="s">
        <v>2327</v>
      </c>
      <c r="G638" t="s">
        <v>127</v>
      </c>
      <c r="H638" t="s">
        <v>94</v>
      </c>
      <c r="I638" t="s">
        <v>53</v>
      </c>
      <c r="J638" t="s">
        <v>54</v>
      </c>
      <c r="K638" t="s">
        <v>55</v>
      </c>
      <c r="L638" t="s">
        <v>73</v>
      </c>
      <c r="M638" t="s">
        <v>74</v>
      </c>
      <c r="N638" t="s">
        <v>2328</v>
      </c>
      <c r="O638" t="s">
        <v>49</v>
      </c>
      <c r="P638">
        <v>8</v>
      </c>
      <c r="Q638">
        <v>3925.93</v>
      </c>
      <c r="R638">
        <v>0.15</v>
      </c>
      <c r="S638" t="str">
        <f t="shared" si="83"/>
        <v>OK</v>
      </c>
      <c r="T638">
        <v>26696.32</v>
      </c>
      <c r="U638">
        <v>22724.52</v>
      </c>
      <c r="V638">
        <v>3971.8</v>
      </c>
      <c r="W638" t="s">
        <v>31</v>
      </c>
      <c r="X638" t="s">
        <v>32</v>
      </c>
      <c r="Y638">
        <f t="shared" si="75"/>
        <v>0.15</v>
      </c>
      <c r="Z638">
        <f t="shared" si="76"/>
        <v>26696.323999999997</v>
      </c>
      <c r="AA638">
        <f t="shared" si="77"/>
        <v>3971.8039999999964</v>
      </c>
      <c r="AB638">
        <f t="shared" si="78"/>
        <v>14.87771874509763</v>
      </c>
      <c r="AC638">
        <f t="shared" si="79"/>
        <v>6</v>
      </c>
      <c r="AD638">
        <f t="shared" si="80"/>
        <v>2025</v>
      </c>
      <c r="AE638" t="str">
        <f t="shared" si="81"/>
        <v>CLEAN</v>
      </c>
    </row>
    <row r="639" spans="1:31">
      <c r="A639" t="s">
        <v>2329</v>
      </c>
      <c r="B639" s="2">
        <v>45856</v>
      </c>
      <c r="C639" s="2">
        <v>45857</v>
      </c>
      <c r="D639" s="5">
        <f>C639-B639</f>
        <v>1</v>
      </c>
      <c r="E639" s="5" t="str">
        <f>IF(D639&lt;0,"INVALID","OK")</f>
        <v>OK</v>
      </c>
      <c r="F639" t="s">
        <v>2330</v>
      </c>
      <c r="G639" t="s">
        <v>113</v>
      </c>
      <c r="H639" t="s">
        <v>94</v>
      </c>
      <c r="I639" t="s">
        <v>2762</v>
      </c>
      <c r="J639" t="s">
        <v>135</v>
      </c>
      <c r="K639" t="s">
        <v>136</v>
      </c>
      <c r="L639" t="s">
        <v>73</v>
      </c>
      <c r="M639" t="s">
        <v>273</v>
      </c>
      <c r="N639" t="s">
        <v>2331</v>
      </c>
      <c r="O639" t="s">
        <v>2762</v>
      </c>
      <c r="P639">
        <v>3</v>
      </c>
      <c r="Q639">
        <v>2963.25</v>
      </c>
      <c r="R639">
        <v>0.05</v>
      </c>
      <c r="S639" t="str">
        <f t="shared" si="83"/>
        <v>OK</v>
      </c>
      <c r="T639">
        <v>8445.26</v>
      </c>
      <c r="U639">
        <v>6937.6</v>
      </c>
      <c r="V639">
        <v>1507.66</v>
      </c>
      <c r="W639" t="s">
        <v>31</v>
      </c>
      <c r="X639" t="s">
        <v>32</v>
      </c>
      <c r="Y639">
        <f t="shared" si="75"/>
        <v>0.05</v>
      </c>
      <c r="Z639">
        <f t="shared" si="76"/>
        <v>8445.2624999999989</v>
      </c>
      <c r="AA639">
        <f t="shared" si="77"/>
        <v>1507.6624999999985</v>
      </c>
      <c r="AB639">
        <f t="shared" si="78"/>
        <v>17.852168597482894</v>
      </c>
      <c r="AC639">
        <f t="shared" si="79"/>
        <v>7</v>
      </c>
      <c r="AD639">
        <f t="shared" si="80"/>
        <v>2025</v>
      </c>
      <c r="AE639" t="str">
        <f t="shared" si="81"/>
        <v>CLEAN</v>
      </c>
    </row>
    <row r="640" spans="1:31">
      <c r="A640" t="s">
        <v>2338</v>
      </c>
      <c r="B640" s="2">
        <v>45812</v>
      </c>
      <c r="C640" s="2">
        <v>45812</v>
      </c>
      <c r="D640" s="5">
        <f>C640-B640</f>
        <v>0</v>
      </c>
      <c r="E640" s="5" t="str">
        <f>IF(D640&lt;0,"INVALID","OK")</f>
        <v>OK</v>
      </c>
      <c r="F640" t="s">
        <v>2339</v>
      </c>
      <c r="G640" t="s">
        <v>78</v>
      </c>
      <c r="H640" t="s">
        <v>89</v>
      </c>
      <c r="I640" t="s">
        <v>53</v>
      </c>
      <c r="J640" t="s">
        <v>184</v>
      </c>
      <c r="K640" t="s">
        <v>185</v>
      </c>
      <c r="L640" t="s">
        <v>27</v>
      </c>
      <c r="M640" t="s">
        <v>123</v>
      </c>
      <c r="N640" t="s">
        <v>2340</v>
      </c>
      <c r="O640" t="s">
        <v>58</v>
      </c>
      <c r="P640">
        <v>4</v>
      </c>
      <c r="Q640">
        <v>891.34</v>
      </c>
      <c r="R640">
        <v>0.25</v>
      </c>
      <c r="S640" t="str">
        <f t="shared" si="83"/>
        <v>OK</v>
      </c>
      <c r="T640">
        <v>2674.02</v>
      </c>
      <c r="U640">
        <v>2207.5700000000002</v>
      </c>
      <c r="V640">
        <v>466.45</v>
      </c>
      <c r="W640" t="s">
        <v>31</v>
      </c>
      <c r="X640" t="s">
        <v>32</v>
      </c>
      <c r="Y640">
        <f t="shared" si="75"/>
        <v>0.25</v>
      </c>
      <c r="Z640">
        <f t="shared" si="76"/>
        <v>2674.02</v>
      </c>
      <c r="AA640">
        <f t="shared" si="77"/>
        <v>466.44999999999982</v>
      </c>
      <c r="AB640">
        <f t="shared" si="78"/>
        <v>17.44377379376369</v>
      </c>
      <c r="AC640">
        <f t="shared" si="79"/>
        <v>6</v>
      </c>
      <c r="AD640">
        <f t="shared" si="80"/>
        <v>2025</v>
      </c>
      <c r="AE640" t="str">
        <f t="shared" si="81"/>
        <v>CLEAN</v>
      </c>
    </row>
    <row r="641" spans="1:31">
      <c r="A641" t="s">
        <v>2341</v>
      </c>
      <c r="B641" s="2">
        <v>45858</v>
      </c>
      <c r="C641" s="2">
        <v>45862</v>
      </c>
      <c r="D641" s="5">
        <f>C641-B641</f>
        <v>4</v>
      </c>
      <c r="E641" s="5" t="str">
        <f>IF(D641&lt;0,"INVALID","OK")</f>
        <v>OK</v>
      </c>
      <c r="F641" t="s">
        <v>2342</v>
      </c>
      <c r="G641" t="s">
        <v>113</v>
      </c>
      <c r="H641" t="s">
        <v>94</v>
      </c>
      <c r="I641" t="s">
        <v>62</v>
      </c>
      <c r="J641" t="s">
        <v>71</v>
      </c>
      <c r="K641" t="s">
        <v>72</v>
      </c>
      <c r="L641" t="s">
        <v>27</v>
      </c>
      <c r="M641" t="s">
        <v>123</v>
      </c>
      <c r="N641" t="s">
        <v>2343</v>
      </c>
      <c r="O641" t="s">
        <v>30</v>
      </c>
      <c r="P641">
        <v>5</v>
      </c>
      <c r="Q641">
        <v>2481.7399999999998</v>
      </c>
      <c r="R641">
        <v>0.2</v>
      </c>
      <c r="S641" t="str">
        <f t="shared" si="83"/>
        <v>OK</v>
      </c>
      <c r="T641">
        <v>9926.9599999999991</v>
      </c>
      <c r="U641">
        <v>7994.98</v>
      </c>
      <c r="V641">
        <v>1931.98</v>
      </c>
      <c r="W641" t="s">
        <v>31</v>
      </c>
      <c r="X641" t="s">
        <v>32</v>
      </c>
      <c r="Y641">
        <f t="shared" si="75"/>
        <v>0.2</v>
      </c>
      <c r="Z641">
        <f t="shared" si="76"/>
        <v>9926.9599999999991</v>
      </c>
      <c r="AA641">
        <f t="shared" si="77"/>
        <v>1931.9799999999996</v>
      </c>
      <c r="AB641">
        <f t="shared" si="78"/>
        <v>19.461950083409217</v>
      </c>
      <c r="AC641">
        <f t="shared" si="79"/>
        <v>7</v>
      </c>
      <c r="AD641">
        <f t="shared" si="80"/>
        <v>2025</v>
      </c>
      <c r="AE641" t="str">
        <f t="shared" si="81"/>
        <v>CLEAN</v>
      </c>
    </row>
    <row r="642" spans="1:31">
      <c r="A642" t="s">
        <v>2359</v>
      </c>
      <c r="B642" s="2">
        <v>45896</v>
      </c>
      <c r="C642" s="2">
        <v>45900</v>
      </c>
      <c r="D642" s="5">
        <f>C642-B642</f>
        <v>4</v>
      </c>
      <c r="E642" s="5" t="str">
        <f>IF(D642&lt;0,"INVALID","OK")</f>
        <v>OK</v>
      </c>
      <c r="F642" t="s">
        <v>2360</v>
      </c>
      <c r="G642" t="s">
        <v>46</v>
      </c>
      <c r="H642" t="s">
        <v>23</v>
      </c>
      <c r="I642" t="s">
        <v>53</v>
      </c>
      <c r="J642" t="s">
        <v>174</v>
      </c>
      <c r="K642" t="s">
        <v>175</v>
      </c>
      <c r="L642" t="s">
        <v>73</v>
      </c>
      <c r="M642" t="s">
        <v>273</v>
      </c>
      <c r="N642" t="s">
        <v>2361</v>
      </c>
      <c r="O642" t="s">
        <v>49</v>
      </c>
      <c r="P642">
        <v>3</v>
      </c>
      <c r="Q642">
        <v>2489.12</v>
      </c>
      <c r="R642">
        <v>0</v>
      </c>
      <c r="S642" t="str">
        <f t="shared" si="83"/>
        <v>OK</v>
      </c>
      <c r="T642">
        <v>7467.36</v>
      </c>
      <c r="U642">
        <v>5010.6099999999997</v>
      </c>
      <c r="V642">
        <v>2456.75</v>
      </c>
      <c r="W642" t="s">
        <v>31</v>
      </c>
      <c r="X642" t="s">
        <v>32</v>
      </c>
      <c r="Y642">
        <f t="shared" si="75"/>
        <v>0</v>
      </c>
      <c r="Z642">
        <f t="shared" si="76"/>
        <v>7467.36</v>
      </c>
      <c r="AA642">
        <f t="shared" si="77"/>
        <v>2456.75</v>
      </c>
      <c r="AB642">
        <f t="shared" si="78"/>
        <v>32.899846799940008</v>
      </c>
      <c r="AC642">
        <f t="shared" si="79"/>
        <v>8</v>
      </c>
      <c r="AD642">
        <f t="shared" si="80"/>
        <v>2025</v>
      </c>
      <c r="AE642" t="str">
        <f t="shared" si="81"/>
        <v>CLEAN</v>
      </c>
    </row>
    <row r="643" spans="1:31">
      <c r="A643" t="s">
        <v>2365</v>
      </c>
      <c r="B643" s="2">
        <v>45892</v>
      </c>
      <c r="C643" s="2">
        <v>45894</v>
      </c>
      <c r="D643" s="5">
        <f>C643-B643</f>
        <v>2</v>
      </c>
      <c r="E643" s="5" t="str">
        <f>IF(D643&lt;0,"INVALID","OK")</f>
        <v>OK</v>
      </c>
      <c r="F643" t="s">
        <v>2366</v>
      </c>
      <c r="G643" t="s">
        <v>161</v>
      </c>
      <c r="H643" t="s">
        <v>23</v>
      </c>
      <c r="I643" t="s">
        <v>24</v>
      </c>
      <c r="J643" t="s">
        <v>25</v>
      </c>
      <c r="K643" t="s">
        <v>26</v>
      </c>
      <c r="L643" t="s">
        <v>40</v>
      </c>
      <c r="M643" t="s">
        <v>56</v>
      </c>
      <c r="N643" t="s">
        <v>2367</v>
      </c>
      <c r="O643" t="s">
        <v>43</v>
      </c>
      <c r="P643">
        <v>6</v>
      </c>
      <c r="Q643">
        <v>2742.48</v>
      </c>
      <c r="R643">
        <v>0</v>
      </c>
      <c r="S643" t="str">
        <f t="shared" si="83"/>
        <v>OK</v>
      </c>
      <c r="T643">
        <v>16454.88</v>
      </c>
      <c r="U643">
        <v>12081.54</v>
      </c>
      <c r="V643">
        <v>4373.34</v>
      </c>
      <c r="W643" t="s">
        <v>31</v>
      </c>
      <c r="X643" t="s">
        <v>32</v>
      </c>
      <c r="Y643">
        <f t="shared" ref="Y643:Y697" si="84">IF(R643&lt;0,0,IF(R643&gt;0.5,0,R643))</f>
        <v>0</v>
      </c>
      <c r="Z643">
        <f t="shared" ref="Z643:Z697" si="85">P643*Q643*(1-Y643)</f>
        <v>16454.88</v>
      </c>
      <c r="AA643">
        <f t="shared" ref="AA643:AA697" si="86">Z643-U643</f>
        <v>4373.34</v>
      </c>
      <c r="AB643">
        <f t="shared" ref="AB643:AB697" si="87">AA643/Z643*100</f>
        <v>26.577769026574487</v>
      </c>
      <c r="AC643">
        <f t="shared" ref="AC643:AC697" si="88">MONTH(B643)</f>
        <v>8</v>
      </c>
      <c r="AD643">
        <f t="shared" ref="AD643:AD697" si="89">YEAR(B643)</f>
        <v>2025</v>
      </c>
      <c r="AE643" t="str">
        <f t="shared" ref="AE643:AE697" si="90">IF(OR(R643&lt;0,NOT(ISNUMBER(R643)),D643&lt;0,W643="Failed"),"INVALID",IF(OR(I643="",O643="",R643="",R643&gt;0.5,AA643&lt;0),"WARNING","CLEAN"))</f>
        <v>CLEAN</v>
      </c>
    </row>
    <row r="644" spans="1:31">
      <c r="A644" t="s">
        <v>2368</v>
      </c>
      <c r="B644" s="2">
        <v>45760</v>
      </c>
      <c r="C644" s="2">
        <v>45760</v>
      </c>
      <c r="D644" s="5">
        <f>C644-B644</f>
        <v>0</v>
      </c>
      <c r="E644" s="5" t="str">
        <f>IF(D644&lt;0,"INVALID","OK")</f>
        <v>OK</v>
      </c>
      <c r="F644" t="s">
        <v>885</v>
      </c>
      <c r="G644" t="s">
        <v>113</v>
      </c>
      <c r="H644" t="s">
        <v>89</v>
      </c>
      <c r="I644" t="s">
        <v>53</v>
      </c>
      <c r="J644" t="s">
        <v>184</v>
      </c>
      <c r="K644" t="s">
        <v>185</v>
      </c>
      <c r="L644" t="s">
        <v>40</v>
      </c>
      <c r="M644" t="s">
        <v>157</v>
      </c>
      <c r="N644" t="s">
        <v>2369</v>
      </c>
      <c r="O644" t="s">
        <v>49</v>
      </c>
      <c r="P644">
        <v>6</v>
      </c>
      <c r="Q644">
        <v>4414</v>
      </c>
      <c r="R644">
        <v>0.05</v>
      </c>
      <c r="S644" t="str">
        <f t="shared" si="83"/>
        <v>OK</v>
      </c>
      <c r="T644">
        <v>25159.8</v>
      </c>
      <c r="U644">
        <v>21606.83</v>
      </c>
      <c r="V644">
        <v>3552.97</v>
      </c>
      <c r="W644" t="s">
        <v>31</v>
      </c>
      <c r="X644" t="s">
        <v>32</v>
      </c>
      <c r="Y644">
        <f t="shared" si="84"/>
        <v>0.05</v>
      </c>
      <c r="Z644">
        <f t="shared" si="85"/>
        <v>25159.8</v>
      </c>
      <c r="AA644">
        <f t="shared" si="86"/>
        <v>3552.9699999999975</v>
      </c>
      <c r="AB644">
        <f t="shared" si="87"/>
        <v>14.121614639226058</v>
      </c>
      <c r="AC644">
        <f t="shared" si="88"/>
        <v>4</v>
      </c>
      <c r="AD644">
        <f t="shared" si="89"/>
        <v>2025</v>
      </c>
      <c r="AE644" t="str">
        <f t="shared" si="90"/>
        <v>CLEAN</v>
      </c>
    </row>
    <row r="645" spans="1:31">
      <c r="A645" t="s">
        <v>2370</v>
      </c>
      <c r="B645" s="2">
        <v>45837</v>
      </c>
      <c r="C645" s="2">
        <v>45841</v>
      </c>
      <c r="D645" s="5">
        <f>C645-B645</f>
        <v>4</v>
      </c>
      <c r="E645" s="5" t="str">
        <f>IF(D645&lt;0,"INVALID","OK")</f>
        <v>OK</v>
      </c>
      <c r="F645" t="s">
        <v>2371</v>
      </c>
      <c r="G645" t="s">
        <v>70</v>
      </c>
      <c r="H645" t="s">
        <v>89</v>
      </c>
      <c r="I645" t="s">
        <v>37</v>
      </c>
      <c r="J645" t="s">
        <v>227</v>
      </c>
      <c r="K645" t="s">
        <v>228</v>
      </c>
      <c r="L645" t="s">
        <v>27</v>
      </c>
      <c r="M645" t="s">
        <v>90</v>
      </c>
      <c r="N645" t="s">
        <v>2372</v>
      </c>
      <c r="O645" t="s">
        <v>49</v>
      </c>
      <c r="P645">
        <v>3</v>
      </c>
      <c r="Q645">
        <v>608.14</v>
      </c>
      <c r="R645">
        <v>0</v>
      </c>
      <c r="S645" t="str">
        <f t="shared" si="83"/>
        <v>OK</v>
      </c>
      <c r="T645">
        <v>1824.42</v>
      </c>
      <c r="U645">
        <v>1214.8699999999999</v>
      </c>
      <c r="V645">
        <v>609.54999999999995</v>
      </c>
      <c r="W645" t="s">
        <v>31</v>
      </c>
      <c r="X645" t="s">
        <v>32</v>
      </c>
      <c r="Y645">
        <f t="shared" si="84"/>
        <v>0</v>
      </c>
      <c r="Z645">
        <f t="shared" si="85"/>
        <v>1824.42</v>
      </c>
      <c r="AA645">
        <f t="shared" si="86"/>
        <v>609.55000000000018</v>
      </c>
      <c r="AB645">
        <f t="shared" si="87"/>
        <v>33.410618169061955</v>
      </c>
      <c r="AC645">
        <f t="shared" si="88"/>
        <v>6</v>
      </c>
      <c r="AD645">
        <f t="shared" si="89"/>
        <v>2025</v>
      </c>
      <c r="AE645" t="str">
        <f t="shared" si="90"/>
        <v>CLEAN</v>
      </c>
    </row>
    <row r="646" spans="1:31">
      <c r="A646" t="s">
        <v>2379</v>
      </c>
      <c r="B646" s="2">
        <v>45749</v>
      </c>
      <c r="C646" s="2">
        <v>45751</v>
      </c>
      <c r="D646" s="5">
        <f>C646-B646</f>
        <v>2</v>
      </c>
      <c r="E646" s="5" t="str">
        <f>IF(D646&lt;0,"INVALID","OK")</f>
        <v>OK</v>
      </c>
      <c r="F646" t="s">
        <v>2380</v>
      </c>
      <c r="G646" t="s">
        <v>131</v>
      </c>
      <c r="H646" t="s">
        <v>94</v>
      </c>
      <c r="I646" t="s">
        <v>37</v>
      </c>
      <c r="J646" t="s">
        <v>227</v>
      </c>
      <c r="K646" t="s">
        <v>228</v>
      </c>
      <c r="L646" t="s">
        <v>27</v>
      </c>
      <c r="M646" t="s">
        <v>28</v>
      </c>
      <c r="N646" t="s">
        <v>2381</v>
      </c>
      <c r="O646" t="s">
        <v>43</v>
      </c>
      <c r="P646">
        <v>5</v>
      </c>
      <c r="Q646">
        <v>3234.24</v>
      </c>
      <c r="R646">
        <v>0.1</v>
      </c>
      <c r="S646" t="str">
        <f t="shared" si="83"/>
        <v>OK</v>
      </c>
      <c r="T646">
        <v>14554.08</v>
      </c>
      <c r="U646">
        <v>11166.84</v>
      </c>
      <c r="V646">
        <v>3387.24</v>
      </c>
      <c r="W646" t="s">
        <v>31</v>
      </c>
      <c r="X646" t="s">
        <v>32</v>
      </c>
      <c r="Y646">
        <f t="shared" si="84"/>
        <v>0.1</v>
      </c>
      <c r="Z646">
        <f t="shared" si="85"/>
        <v>14554.08</v>
      </c>
      <c r="AA646">
        <f t="shared" si="86"/>
        <v>3387.24</v>
      </c>
      <c r="AB646">
        <f t="shared" si="87"/>
        <v>23.273473830018798</v>
      </c>
      <c r="AC646">
        <f t="shared" si="88"/>
        <v>4</v>
      </c>
      <c r="AD646">
        <f t="shared" si="89"/>
        <v>2025</v>
      </c>
      <c r="AE646" t="str">
        <f t="shared" si="90"/>
        <v>CLEAN</v>
      </c>
    </row>
    <row r="647" spans="1:31">
      <c r="A647" t="s">
        <v>2393</v>
      </c>
      <c r="B647" s="2">
        <v>45709</v>
      </c>
      <c r="C647" s="2">
        <v>45709</v>
      </c>
      <c r="D647" s="5">
        <f>C647-B647</f>
        <v>0</v>
      </c>
      <c r="E647" s="5" t="str">
        <f>IF(D647&lt;0,"INVALID","OK")</f>
        <v>OK</v>
      </c>
      <c r="F647" t="s">
        <v>2394</v>
      </c>
      <c r="G647" t="s">
        <v>22</v>
      </c>
      <c r="H647" t="s">
        <v>94</v>
      </c>
      <c r="I647" t="s">
        <v>62</v>
      </c>
      <c r="J647" t="s">
        <v>179</v>
      </c>
      <c r="K647" t="s">
        <v>180</v>
      </c>
      <c r="L647" t="s">
        <v>73</v>
      </c>
      <c r="M647" t="s">
        <v>170</v>
      </c>
      <c r="N647" t="s">
        <v>2395</v>
      </c>
      <c r="O647" t="s">
        <v>2762</v>
      </c>
      <c r="P647">
        <v>4</v>
      </c>
      <c r="Q647">
        <v>2945.07</v>
      </c>
      <c r="R647">
        <v>0.2</v>
      </c>
      <c r="S647" t="str">
        <f t="shared" si="83"/>
        <v>OK</v>
      </c>
      <c r="T647">
        <v>9424.2199999999993</v>
      </c>
      <c r="U647">
        <v>6178.92</v>
      </c>
      <c r="V647">
        <v>3245.3</v>
      </c>
      <c r="W647" t="s">
        <v>31</v>
      </c>
      <c r="X647" t="s">
        <v>32</v>
      </c>
      <c r="Y647">
        <f t="shared" si="84"/>
        <v>0.2</v>
      </c>
      <c r="Z647">
        <f t="shared" si="85"/>
        <v>9424.2240000000002</v>
      </c>
      <c r="AA647">
        <f t="shared" si="86"/>
        <v>3245.3040000000001</v>
      </c>
      <c r="AB647">
        <f t="shared" si="87"/>
        <v>34.435768929091672</v>
      </c>
      <c r="AC647">
        <f t="shared" si="88"/>
        <v>2</v>
      </c>
      <c r="AD647">
        <f t="shared" si="89"/>
        <v>2025</v>
      </c>
      <c r="AE647" t="str">
        <f t="shared" si="90"/>
        <v>CLEAN</v>
      </c>
    </row>
    <row r="648" spans="1:31">
      <c r="A648" t="s">
        <v>2396</v>
      </c>
      <c r="B648" s="2">
        <v>45846</v>
      </c>
      <c r="C648" s="2">
        <v>45876</v>
      </c>
      <c r="D648" s="5">
        <f>C648-B648</f>
        <v>30</v>
      </c>
      <c r="E648" s="5" t="str">
        <f>IF(D648&lt;0,"INVALID","OK")</f>
        <v>OK</v>
      </c>
      <c r="F648" t="s">
        <v>2397</v>
      </c>
      <c r="G648" t="s">
        <v>263</v>
      </c>
      <c r="H648" t="s">
        <v>23</v>
      </c>
      <c r="I648" t="s">
        <v>62</v>
      </c>
      <c r="J648" t="s">
        <v>25</v>
      </c>
      <c r="K648" t="s">
        <v>108</v>
      </c>
      <c r="L648" t="s">
        <v>73</v>
      </c>
      <c r="M648" t="s">
        <v>273</v>
      </c>
      <c r="N648" t="s">
        <v>2398</v>
      </c>
      <c r="O648" t="s">
        <v>2762</v>
      </c>
      <c r="P648">
        <v>9</v>
      </c>
      <c r="Q648">
        <v>1076.75</v>
      </c>
      <c r="R648">
        <v>0.2</v>
      </c>
      <c r="S648" t="str">
        <f t="shared" si="83"/>
        <v>OK</v>
      </c>
      <c r="T648">
        <v>7752.6</v>
      </c>
      <c r="U648">
        <v>4689.3</v>
      </c>
      <c r="V648">
        <v>3063.3</v>
      </c>
      <c r="W648" t="s">
        <v>31</v>
      </c>
      <c r="X648" t="s">
        <v>32</v>
      </c>
      <c r="Y648">
        <f t="shared" si="84"/>
        <v>0.2</v>
      </c>
      <c r="Z648">
        <f t="shared" si="85"/>
        <v>7752.6</v>
      </c>
      <c r="AA648">
        <f t="shared" si="86"/>
        <v>3063.3</v>
      </c>
      <c r="AB648">
        <f t="shared" si="87"/>
        <v>39.513195573098059</v>
      </c>
      <c r="AC648">
        <f t="shared" si="88"/>
        <v>7</v>
      </c>
      <c r="AD648">
        <f t="shared" si="89"/>
        <v>2025</v>
      </c>
      <c r="AE648" t="str">
        <f t="shared" si="90"/>
        <v>CLEAN</v>
      </c>
    </row>
    <row r="649" spans="1:31">
      <c r="A649" t="s">
        <v>2402</v>
      </c>
      <c r="B649" s="2">
        <v>45875</v>
      </c>
      <c r="C649" s="2">
        <v>45821</v>
      </c>
      <c r="D649" s="5">
        <f>C649-B649</f>
        <v>-54</v>
      </c>
      <c r="E649" s="5" t="str">
        <f>IF(D649&lt;0,"INVALID","OK")</f>
        <v>INVALID</v>
      </c>
      <c r="F649" t="s">
        <v>2403</v>
      </c>
      <c r="G649" t="s">
        <v>88</v>
      </c>
      <c r="H649" t="s">
        <v>36</v>
      </c>
      <c r="I649" t="s">
        <v>24</v>
      </c>
      <c r="J649" t="s">
        <v>25</v>
      </c>
      <c r="K649" t="s">
        <v>26</v>
      </c>
      <c r="L649" t="s">
        <v>73</v>
      </c>
      <c r="M649" t="s">
        <v>79</v>
      </c>
      <c r="N649" t="s">
        <v>2404</v>
      </c>
      <c r="O649" t="s">
        <v>30</v>
      </c>
      <c r="P649">
        <v>7</v>
      </c>
      <c r="Q649">
        <v>3857.13</v>
      </c>
      <c r="R649">
        <v>0</v>
      </c>
      <c r="S649" t="str">
        <f t="shared" si="83"/>
        <v>OK</v>
      </c>
      <c r="T649">
        <v>26999.91</v>
      </c>
      <c r="U649">
        <v>17815.98</v>
      </c>
      <c r="V649">
        <v>9183.93</v>
      </c>
      <c r="W649" t="s">
        <v>31</v>
      </c>
      <c r="X649" t="s">
        <v>32</v>
      </c>
      <c r="Y649">
        <f t="shared" si="84"/>
        <v>0</v>
      </c>
      <c r="Z649">
        <f t="shared" si="85"/>
        <v>26999.91</v>
      </c>
      <c r="AA649">
        <f t="shared" si="86"/>
        <v>9183.93</v>
      </c>
      <c r="AB649">
        <f t="shared" si="87"/>
        <v>34.014668937785345</v>
      </c>
      <c r="AC649">
        <f t="shared" si="88"/>
        <v>8</v>
      </c>
      <c r="AD649">
        <f t="shared" si="89"/>
        <v>2025</v>
      </c>
      <c r="AE649" t="str">
        <f t="shared" si="90"/>
        <v>INVALID</v>
      </c>
    </row>
    <row r="650" spans="1:31">
      <c r="A650" t="s">
        <v>2420</v>
      </c>
      <c r="B650" s="2">
        <v>45730</v>
      </c>
      <c r="C650" s="2">
        <v>45738</v>
      </c>
      <c r="D650" s="5">
        <f>C650-B650</f>
        <v>8</v>
      </c>
      <c r="E650" s="5" t="str">
        <f>IF(D650&lt;0,"INVALID","OK")</f>
        <v>OK</v>
      </c>
      <c r="F650" t="s">
        <v>2421</v>
      </c>
      <c r="G650" t="s">
        <v>35</v>
      </c>
      <c r="H650" t="s">
        <v>89</v>
      </c>
      <c r="I650" t="s">
        <v>37</v>
      </c>
      <c r="J650" t="s">
        <v>98</v>
      </c>
      <c r="K650" t="s">
        <v>99</v>
      </c>
      <c r="L650" t="s">
        <v>73</v>
      </c>
      <c r="M650" t="s">
        <v>79</v>
      </c>
      <c r="N650" t="s">
        <v>2422</v>
      </c>
      <c r="O650" t="s">
        <v>58</v>
      </c>
      <c r="P650">
        <v>2</v>
      </c>
      <c r="Q650">
        <v>669.63</v>
      </c>
      <c r="R650">
        <v>0.15</v>
      </c>
      <c r="S650" t="str">
        <f t="shared" si="83"/>
        <v>OK</v>
      </c>
      <c r="T650">
        <v>1138.3699999999999</v>
      </c>
      <c r="U650">
        <v>797.34</v>
      </c>
      <c r="V650">
        <v>341.03</v>
      </c>
      <c r="W650" t="s">
        <v>31</v>
      </c>
      <c r="X650" t="s">
        <v>32</v>
      </c>
      <c r="Y650">
        <f t="shared" si="84"/>
        <v>0.15</v>
      </c>
      <c r="Z650">
        <f t="shared" si="85"/>
        <v>1138.3709999999999</v>
      </c>
      <c r="AA650">
        <f t="shared" si="86"/>
        <v>341.03099999999984</v>
      </c>
      <c r="AB650">
        <f t="shared" si="87"/>
        <v>29.957808131092577</v>
      </c>
      <c r="AC650">
        <f t="shared" si="88"/>
        <v>3</v>
      </c>
      <c r="AD650">
        <f t="shared" si="89"/>
        <v>2025</v>
      </c>
      <c r="AE650" t="str">
        <f t="shared" si="90"/>
        <v>CLEAN</v>
      </c>
    </row>
    <row r="651" spans="1:31">
      <c r="A651" t="s">
        <v>2426</v>
      </c>
      <c r="B651" s="2">
        <v>45934</v>
      </c>
      <c r="C651" s="2">
        <v>45935</v>
      </c>
      <c r="D651" s="5">
        <f>C651-B651</f>
        <v>1</v>
      </c>
      <c r="E651" s="5" t="str">
        <f>IF(D651&lt;0,"INVALID","OK")</f>
        <v>OK</v>
      </c>
      <c r="F651" t="s">
        <v>2427</v>
      </c>
      <c r="G651" t="s">
        <v>113</v>
      </c>
      <c r="H651" t="s">
        <v>89</v>
      </c>
      <c r="I651" t="s">
        <v>24</v>
      </c>
      <c r="J651" t="s">
        <v>121</v>
      </c>
      <c r="K651" t="s">
        <v>122</v>
      </c>
      <c r="L651" t="s">
        <v>73</v>
      </c>
      <c r="M651" t="s">
        <v>79</v>
      </c>
      <c r="N651" t="s">
        <v>2428</v>
      </c>
      <c r="O651" t="s">
        <v>49</v>
      </c>
      <c r="P651">
        <v>4</v>
      </c>
      <c r="Q651">
        <v>418.18</v>
      </c>
      <c r="R651">
        <v>0.05</v>
      </c>
      <c r="S651" t="str">
        <f t="shared" si="83"/>
        <v>OK</v>
      </c>
      <c r="T651">
        <v>1589.08</v>
      </c>
      <c r="U651">
        <v>1084.6600000000001</v>
      </c>
      <c r="V651">
        <v>504.42</v>
      </c>
      <c r="W651" t="s">
        <v>31</v>
      </c>
      <c r="X651" t="s">
        <v>32</v>
      </c>
      <c r="Y651">
        <f t="shared" si="84"/>
        <v>0.05</v>
      </c>
      <c r="Z651">
        <f t="shared" si="85"/>
        <v>1589.0840000000001</v>
      </c>
      <c r="AA651">
        <f t="shared" si="86"/>
        <v>504.42399999999998</v>
      </c>
      <c r="AB651">
        <f t="shared" si="87"/>
        <v>31.743067075120003</v>
      </c>
      <c r="AC651">
        <f t="shared" si="88"/>
        <v>10</v>
      </c>
      <c r="AD651">
        <f t="shared" si="89"/>
        <v>2025</v>
      </c>
      <c r="AE651" t="str">
        <f t="shared" si="90"/>
        <v>CLEAN</v>
      </c>
    </row>
    <row r="652" spans="1:31">
      <c r="A652" t="s">
        <v>2441</v>
      </c>
      <c r="B652" s="2">
        <v>45723</v>
      </c>
      <c r="C652" s="2">
        <v>45724</v>
      </c>
      <c r="D652" s="5">
        <f>C652-B652</f>
        <v>1</v>
      </c>
      <c r="E652" s="5" t="str">
        <f>IF(D652&lt;0,"INVALID","OK")</f>
        <v>OK</v>
      </c>
      <c r="F652" t="s">
        <v>2442</v>
      </c>
      <c r="G652" t="s">
        <v>113</v>
      </c>
      <c r="H652" t="s">
        <v>94</v>
      </c>
      <c r="I652" t="s">
        <v>2762</v>
      </c>
      <c r="J652" t="s">
        <v>25</v>
      </c>
      <c r="K652" t="s">
        <v>108</v>
      </c>
      <c r="L652" t="s">
        <v>73</v>
      </c>
      <c r="M652" t="s">
        <v>79</v>
      </c>
      <c r="N652" t="s">
        <v>2443</v>
      </c>
      <c r="O652" t="s">
        <v>43</v>
      </c>
      <c r="P652">
        <v>4</v>
      </c>
      <c r="Q652">
        <v>3537.48</v>
      </c>
      <c r="R652">
        <v>0</v>
      </c>
      <c r="S652" t="str">
        <f t="shared" si="83"/>
        <v>OK</v>
      </c>
      <c r="T652">
        <v>14149.92</v>
      </c>
      <c r="U652">
        <v>9466.51</v>
      </c>
      <c r="V652">
        <v>4683.41</v>
      </c>
      <c r="W652" t="s">
        <v>31</v>
      </c>
      <c r="X652" t="s">
        <v>32</v>
      </c>
      <c r="Y652">
        <f t="shared" si="84"/>
        <v>0</v>
      </c>
      <c r="Z652">
        <f t="shared" si="85"/>
        <v>14149.92</v>
      </c>
      <c r="AA652">
        <f t="shared" si="86"/>
        <v>4683.41</v>
      </c>
      <c r="AB652">
        <f t="shared" si="87"/>
        <v>33.098491016203624</v>
      </c>
      <c r="AC652">
        <f t="shared" si="88"/>
        <v>3</v>
      </c>
      <c r="AD652">
        <f t="shared" si="89"/>
        <v>2025</v>
      </c>
      <c r="AE652" t="str">
        <f t="shared" si="90"/>
        <v>CLEAN</v>
      </c>
    </row>
    <row r="653" spans="1:31">
      <c r="A653" t="s">
        <v>2450</v>
      </c>
      <c r="B653" s="2">
        <v>45812</v>
      </c>
      <c r="C653" s="2">
        <v>45816</v>
      </c>
      <c r="D653" s="5">
        <f>C653-B653</f>
        <v>4</v>
      </c>
      <c r="E653" s="5" t="str">
        <f>IF(D653&lt;0,"INVALID","OK")</f>
        <v>OK</v>
      </c>
      <c r="F653" t="s">
        <v>2451</v>
      </c>
      <c r="G653" t="s">
        <v>52</v>
      </c>
      <c r="H653" t="s">
        <v>36</v>
      </c>
      <c r="I653" t="s">
        <v>37</v>
      </c>
      <c r="J653" t="s">
        <v>165</v>
      </c>
      <c r="K653" t="s">
        <v>166</v>
      </c>
      <c r="L653" t="s">
        <v>40</v>
      </c>
      <c r="M653" t="s">
        <v>56</v>
      </c>
      <c r="N653" t="s">
        <v>2452</v>
      </c>
      <c r="O653" t="s">
        <v>30</v>
      </c>
      <c r="P653">
        <v>1</v>
      </c>
      <c r="Q653">
        <v>3501.12</v>
      </c>
      <c r="R653">
        <v>0.2</v>
      </c>
      <c r="S653" t="str">
        <f t="shared" si="83"/>
        <v>OK</v>
      </c>
      <c r="T653">
        <v>2800.9</v>
      </c>
      <c r="U653">
        <v>1735.98</v>
      </c>
      <c r="V653">
        <v>1064.92</v>
      </c>
      <c r="W653" t="s">
        <v>31</v>
      </c>
      <c r="X653" t="s">
        <v>102</v>
      </c>
      <c r="Y653">
        <f t="shared" si="84"/>
        <v>0.2</v>
      </c>
      <c r="Z653">
        <f t="shared" si="85"/>
        <v>2800.8960000000002</v>
      </c>
      <c r="AA653">
        <f t="shared" si="86"/>
        <v>1064.9160000000002</v>
      </c>
      <c r="AB653">
        <f t="shared" si="87"/>
        <v>38.020547710446948</v>
      </c>
      <c r="AC653">
        <f t="shared" si="88"/>
        <v>6</v>
      </c>
      <c r="AD653">
        <f t="shared" si="89"/>
        <v>2025</v>
      </c>
      <c r="AE653" t="str">
        <f t="shared" si="90"/>
        <v>CLEAN</v>
      </c>
    </row>
    <row r="654" spans="1:31">
      <c r="A654" t="s">
        <v>2456</v>
      </c>
      <c r="B654" s="2">
        <v>45830</v>
      </c>
      <c r="C654" s="2">
        <v>45832</v>
      </c>
      <c r="D654" s="5">
        <f>C654-B654</f>
        <v>2</v>
      </c>
      <c r="E654" s="5" t="str">
        <f>IF(D654&lt;0,"INVALID","OK")</f>
        <v>OK</v>
      </c>
      <c r="F654" t="s">
        <v>2457</v>
      </c>
      <c r="G654" t="s">
        <v>131</v>
      </c>
      <c r="H654" t="s">
        <v>89</v>
      </c>
      <c r="I654" t="s">
        <v>37</v>
      </c>
      <c r="J654" t="s">
        <v>165</v>
      </c>
      <c r="K654" t="s">
        <v>166</v>
      </c>
      <c r="L654" t="s">
        <v>27</v>
      </c>
      <c r="M654" t="s">
        <v>28</v>
      </c>
      <c r="N654" t="s">
        <v>2458</v>
      </c>
      <c r="O654" t="s">
        <v>58</v>
      </c>
      <c r="P654">
        <v>9</v>
      </c>
      <c r="Q654">
        <v>951.55</v>
      </c>
      <c r="R654">
        <v>0.15</v>
      </c>
      <c r="S654" t="str">
        <f t="shared" si="83"/>
        <v>OK</v>
      </c>
      <c r="T654">
        <v>7279.36</v>
      </c>
      <c r="U654">
        <v>4870.3900000000003</v>
      </c>
      <c r="V654">
        <v>2408.9699999999998</v>
      </c>
      <c r="W654" t="s">
        <v>31</v>
      </c>
      <c r="X654" t="s">
        <v>32</v>
      </c>
      <c r="Y654">
        <f t="shared" si="84"/>
        <v>0.15</v>
      </c>
      <c r="Z654">
        <f t="shared" si="85"/>
        <v>7279.3574999999992</v>
      </c>
      <c r="AA654">
        <f t="shared" si="86"/>
        <v>2408.9674999999988</v>
      </c>
      <c r="AB654">
        <f t="shared" si="87"/>
        <v>33.093133562955238</v>
      </c>
      <c r="AC654">
        <f t="shared" si="88"/>
        <v>6</v>
      </c>
      <c r="AD654">
        <f t="shared" si="89"/>
        <v>2025</v>
      </c>
      <c r="AE654" t="str">
        <f t="shared" si="90"/>
        <v>CLEAN</v>
      </c>
    </row>
    <row r="655" spans="1:31">
      <c r="A655" t="s">
        <v>2468</v>
      </c>
      <c r="B655" s="2">
        <v>45849</v>
      </c>
      <c r="C655" s="2">
        <v>45907</v>
      </c>
      <c r="D655" s="5">
        <f>C655-B655</f>
        <v>58</v>
      </c>
      <c r="E655" s="5" t="str">
        <f>IF(D655&lt;0,"INVALID","OK")</f>
        <v>OK</v>
      </c>
      <c r="F655" t="s">
        <v>2469</v>
      </c>
      <c r="G655" t="s">
        <v>88</v>
      </c>
      <c r="H655" t="s">
        <v>89</v>
      </c>
      <c r="I655" t="s">
        <v>24</v>
      </c>
      <c r="J655" t="s">
        <v>349</v>
      </c>
      <c r="K655" t="s">
        <v>350</v>
      </c>
      <c r="L655" t="s">
        <v>40</v>
      </c>
      <c r="M655" t="s">
        <v>56</v>
      </c>
      <c r="N655" t="s">
        <v>2470</v>
      </c>
      <c r="O655" t="s">
        <v>58</v>
      </c>
      <c r="P655">
        <v>9</v>
      </c>
      <c r="Q655">
        <v>1706.05</v>
      </c>
      <c r="R655">
        <v>0</v>
      </c>
      <c r="S655" t="str">
        <f t="shared" si="83"/>
        <v>OK</v>
      </c>
      <c r="T655">
        <v>15354.45</v>
      </c>
      <c r="U655">
        <v>9656.5</v>
      </c>
      <c r="V655">
        <v>5697.95</v>
      </c>
      <c r="W655" t="s">
        <v>31</v>
      </c>
      <c r="X655" t="s">
        <v>32</v>
      </c>
      <c r="Y655">
        <f t="shared" si="84"/>
        <v>0</v>
      </c>
      <c r="Z655">
        <f t="shared" si="85"/>
        <v>15354.449999999999</v>
      </c>
      <c r="AA655">
        <f t="shared" si="86"/>
        <v>5697.9499999999989</v>
      </c>
      <c r="AB655">
        <f t="shared" si="87"/>
        <v>37.109437329243313</v>
      </c>
      <c r="AC655">
        <f t="shared" si="88"/>
        <v>7</v>
      </c>
      <c r="AD655">
        <f t="shared" si="89"/>
        <v>2025</v>
      </c>
      <c r="AE655" t="str">
        <f t="shared" si="90"/>
        <v>CLEAN</v>
      </c>
    </row>
    <row r="656" spans="1:31">
      <c r="A656" t="s">
        <v>2486</v>
      </c>
      <c r="B656" s="2">
        <v>45939</v>
      </c>
      <c r="C656" s="2">
        <v>45918</v>
      </c>
      <c r="D656" s="5">
        <f>C656-B656</f>
        <v>-21</v>
      </c>
      <c r="E656" s="5" t="str">
        <f>IF(D656&lt;0,"INVALID","OK")</f>
        <v>INVALID</v>
      </c>
      <c r="F656" t="s">
        <v>2487</v>
      </c>
      <c r="G656" t="s">
        <v>117</v>
      </c>
      <c r="H656" t="s">
        <v>94</v>
      </c>
      <c r="I656" t="s">
        <v>53</v>
      </c>
      <c r="J656" t="s">
        <v>54</v>
      </c>
      <c r="K656" t="s">
        <v>55</v>
      </c>
      <c r="L656" t="s">
        <v>40</v>
      </c>
      <c r="M656" t="s">
        <v>56</v>
      </c>
      <c r="N656" t="s">
        <v>2488</v>
      </c>
      <c r="O656" t="s">
        <v>58</v>
      </c>
      <c r="P656">
        <v>1</v>
      </c>
      <c r="Q656">
        <v>2050.62</v>
      </c>
      <c r="R656">
        <v>0.05</v>
      </c>
      <c r="S656" t="str">
        <f t="shared" si="83"/>
        <v>OK</v>
      </c>
      <c r="T656">
        <v>1948.09</v>
      </c>
      <c r="U656">
        <v>1507.08</v>
      </c>
      <c r="V656">
        <v>441.01</v>
      </c>
      <c r="W656" t="s">
        <v>31</v>
      </c>
      <c r="X656" t="s">
        <v>32</v>
      </c>
      <c r="Y656">
        <f t="shared" si="84"/>
        <v>0.05</v>
      </c>
      <c r="Z656">
        <f t="shared" si="85"/>
        <v>1948.0889999999997</v>
      </c>
      <c r="AA656">
        <f t="shared" si="86"/>
        <v>441.00899999999979</v>
      </c>
      <c r="AB656">
        <f t="shared" si="87"/>
        <v>22.638031424642296</v>
      </c>
      <c r="AC656">
        <f t="shared" si="88"/>
        <v>10</v>
      </c>
      <c r="AD656">
        <f t="shared" si="89"/>
        <v>2025</v>
      </c>
      <c r="AE656" t="str">
        <f t="shared" si="90"/>
        <v>INVALID</v>
      </c>
    </row>
    <row r="657" spans="1:31">
      <c r="A657" t="s">
        <v>2489</v>
      </c>
      <c r="B657" s="2">
        <v>45753</v>
      </c>
      <c r="C657" s="2">
        <v>45842</v>
      </c>
      <c r="D657" s="5">
        <f>C657-B657</f>
        <v>89</v>
      </c>
      <c r="E657" s="5" t="str">
        <f>IF(D657&lt;0,"INVALID","OK")</f>
        <v>OK</v>
      </c>
      <c r="F657" t="s">
        <v>2354</v>
      </c>
      <c r="G657" t="s">
        <v>113</v>
      </c>
      <c r="H657" t="s">
        <v>94</v>
      </c>
      <c r="I657" t="s">
        <v>37</v>
      </c>
      <c r="J657" t="s">
        <v>165</v>
      </c>
      <c r="K657" t="s">
        <v>166</v>
      </c>
      <c r="L657" t="s">
        <v>27</v>
      </c>
      <c r="M657" t="s">
        <v>152</v>
      </c>
      <c r="N657" t="s">
        <v>2490</v>
      </c>
      <c r="O657" t="s">
        <v>30</v>
      </c>
      <c r="P657">
        <v>2</v>
      </c>
      <c r="Q657">
        <v>2030.06</v>
      </c>
      <c r="R657">
        <v>0.25</v>
      </c>
      <c r="S657" t="str">
        <f t="shared" si="83"/>
        <v>OK</v>
      </c>
      <c r="T657">
        <v>3045.09</v>
      </c>
      <c r="U657">
        <v>2601.09</v>
      </c>
      <c r="V657">
        <v>444</v>
      </c>
      <c r="W657" t="s">
        <v>31</v>
      </c>
      <c r="X657" t="s">
        <v>32</v>
      </c>
      <c r="Y657">
        <f t="shared" si="84"/>
        <v>0.25</v>
      </c>
      <c r="Z657">
        <f t="shared" si="85"/>
        <v>3045.09</v>
      </c>
      <c r="AA657">
        <f t="shared" si="86"/>
        <v>444</v>
      </c>
      <c r="AB657">
        <f t="shared" si="87"/>
        <v>14.580849827098705</v>
      </c>
      <c r="AC657">
        <f t="shared" si="88"/>
        <v>4</v>
      </c>
      <c r="AD657">
        <f t="shared" si="89"/>
        <v>2025</v>
      </c>
      <c r="AE657" t="str">
        <f t="shared" si="90"/>
        <v>CLEAN</v>
      </c>
    </row>
    <row r="658" spans="1:31">
      <c r="A658" t="s">
        <v>2494</v>
      </c>
      <c r="B658" s="2">
        <v>45695</v>
      </c>
      <c r="C658" s="2">
        <v>45696</v>
      </c>
      <c r="D658" s="5">
        <f>C658-B658</f>
        <v>1</v>
      </c>
      <c r="E658" s="5" t="str">
        <f>IF(D658&lt;0,"INVALID","OK")</f>
        <v>OK</v>
      </c>
      <c r="F658" t="s">
        <v>2495</v>
      </c>
      <c r="G658" t="s">
        <v>22</v>
      </c>
      <c r="H658" t="s">
        <v>36</v>
      </c>
      <c r="I658" t="s">
        <v>53</v>
      </c>
      <c r="J658" t="s">
        <v>54</v>
      </c>
      <c r="K658" t="s">
        <v>55</v>
      </c>
      <c r="L658" t="s">
        <v>27</v>
      </c>
      <c r="M658" t="s">
        <v>90</v>
      </c>
      <c r="N658" t="s">
        <v>2496</v>
      </c>
      <c r="O658" t="s">
        <v>58</v>
      </c>
      <c r="P658">
        <v>2</v>
      </c>
      <c r="Q658">
        <v>2432.98</v>
      </c>
      <c r="R658">
        <v>0.1</v>
      </c>
      <c r="S658" t="str">
        <f t="shared" si="83"/>
        <v>OK</v>
      </c>
      <c r="T658">
        <v>4379.3599999999997</v>
      </c>
      <c r="U658">
        <v>3723.93</v>
      </c>
      <c r="V658">
        <v>655.43</v>
      </c>
      <c r="W658" t="s">
        <v>31</v>
      </c>
      <c r="X658" t="s">
        <v>32</v>
      </c>
      <c r="Y658">
        <f t="shared" si="84"/>
        <v>0.1</v>
      </c>
      <c r="Z658">
        <f t="shared" si="85"/>
        <v>4379.3640000000005</v>
      </c>
      <c r="AA658">
        <f t="shared" si="86"/>
        <v>655.43400000000065</v>
      </c>
      <c r="AB658">
        <f t="shared" si="87"/>
        <v>14.966419781502532</v>
      </c>
      <c r="AC658">
        <f t="shared" si="88"/>
        <v>2</v>
      </c>
      <c r="AD658">
        <f t="shared" si="89"/>
        <v>2025</v>
      </c>
      <c r="AE658" t="str">
        <f t="shared" si="90"/>
        <v>CLEAN</v>
      </c>
    </row>
    <row r="659" spans="1:31">
      <c r="A659" t="s">
        <v>2497</v>
      </c>
      <c r="B659" s="2">
        <v>45900</v>
      </c>
      <c r="C659" s="2">
        <v>45897</v>
      </c>
      <c r="D659" s="5">
        <f>C659-B659</f>
        <v>-3</v>
      </c>
      <c r="E659" s="5" t="str">
        <f>IF(D659&lt;0,"INVALID","OK")</f>
        <v>INVALID</v>
      </c>
      <c r="F659" t="s">
        <v>2498</v>
      </c>
      <c r="G659" t="s">
        <v>127</v>
      </c>
      <c r="H659" t="s">
        <v>36</v>
      </c>
      <c r="I659" t="s">
        <v>53</v>
      </c>
      <c r="J659" t="s">
        <v>246</v>
      </c>
      <c r="K659" t="s">
        <v>247</v>
      </c>
      <c r="L659" t="s">
        <v>40</v>
      </c>
      <c r="M659" t="s">
        <v>56</v>
      </c>
      <c r="N659" t="s">
        <v>2499</v>
      </c>
      <c r="O659" t="s">
        <v>49</v>
      </c>
      <c r="P659">
        <v>7</v>
      </c>
      <c r="Q659">
        <v>977.28</v>
      </c>
      <c r="R659">
        <v>0.2</v>
      </c>
      <c r="S659" t="str">
        <f t="shared" si="83"/>
        <v>OK</v>
      </c>
      <c r="T659">
        <v>5472.77</v>
      </c>
      <c r="U659">
        <v>4477.33</v>
      </c>
      <c r="V659">
        <v>995.44</v>
      </c>
      <c r="W659" t="s">
        <v>31</v>
      </c>
      <c r="X659" t="s">
        <v>32</v>
      </c>
      <c r="Y659">
        <f t="shared" si="84"/>
        <v>0.2</v>
      </c>
      <c r="Z659">
        <f t="shared" si="85"/>
        <v>5472.768</v>
      </c>
      <c r="AA659">
        <f t="shared" si="86"/>
        <v>995.4380000000001</v>
      </c>
      <c r="AB659">
        <f t="shared" si="87"/>
        <v>18.188931085695575</v>
      </c>
      <c r="AC659">
        <f t="shared" si="88"/>
        <v>8</v>
      </c>
      <c r="AD659">
        <f t="shared" si="89"/>
        <v>2025</v>
      </c>
      <c r="AE659" t="str">
        <f t="shared" si="90"/>
        <v>INVALID</v>
      </c>
    </row>
    <row r="660" spans="1:31">
      <c r="A660" t="s">
        <v>2500</v>
      </c>
      <c r="B660" s="2">
        <v>45833</v>
      </c>
      <c r="C660" s="2">
        <v>45833</v>
      </c>
      <c r="D660" s="5">
        <f>C660-B660</f>
        <v>0</v>
      </c>
      <c r="E660" s="5" t="str">
        <f>IF(D660&lt;0,"INVALID","OK")</f>
        <v>OK</v>
      </c>
      <c r="F660" t="s">
        <v>2501</v>
      </c>
      <c r="G660" t="s">
        <v>52</v>
      </c>
      <c r="H660" t="s">
        <v>36</v>
      </c>
      <c r="I660" t="s">
        <v>2762</v>
      </c>
      <c r="J660" t="s">
        <v>121</v>
      </c>
      <c r="K660" t="s">
        <v>122</v>
      </c>
      <c r="L660" t="s">
        <v>27</v>
      </c>
      <c r="M660" t="s">
        <v>152</v>
      </c>
      <c r="N660" t="s">
        <v>2502</v>
      </c>
      <c r="O660" t="s">
        <v>30</v>
      </c>
      <c r="P660">
        <v>6</v>
      </c>
      <c r="Q660">
        <v>1366.13</v>
      </c>
      <c r="R660">
        <v>0.1</v>
      </c>
      <c r="S660" t="str">
        <f t="shared" si="83"/>
        <v>OK</v>
      </c>
      <c r="T660">
        <v>7377.1</v>
      </c>
      <c r="U660">
        <v>5085.21</v>
      </c>
      <c r="V660">
        <v>2291.89</v>
      </c>
      <c r="W660" t="s">
        <v>31</v>
      </c>
      <c r="X660" t="s">
        <v>32</v>
      </c>
      <c r="Y660">
        <f t="shared" si="84"/>
        <v>0.1</v>
      </c>
      <c r="Z660">
        <f t="shared" si="85"/>
        <v>7377.1020000000008</v>
      </c>
      <c r="AA660">
        <f t="shared" si="86"/>
        <v>2291.8920000000007</v>
      </c>
      <c r="AB660">
        <f t="shared" si="87"/>
        <v>31.067646888981614</v>
      </c>
      <c r="AC660">
        <f t="shared" si="88"/>
        <v>6</v>
      </c>
      <c r="AD660">
        <f t="shared" si="89"/>
        <v>2025</v>
      </c>
      <c r="AE660" t="str">
        <f t="shared" si="90"/>
        <v>CLEAN</v>
      </c>
    </row>
    <row r="661" spans="1:31">
      <c r="A661" t="s">
        <v>2511</v>
      </c>
      <c r="B661" s="2">
        <v>45753</v>
      </c>
      <c r="C661" s="2">
        <v>45757</v>
      </c>
      <c r="D661" s="5">
        <f>C661-B661</f>
        <v>4</v>
      </c>
      <c r="E661" s="5" t="str">
        <f>IF(D661&lt;0,"INVALID","OK")</f>
        <v>OK</v>
      </c>
      <c r="F661" t="s">
        <v>2512</v>
      </c>
      <c r="G661" t="s">
        <v>140</v>
      </c>
      <c r="H661" t="s">
        <v>23</v>
      </c>
      <c r="I661" t="s">
        <v>37</v>
      </c>
      <c r="J661" t="s">
        <v>38</v>
      </c>
      <c r="K661" t="s">
        <v>39</v>
      </c>
      <c r="L661" t="s">
        <v>40</v>
      </c>
      <c r="M661" t="s">
        <v>157</v>
      </c>
      <c r="N661" t="s">
        <v>1122</v>
      </c>
      <c r="O661" t="s">
        <v>58</v>
      </c>
      <c r="P661">
        <v>2</v>
      </c>
      <c r="Q661">
        <v>1337.67</v>
      </c>
      <c r="R661">
        <v>0</v>
      </c>
      <c r="S661" t="str">
        <f t="shared" si="83"/>
        <v>OK</v>
      </c>
      <c r="T661">
        <v>2675.34</v>
      </c>
      <c r="U661">
        <v>1595.87</v>
      </c>
      <c r="V661">
        <v>1079.47</v>
      </c>
      <c r="W661" t="s">
        <v>31</v>
      </c>
      <c r="X661" t="s">
        <v>32</v>
      </c>
      <c r="Y661">
        <f t="shared" si="84"/>
        <v>0</v>
      </c>
      <c r="Z661">
        <f t="shared" si="85"/>
        <v>2675.34</v>
      </c>
      <c r="AA661">
        <f t="shared" si="86"/>
        <v>1079.4700000000003</v>
      </c>
      <c r="AB661">
        <f t="shared" si="87"/>
        <v>40.348890234512261</v>
      </c>
      <c r="AC661">
        <f t="shared" si="88"/>
        <v>4</v>
      </c>
      <c r="AD661">
        <f t="shared" si="89"/>
        <v>2025</v>
      </c>
      <c r="AE661" t="str">
        <f t="shared" si="90"/>
        <v>CLEAN</v>
      </c>
    </row>
    <row r="662" spans="1:31">
      <c r="A662" t="s">
        <v>2513</v>
      </c>
      <c r="B662" s="2">
        <v>45875</v>
      </c>
      <c r="C662" s="2">
        <v>45880</v>
      </c>
      <c r="D662" s="5">
        <f>C662-B662</f>
        <v>5</v>
      </c>
      <c r="E662" s="5" t="str">
        <f>IF(D662&lt;0,"INVALID","OK")</f>
        <v>OK</v>
      </c>
      <c r="F662" t="s">
        <v>2514</v>
      </c>
      <c r="G662" t="s">
        <v>52</v>
      </c>
      <c r="H662" t="s">
        <v>23</v>
      </c>
      <c r="I662" t="s">
        <v>62</v>
      </c>
      <c r="J662" t="s">
        <v>71</v>
      </c>
      <c r="K662" t="s">
        <v>72</v>
      </c>
      <c r="L662" t="s">
        <v>27</v>
      </c>
      <c r="M662" t="s">
        <v>90</v>
      </c>
      <c r="N662" t="s">
        <v>2515</v>
      </c>
      <c r="O662" t="s">
        <v>49</v>
      </c>
      <c r="P662">
        <v>2</v>
      </c>
      <c r="Q662">
        <v>2375.94</v>
      </c>
      <c r="R662">
        <v>0.25</v>
      </c>
      <c r="S662" t="str">
        <f t="shared" si="83"/>
        <v>OK</v>
      </c>
      <c r="T662">
        <v>3563.91</v>
      </c>
      <c r="U662">
        <v>2639.7</v>
      </c>
      <c r="V662">
        <v>924.21</v>
      </c>
      <c r="W662" t="s">
        <v>31</v>
      </c>
      <c r="X662" t="s">
        <v>32</v>
      </c>
      <c r="Y662">
        <f t="shared" si="84"/>
        <v>0.25</v>
      </c>
      <c r="Z662">
        <f t="shared" si="85"/>
        <v>3563.91</v>
      </c>
      <c r="AA662">
        <f t="shared" si="86"/>
        <v>924.21</v>
      </c>
      <c r="AB662">
        <f t="shared" si="87"/>
        <v>25.932473042248542</v>
      </c>
      <c r="AC662">
        <f t="shared" si="88"/>
        <v>8</v>
      </c>
      <c r="AD662">
        <f t="shared" si="89"/>
        <v>2025</v>
      </c>
      <c r="AE662" t="str">
        <f t="shared" si="90"/>
        <v>CLEAN</v>
      </c>
    </row>
    <row r="663" spans="1:31">
      <c r="A663" t="s">
        <v>2522</v>
      </c>
      <c r="B663" s="2">
        <v>45752</v>
      </c>
      <c r="C663" s="2">
        <v>45752</v>
      </c>
      <c r="D663" s="5">
        <f>C663-B663</f>
        <v>0</v>
      </c>
      <c r="E663" s="5" t="str">
        <f>IF(D663&lt;0,"INVALID","OK")</f>
        <v>OK</v>
      </c>
      <c r="F663" t="s">
        <v>2523</v>
      </c>
      <c r="G663" t="s">
        <v>131</v>
      </c>
      <c r="H663" t="s">
        <v>23</v>
      </c>
      <c r="I663" t="s">
        <v>37</v>
      </c>
      <c r="J663" t="s">
        <v>144</v>
      </c>
      <c r="K663" t="s">
        <v>145</v>
      </c>
      <c r="L663" t="s">
        <v>27</v>
      </c>
      <c r="M663" t="s">
        <v>152</v>
      </c>
      <c r="N663" t="s">
        <v>2524</v>
      </c>
      <c r="O663" t="s">
        <v>58</v>
      </c>
      <c r="P663">
        <v>6</v>
      </c>
      <c r="Q663">
        <v>1829.69</v>
      </c>
      <c r="R663">
        <v>0.25</v>
      </c>
      <c r="S663" t="str">
        <f t="shared" si="83"/>
        <v>OK</v>
      </c>
      <c r="T663">
        <v>8233.6</v>
      </c>
      <c r="U663">
        <v>4713.79</v>
      </c>
      <c r="V663">
        <v>3519.81</v>
      </c>
      <c r="W663" t="s">
        <v>31</v>
      </c>
      <c r="X663" t="s">
        <v>32</v>
      </c>
      <c r="Y663">
        <f t="shared" si="84"/>
        <v>0.25</v>
      </c>
      <c r="Z663">
        <f t="shared" si="85"/>
        <v>8233.6049999999996</v>
      </c>
      <c r="AA663">
        <f t="shared" si="86"/>
        <v>3519.8149999999996</v>
      </c>
      <c r="AB663">
        <f t="shared" si="87"/>
        <v>42.749378917254347</v>
      </c>
      <c r="AC663">
        <f t="shared" si="88"/>
        <v>4</v>
      </c>
      <c r="AD663">
        <f t="shared" si="89"/>
        <v>2025</v>
      </c>
      <c r="AE663" t="str">
        <f t="shared" si="90"/>
        <v>CLEAN</v>
      </c>
    </row>
    <row r="664" spans="1:31">
      <c r="A664" t="s">
        <v>2531</v>
      </c>
      <c r="B664" s="2">
        <v>45810</v>
      </c>
      <c r="C664" s="2">
        <v>45932</v>
      </c>
      <c r="D664" s="5">
        <f>C664-B664</f>
        <v>122</v>
      </c>
      <c r="E664" s="5" t="str">
        <f>IF(D664&lt;0,"INVALID","OK")</f>
        <v>OK</v>
      </c>
      <c r="F664" t="s">
        <v>2532</v>
      </c>
      <c r="G664" t="s">
        <v>61</v>
      </c>
      <c r="H664" t="s">
        <v>94</v>
      </c>
      <c r="I664" t="s">
        <v>24</v>
      </c>
      <c r="J664" t="s">
        <v>135</v>
      </c>
      <c r="K664" t="s">
        <v>136</v>
      </c>
      <c r="L664" t="s">
        <v>40</v>
      </c>
      <c r="M664" t="s">
        <v>157</v>
      </c>
      <c r="N664" t="s">
        <v>2533</v>
      </c>
      <c r="O664" t="s">
        <v>58</v>
      </c>
      <c r="P664">
        <v>2</v>
      </c>
      <c r="Q664">
        <v>319.57</v>
      </c>
      <c r="R664">
        <v>0.2</v>
      </c>
      <c r="S664" t="str">
        <f t="shared" si="83"/>
        <v>OK</v>
      </c>
      <c r="T664">
        <v>511.31</v>
      </c>
      <c r="U664">
        <v>436.43</v>
      </c>
      <c r="V664">
        <v>74.88</v>
      </c>
      <c r="W664" t="s">
        <v>31</v>
      </c>
      <c r="X664" t="s">
        <v>32</v>
      </c>
      <c r="Y664">
        <f t="shared" si="84"/>
        <v>0.2</v>
      </c>
      <c r="Z664">
        <f t="shared" si="85"/>
        <v>511.31200000000001</v>
      </c>
      <c r="AA664">
        <f t="shared" si="86"/>
        <v>74.882000000000005</v>
      </c>
      <c r="AB664">
        <f t="shared" si="87"/>
        <v>14.645069937728824</v>
      </c>
      <c r="AC664">
        <f t="shared" si="88"/>
        <v>6</v>
      </c>
      <c r="AD664">
        <f t="shared" si="89"/>
        <v>2025</v>
      </c>
      <c r="AE664" t="str">
        <f t="shared" si="90"/>
        <v>CLEAN</v>
      </c>
    </row>
    <row r="665" spans="1:31">
      <c r="A665" t="s">
        <v>2540</v>
      </c>
      <c r="B665" s="2">
        <v>45663</v>
      </c>
      <c r="C665" s="2">
        <v>45669</v>
      </c>
      <c r="D665" s="5">
        <f>C665-B665</f>
        <v>6</v>
      </c>
      <c r="E665" s="5" t="str">
        <f>IF(D665&lt;0,"INVALID","OK")</f>
        <v>OK</v>
      </c>
      <c r="F665" t="s">
        <v>2541</v>
      </c>
      <c r="G665" t="s">
        <v>35</v>
      </c>
      <c r="H665" t="s">
        <v>94</v>
      </c>
      <c r="I665" t="s">
        <v>62</v>
      </c>
      <c r="J665" t="s">
        <v>189</v>
      </c>
      <c r="K665" t="s">
        <v>190</v>
      </c>
      <c r="L665" t="s">
        <v>27</v>
      </c>
      <c r="M665" t="s">
        <v>28</v>
      </c>
      <c r="N665" t="s">
        <v>2542</v>
      </c>
      <c r="O665" t="s">
        <v>43</v>
      </c>
      <c r="P665">
        <v>3</v>
      </c>
      <c r="Q665">
        <v>668.33</v>
      </c>
      <c r="R665">
        <v>0.15</v>
      </c>
      <c r="S665" t="str">
        <f t="shared" si="83"/>
        <v>OK</v>
      </c>
      <c r="T665">
        <v>1704.24</v>
      </c>
      <c r="U665">
        <v>957.55</v>
      </c>
      <c r="V665">
        <v>746.69</v>
      </c>
      <c r="W665" t="s">
        <v>31</v>
      </c>
      <c r="X665" t="s">
        <v>32</v>
      </c>
      <c r="Y665">
        <f t="shared" si="84"/>
        <v>0.15</v>
      </c>
      <c r="Z665">
        <f t="shared" si="85"/>
        <v>1704.2415000000001</v>
      </c>
      <c r="AA665">
        <f t="shared" si="86"/>
        <v>746.69150000000013</v>
      </c>
      <c r="AB665">
        <f t="shared" si="87"/>
        <v>43.813714194848565</v>
      </c>
      <c r="AC665">
        <f t="shared" si="88"/>
        <v>1</v>
      </c>
      <c r="AD665">
        <f t="shared" si="89"/>
        <v>2025</v>
      </c>
      <c r="AE665" t="str">
        <f t="shared" si="90"/>
        <v>CLEAN</v>
      </c>
    </row>
    <row r="666" spans="1:31">
      <c r="A666" t="s">
        <v>2543</v>
      </c>
      <c r="B666" s="2">
        <v>45737</v>
      </c>
      <c r="C666" s="2">
        <v>45738</v>
      </c>
      <c r="D666" s="5">
        <f>C666-B666</f>
        <v>1</v>
      </c>
      <c r="E666" s="5" t="str">
        <f>IF(D666&lt;0,"INVALID","OK")</f>
        <v>OK</v>
      </c>
      <c r="F666" t="s">
        <v>2544</v>
      </c>
      <c r="G666" t="s">
        <v>113</v>
      </c>
      <c r="H666" t="s">
        <v>23</v>
      </c>
      <c r="I666" t="s">
        <v>62</v>
      </c>
      <c r="J666" t="s">
        <v>189</v>
      </c>
      <c r="K666" t="s">
        <v>190</v>
      </c>
      <c r="L666" t="s">
        <v>27</v>
      </c>
      <c r="M666" t="s">
        <v>28</v>
      </c>
      <c r="N666" t="s">
        <v>2545</v>
      </c>
      <c r="O666" t="s">
        <v>49</v>
      </c>
      <c r="P666">
        <v>8</v>
      </c>
      <c r="Q666">
        <v>4436.74</v>
      </c>
      <c r="R666">
        <v>0.05</v>
      </c>
      <c r="S666" t="str">
        <f t="shared" si="83"/>
        <v>OK</v>
      </c>
      <c r="T666">
        <v>33719.22</v>
      </c>
      <c r="U666">
        <v>28924.43</v>
      </c>
      <c r="V666">
        <v>4794.79</v>
      </c>
      <c r="W666" t="s">
        <v>31</v>
      </c>
      <c r="X666" t="s">
        <v>32</v>
      </c>
      <c r="Y666">
        <f t="shared" si="84"/>
        <v>0.05</v>
      </c>
      <c r="Z666">
        <f t="shared" si="85"/>
        <v>33719.223999999995</v>
      </c>
      <c r="AA666">
        <f t="shared" si="86"/>
        <v>4794.7939999999944</v>
      </c>
      <c r="AB666">
        <f t="shared" si="87"/>
        <v>14.219763776295668</v>
      </c>
      <c r="AC666">
        <f t="shared" si="88"/>
        <v>3</v>
      </c>
      <c r="AD666">
        <f t="shared" si="89"/>
        <v>2025</v>
      </c>
      <c r="AE666" t="str">
        <f t="shared" si="90"/>
        <v>CLEAN</v>
      </c>
    </row>
    <row r="667" spans="1:31">
      <c r="A667" t="s">
        <v>2546</v>
      </c>
      <c r="B667" s="2">
        <v>45763</v>
      </c>
      <c r="C667" s="2">
        <v>45764</v>
      </c>
      <c r="D667" s="5">
        <f>C667-B667</f>
        <v>1</v>
      </c>
      <c r="E667" s="5" t="str">
        <f>IF(D667&lt;0,"INVALID","OK")</f>
        <v>OK</v>
      </c>
      <c r="F667" t="s">
        <v>2547</v>
      </c>
      <c r="G667" t="s">
        <v>70</v>
      </c>
      <c r="H667" t="s">
        <v>36</v>
      </c>
      <c r="I667" t="s">
        <v>24</v>
      </c>
      <c r="J667" t="s">
        <v>135</v>
      </c>
      <c r="K667" t="s">
        <v>136</v>
      </c>
      <c r="L667" t="s">
        <v>73</v>
      </c>
      <c r="M667" t="s">
        <v>273</v>
      </c>
      <c r="N667" t="s">
        <v>2548</v>
      </c>
      <c r="O667" t="s">
        <v>49</v>
      </c>
      <c r="P667">
        <v>1</v>
      </c>
      <c r="Q667">
        <v>2720.17</v>
      </c>
      <c r="R667">
        <v>0</v>
      </c>
      <c r="S667" t="str">
        <f t="shared" si="83"/>
        <v>OK</v>
      </c>
      <c r="T667">
        <v>2720.17</v>
      </c>
      <c r="U667">
        <v>1834.23</v>
      </c>
      <c r="V667">
        <v>885.94</v>
      </c>
      <c r="W667" t="s">
        <v>31</v>
      </c>
      <c r="X667" t="s">
        <v>32</v>
      </c>
      <c r="Y667">
        <f t="shared" si="84"/>
        <v>0</v>
      </c>
      <c r="Z667">
        <f t="shared" si="85"/>
        <v>2720.17</v>
      </c>
      <c r="AA667">
        <f t="shared" si="86"/>
        <v>885.94</v>
      </c>
      <c r="AB667">
        <f t="shared" si="87"/>
        <v>32.569287948914962</v>
      </c>
      <c r="AC667">
        <f t="shared" si="88"/>
        <v>4</v>
      </c>
      <c r="AD667">
        <f t="shared" si="89"/>
        <v>2025</v>
      </c>
      <c r="AE667" t="str">
        <f t="shared" si="90"/>
        <v>CLEAN</v>
      </c>
    </row>
    <row r="668" spans="1:31">
      <c r="A668" t="s">
        <v>2549</v>
      </c>
      <c r="B668" s="2">
        <v>45879</v>
      </c>
      <c r="C668" s="2">
        <v>45883</v>
      </c>
      <c r="D668" s="5">
        <f>C668-B668</f>
        <v>4</v>
      </c>
      <c r="E668" s="5" t="str">
        <f>IF(D668&lt;0,"INVALID","OK")</f>
        <v>OK</v>
      </c>
      <c r="F668" t="s">
        <v>2550</v>
      </c>
      <c r="G668" t="s">
        <v>88</v>
      </c>
      <c r="H668" t="s">
        <v>23</v>
      </c>
      <c r="I668" t="s">
        <v>62</v>
      </c>
      <c r="J668" t="s">
        <v>25</v>
      </c>
      <c r="K668" t="s">
        <v>108</v>
      </c>
      <c r="L668" t="s">
        <v>73</v>
      </c>
      <c r="M668" t="s">
        <v>74</v>
      </c>
      <c r="N668" t="s">
        <v>2551</v>
      </c>
      <c r="O668" t="s">
        <v>58</v>
      </c>
      <c r="P668">
        <v>5</v>
      </c>
      <c r="Q668">
        <v>2190.14</v>
      </c>
      <c r="R668">
        <v>0.25</v>
      </c>
      <c r="S668" t="str">
        <f t="shared" si="83"/>
        <v>OK</v>
      </c>
      <c r="T668">
        <v>8213.02</v>
      </c>
      <c r="U668">
        <v>5569.3</v>
      </c>
      <c r="V668">
        <v>2643.72</v>
      </c>
      <c r="W668" t="s">
        <v>31</v>
      </c>
      <c r="X668" t="s">
        <v>32</v>
      </c>
      <c r="Y668">
        <f t="shared" si="84"/>
        <v>0.25</v>
      </c>
      <c r="Z668">
        <f t="shared" si="85"/>
        <v>8213.0249999999996</v>
      </c>
      <c r="AA668">
        <f t="shared" si="86"/>
        <v>2643.7249999999995</v>
      </c>
      <c r="AB668">
        <f t="shared" si="87"/>
        <v>32.189418636860346</v>
      </c>
      <c r="AC668">
        <f t="shared" si="88"/>
        <v>8</v>
      </c>
      <c r="AD668">
        <f t="shared" si="89"/>
        <v>2025</v>
      </c>
      <c r="AE668" t="str">
        <f t="shared" si="90"/>
        <v>CLEAN</v>
      </c>
    </row>
    <row r="669" spans="1:31">
      <c r="A669" t="s">
        <v>2561</v>
      </c>
      <c r="B669" s="2">
        <v>45853</v>
      </c>
      <c r="C669" s="2">
        <v>45856</v>
      </c>
      <c r="D669" s="5">
        <f>C669-B669</f>
        <v>3</v>
      </c>
      <c r="E669" s="5" t="str">
        <f>IF(D669&lt;0,"INVALID","OK")</f>
        <v>OK</v>
      </c>
      <c r="F669" t="s">
        <v>2562</v>
      </c>
      <c r="G669" t="s">
        <v>88</v>
      </c>
      <c r="H669" t="s">
        <v>36</v>
      </c>
      <c r="I669" t="s">
        <v>2762</v>
      </c>
      <c r="J669" t="s">
        <v>246</v>
      </c>
      <c r="K669" t="s">
        <v>247</v>
      </c>
      <c r="L669" t="s">
        <v>73</v>
      </c>
      <c r="M669" t="s">
        <v>273</v>
      </c>
      <c r="N669" t="s">
        <v>2563</v>
      </c>
      <c r="O669" t="s">
        <v>49</v>
      </c>
      <c r="P669">
        <v>6</v>
      </c>
      <c r="Q669">
        <v>2382.88</v>
      </c>
      <c r="R669">
        <v>0.1</v>
      </c>
      <c r="S669" t="str">
        <f t="shared" si="83"/>
        <v>OK</v>
      </c>
      <c r="T669">
        <v>12867.55</v>
      </c>
      <c r="U669">
        <v>10068.94</v>
      </c>
      <c r="V669">
        <v>2798.61</v>
      </c>
      <c r="W669" t="s">
        <v>31</v>
      </c>
      <c r="X669" t="s">
        <v>32</v>
      </c>
      <c r="Y669">
        <f t="shared" si="84"/>
        <v>0.1</v>
      </c>
      <c r="Z669">
        <f t="shared" si="85"/>
        <v>12867.552000000001</v>
      </c>
      <c r="AA669">
        <f t="shared" si="86"/>
        <v>2798.612000000001</v>
      </c>
      <c r="AB669">
        <f t="shared" si="87"/>
        <v>21.749373929089234</v>
      </c>
      <c r="AC669">
        <f t="shared" si="88"/>
        <v>7</v>
      </c>
      <c r="AD669">
        <f t="shared" si="89"/>
        <v>2025</v>
      </c>
      <c r="AE669" t="str">
        <f t="shared" si="90"/>
        <v>CLEAN</v>
      </c>
    </row>
    <row r="670" spans="1:31">
      <c r="A670" t="s">
        <v>2567</v>
      </c>
      <c r="B670" s="2">
        <v>45803</v>
      </c>
      <c r="C670" s="2">
        <v>45805</v>
      </c>
      <c r="D670" s="5">
        <f>C670-B670</f>
        <v>2</v>
      </c>
      <c r="E670" s="5" t="str">
        <f>IF(D670&lt;0,"INVALID","OK")</f>
        <v>OK</v>
      </c>
      <c r="F670" t="s">
        <v>2568</v>
      </c>
      <c r="G670" t="s">
        <v>263</v>
      </c>
      <c r="H670" t="s">
        <v>36</v>
      </c>
      <c r="I670" t="s">
        <v>53</v>
      </c>
      <c r="J670" t="s">
        <v>83</v>
      </c>
      <c r="K670" t="s">
        <v>84</v>
      </c>
      <c r="L670" t="s">
        <v>73</v>
      </c>
      <c r="M670" t="s">
        <v>170</v>
      </c>
      <c r="N670" t="s">
        <v>2569</v>
      </c>
      <c r="O670" t="s">
        <v>30</v>
      </c>
      <c r="P670">
        <v>9</v>
      </c>
      <c r="Q670">
        <v>4302.0200000000004</v>
      </c>
      <c r="R670">
        <v>0.05</v>
      </c>
      <c r="S670" t="str">
        <f t="shared" si="83"/>
        <v>OK</v>
      </c>
      <c r="T670">
        <v>36782.269999999997</v>
      </c>
      <c r="U670">
        <v>25902.81</v>
      </c>
      <c r="V670">
        <v>10879.46</v>
      </c>
      <c r="W670" t="s">
        <v>31</v>
      </c>
      <c r="X670" t="s">
        <v>32</v>
      </c>
      <c r="Y670">
        <f t="shared" si="84"/>
        <v>0.05</v>
      </c>
      <c r="Z670">
        <f t="shared" si="85"/>
        <v>36782.271000000008</v>
      </c>
      <c r="AA670">
        <f t="shared" si="86"/>
        <v>10879.461000000007</v>
      </c>
      <c r="AB670">
        <f t="shared" si="87"/>
        <v>29.578002402298665</v>
      </c>
      <c r="AC670">
        <f t="shared" si="88"/>
        <v>5</v>
      </c>
      <c r="AD670">
        <f t="shared" si="89"/>
        <v>2025</v>
      </c>
      <c r="AE670" t="str">
        <f t="shared" si="90"/>
        <v>CLEAN</v>
      </c>
    </row>
    <row r="671" spans="1:31">
      <c r="A671" t="s">
        <v>2576</v>
      </c>
      <c r="B671" s="2">
        <v>45926</v>
      </c>
      <c r="C671" s="2">
        <v>45757</v>
      </c>
      <c r="D671" s="5">
        <f>C671-B671</f>
        <v>-169</v>
      </c>
      <c r="E671" s="5" t="str">
        <f>IF(D671&lt;0,"INVALID","OK")</f>
        <v>INVALID</v>
      </c>
      <c r="F671" t="s">
        <v>2577</v>
      </c>
      <c r="G671" t="s">
        <v>113</v>
      </c>
      <c r="H671" t="s">
        <v>36</v>
      </c>
      <c r="I671" t="s">
        <v>37</v>
      </c>
      <c r="J671" t="s">
        <v>165</v>
      </c>
      <c r="K671" t="s">
        <v>166</v>
      </c>
      <c r="L671" t="s">
        <v>73</v>
      </c>
      <c r="M671" t="s">
        <v>170</v>
      </c>
      <c r="N671" t="s">
        <v>2578</v>
      </c>
      <c r="O671" t="s">
        <v>30</v>
      </c>
      <c r="P671">
        <v>7</v>
      </c>
      <c r="Q671">
        <v>1509.59</v>
      </c>
      <c r="R671">
        <v>0.05</v>
      </c>
      <c r="S671" t="str">
        <f t="shared" si="83"/>
        <v>OK</v>
      </c>
      <c r="T671">
        <v>10038.77</v>
      </c>
      <c r="U671">
        <v>5673.1</v>
      </c>
      <c r="V671">
        <v>4365.67</v>
      </c>
      <c r="W671" t="s">
        <v>31</v>
      </c>
      <c r="X671" t="s">
        <v>32</v>
      </c>
      <c r="Y671">
        <f t="shared" si="84"/>
        <v>0.05</v>
      </c>
      <c r="Z671">
        <f t="shared" si="85"/>
        <v>10038.773499999999</v>
      </c>
      <c r="AA671">
        <f t="shared" si="86"/>
        <v>4365.673499999999</v>
      </c>
      <c r="AB671">
        <f t="shared" si="87"/>
        <v>43.48811635206232</v>
      </c>
      <c r="AC671">
        <f t="shared" si="88"/>
        <v>9</v>
      </c>
      <c r="AD671">
        <f t="shared" si="89"/>
        <v>2025</v>
      </c>
      <c r="AE671" t="str">
        <f t="shared" si="90"/>
        <v>INVALID</v>
      </c>
    </row>
    <row r="672" spans="1:31">
      <c r="A672" t="s">
        <v>2582</v>
      </c>
      <c r="B672" s="2">
        <v>45927</v>
      </c>
      <c r="C672" s="2">
        <v>45928</v>
      </c>
      <c r="D672" s="5">
        <f>C672-B672</f>
        <v>1</v>
      </c>
      <c r="E672" s="5" t="str">
        <f>IF(D672&lt;0,"INVALID","OK")</f>
        <v>OK</v>
      </c>
      <c r="F672" t="s">
        <v>2583</v>
      </c>
      <c r="G672" t="s">
        <v>22</v>
      </c>
      <c r="H672" t="s">
        <v>94</v>
      </c>
      <c r="I672" t="s">
        <v>62</v>
      </c>
      <c r="J672" t="s">
        <v>63</v>
      </c>
      <c r="K672" t="s">
        <v>64</v>
      </c>
      <c r="L672" t="s">
        <v>27</v>
      </c>
      <c r="M672" t="s">
        <v>28</v>
      </c>
      <c r="N672" t="s">
        <v>2584</v>
      </c>
      <c r="O672" t="s">
        <v>49</v>
      </c>
      <c r="P672">
        <v>3</v>
      </c>
      <c r="Q672">
        <v>4177.63</v>
      </c>
      <c r="R672">
        <v>0.25</v>
      </c>
      <c r="S672" t="str">
        <f t="shared" si="83"/>
        <v>OK</v>
      </c>
      <c r="T672">
        <v>9399.67</v>
      </c>
      <c r="U672">
        <v>6540.37</v>
      </c>
      <c r="V672">
        <v>2859.3</v>
      </c>
      <c r="W672" t="s">
        <v>31</v>
      </c>
      <c r="X672" t="s">
        <v>32</v>
      </c>
      <c r="Y672">
        <f t="shared" si="84"/>
        <v>0.25</v>
      </c>
      <c r="Z672">
        <f t="shared" si="85"/>
        <v>9399.6674999999996</v>
      </c>
      <c r="AA672">
        <f t="shared" si="86"/>
        <v>2859.2974999999997</v>
      </c>
      <c r="AB672">
        <f t="shared" si="87"/>
        <v>30.419134506619518</v>
      </c>
      <c r="AC672">
        <f t="shared" si="88"/>
        <v>9</v>
      </c>
      <c r="AD672">
        <f t="shared" si="89"/>
        <v>2025</v>
      </c>
      <c r="AE672" t="str">
        <f t="shared" si="90"/>
        <v>CLEAN</v>
      </c>
    </row>
    <row r="673" spans="1:31">
      <c r="A673" t="s">
        <v>2585</v>
      </c>
      <c r="B673" s="2">
        <v>45750</v>
      </c>
      <c r="C673" s="2">
        <v>45754</v>
      </c>
      <c r="D673" s="5">
        <f>C673-B673</f>
        <v>4</v>
      </c>
      <c r="E673" s="5" t="str">
        <f>IF(D673&lt;0,"INVALID","OK")</f>
        <v>OK</v>
      </c>
      <c r="F673" t="s">
        <v>2586</v>
      </c>
      <c r="G673" t="s">
        <v>61</v>
      </c>
      <c r="H673" t="s">
        <v>36</v>
      </c>
      <c r="I673" t="s">
        <v>62</v>
      </c>
      <c r="J673" t="s">
        <v>189</v>
      </c>
      <c r="K673" t="s">
        <v>190</v>
      </c>
      <c r="L673" t="s">
        <v>27</v>
      </c>
      <c r="M673" t="s">
        <v>28</v>
      </c>
      <c r="N673" t="s">
        <v>2587</v>
      </c>
      <c r="O673" t="s">
        <v>43</v>
      </c>
      <c r="P673">
        <v>1</v>
      </c>
      <c r="Q673">
        <v>1470.57</v>
      </c>
      <c r="R673">
        <v>0</v>
      </c>
      <c r="S673" t="str">
        <f t="shared" si="83"/>
        <v>OK</v>
      </c>
      <c r="T673">
        <v>1470.57</v>
      </c>
      <c r="U673">
        <v>834.02</v>
      </c>
      <c r="V673">
        <v>636.54999999999995</v>
      </c>
      <c r="W673" t="s">
        <v>31</v>
      </c>
      <c r="X673" t="s">
        <v>102</v>
      </c>
      <c r="Y673">
        <f t="shared" si="84"/>
        <v>0</v>
      </c>
      <c r="Z673">
        <f t="shared" si="85"/>
        <v>1470.57</v>
      </c>
      <c r="AA673">
        <f t="shared" si="86"/>
        <v>636.54999999999995</v>
      </c>
      <c r="AB673">
        <f t="shared" si="87"/>
        <v>43.285936745615643</v>
      </c>
      <c r="AC673">
        <f t="shared" si="88"/>
        <v>4</v>
      </c>
      <c r="AD673">
        <f t="shared" si="89"/>
        <v>2025</v>
      </c>
      <c r="AE673" t="str">
        <f t="shared" si="90"/>
        <v>CLEAN</v>
      </c>
    </row>
    <row r="674" spans="1:31">
      <c r="A674" t="s">
        <v>2591</v>
      </c>
      <c r="B674" s="2">
        <v>45919</v>
      </c>
      <c r="C674" s="2">
        <v>45919</v>
      </c>
      <c r="D674" s="5">
        <f>C674-B674</f>
        <v>0</v>
      </c>
      <c r="E674" s="5" t="str">
        <f>IF(D674&lt;0,"INVALID","OK")</f>
        <v>OK</v>
      </c>
      <c r="F674" t="s">
        <v>2592</v>
      </c>
      <c r="G674" t="s">
        <v>78</v>
      </c>
      <c r="H674" t="s">
        <v>94</v>
      </c>
      <c r="I674" t="s">
        <v>24</v>
      </c>
      <c r="J674" t="s">
        <v>349</v>
      </c>
      <c r="K674" t="s">
        <v>350</v>
      </c>
      <c r="L674" t="s">
        <v>40</v>
      </c>
      <c r="M674" t="s">
        <v>65</v>
      </c>
      <c r="N674" t="s">
        <v>2593</v>
      </c>
      <c r="O674" t="s">
        <v>43</v>
      </c>
      <c r="P674">
        <v>4</v>
      </c>
      <c r="Q674">
        <v>1584.11</v>
      </c>
      <c r="R674">
        <v>0</v>
      </c>
      <c r="S674" t="str">
        <f t="shared" si="83"/>
        <v>OK</v>
      </c>
      <c r="T674">
        <v>6336.44</v>
      </c>
      <c r="U674">
        <v>4680.68</v>
      </c>
      <c r="V674">
        <v>1655.76</v>
      </c>
      <c r="W674" t="s">
        <v>31</v>
      </c>
      <c r="X674" t="s">
        <v>32</v>
      </c>
      <c r="Y674">
        <f t="shared" si="84"/>
        <v>0</v>
      </c>
      <c r="Z674">
        <f t="shared" si="85"/>
        <v>6336.44</v>
      </c>
      <c r="AA674">
        <f t="shared" si="86"/>
        <v>1655.7599999999993</v>
      </c>
      <c r="AB674">
        <f t="shared" si="87"/>
        <v>26.130761121386765</v>
      </c>
      <c r="AC674">
        <f t="shared" si="88"/>
        <v>9</v>
      </c>
      <c r="AD674">
        <f t="shared" si="89"/>
        <v>2025</v>
      </c>
      <c r="AE674" t="str">
        <f t="shared" si="90"/>
        <v>CLEAN</v>
      </c>
    </row>
    <row r="675" spans="1:31">
      <c r="A675" t="s">
        <v>2594</v>
      </c>
      <c r="B675" s="2">
        <v>45694</v>
      </c>
      <c r="C675" s="2">
        <v>45700</v>
      </c>
      <c r="D675" s="5">
        <f>C675-B675</f>
        <v>6</v>
      </c>
      <c r="E675" s="5" t="str">
        <f>IF(D675&lt;0,"INVALID","OK")</f>
        <v>OK</v>
      </c>
      <c r="F675" t="s">
        <v>2595</v>
      </c>
      <c r="G675" t="s">
        <v>61</v>
      </c>
      <c r="H675" t="s">
        <v>36</v>
      </c>
      <c r="I675" t="s">
        <v>37</v>
      </c>
      <c r="J675" t="s">
        <v>144</v>
      </c>
      <c r="K675" t="s">
        <v>145</v>
      </c>
      <c r="L675" t="s">
        <v>27</v>
      </c>
      <c r="M675" t="s">
        <v>47</v>
      </c>
      <c r="N675" t="s">
        <v>2596</v>
      </c>
      <c r="O675" t="s">
        <v>58</v>
      </c>
      <c r="P675">
        <v>9</v>
      </c>
      <c r="Q675">
        <v>3237.16</v>
      </c>
      <c r="R675">
        <v>0.25</v>
      </c>
      <c r="S675" t="str">
        <f t="shared" si="83"/>
        <v>OK</v>
      </c>
      <c r="T675">
        <v>21850.83</v>
      </c>
      <c r="U675">
        <v>16600.13</v>
      </c>
      <c r="V675">
        <v>5250.7</v>
      </c>
      <c r="W675" t="s">
        <v>31</v>
      </c>
      <c r="X675" t="s">
        <v>32</v>
      </c>
      <c r="Y675">
        <f t="shared" si="84"/>
        <v>0.25</v>
      </c>
      <c r="Z675">
        <f t="shared" si="85"/>
        <v>21850.829999999998</v>
      </c>
      <c r="AA675">
        <f t="shared" si="86"/>
        <v>5250.6999999999971</v>
      </c>
      <c r="AB675">
        <f t="shared" si="87"/>
        <v>24.029750814957591</v>
      </c>
      <c r="AC675">
        <f t="shared" si="88"/>
        <v>2</v>
      </c>
      <c r="AD675">
        <f t="shared" si="89"/>
        <v>2025</v>
      </c>
      <c r="AE675" t="str">
        <f t="shared" si="90"/>
        <v>CLEAN</v>
      </c>
    </row>
    <row r="676" spans="1:31">
      <c r="A676" t="s">
        <v>2600</v>
      </c>
      <c r="B676" s="2">
        <v>45856</v>
      </c>
      <c r="C676" s="2">
        <v>45863</v>
      </c>
      <c r="D676" s="5">
        <f>C676-B676</f>
        <v>7</v>
      </c>
      <c r="E676" s="5" t="str">
        <f>IF(D676&lt;0,"INVALID","OK")</f>
        <v>OK</v>
      </c>
      <c r="F676" t="s">
        <v>2601</v>
      </c>
      <c r="G676" t="s">
        <v>113</v>
      </c>
      <c r="H676" t="s">
        <v>36</v>
      </c>
      <c r="I676" t="s">
        <v>24</v>
      </c>
      <c r="J676" t="s">
        <v>135</v>
      </c>
      <c r="K676" t="s">
        <v>136</v>
      </c>
      <c r="L676" t="s">
        <v>73</v>
      </c>
      <c r="M676" t="s">
        <v>170</v>
      </c>
      <c r="N676" t="s">
        <v>2602</v>
      </c>
      <c r="O676" t="s">
        <v>49</v>
      </c>
      <c r="P676">
        <v>9</v>
      </c>
      <c r="Q676">
        <v>3989.52</v>
      </c>
      <c r="R676">
        <v>-0.02</v>
      </c>
      <c r="S676" t="str">
        <f t="shared" si="83"/>
        <v>INVALID</v>
      </c>
      <c r="T676">
        <v>35905.68</v>
      </c>
      <c r="U676">
        <v>23916.1</v>
      </c>
      <c r="V676">
        <v>11989.58</v>
      </c>
      <c r="W676" t="s">
        <v>31</v>
      </c>
      <c r="X676" t="s">
        <v>32</v>
      </c>
      <c r="Y676">
        <f t="shared" si="84"/>
        <v>0</v>
      </c>
      <c r="Z676">
        <f t="shared" si="85"/>
        <v>35905.68</v>
      </c>
      <c r="AA676">
        <f t="shared" si="86"/>
        <v>11989.580000000002</v>
      </c>
      <c r="AB676">
        <f t="shared" si="87"/>
        <v>33.391875602968675</v>
      </c>
      <c r="AC676">
        <f t="shared" si="88"/>
        <v>7</v>
      </c>
      <c r="AD676">
        <f t="shared" si="89"/>
        <v>2025</v>
      </c>
      <c r="AE676" t="str">
        <f t="shared" si="90"/>
        <v>INVALID</v>
      </c>
    </row>
    <row r="677" spans="1:31">
      <c r="A677" t="s">
        <v>2603</v>
      </c>
      <c r="B677" s="2">
        <v>45677</v>
      </c>
      <c r="C677" s="2">
        <v>45682</v>
      </c>
      <c r="D677" s="5">
        <f>C677-B677</f>
        <v>5</v>
      </c>
      <c r="E677" s="5" t="str">
        <f>IF(D677&lt;0,"INVALID","OK")</f>
        <v>OK</v>
      </c>
      <c r="F677" t="s">
        <v>2604</v>
      </c>
      <c r="G677" t="s">
        <v>88</v>
      </c>
      <c r="H677" t="s">
        <v>94</v>
      </c>
      <c r="I677" t="s">
        <v>62</v>
      </c>
      <c r="J677" t="s">
        <v>189</v>
      </c>
      <c r="K677" t="s">
        <v>190</v>
      </c>
      <c r="L677" t="s">
        <v>27</v>
      </c>
      <c r="M677" t="s">
        <v>47</v>
      </c>
      <c r="N677" t="s">
        <v>2605</v>
      </c>
      <c r="O677" t="s">
        <v>49</v>
      </c>
      <c r="P677">
        <v>1</v>
      </c>
      <c r="Q677">
        <v>3515.15</v>
      </c>
      <c r="R677">
        <v>0</v>
      </c>
      <c r="S677" t="str">
        <f t="shared" si="83"/>
        <v>OK</v>
      </c>
      <c r="T677">
        <v>3515.15</v>
      </c>
      <c r="U677">
        <v>2216.34</v>
      </c>
      <c r="V677">
        <v>1298.81</v>
      </c>
      <c r="W677" t="s">
        <v>31</v>
      </c>
      <c r="X677" t="s">
        <v>32</v>
      </c>
      <c r="Y677">
        <f t="shared" si="84"/>
        <v>0</v>
      </c>
      <c r="Z677">
        <f t="shared" si="85"/>
        <v>3515.15</v>
      </c>
      <c r="AA677">
        <f t="shared" si="86"/>
        <v>1298.81</v>
      </c>
      <c r="AB677">
        <f t="shared" si="87"/>
        <v>36.948921098672884</v>
      </c>
      <c r="AC677">
        <f t="shared" si="88"/>
        <v>1</v>
      </c>
      <c r="AD677">
        <f t="shared" si="89"/>
        <v>2025</v>
      </c>
      <c r="AE677" t="str">
        <f t="shared" si="90"/>
        <v>CLEAN</v>
      </c>
    </row>
    <row r="678" spans="1:31">
      <c r="A678" t="s">
        <v>2611</v>
      </c>
      <c r="B678" s="2">
        <v>45797</v>
      </c>
      <c r="C678" s="2">
        <v>45799</v>
      </c>
      <c r="D678" s="5">
        <f>C678-B678</f>
        <v>2</v>
      </c>
      <c r="E678" s="5" t="str">
        <f>IF(D678&lt;0,"INVALID","OK")</f>
        <v>OK</v>
      </c>
      <c r="F678" t="s">
        <v>2612</v>
      </c>
      <c r="G678" t="s">
        <v>161</v>
      </c>
      <c r="H678" t="s">
        <v>94</v>
      </c>
      <c r="I678" t="s">
        <v>37</v>
      </c>
      <c r="J678" t="s">
        <v>38</v>
      </c>
      <c r="K678" t="s">
        <v>39</v>
      </c>
      <c r="L678" t="s">
        <v>40</v>
      </c>
      <c r="M678" t="s">
        <v>41</v>
      </c>
      <c r="N678" t="s">
        <v>2613</v>
      </c>
      <c r="O678" t="s">
        <v>30</v>
      </c>
      <c r="P678">
        <v>2</v>
      </c>
      <c r="Q678">
        <v>210.08</v>
      </c>
      <c r="R678">
        <v>0.2</v>
      </c>
      <c r="S678" t="str">
        <f t="shared" si="83"/>
        <v>OK</v>
      </c>
      <c r="T678">
        <v>336.13</v>
      </c>
      <c r="U678">
        <v>242.19</v>
      </c>
      <c r="V678">
        <v>93.94</v>
      </c>
      <c r="W678" t="s">
        <v>31</v>
      </c>
      <c r="X678" t="s">
        <v>32</v>
      </c>
      <c r="Y678">
        <f t="shared" si="84"/>
        <v>0.2</v>
      </c>
      <c r="Z678">
        <f t="shared" si="85"/>
        <v>336.12800000000004</v>
      </c>
      <c r="AA678">
        <f t="shared" si="86"/>
        <v>93.938000000000045</v>
      </c>
      <c r="AB678">
        <f t="shared" si="87"/>
        <v>27.947091584158422</v>
      </c>
      <c r="AC678">
        <f t="shared" si="88"/>
        <v>5</v>
      </c>
      <c r="AD678">
        <f t="shared" si="89"/>
        <v>2025</v>
      </c>
      <c r="AE678" t="str">
        <f t="shared" si="90"/>
        <v>CLEAN</v>
      </c>
    </row>
    <row r="679" spans="1:31">
      <c r="A679" t="s">
        <v>2614</v>
      </c>
      <c r="B679" s="2">
        <v>45804</v>
      </c>
      <c r="C679" s="2">
        <v>45806</v>
      </c>
      <c r="D679" s="5">
        <f>C679-B679</f>
        <v>2</v>
      </c>
      <c r="E679" s="5" t="str">
        <f>IF(D679&lt;0,"INVALID","OK")</f>
        <v>OK</v>
      </c>
      <c r="F679" t="s">
        <v>2615</v>
      </c>
      <c r="G679" t="s">
        <v>117</v>
      </c>
      <c r="H679" t="s">
        <v>94</v>
      </c>
      <c r="I679" t="s">
        <v>53</v>
      </c>
      <c r="J679" t="s">
        <v>246</v>
      </c>
      <c r="K679" t="s">
        <v>247</v>
      </c>
      <c r="L679" t="s">
        <v>40</v>
      </c>
      <c r="M679" t="s">
        <v>56</v>
      </c>
      <c r="N679" t="s">
        <v>2616</v>
      </c>
      <c r="O679" t="s">
        <v>30</v>
      </c>
      <c r="P679">
        <v>1</v>
      </c>
      <c r="Q679">
        <v>1744.35</v>
      </c>
      <c r="R679">
        <v>0.25</v>
      </c>
      <c r="S679" t="str">
        <f t="shared" si="83"/>
        <v>OK</v>
      </c>
      <c r="T679">
        <v>1308.26</v>
      </c>
      <c r="U679">
        <v>1083.56</v>
      </c>
      <c r="V679">
        <v>224.7</v>
      </c>
      <c r="W679" t="s">
        <v>31</v>
      </c>
      <c r="X679" t="s">
        <v>32</v>
      </c>
      <c r="Y679">
        <f t="shared" si="84"/>
        <v>0.25</v>
      </c>
      <c r="Z679">
        <f t="shared" si="85"/>
        <v>1308.2624999999998</v>
      </c>
      <c r="AA679">
        <f t="shared" si="86"/>
        <v>224.70249999999987</v>
      </c>
      <c r="AB679">
        <f t="shared" si="87"/>
        <v>17.175643267310644</v>
      </c>
      <c r="AC679">
        <f t="shared" si="88"/>
        <v>5</v>
      </c>
      <c r="AD679">
        <f t="shared" si="89"/>
        <v>2025</v>
      </c>
      <c r="AE679" t="str">
        <f t="shared" si="90"/>
        <v>CLEAN</v>
      </c>
    </row>
    <row r="680" spans="1:31">
      <c r="A680" t="s">
        <v>2629</v>
      </c>
      <c r="B680" s="2">
        <v>45793</v>
      </c>
      <c r="C680" s="2">
        <v>45799</v>
      </c>
      <c r="D680" s="5">
        <f>C680-B680</f>
        <v>6</v>
      </c>
      <c r="E680" s="5" t="str">
        <f>IF(D680&lt;0,"INVALID","OK")</f>
        <v>OK</v>
      </c>
      <c r="F680" t="s">
        <v>2630</v>
      </c>
      <c r="G680" t="s">
        <v>52</v>
      </c>
      <c r="H680" t="s">
        <v>89</v>
      </c>
      <c r="I680" t="s">
        <v>53</v>
      </c>
      <c r="J680" t="s">
        <v>246</v>
      </c>
      <c r="K680" t="s">
        <v>247</v>
      </c>
      <c r="L680" t="s">
        <v>73</v>
      </c>
      <c r="M680" t="s">
        <v>74</v>
      </c>
      <c r="N680" t="s">
        <v>2631</v>
      </c>
      <c r="O680" t="s">
        <v>43</v>
      </c>
      <c r="P680">
        <v>8</v>
      </c>
      <c r="Q680">
        <v>579.79999999999995</v>
      </c>
      <c r="R680">
        <v>0.2</v>
      </c>
      <c r="S680" t="str">
        <f t="shared" si="83"/>
        <v>OK</v>
      </c>
      <c r="T680">
        <v>3710.72</v>
      </c>
      <c r="U680">
        <v>3115.29</v>
      </c>
      <c r="V680">
        <v>595.42999999999995</v>
      </c>
      <c r="W680" t="s">
        <v>31</v>
      </c>
      <c r="X680" t="s">
        <v>32</v>
      </c>
      <c r="Y680">
        <f t="shared" si="84"/>
        <v>0.2</v>
      </c>
      <c r="Z680">
        <f t="shared" si="85"/>
        <v>3710.72</v>
      </c>
      <c r="AA680">
        <f t="shared" si="86"/>
        <v>595.42999999999984</v>
      </c>
      <c r="AB680">
        <f t="shared" si="87"/>
        <v>16.046212055881334</v>
      </c>
      <c r="AC680">
        <f t="shared" si="88"/>
        <v>5</v>
      </c>
      <c r="AD680">
        <f t="shared" si="89"/>
        <v>2025</v>
      </c>
      <c r="AE680" t="str">
        <f t="shared" si="90"/>
        <v>CLEAN</v>
      </c>
    </row>
    <row r="681" spans="1:31">
      <c r="A681" t="s">
        <v>2632</v>
      </c>
      <c r="B681" s="2">
        <v>45741</v>
      </c>
      <c r="C681" s="2">
        <v>45749</v>
      </c>
      <c r="D681" s="5">
        <f>C681-B681</f>
        <v>8</v>
      </c>
      <c r="E681" s="5" t="str">
        <f>IF(D681&lt;0,"INVALID","OK")</f>
        <v>OK</v>
      </c>
      <c r="F681" t="s">
        <v>2633</v>
      </c>
      <c r="G681" t="s">
        <v>113</v>
      </c>
      <c r="H681" t="s">
        <v>23</v>
      </c>
      <c r="I681" t="s">
        <v>53</v>
      </c>
      <c r="J681" t="s">
        <v>174</v>
      </c>
      <c r="K681" t="s">
        <v>175</v>
      </c>
      <c r="L681" t="s">
        <v>40</v>
      </c>
      <c r="M681" t="s">
        <v>157</v>
      </c>
      <c r="N681" t="s">
        <v>2634</v>
      </c>
      <c r="O681" t="s">
        <v>30</v>
      </c>
      <c r="P681">
        <v>4</v>
      </c>
      <c r="Q681">
        <v>2233.64</v>
      </c>
      <c r="R681">
        <v>0.05</v>
      </c>
      <c r="S681" t="str">
        <f t="shared" si="83"/>
        <v>OK</v>
      </c>
      <c r="T681">
        <v>8487.83</v>
      </c>
      <c r="U681">
        <v>5245.72</v>
      </c>
      <c r="V681">
        <v>3242.11</v>
      </c>
      <c r="W681" t="s">
        <v>31</v>
      </c>
      <c r="X681" t="s">
        <v>32</v>
      </c>
      <c r="Y681">
        <f t="shared" si="84"/>
        <v>0.05</v>
      </c>
      <c r="Z681">
        <f t="shared" si="85"/>
        <v>8487.8319999999985</v>
      </c>
      <c r="AA681">
        <f t="shared" si="86"/>
        <v>3242.1119999999983</v>
      </c>
      <c r="AB681">
        <f t="shared" si="87"/>
        <v>38.197174496384925</v>
      </c>
      <c r="AC681">
        <f t="shared" si="88"/>
        <v>3</v>
      </c>
      <c r="AD681">
        <f t="shared" si="89"/>
        <v>2025</v>
      </c>
      <c r="AE681" t="str">
        <f t="shared" si="90"/>
        <v>CLEAN</v>
      </c>
    </row>
    <row r="682" spans="1:31">
      <c r="A682" t="s">
        <v>2650</v>
      </c>
      <c r="B682" s="2">
        <v>45724</v>
      </c>
      <c r="C682" s="2">
        <v>45725</v>
      </c>
      <c r="D682" s="5">
        <f>C682-B682</f>
        <v>1</v>
      </c>
      <c r="E682" s="5" t="str">
        <f>IF(D682&lt;0,"INVALID","OK")</f>
        <v>OK</v>
      </c>
      <c r="F682" t="s">
        <v>2651</v>
      </c>
      <c r="G682" t="s">
        <v>113</v>
      </c>
      <c r="H682" t="s">
        <v>94</v>
      </c>
      <c r="I682" t="s">
        <v>24</v>
      </c>
      <c r="J682" t="s">
        <v>349</v>
      </c>
      <c r="K682" t="s">
        <v>350</v>
      </c>
      <c r="L682" t="s">
        <v>40</v>
      </c>
      <c r="M682" t="s">
        <v>56</v>
      </c>
      <c r="N682" t="s">
        <v>2652</v>
      </c>
      <c r="O682" t="s">
        <v>43</v>
      </c>
      <c r="P682">
        <v>4</v>
      </c>
      <c r="Q682">
        <v>3405.68</v>
      </c>
      <c r="R682">
        <v>0.2</v>
      </c>
      <c r="S682" t="str">
        <f t="shared" si="83"/>
        <v>OK</v>
      </c>
      <c r="T682">
        <v>10898.18</v>
      </c>
      <c r="U682">
        <v>6231.41</v>
      </c>
      <c r="V682">
        <v>4666.7700000000004</v>
      </c>
      <c r="W682" t="s">
        <v>31</v>
      </c>
      <c r="X682" t="s">
        <v>32</v>
      </c>
      <c r="Y682">
        <f t="shared" si="84"/>
        <v>0.2</v>
      </c>
      <c r="Z682">
        <f t="shared" si="85"/>
        <v>10898.175999999999</v>
      </c>
      <c r="AA682">
        <f t="shared" si="86"/>
        <v>4666.7659999999996</v>
      </c>
      <c r="AB682">
        <f t="shared" si="87"/>
        <v>42.8215327041883</v>
      </c>
      <c r="AC682">
        <f t="shared" si="88"/>
        <v>3</v>
      </c>
      <c r="AD682">
        <f t="shared" si="89"/>
        <v>2025</v>
      </c>
      <c r="AE682" t="str">
        <f t="shared" si="90"/>
        <v>CLEAN</v>
      </c>
    </row>
    <row r="683" spans="1:31">
      <c r="A683" t="s">
        <v>2656</v>
      </c>
      <c r="B683" s="2">
        <v>45906</v>
      </c>
      <c r="C683" s="2">
        <v>45908</v>
      </c>
      <c r="D683" s="5">
        <f>C683-B683</f>
        <v>2</v>
      </c>
      <c r="E683" s="5" t="str">
        <f>IF(D683&lt;0,"INVALID","OK")</f>
        <v>OK</v>
      </c>
      <c r="F683" t="s">
        <v>2657</v>
      </c>
      <c r="G683" t="s">
        <v>127</v>
      </c>
      <c r="H683" t="s">
        <v>94</v>
      </c>
      <c r="I683" t="s">
        <v>62</v>
      </c>
      <c r="J683" t="s">
        <v>71</v>
      </c>
      <c r="K683" t="s">
        <v>72</v>
      </c>
      <c r="L683" t="s">
        <v>40</v>
      </c>
      <c r="M683" t="s">
        <v>56</v>
      </c>
      <c r="N683" t="s">
        <v>2658</v>
      </c>
      <c r="O683" t="s">
        <v>43</v>
      </c>
      <c r="P683">
        <v>3</v>
      </c>
      <c r="Q683">
        <v>2937.23</v>
      </c>
      <c r="R683">
        <v>0</v>
      </c>
      <c r="S683" t="str">
        <f t="shared" si="83"/>
        <v>OK</v>
      </c>
      <c r="T683">
        <v>8811.69</v>
      </c>
      <c r="U683">
        <v>6765.91</v>
      </c>
      <c r="V683">
        <v>2045.78</v>
      </c>
      <c r="W683" t="s">
        <v>31</v>
      </c>
      <c r="X683" t="s">
        <v>32</v>
      </c>
      <c r="Y683">
        <f t="shared" si="84"/>
        <v>0</v>
      </c>
      <c r="Z683">
        <f t="shared" si="85"/>
        <v>8811.69</v>
      </c>
      <c r="AA683">
        <f t="shared" si="86"/>
        <v>2045.7800000000007</v>
      </c>
      <c r="AB683">
        <f t="shared" si="87"/>
        <v>23.216658779416893</v>
      </c>
      <c r="AC683">
        <f t="shared" si="88"/>
        <v>9</v>
      </c>
      <c r="AD683">
        <f t="shared" si="89"/>
        <v>2025</v>
      </c>
      <c r="AE683" t="str">
        <f t="shared" si="90"/>
        <v>CLEAN</v>
      </c>
    </row>
    <row r="684" spans="1:31">
      <c r="A684" t="s">
        <v>2659</v>
      </c>
      <c r="B684" s="2">
        <v>45902</v>
      </c>
      <c r="C684" s="2">
        <v>45786</v>
      </c>
      <c r="D684" s="5">
        <f>C684-B684</f>
        <v>-116</v>
      </c>
      <c r="E684" s="5" t="str">
        <f>IF(D684&lt;0,"INVALID","OK")</f>
        <v>INVALID</v>
      </c>
      <c r="F684" t="s">
        <v>2660</v>
      </c>
      <c r="G684" t="s">
        <v>70</v>
      </c>
      <c r="H684" t="s">
        <v>23</v>
      </c>
      <c r="I684" t="s">
        <v>53</v>
      </c>
      <c r="J684" t="s">
        <v>246</v>
      </c>
      <c r="K684" t="s">
        <v>247</v>
      </c>
      <c r="L684" t="s">
        <v>73</v>
      </c>
      <c r="M684" t="s">
        <v>170</v>
      </c>
      <c r="N684" t="s">
        <v>2661</v>
      </c>
      <c r="O684" t="s">
        <v>49</v>
      </c>
      <c r="P684">
        <v>5</v>
      </c>
      <c r="Q684">
        <v>3406.87</v>
      </c>
      <c r="R684">
        <v>0</v>
      </c>
      <c r="S684" t="str">
        <f t="shared" si="83"/>
        <v>OK</v>
      </c>
      <c r="T684">
        <v>17034.349999999999</v>
      </c>
      <c r="U684">
        <v>14631.36</v>
      </c>
      <c r="V684">
        <v>2402.9899999999998</v>
      </c>
      <c r="W684" t="s">
        <v>31</v>
      </c>
      <c r="X684" t="s">
        <v>32</v>
      </c>
      <c r="Y684">
        <f t="shared" si="84"/>
        <v>0</v>
      </c>
      <c r="Z684">
        <f t="shared" si="85"/>
        <v>17034.349999999999</v>
      </c>
      <c r="AA684">
        <f t="shared" si="86"/>
        <v>2402.989999999998</v>
      </c>
      <c r="AB684">
        <f t="shared" si="87"/>
        <v>14.106731398615141</v>
      </c>
      <c r="AC684">
        <f t="shared" si="88"/>
        <v>9</v>
      </c>
      <c r="AD684">
        <f t="shared" si="89"/>
        <v>2025</v>
      </c>
      <c r="AE684" t="str">
        <f t="shared" si="90"/>
        <v>INVALID</v>
      </c>
    </row>
    <row r="685" spans="1:31">
      <c r="A685" t="s">
        <v>2662</v>
      </c>
      <c r="B685" s="2">
        <v>45810</v>
      </c>
      <c r="C685" s="2">
        <v>45702</v>
      </c>
      <c r="D685" s="5">
        <f>C685-B685</f>
        <v>-108</v>
      </c>
      <c r="E685" s="5" t="str">
        <f>IF(D685&lt;0,"INVALID","OK")</f>
        <v>INVALID</v>
      </c>
      <c r="F685" t="s">
        <v>2663</v>
      </c>
      <c r="G685" t="s">
        <v>263</v>
      </c>
      <c r="H685" t="s">
        <v>23</v>
      </c>
      <c r="I685" t="s">
        <v>62</v>
      </c>
      <c r="J685" t="s">
        <v>63</v>
      </c>
      <c r="K685" t="s">
        <v>64</v>
      </c>
      <c r="L685" t="s">
        <v>27</v>
      </c>
      <c r="M685" t="s">
        <v>90</v>
      </c>
      <c r="N685" t="s">
        <v>2664</v>
      </c>
      <c r="O685" t="s">
        <v>30</v>
      </c>
      <c r="P685">
        <v>2</v>
      </c>
      <c r="Q685">
        <v>3992.04</v>
      </c>
      <c r="R685">
        <v>0</v>
      </c>
      <c r="S685" t="str">
        <f t="shared" si="83"/>
        <v>OK</v>
      </c>
      <c r="T685">
        <v>7984.08</v>
      </c>
      <c r="U685">
        <v>5658.05</v>
      </c>
      <c r="V685">
        <v>2326.0300000000002</v>
      </c>
      <c r="W685" t="s">
        <v>31</v>
      </c>
      <c r="X685" t="s">
        <v>32</v>
      </c>
      <c r="Y685">
        <f t="shared" si="84"/>
        <v>0</v>
      </c>
      <c r="Z685">
        <f t="shared" si="85"/>
        <v>7984.08</v>
      </c>
      <c r="AA685">
        <f t="shared" si="86"/>
        <v>2326.0299999999997</v>
      </c>
      <c r="AB685">
        <f t="shared" si="87"/>
        <v>29.133350367230786</v>
      </c>
      <c r="AC685">
        <f t="shared" si="88"/>
        <v>6</v>
      </c>
      <c r="AD685">
        <f t="shared" si="89"/>
        <v>2025</v>
      </c>
      <c r="AE685" t="str">
        <f t="shared" si="90"/>
        <v>INVALID</v>
      </c>
    </row>
    <row r="686" spans="1:31">
      <c r="A686" t="s">
        <v>2671</v>
      </c>
      <c r="B686" s="2">
        <v>45965</v>
      </c>
      <c r="C686" s="2">
        <v>45762</v>
      </c>
      <c r="D686" s="5">
        <f>C686-B686</f>
        <v>-203</v>
      </c>
      <c r="E686" s="5" t="str">
        <f>IF(D686&lt;0,"INVALID","OK")</f>
        <v>INVALID</v>
      </c>
      <c r="F686" t="s">
        <v>2672</v>
      </c>
      <c r="G686" t="s">
        <v>70</v>
      </c>
      <c r="H686" t="s">
        <v>94</v>
      </c>
      <c r="I686" t="s">
        <v>53</v>
      </c>
      <c r="J686" t="s">
        <v>174</v>
      </c>
      <c r="K686" t="s">
        <v>175</v>
      </c>
      <c r="L686" t="s">
        <v>27</v>
      </c>
      <c r="M686" t="s">
        <v>123</v>
      </c>
      <c r="N686" t="s">
        <v>2673</v>
      </c>
      <c r="O686" t="s">
        <v>43</v>
      </c>
      <c r="P686">
        <v>9</v>
      </c>
      <c r="Q686">
        <v>224.94</v>
      </c>
      <c r="R686">
        <v>0.05</v>
      </c>
      <c r="S686" t="str">
        <f t="shared" si="83"/>
        <v>OK</v>
      </c>
      <c r="T686">
        <v>1923.24</v>
      </c>
      <c r="U686">
        <v>1093.6600000000001</v>
      </c>
      <c r="V686">
        <v>829.58</v>
      </c>
      <c r="W686" t="s">
        <v>31</v>
      </c>
      <c r="X686" t="s">
        <v>32</v>
      </c>
      <c r="Y686">
        <f t="shared" si="84"/>
        <v>0.05</v>
      </c>
      <c r="Z686">
        <f t="shared" si="85"/>
        <v>1923.2369999999999</v>
      </c>
      <c r="AA686">
        <f t="shared" si="86"/>
        <v>829.57699999999977</v>
      </c>
      <c r="AB686">
        <f t="shared" si="87"/>
        <v>43.134413491420965</v>
      </c>
      <c r="AC686">
        <f t="shared" si="88"/>
        <v>11</v>
      </c>
      <c r="AD686">
        <f t="shared" si="89"/>
        <v>2025</v>
      </c>
      <c r="AE686" t="str">
        <f t="shared" si="90"/>
        <v>INVALID</v>
      </c>
    </row>
    <row r="687" spans="1:31">
      <c r="A687" t="s">
        <v>2674</v>
      </c>
      <c r="B687" s="2">
        <v>45722</v>
      </c>
      <c r="C687" s="2">
        <v>45841</v>
      </c>
      <c r="D687" s="5">
        <f>C687-B687</f>
        <v>119</v>
      </c>
      <c r="E687" s="5" t="str">
        <f>IF(D687&lt;0,"INVALID","OK")</f>
        <v>OK</v>
      </c>
      <c r="F687" t="s">
        <v>2675</v>
      </c>
      <c r="G687" t="s">
        <v>140</v>
      </c>
      <c r="H687" t="s">
        <v>94</v>
      </c>
      <c r="I687" t="s">
        <v>2762</v>
      </c>
      <c r="J687" t="s">
        <v>349</v>
      </c>
      <c r="K687" t="s">
        <v>350</v>
      </c>
      <c r="L687" t="s">
        <v>40</v>
      </c>
      <c r="M687" t="s">
        <v>65</v>
      </c>
      <c r="N687" t="s">
        <v>1146</v>
      </c>
      <c r="O687" t="s">
        <v>43</v>
      </c>
      <c r="P687">
        <v>6</v>
      </c>
      <c r="Q687">
        <v>796.65</v>
      </c>
      <c r="R687">
        <v>0.1</v>
      </c>
      <c r="S687" t="str">
        <f t="shared" ref="S687:S697" si="91">IF(R687&lt;0,"INVALID",IF(R687&gt;0.5,"INVALID","OK"))</f>
        <v>OK</v>
      </c>
      <c r="T687">
        <v>4301.91</v>
      </c>
      <c r="U687">
        <v>2374.4</v>
      </c>
      <c r="V687">
        <v>1927.51</v>
      </c>
      <c r="W687" t="s">
        <v>31</v>
      </c>
      <c r="X687" t="s">
        <v>32</v>
      </c>
      <c r="Y687">
        <f t="shared" si="84"/>
        <v>0.1</v>
      </c>
      <c r="Z687">
        <f t="shared" si="85"/>
        <v>4301.91</v>
      </c>
      <c r="AA687">
        <f t="shared" si="86"/>
        <v>1927.5099999999998</v>
      </c>
      <c r="AB687">
        <f t="shared" si="87"/>
        <v>44.805911792668837</v>
      </c>
      <c r="AC687">
        <f t="shared" si="88"/>
        <v>3</v>
      </c>
      <c r="AD687">
        <f t="shared" si="89"/>
        <v>2025</v>
      </c>
      <c r="AE687" t="str">
        <f t="shared" si="90"/>
        <v>CLEAN</v>
      </c>
    </row>
    <row r="688" spans="1:31">
      <c r="A688" t="s">
        <v>2683</v>
      </c>
      <c r="B688" s="2">
        <v>45689</v>
      </c>
      <c r="C688" s="2">
        <v>45871</v>
      </c>
      <c r="D688" s="5">
        <f>C688-B688</f>
        <v>182</v>
      </c>
      <c r="E688" s="5" t="str">
        <f>IF(D688&lt;0,"INVALID","OK")</f>
        <v>OK</v>
      </c>
      <c r="F688" t="s">
        <v>2684</v>
      </c>
      <c r="G688" t="s">
        <v>88</v>
      </c>
      <c r="H688" t="s">
        <v>94</v>
      </c>
      <c r="I688" t="s">
        <v>62</v>
      </c>
      <c r="J688" t="s">
        <v>179</v>
      </c>
      <c r="K688" t="s">
        <v>180</v>
      </c>
      <c r="L688" t="s">
        <v>27</v>
      </c>
      <c r="M688" t="s">
        <v>123</v>
      </c>
      <c r="N688" t="s">
        <v>2685</v>
      </c>
      <c r="O688" t="s">
        <v>30</v>
      </c>
      <c r="P688">
        <v>8</v>
      </c>
      <c r="Q688">
        <v>623.30999999999995</v>
      </c>
      <c r="R688">
        <v>0.1</v>
      </c>
      <c r="S688" t="str">
        <f t="shared" si="91"/>
        <v>OK</v>
      </c>
      <c r="T688">
        <v>4487.83</v>
      </c>
      <c r="U688">
        <v>2633.78</v>
      </c>
      <c r="V688">
        <v>1854.05</v>
      </c>
      <c r="W688" t="s">
        <v>31</v>
      </c>
      <c r="X688" t="s">
        <v>32</v>
      </c>
      <c r="Y688">
        <f t="shared" si="84"/>
        <v>0.1</v>
      </c>
      <c r="Z688">
        <f t="shared" si="85"/>
        <v>4487.8319999999994</v>
      </c>
      <c r="AA688">
        <f t="shared" si="86"/>
        <v>1854.0519999999992</v>
      </c>
      <c r="AB688">
        <f t="shared" si="87"/>
        <v>41.312865543986483</v>
      </c>
      <c r="AC688">
        <f t="shared" si="88"/>
        <v>2</v>
      </c>
      <c r="AD688">
        <f t="shared" si="89"/>
        <v>2025</v>
      </c>
      <c r="AE688" t="str">
        <f t="shared" si="90"/>
        <v>CLEAN</v>
      </c>
    </row>
    <row r="689" spans="1:31">
      <c r="A689" t="s">
        <v>2686</v>
      </c>
      <c r="B689" s="2">
        <v>45853</v>
      </c>
      <c r="C689" s="2">
        <v>45854</v>
      </c>
      <c r="D689" s="5">
        <f>C689-B689</f>
        <v>1</v>
      </c>
      <c r="E689" s="5" t="str">
        <f>IF(D689&lt;0,"INVALID","OK")</f>
        <v>OK</v>
      </c>
      <c r="F689" t="s">
        <v>2687</v>
      </c>
      <c r="G689" t="s">
        <v>70</v>
      </c>
      <c r="H689" t="s">
        <v>36</v>
      </c>
      <c r="I689" t="s">
        <v>62</v>
      </c>
      <c r="J689" t="s">
        <v>63</v>
      </c>
      <c r="K689" t="s">
        <v>64</v>
      </c>
      <c r="L689" t="s">
        <v>27</v>
      </c>
      <c r="M689" t="s">
        <v>28</v>
      </c>
      <c r="N689" t="s">
        <v>2688</v>
      </c>
      <c r="O689" t="s">
        <v>58</v>
      </c>
      <c r="P689">
        <v>8</v>
      </c>
      <c r="Q689">
        <v>3924.88</v>
      </c>
      <c r="R689">
        <v>0.05</v>
      </c>
      <c r="S689" t="str">
        <f t="shared" si="91"/>
        <v>OK</v>
      </c>
      <c r="T689">
        <v>29829.09</v>
      </c>
      <c r="U689">
        <v>20710.18</v>
      </c>
      <c r="V689">
        <v>9118.91</v>
      </c>
      <c r="W689" t="s">
        <v>31</v>
      </c>
      <c r="X689" t="s">
        <v>32</v>
      </c>
      <c r="Y689">
        <f t="shared" si="84"/>
        <v>0.05</v>
      </c>
      <c r="Z689">
        <f t="shared" si="85"/>
        <v>29829.088</v>
      </c>
      <c r="AA689">
        <f t="shared" si="86"/>
        <v>9118.9079999999994</v>
      </c>
      <c r="AB689">
        <f t="shared" si="87"/>
        <v>30.57052230359842</v>
      </c>
      <c r="AC689">
        <f t="shared" si="88"/>
        <v>7</v>
      </c>
      <c r="AD689">
        <f t="shared" si="89"/>
        <v>2025</v>
      </c>
      <c r="AE689" t="str">
        <f t="shared" si="90"/>
        <v>CLEAN</v>
      </c>
    </row>
    <row r="690" spans="1:31">
      <c r="A690" t="s">
        <v>2694</v>
      </c>
      <c r="B690" s="2">
        <v>45895</v>
      </c>
      <c r="C690" s="2">
        <v>45903</v>
      </c>
      <c r="D690" s="5">
        <f>C690-B690</f>
        <v>8</v>
      </c>
      <c r="E690" s="5" t="str">
        <f>IF(D690&lt;0,"INVALID","OK")</f>
        <v>OK</v>
      </c>
      <c r="F690" t="s">
        <v>2695</v>
      </c>
      <c r="G690" t="s">
        <v>127</v>
      </c>
      <c r="H690" t="s">
        <v>23</v>
      </c>
      <c r="I690" t="s">
        <v>62</v>
      </c>
      <c r="J690" t="s">
        <v>25</v>
      </c>
      <c r="K690" t="s">
        <v>108</v>
      </c>
      <c r="L690" t="s">
        <v>27</v>
      </c>
      <c r="M690" t="s">
        <v>123</v>
      </c>
      <c r="N690" t="s">
        <v>2696</v>
      </c>
      <c r="O690" t="s">
        <v>30</v>
      </c>
      <c r="P690">
        <v>6</v>
      </c>
      <c r="Q690">
        <v>674.36</v>
      </c>
      <c r="R690">
        <v>0.1</v>
      </c>
      <c r="S690" t="str">
        <f t="shared" si="91"/>
        <v>OK</v>
      </c>
      <c r="T690">
        <v>3641.54</v>
      </c>
      <c r="U690">
        <v>2690.37</v>
      </c>
      <c r="V690">
        <v>951.17</v>
      </c>
      <c r="W690" t="s">
        <v>31</v>
      </c>
      <c r="X690" t="s">
        <v>32</v>
      </c>
      <c r="Y690">
        <f t="shared" si="84"/>
        <v>0.1</v>
      </c>
      <c r="Z690">
        <f t="shared" si="85"/>
        <v>3641.5439999999999</v>
      </c>
      <c r="AA690">
        <f t="shared" si="86"/>
        <v>951.17399999999998</v>
      </c>
      <c r="AB690">
        <f t="shared" si="87"/>
        <v>26.120074342092252</v>
      </c>
      <c r="AC690">
        <f t="shared" si="88"/>
        <v>8</v>
      </c>
      <c r="AD690">
        <f t="shared" si="89"/>
        <v>2025</v>
      </c>
      <c r="AE690" t="str">
        <f t="shared" si="90"/>
        <v>CLEAN</v>
      </c>
    </row>
    <row r="691" spans="1:31">
      <c r="A691" t="s">
        <v>2700</v>
      </c>
      <c r="B691" s="2">
        <v>45896</v>
      </c>
      <c r="C691" s="2">
        <v>45897</v>
      </c>
      <c r="D691" s="5">
        <f>C691-B691</f>
        <v>1</v>
      </c>
      <c r="E691" s="5" t="str">
        <f>IF(D691&lt;0,"INVALID","OK")</f>
        <v>OK</v>
      </c>
      <c r="F691" t="s">
        <v>2701</v>
      </c>
      <c r="G691" t="s">
        <v>61</v>
      </c>
      <c r="H691" t="s">
        <v>94</v>
      </c>
      <c r="I691" t="s">
        <v>24</v>
      </c>
      <c r="J691" t="s">
        <v>135</v>
      </c>
      <c r="K691" t="s">
        <v>136</v>
      </c>
      <c r="L691" t="s">
        <v>27</v>
      </c>
      <c r="M691" t="s">
        <v>47</v>
      </c>
      <c r="N691" t="s">
        <v>2702</v>
      </c>
      <c r="O691" t="s">
        <v>58</v>
      </c>
      <c r="P691">
        <v>6</v>
      </c>
      <c r="Q691">
        <v>1182.03</v>
      </c>
      <c r="R691">
        <v>0.15</v>
      </c>
      <c r="S691" t="str">
        <f t="shared" si="91"/>
        <v>OK</v>
      </c>
      <c r="T691">
        <v>6028.35</v>
      </c>
      <c r="U691">
        <v>4433.63</v>
      </c>
      <c r="V691">
        <v>1594.72</v>
      </c>
      <c r="W691" t="s">
        <v>31</v>
      </c>
      <c r="X691" t="s">
        <v>32</v>
      </c>
      <c r="Y691">
        <f t="shared" si="84"/>
        <v>0.15</v>
      </c>
      <c r="Z691">
        <f t="shared" si="85"/>
        <v>6028.3530000000001</v>
      </c>
      <c r="AA691">
        <f t="shared" si="86"/>
        <v>1594.723</v>
      </c>
      <c r="AB691">
        <f t="shared" si="87"/>
        <v>26.45370966166049</v>
      </c>
      <c r="AC691">
        <f t="shared" si="88"/>
        <v>8</v>
      </c>
      <c r="AD691">
        <f t="shared" si="89"/>
        <v>2025</v>
      </c>
      <c r="AE691" t="str">
        <f t="shared" si="90"/>
        <v>CLEAN</v>
      </c>
    </row>
    <row r="692" spans="1:31">
      <c r="A692" t="s">
        <v>2709</v>
      </c>
      <c r="B692" s="2">
        <v>45690</v>
      </c>
      <c r="C692" s="2">
        <v>45698</v>
      </c>
      <c r="D692" s="5">
        <f>C692-B692</f>
        <v>8</v>
      </c>
      <c r="E692" s="5" t="str">
        <f>IF(D692&lt;0,"INVALID","OK")</f>
        <v>OK</v>
      </c>
      <c r="F692" t="s">
        <v>2710</v>
      </c>
      <c r="G692" t="s">
        <v>131</v>
      </c>
      <c r="H692" t="s">
        <v>89</v>
      </c>
      <c r="I692" t="s">
        <v>37</v>
      </c>
      <c r="J692" t="s">
        <v>144</v>
      </c>
      <c r="K692" t="s">
        <v>145</v>
      </c>
      <c r="L692" t="s">
        <v>73</v>
      </c>
      <c r="M692" t="s">
        <v>74</v>
      </c>
      <c r="N692" t="s">
        <v>2711</v>
      </c>
      <c r="O692" t="s">
        <v>58</v>
      </c>
      <c r="P692">
        <v>4</v>
      </c>
      <c r="Q692">
        <v>1912.45</v>
      </c>
      <c r="R692">
        <v>0</v>
      </c>
      <c r="S692" t="str">
        <f t="shared" si="91"/>
        <v>OK</v>
      </c>
      <c r="T692">
        <v>7649.8</v>
      </c>
      <c r="U692">
        <v>4894.53</v>
      </c>
      <c r="V692">
        <v>2755.27</v>
      </c>
      <c r="W692" t="s">
        <v>110</v>
      </c>
      <c r="X692" t="s">
        <v>102</v>
      </c>
      <c r="Y692">
        <f t="shared" si="84"/>
        <v>0</v>
      </c>
      <c r="Z692">
        <f t="shared" si="85"/>
        <v>7649.8</v>
      </c>
      <c r="AA692">
        <f t="shared" si="86"/>
        <v>2755.2700000000004</v>
      </c>
      <c r="AB692">
        <f t="shared" si="87"/>
        <v>36.017542942299151</v>
      </c>
      <c r="AC692">
        <f t="shared" si="88"/>
        <v>2</v>
      </c>
      <c r="AD692">
        <f t="shared" si="89"/>
        <v>2025</v>
      </c>
      <c r="AE692" t="str">
        <f t="shared" si="90"/>
        <v>CLEAN</v>
      </c>
    </row>
    <row r="693" spans="1:31">
      <c r="A693" t="s">
        <v>2712</v>
      </c>
      <c r="B693" s="2">
        <v>45775</v>
      </c>
      <c r="C693" s="2">
        <v>45778</v>
      </c>
      <c r="D693" s="5">
        <f>C693-B693</f>
        <v>3</v>
      </c>
      <c r="E693" s="5" t="str">
        <f>IF(D693&lt;0,"INVALID","OK")</f>
        <v>OK</v>
      </c>
      <c r="F693" t="s">
        <v>2713</v>
      </c>
      <c r="G693" t="s">
        <v>127</v>
      </c>
      <c r="H693" t="s">
        <v>36</v>
      </c>
      <c r="I693" t="s">
        <v>62</v>
      </c>
      <c r="J693" t="s">
        <v>189</v>
      </c>
      <c r="K693" t="s">
        <v>190</v>
      </c>
      <c r="L693" t="s">
        <v>27</v>
      </c>
      <c r="M693" t="s">
        <v>123</v>
      </c>
      <c r="N693" t="s">
        <v>2714</v>
      </c>
      <c r="O693" t="s">
        <v>43</v>
      </c>
      <c r="P693">
        <v>1</v>
      </c>
      <c r="Q693">
        <v>1620.87</v>
      </c>
      <c r="R693">
        <v>0</v>
      </c>
      <c r="S693" t="str">
        <f t="shared" si="91"/>
        <v>OK</v>
      </c>
      <c r="T693">
        <v>1620.87</v>
      </c>
      <c r="U693">
        <v>1103.6099999999999</v>
      </c>
      <c r="V693">
        <v>517.26</v>
      </c>
      <c r="W693" t="s">
        <v>31</v>
      </c>
      <c r="X693" t="s">
        <v>32</v>
      </c>
      <c r="Y693">
        <f t="shared" si="84"/>
        <v>0</v>
      </c>
      <c r="Z693">
        <f t="shared" si="85"/>
        <v>1620.87</v>
      </c>
      <c r="AA693">
        <f t="shared" si="86"/>
        <v>517.26</v>
      </c>
      <c r="AB693">
        <f t="shared" si="87"/>
        <v>31.912491439782343</v>
      </c>
      <c r="AC693">
        <f t="shared" si="88"/>
        <v>4</v>
      </c>
      <c r="AD693">
        <f t="shared" si="89"/>
        <v>2025</v>
      </c>
      <c r="AE693" t="str">
        <f t="shared" si="90"/>
        <v>CLEAN</v>
      </c>
    </row>
    <row r="694" spans="1:31">
      <c r="A694" t="s">
        <v>2715</v>
      </c>
      <c r="B694" s="2">
        <v>45675</v>
      </c>
      <c r="C694" s="2">
        <v>45682</v>
      </c>
      <c r="D694" s="5">
        <f>C694-B694</f>
        <v>7</v>
      </c>
      <c r="E694" s="5" t="str">
        <f>IF(D694&lt;0,"INVALID","OK")</f>
        <v>OK</v>
      </c>
      <c r="F694" t="s">
        <v>2716</v>
      </c>
      <c r="G694" t="s">
        <v>78</v>
      </c>
      <c r="H694" t="s">
        <v>94</v>
      </c>
      <c r="I694" t="s">
        <v>53</v>
      </c>
      <c r="J694" t="s">
        <v>174</v>
      </c>
      <c r="K694" t="s">
        <v>175</v>
      </c>
      <c r="L694" t="s">
        <v>27</v>
      </c>
      <c r="M694" t="s">
        <v>123</v>
      </c>
      <c r="N694" t="s">
        <v>2717</v>
      </c>
      <c r="O694" t="s">
        <v>43</v>
      </c>
      <c r="P694">
        <v>2</v>
      </c>
      <c r="Q694">
        <v>2098.54</v>
      </c>
      <c r="R694">
        <v>0.15</v>
      </c>
      <c r="S694" t="str">
        <f t="shared" si="91"/>
        <v>OK</v>
      </c>
      <c r="T694">
        <v>3567.52</v>
      </c>
      <c r="U694">
        <v>2411.8000000000002</v>
      </c>
      <c r="V694">
        <v>1155.72</v>
      </c>
      <c r="W694" t="s">
        <v>31</v>
      </c>
      <c r="X694" t="s">
        <v>32</v>
      </c>
      <c r="Y694">
        <f t="shared" si="84"/>
        <v>0.15</v>
      </c>
      <c r="Z694">
        <f t="shared" si="85"/>
        <v>3567.518</v>
      </c>
      <c r="AA694">
        <f t="shared" si="86"/>
        <v>1155.7179999999998</v>
      </c>
      <c r="AB694">
        <f t="shared" si="87"/>
        <v>32.395575859743381</v>
      </c>
      <c r="AC694">
        <f t="shared" si="88"/>
        <v>1</v>
      </c>
      <c r="AD694">
        <f t="shared" si="89"/>
        <v>2025</v>
      </c>
      <c r="AE694" t="str">
        <f t="shared" si="90"/>
        <v>CLEAN</v>
      </c>
    </row>
    <row r="695" spans="1:31">
      <c r="A695" t="s">
        <v>2730</v>
      </c>
      <c r="B695" s="2">
        <v>45726</v>
      </c>
      <c r="C695" s="2">
        <v>45727</v>
      </c>
      <c r="D695" s="5">
        <f>C695-B695</f>
        <v>1</v>
      </c>
      <c r="E695" s="5" t="str">
        <f>IF(D695&lt;0,"INVALID","OK")</f>
        <v>OK</v>
      </c>
      <c r="F695" t="s">
        <v>882</v>
      </c>
      <c r="G695" t="s">
        <v>88</v>
      </c>
      <c r="H695" t="s">
        <v>94</v>
      </c>
      <c r="I695" t="s">
        <v>62</v>
      </c>
      <c r="J695" t="s">
        <v>71</v>
      </c>
      <c r="K695" t="s">
        <v>72</v>
      </c>
      <c r="L695" t="s">
        <v>27</v>
      </c>
      <c r="M695" t="s">
        <v>123</v>
      </c>
      <c r="N695" t="s">
        <v>2731</v>
      </c>
      <c r="O695" t="s">
        <v>49</v>
      </c>
      <c r="P695">
        <v>2</v>
      </c>
      <c r="Q695">
        <v>3922.08</v>
      </c>
      <c r="R695">
        <v>0.25</v>
      </c>
      <c r="S695" t="str">
        <f t="shared" si="91"/>
        <v>OK</v>
      </c>
      <c r="T695">
        <v>5883.12</v>
      </c>
      <c r="U695">
        <v>4647.91</v>
      </c>
      <c r="V695">
        <v>1235.21</v>
      </c>
      <c r="W695" t="s">
        <v>31</v>
      </c>
      <c r="X695" t="s">
        <v>102</v>
      </c>
      <c r="Y695">
        <f t="shared" si="84"/>
        <v>0.25</v>
      </c>
      <c r="Z695">
        <f t="shared" si="85"/>
        <v>5883.12</v>
      </c>
      <c r="AA695">
        <f t="shared" si="86"/>
        <v>1235.21</v>
      </c>
      <c r="AB695">
        <f t="shared" si="87"/>
        <v>20.995832143488492</v>
      </c>
      <c r="AC695">
        <f t="shared" si="88"/>
        <v>3</v>
      </c>
      <c r="AD695">
        <f t="shared" si="89"/>
        <v>2025</v>
      </c>
      <c r="AE695" t="str">
        <f t="shared" si="90"/>
        <v>CLEAN</v>
      </c>
    </row>
    <row r="696" spans="1:31">
      <c r="A696" t="s">
        <v>2738</v>
      </c>
      <c r="B696" s="2">
        <v>45759</v>
      </c>
      <c r="C696" s="2">
        <v>45765</v>
      </c>
      <c r="D696" s="5">
        <f>C696-B696</f>
        <v>6</v>
      </c>
      <c r="E696" s="5" t="str">
        <f>IF(D696&lt;0,"INVALID","OK")</f>
        <v>OK</v>
      </c>
      <c r="F696" t="s">
        <v>2739</v>
      </c>
      <c r="G696" t="s">
        <v>46</v>
      </c>
      <c r="H696" t="s">
        <v>36</v>
      </c>
      <c r="I696" t="s">
        <v>37</v>
      </c>
      <c r="J696" t="s">
        <v>227</v>
      </c>
      <c r="K696" t="s">
        <v>228</v>
      </c>
      <c r="L696" t="s">
        <v>73</v>
      </c>
      <c r="M696" t="s">
        <v>79</v>
      </c>
      <c r="N696" t="s">
        <v>2740</v>
      </c>
      <c r="O696" t="s">
        <v>43</v>
      </c>
      <c r="P696">
        <v>1</v>
      </c>
      <c r="Q696">
        <v>726.89</v>
      </c>
      <c r="R696">
        <v>0.2</v>
      </c>
      <c r="S696" t="str">
        <f t="shared" si="91"/>
        <v>OK</v>
      </c>
      <c r="T696">
        <v>581.51</v>
      </c>
      <c r="U696">
        <v>423.86</v>
      </c>
      <c r="V696">
        <v>157.65</v>
      </c>
      <c r="W696" t="s">
        <v>31</v>
      </c>
      <c r="X696" t="s">
        <v>32</v>
      </c>
      <c r="Y696">
        <f t="shared" si="84"/>
        <v>0.2</v>
      </c>
      <c r="Z696">
        <f t="shared" si="85"/>
        <v>581.51200000000006</v>
      </c>
      <c r="AA696">
        <f t="shared" si="86"/>
        <v>157.65200000000004</v>
      </c>
      <c r="AB696">
        <f t="shared" si="87"/>
        <v>27.110704508247469</v>
      </c>
      <c r="AC696">
        <f t="shared" si="88"/>
        <v>4</v>
      </c>
      <c r="AD696">
        <f t="shared" si="89"/>
        <v>2025</v>
      </c>
      <c r="AE696" t="str">
        <f t="shared" si="90"/>
        <v>CLEAN</v>
      </c>
    </row>
    <row r="697" spans="1:31">
      <c r="A697" t="s">
        <v>2753</v>
      </c>
      <c r="B697" s="2">
        <v>45776</v>
      </c>
      <c r="C697" s="2">
        <v>45780</v>
      </c>
      <c r="D697" s="5">
        <f>C697-B697</f>
        <v>4</v>
      </c>
      <c r="E697" s="5" t="str">
        <f>IF(D697&lt;0,"INVALID","OK")</f>
        <v>OK</v>
      </c>
      <c r="F697" t="s">
        <v>2120</v>
      </c>
      <c r="G697" t="s">
        <v>140</v>
      </c>
      <c r="H697" t="s">
        <v>89</v>
      </c>
      <c r="I697" t="s">
        <v>24</v>
      </c>
      <c r="J697" t="s">
        <v>235</v>
      </c>
      <c r="K697" t="s">
        <v>236</v>
      </c>
      <c r="L697" t="s">
        <v>27</v>
      </c>
      <c r="M697" t="s">
        <v>28</v>
      </c>
      <c r="N697" t="s">
        <v>2754</v>
      </c>
      <c r="O697" t="s">
        <v>49</v>
      </c>
      <c r="P697">
        <v>4</v>
      </c>
      <c r="Q697">
        <v>1786.65</v>
      </c>
      <c r="R697">
        <v>0.05</v>
      </c>
      <c r="S697" t="str">
        <f t="shared" si="91"/>
        <v>OK</v>
      </c>
      <c r="T697">
        <v>6789.27</v>
      </c>
      <c r="U697">
        <v>5626.43</v>
      </c>
      <c r="V697">
        <v>1162.8399999999999</v>
      </c>
      <c r="W697" t="s">
        <v>31</v>
      </c>
      <c r="X697" t="s">
        <v>32</v>
      </c>
      <c r="Y697">
        <f t="shared" si="84"/>
        <v>0.05</v>
      </c>
      <c r="Z697">
        <f t="shared" si="85"/>
        <v>6789.27</v>
      </c>
      <c r="AA697">
        <f t="shared" si="86"/>
        <v>1162.8400000000001</v>
      </c>
      <c r="AB697">
        <f t="shared" si="87"/>
        <v>17.127614603631908</v>
      </c>
      <c r="AC697">
        <f t="shared" si="88"/>
        <v>4</v>
      </c>
      <c r="AD697">
        <f t="shared" si="89"/>
        <v>2025</v>
      </c>
      <c r="AE697" t="str">
        <f t="shared" si="90"/>
        <v>CLEAN</v>
      </c>
    </row>
  </sheetData>
  <autoFilter ref="A1:AE697" xr:uid="{D31F2373-7442-40D0-8FE3-0050E42ECD05}"/>
  <conditionalFormatting sqref="A1:A697">
    <cfRule type="duplicateValues" dxfId="0" priority="187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5E75A-7FDD-4882-8D3D-107EC3F8F6D1}">
  <dimension ref="A1:C68"/>
  <sheetViews>
    <sheetView workbookViewId="0">
      <selection activeCell="B73" sqref="B73"/>
    </sheetView>
  </sheetViews>
  <sheetFormatPr defaultRowHeight="14.4"/>
  <cols>
    <col min="1" max="1" width="34.21875" customWidth="1"/>
    <col min="2" max="2" width="59.109375" customWidth="1"/>
    <col min="3" max="3" width="35.44140625" customWidth="1"/>
  </cols>
  <sheetData>
    <row r="1" spans="1:3" ht="18">
      <c r="A1" s="9" t="s">
        <v>2780</v>
      </c>
      <c r="B1" s="9"/>
    </row>
    <row r="2" spans="1:3">
      <c r="A2" s="8" t="s">
        <v>2773</v>
      </c>
      <c r="B2" s="8" t="s">
        <v>2774</v>
      </c>
    </row>
    <row r="3" spans="1:3">
      <c r="A3" t="s">
        <v>2775</v>
      </c>
      <c r="B3" s="8">
        <v>20</v>
      </c>
    </row>
    <row r="4" spans="1:3">
      <c r="A4" t="s">
        <v>2776</v>
      </c>
      <c r="B4" s="8">
        <v>24</v>
      </c>
    </row>
    <row r="5" spans="1:3">
      <c r="A5" t="s">
        <v>2777</v>
      </c>
      <c r="B5" s="8">
        <v>20</v>
      </c>
    </row>
    <row r="6" spans="1:3">
      <c r="A6" t="s">
        <v>2778</v>
      </c>
      <c r="B6" s="8">
        <v>24</v>
      </c>
    </row>
    <row r="7" spans="1:3">
      <c r="A7" t="s">
        <v>2779</v>
      </c>
      <c r="B7" s="8" t="s">
        <v>2781</v>
      </c>
    </row>
    <row r="8" spans="1:3">
      <c r="B8" s="8"/>
    </row>
    <row r="9" spans="1:3">
      <c r="B9" s="8"/>
    </row>
    <row r="10" spans="1:3">
      <c r="B10" s="8"/>
    </row>
    <row r="11" spans="1:3" ht="15.6">
      <c r="A11" s="10" t="s">
        <v>2784</v>
      </c>
      <c r="B11" s="10"/>
      <c r="C11" s="10"/>
    </row>
    <row r="12" spans="1:3">
      <c r="A12" s="8" t="s">
        <v>2782</v>
      </c>
      <c r="B12" s="8" t="s">
        <v>2783</v>
      </c>
      <c r="C12" t="s">
        <v>2796</v>
      </c>
    </row>
    <row r="13" spans="1:3" s="8" customFormat="1">
      <c r="A13" s="8" t="s">
        <v>2785</v>
      </c>
      <c r="B13" s="8" t="s">
        <v>2786</v>
      </c>
      <c r="C13" s="8" t="s">
        <v>2797</v>
      </c>
    </row>
    <row r="14" spans="1:3">
      <c r="A14" t="s">
        <v>2787</v>
      </c>
      <c r="B14">
        <v>26</v>
      </c>
      <c r="C14" t="s">
        <v>2798</v>
      </c>
    </row>
    <row r="15" spans="1:3">
      <c r="A15" t="s">
        <v>2788</v>
      </c>
      <c r="B15">
        <v>22</v>
      </c>
      <c r="C15" t="s">
        <v>2798</v>
      </c>
    </row>
    <row r="16" spans="1:3">
      <c r="A16" t="s">
        <v>2789</v>
      </c>
      <c r="B16">
        <v>18</v>
      </c>
      <c r="C16" t="s">
        <v>2799</v>
      </c>
    </row>
    <row r="21" spans="1:3" ht="18">
      <c r="A21" s="11" t="s">
        <v>2792</v>
      </c>
      <c r="B21" s="11"/>
      <c r="C21" s="11"/>
    </row>
    <row r="22" spans="1:3">
      <c r="A22" s="8" t="s">
        <v>2790</v>
      </c>
      <c r="B22" s="8" t="s">
        <v>2791</v>
      </c>
      <c r="C22" t="s">
        <v>2797</v>
      </c>
    </row>
    <row r="23" spans="1:3">
      <c r="A23" t="s">
        <v>2793</v>
      </c>
      <c r="B23">
        <v>16</v>
      </c>
      <c r="C23" t="s">
        <v>2801</v>
      </c>
    </row>
    <row r="24" spans="1:3">
      <c r="A24" t="s">
        <v>2794</v>
      </c>
      <c r="B24">
        <v>8</v>
      </c>
      <c r="C24" t="s">
        <v>2805</v>
      </c>
    </row>
    <row r="25" spans="1:3">
      <c r="A25" t="s">
        <v>2795</v>
      </c>
      <c r="B25">
        <v>18</v>
      </c>
      <c r="C25" t="s">
        <v>2802</v>
      </c>
    </row>
    <row r="26" spans="1:3">
      <c r="A26" t="s">
        <v>2800</v>
      </c>
      <c r="B26">
        <v>7</v>
      </c>
      <c r="C26" t="s">
        <v>2806</v>
      </c>
    </row>
    <row r="27" spans="1:3">
      <c r="C27" t="s">
        <v>2803</v>
      </c>
    </row>
    <row r="32" spans="1:3" ht="18">
      <c r="A32" s="11" t="s">
        <v>2804</v>
      </c>
      <c r="B32" s="11"/>
      <c r="C32" s="11"/>
    </row>
    <row r="33" spans="1:3">
      <c r="A33" t="s">
        <v>2807</v>
      </c>
      <c r="B33" t="s">
        <v>2791</v>
      </c>
    </row>
    <row r="34" spans="1:3">
      <c r="A34" t="s">
        <v>2808</v>
      </c>
      <c r="B34">
        <v>94</v>
      </c>
      <c r="C34" t="s">
        <v>2811</v>
      </c>
    </row>
    <row r="35" spans="1:3">
      <c r="A35" t="s">
        <v>2809</v>
      </c>
      <c r="B35">
        <v>0</v>
      </c>
    </row>
    <row r="36" spans="1:3">
      <c r="A36" t="s">
        <v>2810</v>
      </c>
      <c r="B36">
        <v>0</v>
      </c>
    </row>
    <row r="41" spans="1:3" ht="18">
      <c r="A41" s="11" t="s">
        <v>2812</v>
      </c>
      <c r="B41" s="11"/>
      <c r="C41" s="11"/>
    </row>
    <row r="42" spans="1:3">
      <c r="A42" t="s">
        <v>2813</v>
      </c>
      <c r="B42" t="s">
        <v>2791</v>
      </c>
      <c r="C42" t="s">
        <v>2814</v>
      </c>
    </row>
    <row r="43" spans="1:3">
      <c r="A43" t="s">
        <v>2817</v>
      </c>
      <c r="B43">
        <v>622</v>
      </c>
    </row>
    <row r="44" spans="1:3">
      <c r="A44" t="s">
        <v>2815</v>
      </c>
      <c r="B44">
        <v>164</v>
      </c>
      <c r="C44" t="s">
        <v>2819</v>
      </c>
    </row>
    <row r="45" spans="1:3">
      <c r="A45" t="s">
        <v>2816</v>
      </c>
      <c r="B45">
        <v>146</v>
      </c>
      <c r="C45" t="s">
        <v>2819</v>
      </c>
    </row>
    <row r="46" spans="1:3">
      <c r="A46" s="12" t="s">
        <v>2818</v>
      </c>
      <c r="B46" s="13">
        <f>B43+B44+B45</f>
        <v>932</v>
      </c>
    </row>
    <row r="53" spans="1:3" ht="18">
      <c r="A53" s="11" t="s">
        <v>2820</v>
      </c>
      <c r="B53" s="11"/>
      <c r="C53" s="11"/>
    </row>
    <row r="54" spans="1:3">
      <c r="A54" t="s">
        <v>2813</v>
      </c>
      <c r="B54" t="s">
        <v>2823</v>
      </c>
      <c r="C54" t="s">
        <v>2824</v>
      </c>
    </row>
    <row r="55" spans="1:3">
      <c r="A55" t="s">
        <v>2821</v>
      </c>
      <c r="B55">
        <v>661</v>
      </c>
      <c r="C55">
        <v>657</v>
      </c>
    </row>
    <row r="56" spans="1:3">
      <c r="A56" t="s">
        <v>2822</v>
      </c>
      <c r="B56">
        <v>35</v>
      </c>
      <c r="C56">
        <v>39</v>
      </c>
    </row>
    <row r="57" spans="1:3">
      <c r="B57" s="15" t="s">
        <v>2825</v>
      </c>
      <c r="C57" s="15"/>
    </row>
    <row r="64" spans="1:3" ht="18">
      <c r="A64" s="14" t="s">
        <v>2826</v>
      </c>
      <c r="B64" s="14"/>
      <c r="C64" s="14"/>
    </row>
    <row r="65" spans="1:2">
      <c r="A65" t="s">
        <v>2813</v>
      </c>
      <c r="B65" t="s">
        <v>2791</v>
      </c>
    </row>
    <row r="66" spans="1:2">
      <c r="A66" t="s">
        <v>2827</v>
      </c>
      <c r="B66">
        <v>606</v>
      </c>
    </row>
    <row r="67" spans="1:2">
      <c r="A67" t="s">
        <v>2828</v>
      </c>
      <c r="B67">
        <v>5</v>
      </c>
    </row>
    <row r="68" spans="1:2">
      <c r="A68" t="s">
        <v>2829</v>
      </c>
      <c r="B68">
        <v>85</v>
      </c>
    </row>
  </sheetData>
  <mergeCells count="8">
    <mergeCell ref="A32:C32"/>
    <mergeCell ref="A41:C41"/>
    <mergeCell ref="A53:C53"/>
    <mergeCell ref="B57:C57"/>
    <mergeCell ref="A64:C64"/>
    <mergeCell ref="A1:B1"/>
    <mergeCell ref="A21:C21"/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PIVORT_TABLE</vt:lpstr>
      <vt:lpstr>P.T.CATEG</vt:lpstr>
      <vt:lpstr>SHIP_MODE P</vt:lpstr>
      <vt:lpstr>PRO.M_CUS_SEG</vt:lpstr>
      <vt:lpstr>R.C.F PIV</vt:lpstr>
      <vt:lpstr>MON.SALES.TREND</vt:lpstr>
      <vt:lpstr>Sheet2</vt:lpstr>
      <vt:lpstr>DATA_SUMMERY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Rathore</dc:creator>
  <cp:lastModifiedBy>Ajay Rathore</cp:lastModifiedBy>
  <dcterms:created xsi:type="dcterms:W3CDTF">2026-06-23T12:12:11Z</dcterms:created>
  <dcterms:modified xsi:type="dcterms:W3CDTF">2026-06-24T04:57:03Z</dcterms:modified>
</cp:coreProperties>
</file>